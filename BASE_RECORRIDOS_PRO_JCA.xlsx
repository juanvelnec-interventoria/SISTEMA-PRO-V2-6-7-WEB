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1A494A2B-F073-4BB6-B653-0597B8827FDA}" xr6:coauthVersionLast="47" xr6:coauthVersionMax="47" xr10:uidLastSave="{00000000-0000-0000-0000-000000000000}"/>
  <bookViews>
    <workbookView xWindow="-120" yWindow="-120" windowWidth="20730" windowHeight="11040" firstSheet="2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69" i="2" l="1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<sst xmlns="http://schemas.openxmlformats.org/spreadsheetml/2006/main" count="4405" uniqueCount="1598">
  <si>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</si>
  <si>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</si>
  <si>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</si>
  <si>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</si>
  <si>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</si>
  <si>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</si>
  <si>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</si>
  <si>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</si>
  <si>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</si>
  <si>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</si>
  <si>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</si>
  <si>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</si>
  <si>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</si>
  <si>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</si>
  <si>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</si>
  <si>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</si>
  <si>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</si>
  <si>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</si>
  <si>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</si>
  <si>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</si>
  <si>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</si>
  <si>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</si>
  <si>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</si>
  <si>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</si>
  <si>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</si>
  <si>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</si>
  <si>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</si>
  <si>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</si>
  <si>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</si>
  <si>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</si>
  <si>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</si>
  <si>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</si>
  <si>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</si>
  <si>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</si>
  <si>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</si>
  <si>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</si>
  <si>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</si>
  <si>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</si>
  <si>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</si>
  <si>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</si>
  <si>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</si>
  <si>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</si>
  <si>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</si>
  <si>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</si>
  <si>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</si>
  <si>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</si>
  <si>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</si>
  <si>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</si>
  <si>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</si>
  <si>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</si>
  <si>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</si>
  <si>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</si>
  <si>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</si>
  <si>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</si>
  <si>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</si>
  <si>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</si>
  <si>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</si>
  <si>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</si>
  <si>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</si>
  <si>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</si>
  <si>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</si>
  <si>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</si>
  <si>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</si>
  <si>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</si>
  <si>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</si>
  <si>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</si>
  <si>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</si>
  <si>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</si>
  <si>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</si>
  <si>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</si>
  <si>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</si>
  <si>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</si>
  <si>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</si>
  <si>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</si>
  <si>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</si>
  <si>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</si>
  <si>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</si>
  <si>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</si>
  <si>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</si>
  <si>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</si>
  <si>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</si>
  <si>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</si>
  <si>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</si>
  <si>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</si>
  <si>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</si>
  <si>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</si>
  <si>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</si>
  <si>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</si>
  <si>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</si>
  <si>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</si>
  <si>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</si>
  <si>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</si>
  <si>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</si>
  <si>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</si>
  <si>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</si>
  <si>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</si>
  <si>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</si>
  <si>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</si>
  <si>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</si>
  <si>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</si>
  <si>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</si>
  <si>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</si>
  <si>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</si>
  <si>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</si>
  <si>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</si>
  <si>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</si>
  <si>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</si>
  <si>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</si>
  <si>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</si>
  <si>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</si>
  <si>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</si>
  <si>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</si>
  <si>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</si>
  <si>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</si>
  <si>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</si>
  <si>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</si>
  <si>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</si>
  <si>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</si>
  <si>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</si>
  <si>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</si>
  <si>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</si>
  <si>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</si>
  <si>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</si>
  <si>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</si>
  <si>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</si>
  <si>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</si>
  <si>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</si>
  <si>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</si>
  <si>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</si>
  <si>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</si>
  <si>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</si>
  <si>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</si>
  <si>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</si>
  <si>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</si>
  <si>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</si>
  <si>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</si>
  <si>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</si>
  <si>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</si>
  <si>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</si>
  <si>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</si>
  <si>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</si>
  <si>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</si>
  <si>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</si>
  <si>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</si>
  <si>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</si>
  <si>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</si>
  <si>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</si>
  <si>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</si>
  <si>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</si>
  <si>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</si>
  <si>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</si>
  <si>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</si>
  <si>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</si>
  <si>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</si>
  <si>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</si>
  <si>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</si>
  <si>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</si>
  <si>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</si>
  <si>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</si>
  <si>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</si>
  <si>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</si>
  <si>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</si>
  <si>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</si>
  <si>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</si>
  <si>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</si>
  <si>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</si>
  <si>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</si>
  <si>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</si>
  <si>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</si>
  <si>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</si>
  <si>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</si>
  <si>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</si>
  <si>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</si>
  <si>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</si>
  <si>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</si>
  <si>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</si>
  <si>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</si>
  <si>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</si>
  <si>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</si>
  <si>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</si>
  <si>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</si>
  <si>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</si>
  <si>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</si>
  <si>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</si>
  <si>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</si>
  <si>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</si>
  <si>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</si>
  <si>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</si>
  <si>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</si>
  <si>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</si>
  <si>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</si>
  <si>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</si>
  <si>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</si>
  <si>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</si>
  <si>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</si>
  <si>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</si>
  <si>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</si>
  <si>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</si>
  <si>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</si>
  <si>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</si>
  <si>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</si>
  <si>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</si>
  <si>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</si>
  <si>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</si>
  <si>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</si>
  <si>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</si>
  <si>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</si>
  <si>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</si>
  <si>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</si>
  <si>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</si>
  <si>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</si>
  <si>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</si>
  <si>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</si>
  <si>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</si>
  <si>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</si>
  <si>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</si>
  <si>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</si>
  <si>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</si>
  <si>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</si>
  <si>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</si>
  <si>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</si>
  <si>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</si>
  <si>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</si>
  <si>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</si>
  <si>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</si>
  <si>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</si>
  <si>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</si>
  <si>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</si>
  <si>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</si>
  <si>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</si>
  <si>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</si>
  <si>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</si>
  <si>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</si>
  <si>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</si>
  <si>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</si>
  <si>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</si>
  <si>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</si>
  <si>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</si>
  <si>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</si>
  <si>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</si>
  <si>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</si>
  <si>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</si>
  <si>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</si>
  <si>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</si>
  <si>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</si>
  <si>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</si>
  <si>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</si>
  <si>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</si>
  <si>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</si>
  <si>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</si>
  <si>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</si>
  <si>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</si>
  <si>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</si>
  <si>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</si>
  <si>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</si>
  <si>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</si>
  <si>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</si>
  <si>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</si>
  <si>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</si>
  <si>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</si>
  <si>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NO DISPONIBLE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</si>
  <si>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</si>
  <si>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</si>
  <si>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</si>
  <si>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</si>
  <si>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</si>
  <si>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</si>
  <si>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</si>
  <si>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</si>
  <si>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</si>
  <si>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</si>
  <si>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</si>
  <si>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</si>
  <si>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</si>
  <si>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</si>
  <si>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</si>
  <si>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</si>
  <si>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</si>
  <si>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</si>
  <si>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</si>
  <si>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</si>
  <si>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</si>
  <si>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</si>
  <si>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</si>
  <si>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</si>
  <si>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</si>
  <si>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</si>
  <si>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</si>
  <si>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</si>
  <si>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</si>
  <si>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</si>
  <si>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</si>
  <si>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</si>
  <si>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</si>
  <si>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</si>
  <si>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</si>
  <si>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</si>
  <si>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</si>
  <si>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</si>
  <si>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</si>
  <si>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</si>
  <si>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</si>
  <si>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</si>
  <si>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</si>
  <si>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</si>
  <si>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</si>
  <si>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</si>
  <si>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</si>
  <si>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</si>
  <si>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</si>
  <si>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</si>
  <si>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</si>
  <si>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</si>
  <si>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</si>
  <si>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</si>
  <si>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</si>
  <si>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</si>
  <si>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</si>
  <si>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</si>
  <si>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</si>
  <si>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</si>
  <si>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</si>
  <si>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</si>
  <si>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</si>
  <si>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</si>
  <si>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</si>
  <si>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</si>
  <si>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</si>
  <si>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</si>
  <si>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</si>
  <si>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</si>
  <si>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</si>
  <si>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</si>
  <si>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</si>
  <si>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</si>
  <si>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</si>
  <si>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</si>
  <si>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</si>
  <si>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</si>
  <si>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</si>
  <si>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</si>
  <si>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</si>
  <si>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</si>
  <si>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</si>
  <si>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</si>
  <si>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</si>
  <si>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</si>
  <si>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</si>
  <si>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</si>
  <si>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</si>
  <si>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</si>
  <si>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</si>
  <si>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</si>
  <si>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</si>
  <si>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</si>
  <si>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</si>
  <si>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</si>
  <si>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</si>
  <si>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</si>
  <si>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</si>
  <si>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</si>
  <si>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</si>
  <si>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</si>
  <si>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</si>
  <si>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</si>
  <si>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</si>
  <si>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</si>
  <si>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</si>
  <si>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</si>
  <si>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</si>
  <si>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</si>
  <si>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</si>
  <si>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</si>
  <si>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</si>
  <si>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</si>
  <si>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</si>
  <si>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</si>
  <si>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</si>
  <si>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</si>
  <si>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</si>
  <si>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</si>
  <si>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</si>
  <si>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</si>
  <si>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</si>
  <si>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</si>
  <si>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</si>
  <si>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</si>
  <si>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</si>
  <si>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</si>
  <si>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</si>
  <si>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</si>
  <si>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</si>
  <si>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</si>
  <si>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</si>
  <si>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</si>
  <si>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</si>
  <si>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</si>
  <si>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</si>
  <si>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</si>
  <si>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</si>
  <si>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</si>
  <si>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</si>
  <si>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</si>
  <si>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</si>
  <si>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</si>
  <si>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</si>
  <si>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</si>
  <si>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</si>
  <si>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</si>
  <si>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</si>
  <si>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</si>
  <si>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</si>
  <si>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</si>
  <si>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</si>
  <si>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</si>
  <si>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</si>
  <si>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</si>
  <si>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</si>
  <si>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</si>
  <si>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</si>
  <si>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</si>
  <si>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</si>
  <si>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</si>
  <si>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</si>
  <si>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</si>
  <si>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</si>
  <si>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</si>
  <si>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</si>
  <si>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</si>
  <si>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</si>
  <si>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</si>
  <si>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</si>
  <si>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</si>
  <si>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</si>
  <si>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</si>
  <si>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</si>
  <si>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</si>
  <si>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</si>
  <si>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</si>
  <si>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</si>
  <si>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</si>
  <si>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</si>
  <si>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</si>
  <si>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</si>
  <si>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</si>
  <si>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</si>
  <si>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</si>
  <si>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</si>
  <si>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</si>
  <si>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</si>
  <si>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</si>
  <si>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</si>
  <si>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</si>
  <si>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</si>
  <si>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</si>
  <si>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</si>
  <si>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</si>
  <si>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</si>
  <si>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</si>
  <si>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</si>
  <si>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</si>
  <si>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</si>
  <si>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</si>
  <si>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</si>
  <si>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</si>
  <si>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</si>
  <si>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</si>
  <si>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</si>
  <si>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</si>
  <si>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</si>
  <si>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</si>
  <si>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</si>
  <si>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</si>
  <si>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</si>
  <si>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</si>
  <si>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</si>
  <si>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</si>
  <si>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</si>
  <si>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</si>
  <si>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</si>
  <si>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</si>
  <si>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</si>
  <si>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</si>
  <si>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</si>
  <si>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</si>
  <si>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</si>
  <si>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</si>
  <si>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</si>
  <si>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</si>
  <si>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</si>
  <si>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</si>
  <si>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</si>
  <si>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</si>
  <si>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</si>
  <si>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</si>
  <si>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</si>
  <si>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</si>
  <si>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</si>
  <si>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</si>
  <si>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</si>
  <si>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</si>
  <si>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</si>
  <si>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</si>
  <si>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</si>
  <si>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</si>
  <si>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</si>
  <si>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</si>
  <si>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</si>
  <si>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</si>
  <si>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</si>
  <si>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</si>
  <si>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</si>
  <si>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</si>
  <si>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</si>
  <si>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</si>
  <si>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</si>
  <si>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</si>
  <si>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</si>
  <si>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</si>
  <si>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</si>
  <si>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</si>
  <si>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</si>
  <si>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</si>
  <si>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</si>
  <si>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</si>
  <si>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</si>
  <si>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</si>
  <si>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</si>
  <si>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</si>
  <si>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</si>
  <si>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</si>
  <si>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</si>
  <si>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</si>
  <si>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</si>
  <si>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</si>
  <si>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</si>
  <si>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</si>
  <si>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</si>
  <si>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</si>
  <si>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</si>
  <si>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</si>
  <si>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</si>
  <si>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</si>
  <si>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</si>
  <si>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</si>
  <si>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</si>
  <si>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</si>
  <si>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</si>
  <si>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</si>
  <si>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</si>
  <si>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</si>
  <si>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</si>
  <si>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</si>
  <si>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</si>
  <si>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</si>
  <si>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</si>
  <si>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</si>
  <si>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</si>
  <si>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</si>
  <si>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</si>
  <si>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</si>
  <si>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</si>
  <si>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</si>
  <si>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</si>
  <si>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</si>
  <si>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</si>
  <si>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</si>
  <si>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</si>
  <si>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</si>
  <si>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</si>
  <si>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</si>
  <si>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</si>
  <si>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</si>
  <si>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</si>
  <si>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</si>
  <si>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</si>
  <si>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</si>
  <si>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</si>
  <si>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</si>
  <si>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</si>
  <si>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</si>
  <si>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</si>
  <si>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</si>
  <si>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</si>
  <si>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</si>
  <si>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</si>
  <si>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</si>
  <si>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</si>
  <si>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</si>
  <si>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</si>
  <si>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</si>
  <si>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</si>
  <si>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</si>
  <si>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</si>
  <si>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</si>
  <si>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</si>
  <si>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</si>
  <si>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</si>
  <si>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</si>
  <si>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</si>
  <si>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</si>
  <si>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</si>
  <si>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</si>
  <si>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</si>
  <si>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</si>
  <si>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</si>
  <si>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</si>
  <si>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</si>
  <si>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</si>
  <si>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</si>
  <si>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</si>
  <si>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</si>
  <si>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</si>
  <si>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</si>
  <si>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</si>
  <si>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</si>
  <si>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</si>
  <si>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</si>
  <si>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</si>
  <si>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</si>
  <si>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</si>
  <si>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</si>
  <si>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</si>
  <si>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</si>
  <si>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</si>
  <si>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</si>
  <si>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</si>
  <si>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</si>
  <si>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</si>
  <si>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</si>
  <si>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</si>
  <si>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</si>
  <si>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</si>
  <si>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</si>
  <si>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</si>
  <si>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</si>
  <si>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</si>
  <si>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</si>
  <si>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</si>
  <si>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</si>
  <si>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</si>
  <si>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</si>
  <si>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</si>
  <si>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</si>
  <si>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</si>
  <si>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</si>
  <si>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</si>
  <si>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</si>
  <si>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</si>
  <si>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</si>
  <si>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</si>
  <si>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</si>
  <si>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</si>
  <si>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</si>
  <si>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</si>
  <si>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</si>
  <si>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</si>
  <si>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</si>
  <si>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</si>
  <si>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</si>
  <si>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</si>
  <si>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</si>
  <si>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</si>
  <si>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</si>
  <si>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</si>
  <si>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</si>
  <si>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</si>
  <si>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</si>
  <si>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</si>
  <si>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</si>
  <si>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</si>
  <si>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</si>
  <si>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</si>
  <si>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</si>
  <si>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</si>
  <si>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</si>
  <si>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</si>
  <si>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</si>
  <si>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</si>
  <si>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</si>
  <si>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</si>
  <si>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</si>
  <si>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</si>
  <si>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</si>
  <si>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</si>
  <si>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</si>
  <si>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</si>
  <si>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</si>
  <si>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</si>
  <si>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</si>
  <si>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</si>
  <si>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</si>
  <si>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</si>
  <si>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</si>
  <si>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</si>
  <si>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</si>
  <si>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</si>
  <si>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</si>
  <si>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</si>
  <si>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</si>
  <si>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</si>
  <si>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</si>
  <si>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</si>
  <si>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</si>
  <si>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</si>
  <si>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</si>
  <si>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</si>
  <si>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</si>
  <si>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</si>
  <si>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</si>
  <si>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</si>
  <si>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</si>
  <si>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</si>
  <si>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</si>
  <si>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</si>
  <si>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</si>
  <si>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</si>
  <si>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</si>
  <si>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</si>
  <si>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</si>
  <si>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</si>
  <si>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</si>
  <si>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</si>
  <si>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</si>
  <si>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</si>
  <si>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</si>
  <si>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</si>
  <si>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</si>
  <si>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</si>
  <si>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</si>
  <si>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</si>
  <si>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</si>
  <si>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</si>
  <si>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</si>
  <si>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</si>
  <si>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</si>
  <si>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</si>
  <si>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</si>
  <si>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</si>
  <si>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</si>
  <si>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</si>
  <si>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</si>
  <si>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</si>
  <si>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</si>
  <si>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</si>
  <si>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</si>
  <si>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</si>
  <si>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</si>
  <si>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</si>
  <si>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</si>
  <si>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</si>
  <si>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</si>
  <si>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</si>
  <si>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</si>
  <si>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</si>
  <si>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</si>
  <si>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</si>
  <si>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</si>
  <si>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</si>
  <si>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</si>
  <si>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</si>
  <si>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</si>
  <si>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</si>
  <si>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</si>
  <si>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</si>
  <si>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</si>
  <si>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</si>
  <si>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</si>
  <si>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</si>
  <si>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</si>
  <si>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</si>
  <si>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</si>
  <si>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</si>
  <si>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</si>
  <si>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</si>
  <si>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</si>
  <si>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</si>
  <si>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</si>
  <si>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</si>
  <si>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</si>
  <si>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</si>
  <si>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</si>
  <si>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</si>
  <si>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</si>
  <si>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</si>
  <si>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</si>
  <si>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</si>
  <si>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</si>
  <si>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</si>
  <si>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</si>
  <si>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</si>
  <si>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</si>
  <si>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</si>
  <si>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</si>
  <si>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</si>
  <si>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</si>
  <si>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</si>
  <si>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</si>
  <si>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</si>
  <si>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</si>
  <si>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</si>
  <si>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</si>
  <si>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</si>
  <si>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</si>
  <si>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</si>
  <si>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</si>
  <si>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</si>
  <si>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</si>
  <si>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</si>
  <si>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</si>
  <si>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</si>
  <si>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</si>
  <si>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</si>
  <si>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</si>
  <si>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</si>
  <si>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</si>
  <si>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</si>
  <si>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</si>
  <si>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</si>
  <si>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</si>
  <si>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</si>
  <si>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</si>
  <si>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</si>
  <si>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</si>
  <si>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</si>
  <si>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</si>
  <si>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</si>
  <si>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</si>
  <si>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</si>
  <si>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</si>
  <si>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</si>
  <si>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</si>
  <si>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</si>
  <si>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</si>
  <si>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</si>
  <si>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</si>
  <si>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</si>
  <si>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</si>
  <si>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</si>
  <si>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</si>
  <si>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</si>
  <si>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</si>
  <si>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</si>
  <si>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</si>
  <si>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</si>
  <si>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</si>
  <si>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</si>
  <si>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</si>
  <si>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</si>
  <si>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</si>
  <si>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</si>
  <si>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</si>
  <si>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</si>
  <si>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</si>
  <si>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</si>
  <si>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</si>
  <si>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</si>
  <si>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</si>
  <si>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</si>
  <si>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</si>
  <si>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</si>
  <si>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</si>
  <si>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</si>
  <si>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</si>
  <si>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</si>
  <si>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</si>
  <si>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</si>
  <si>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</si>
  <si>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</si>
  <si>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</si>
  <si>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</si>
  <si>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</si>
  <si>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</si>
  <si>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</si>
  <si>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</si>
  <si>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</si>
  <si>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</si>
  <si>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</si>
  <si>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</si>
  <si>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</si>
  <si>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</si>
  <si>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</si>
  <si>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</si>
  <si>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</si>
  <si>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</si>
  <si>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</si>
  <si>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</si>
  <si>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</si>
  <si>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</si>
  <si>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</si>
  <si>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</si>
  <si>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</si>
  <si>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</si>
  <si>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</si>
  <si>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</si>
  <si>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</si>
  <si>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</si>
  <si>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</si>
  <si>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</si>
  <si>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</si>
  <si>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</si>
  <si>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</si>
  <si>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</si>
  <si>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</si>
  <si>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</si>
  <si>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</si>
  <si>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</si>
  <si>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</si>
  <si>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</si>
  <si>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</si>
  <si>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</si>
  <si>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</si>
  <si>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</si>
  <si>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</si>
  <si>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</si>
  <si>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</si>
  <si>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</si>
  <si>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</si>
  <si>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</si>
  <si>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</si>
  <si>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</si>
  <si>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</si>
  <si>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</si>
  <si>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</si>
  <si>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</si>
  <si>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</si>
  <si>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</si>
  <si>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</si>
  <si>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</si>
  <si>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</si>
  <si>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</si>
  <si>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</si>
  <si>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</si>
  <si>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</si>
  <si>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</si>
  <si>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</si>
  <si>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</si>
  <si>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</si>
  <si>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</si>
  <si>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</si>
  <si>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</si>
  <si>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</si>
  <si>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</si>
  <si>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</si>
  <si>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</si>
  <si>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</si>
  <si>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</si>
  <si>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</si>
  <si>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</si>
  <si>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</si>
  <si>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</si>
  <si>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</si>
  <si>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</si>
  <si>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</si>
  <si>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</si>
  <si>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</si>
  <si>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</si>
  <si>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</si>
  <si>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</si>
  <si>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</si>
  <si>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</si>
  <si>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</si>
  <si>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</si>
  <si>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</si>
  <si>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</si>
  <si>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</si>
  <si>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</si>
  <si>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</si>
  <si>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</si>
  <si>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</si>
  <si>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</si>
  <si>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</si>
  <si>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</si>
  <si>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</si>
  <si>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</si>
  <si>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</si>
  <si>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</si>
  <si>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</si>
  <si>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</si>
  <si>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</si>
  <si>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</si>
  <si>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</si>
  <si>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</si>
  <si>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</si>
  <si>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</si>
  <si>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</si>
  <si>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</si>
  <si>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</si>
  <si>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</si>
  <si>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</si>
  <si>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</si>
  <si>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</si>
  <si>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</si>
  <si>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</si>
  <si>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</si>
  <si>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</si>
  <si>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</si>
  <si>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</si>
  <si>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</si>
  <si>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</si>
  <si>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</si>
  <si>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</si>
  <si>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</si>
  <si>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</si>
  <si>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</si>
  <si>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</si>
  <si>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</si>
  <si>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</si>
  <si>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</si>
  <si>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</si>
  <si>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</si>
  <si>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</si>
  <si>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</si>
  <si>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</si>
  <si>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</si>
  <si>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</si>
  <si>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</si>
  <si>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</si>
  <si>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</si>
  <si>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</si>
  <si>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</si>
  <si>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</si>
  <si>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</si>
  <si>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</si>
  <si>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</si>
  <si>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</si>
  <si>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</si>
  <si>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</si>
  <si>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</si>
  <si>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</si>
  <si>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</si>
  <si>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</si>
  <si>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</si>
  <si>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</si>
  <si>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</si>
  <si>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</si>
  <si>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</si>
  <si>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</si>
  <si>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</si>
  <si>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</si>
  <si>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</si>
  <si>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</si>
  <si>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</si>
  <si>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</si>
  <si>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</si>
  <si>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</si>
  <si>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</si>
  <si>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</si>
  <si>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</si>
  <si>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</si>
  <si>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</si>
  <si>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</si>
  <si>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</si>
  <si>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</si>
  <si>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</si>
  <si>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</si>
  <si>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</si>
  <si>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</si>
  <si>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</si>
  <si>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</si>
  <si>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</si>
  <si>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</si>
  <si>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</si>
  <si>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</si>
  <si>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</si>
  <si>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</si>
  <si>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</si>
  <si>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</si>
  <si>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</si>
  <si>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</si>
  <si>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</si>
  <si>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</si>
  <si>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</si>
  <si>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</si>
  <si>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</si>
  <si>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</si>
  <si>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</si>
  <si>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</si>
  <si>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</si>
  <si>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</si>
  <si>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</si>
  <si>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</si>
  <si>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</si>
  <si>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</si>
  <si>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</si>
  <si>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</si>
  <si>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</si>
  <si>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</si>
  <si>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</si>
  <si>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</si>
  <si>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</si>
  <si>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</si>
  <si>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</si>
  <si>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</si>
  <si>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</si>
  <si>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</si>
  <si>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</si>
  <si>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</si>
  <si>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</si>
  <si>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</si>
  <si>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</si>
  <si>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</si>
  <si>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</si>
  <si>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</si>
  <si>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</si>
  <si>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</si>
  <si>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</si>
  <si>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</si>
  <si>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</si>
  <si>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</si>
  <si>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</si>
  <si>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</si>
  <si>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</si>
  <si>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</si>
  <si>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</si>
  <si>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</si>
  <si>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</si>
  <si>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</si>
  <si>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</si>
  <si>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</si>
  <si>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</si>
  <si>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</si>
  <si>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</si>
  <si>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</si>
  <si>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</si>
  <si>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</si>
  <si>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</si>
  <si>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</si>
  <si>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</si>
  <si>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</si>
  <si>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</si>
  <si>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</si>
  <si>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</si>
  <si>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</si>
  <si>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</si>
  <si>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</si>
  <si>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</si>
  <si>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</si>
  <si>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</si>
  <si>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</si>
  <si>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</si>
  <si>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</si>
  <si>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</si>
  <si>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</si>
  <si>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</si>
  <si>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</si>
  <si>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</si>
  <si>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</si>
  <si>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</si>
  <si>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</si>
  <si>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</si>
  <si>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</si>
  <si>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</si>
  <si>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</si>
  <si>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</si>
  <si>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</si>
  <si>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</si>
  <si>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</si>
  <si>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</si>
  <si>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</si>
  <si>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</si>
  <si>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</si>
  <si>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</si>
  <si>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</si>
  <si>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</si>
  <si>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</si>
  <si>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</si>
  <si>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</si>
  <si>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</si>
  <si>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</si>
  <si>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</si>
  <si>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</si>
  <si>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</si>
  <si>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</si>
  <si>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</si>
  <si>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</si>
  <si>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</si>
  <si>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</si>
  <si>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</si>
  <si>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</si>
  <si>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</si>
  <si>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</si>
  <si>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</si>
  <si>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</si>
  <si>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</si>
  <si>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</si>
  <si>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</si>
  <si>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</si>
  <si>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</si>
  <si>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</si>
  <si>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</si>
  <si>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</si>
  <si>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</si>
  <si>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</si>
  <si>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</si>
  <si>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</si>
  <si>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</si>
  <si>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</si>
  <si>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</si>
  <si>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</si>
  <si>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</si>
  <si>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</si>
  <si>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</si>
  <si>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</si>
  <si>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</si>
  <si>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</si>
  <si>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</si>
  <si>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</si>
  <si>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</si>
  <si>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</si>
  <si>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</si>
  <si>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</si>
  <si>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</si>
  <si>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</si>
  <si>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</si>
  <si>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</si>
  <si>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</si>
  <si>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</si>
  <si>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</si>
  <si>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</si>
  <si>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</si>
  <si>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</si>
  <si>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</si>
  <si>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</si>
  <si>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</si>
  <si>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</si>
  <si>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</si>
  <si>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</si>
  <si>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</si>
  <si>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</si>
  <si>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</si>
  <si>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</si>
  <si>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</si>
  <si>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</si>
  <si>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</si>
  <si>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</si>
  <si>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</si>
  <si>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</si>
  <si>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</si>
  <si>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</si>
  <si>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</si>
  <si>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</si>
  <si>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</si>
  <si>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</si>
  <si>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</si>
  <si>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</si>
  <si>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</si>
  <si>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</si>
  <si>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</si>
  <si>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</si>
  <si>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</si>
  <si>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</si>
  <si>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</si>
  <si>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</si>
  <si>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</si>
  <si>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</si>
  <si>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</si>
  <si>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</si>
  <si>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</si>
  <si>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</si>
  <si>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</si>
  <si>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</si>
  <si>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</si>
  <si>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</si>
  <si>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</si>
  <si>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</si>
  <si>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</si>
  <si>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</si>
  <si>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</si>
  <si>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</si>
  <si>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</si>
  <si>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</si>
  <si>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</si>
  <si>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</si>
  <si>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</si>
  <si>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</si>
  <si>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</si>
  <si>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</si>
  <si>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</si>
  <si>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</si>
  <si>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</si>
  <si>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</si>
  <si>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</si>
  <si>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</si>
  <si>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</si>
  <si>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</si>
  <si>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</si>
  <si>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</si>
  <si>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</si>
  <si>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</si>
  <si>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</si>
  <si>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</si>
  <si>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</si>
  <si>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</si>
  <si>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</si>
  <si>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</si>
  <si>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</si>
  <si>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</si>
  <si>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</si>
  <si>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</si>
  <si>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</si>
  <si>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</si>
  <si>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</si>
  <si>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</si>
  <si>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</si>
  <si>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</si>
  <si>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</si>
  <si>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</si>
  <si>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</si>
  <si>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</si>
  <si>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</si>
  <si>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</si>
  <si>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</si>
  <si>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</si>
  <si>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</si>
  <si>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</si>
  <si>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</si>
  <si>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</si>
  <si>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</si>
  <si>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</si>
  <si>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</si>
  <si>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</si>
  <si>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</si>
  <si>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</si>
  <si>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</si>
  <si>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</si>
  <si>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</si>
  <si>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</si>
  <si>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</si>
  <si>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</si>
  <si>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</si>
  <si>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</si>
  <si>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</si>
  <si>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</si>
  <si>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</si>
  <si>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</si>
  <si>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</si>
  <si>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</si>
  <si>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</si>
  <si>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</si>
  <si>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</si>
  <si>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</si>
  <si>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</si>
  <si>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</si>
  <si>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</si>
  <si>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</si>
  <si>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</si>
  <si>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</si>
  <si>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</si>
  <si>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</si>
  <si>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</si>
  <si>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</si>
  <si>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</si>
  <si>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</si>
  <si>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</si>
  <si>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</si>
  <si>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</si>
  <si>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</si>
  <si>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</si>
  <si>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</si>
  <si>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</si>
  <si>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</si>
  <si>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</si>
  <si>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</si>
  <si>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</si>
  <si>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</si>
  <si>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</si>
  <si>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</si>
  <si>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</si>
  <si>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</si>
  <si>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</si>
  <si>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</si>
  <si>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</si>
  <si>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</si>
  <si>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</si>
  <si>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</si>
  <si>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</si>
  <si>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</si>
  <si>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</si>
  <si>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</si>
  <si>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</si>
  <si>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</si>
  <si>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</si>
  <si>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</si>
  <si>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</si>
  <si>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</si>
  <si>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</si>
  <si>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</si>
  <si>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</si>
  <si>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</si>
  <si>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</si>
  <si>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</si>
  <si>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</si>
  <si>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</si>
  <si>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</si>
  <si>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</si>
  <si>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</si>
  <si>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</si>
  <si>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</si>
  <si>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</si>
  <si>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</si>
  <si>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</si>
  <si>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</si>
  <si>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</si>
  <si>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</si>
  <si>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</si>
  <si>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</si>
  <si>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</si>
  <si>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</si>
  <si>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</si>
  <si>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</si>
  <si>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</si>
  <si>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</si>
  <si>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</si>
  <si>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</si>
  <si>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</si>
  <si>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</si>
  <si>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</si>
  <si>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</si>
  <si>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</si>
  <si>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</si>
  <si>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</si>
  <si>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</si>
  <si>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</si>
  <si>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</si>
  <si>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</si>
  <si>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</si>
  <si>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</si>
  <si>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</si>
  <si>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</si>
  <si>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</si>
  <si>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</si>
  <si>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</si>
  <si>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</si>
  <si>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</si>
  <si>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</si>
  <si>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</si>
  <si>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</si>
  <si>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</si>
  <si>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</si>
  <si>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</si>
  <si>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</si>
  <si>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</si>
  <si>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</si>
  <si>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</si>
  <si>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</si>
  <si>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</si>
  <si>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</si>
  <si>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</si>
  <si>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</si>
  <si>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</si>
  <si>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</si>
  <si>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</si>
  <si>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</si>
  <si>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</si>
  <si>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</si>
  <si>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</si>
  <si>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</si>
  <si>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</si>
  <si>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</si>
  <si>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</si>
  <si>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</si>
  <si>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</si>
  <si>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</si>
  <si>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</si>
  <si>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</si>
  <si>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</si>
  <si>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</si>
  <si>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</si>
  <si>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</si>
  <si>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</si>
  <si>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</si>
  <si>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</si>
  <si>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</si>
  <si>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</si>
  <si>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</si>
  <si>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</si>
  <si>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</si>
  <si>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</si>
  <si>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</si>
  <si>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</si>
  <si>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</si>
  <si>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</si>
  <si>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</si>
  <si>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</si>
  <si>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</si>
  <si>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</si>
  <si>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</si>
  <si>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</si>
  <si>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</si>
  <si>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</si>
  <si>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</si>
  <si>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</si>
  <si>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</si>
  <si>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</si>
  <si>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</si>
  <si>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</si>
  <si>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</si>
  <si>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</si>
  <si>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</si>
  <si>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</si>
  <si>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</si>
  <si>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</si>
  <si>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</si>
  <si>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</si>
  <si>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</si>
  <si>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</si>
  <si>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</si>
  <si>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</si>
  <si>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</si>
  <si>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</si>
  <si>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</si>
  <si>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</si>
  <si>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</si>
  <si>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</si>
  <si>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</si>
  <si>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</si>
  <si>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</si>
  <si>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</si>
  <si>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</si>
  <si>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</si>
  <si>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</si>
  <si>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</si>
  <si>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</si>
  <si>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</si>
  <si>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</si>
  <si>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</si>
  <si>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</si>
  <si>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</si>
  <si>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</si>
  <si>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</si>
  <si>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</si>
  <si>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</si>
  <si>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</si>
  <si>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</si>
  <si>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</si>
  <si>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</si>
  <si>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</si>
  <si>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</si>
  <si>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</si>
  <si>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</si>
  <si>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</si>
  <si>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</si>
  <si>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</si>
  <si>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</si>
  <si>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</si>
  <si>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</si>
  <si>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</si>
  <si>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</si>
  <si>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</si>
  <si>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</si>
  <si>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</si>
  <si>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</si>
  <si>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</si>
  <si>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</si>
  <si>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</si>
  <si>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</si>
  <si>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OBSERVACIONES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</si>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</sst>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0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pivotButton="1" applyFont="1"/>
    <xf numFmtId="0" fontId="8" fillId="0" borderId="0" xfId="0" applyFont="1"/>
    <xf numFmtId="0" fontId="8" fillId="0" borderId="0" xfId="0" applyFont="1" applyAlignment="1">
      <alignment horizontal="left"/>
    </xf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5</c:v>
                </c:pt>
                <c:pt idx="1">
                  <c:v>7</c:v>
                </c:pt>
                <c:pt idx="2">
                  <c:v>1</c:v>
                </c:pt>
                <c:pt idx="4">
                  <c:v>6</c:v>
                </c:pt>
                <c:pt idx="6">
                  <c:v>1</c:v>
                </c:pt>
                <c:pt idx="7">
                  <c:v>5</c:v>
                </c:pt>
                <c:pt idx="8">
                  <c:v>2</c:v>
                </c:pt>
                <c:pt idx="9">
                  <c:v>5</c:v>
                </c:pt>
                <c:pt idx="10">
                  <c:v>4</c:v>
                </c:pt>
                <c:pt idx="11">
                  <c:v>1</c:v>
                </c:pt>
                <c:pt idx="12">
                  <c:v>8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1</c:v>
                </c:pt>
                <c:pt idx="2">
                  <c:v>4</c:v>
                </c:pt>
                <c:pt idx="3">
                  <c:v>7</c:v>
                </c:pt>
                <c:pt idx="4">
                  <c:v>1</c:v>
                </c:pt>
                <c:pt idx="5">
                  <c:v>9</c:v>
                </c:pt>
                <c:pt idx="6">
                  <c:v>2</c:v>
                </c:pt>
                <c:pt idx="7">
                  <c:v>1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8</c:v>
                </c:pt>
                <c:pt idx="1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1</c:v>
                </c:pt>
                <c:pt idx="1">
                  <c:v>1</c:v>
                </c:pt>
                <c:pt idx="2">
                  <c:v>6</c:v>
                </c:pt>
                <c:pt idx="4">
                  <c:v>1</c:v>
                </c:pt>
                <c:pt idx="6">
                  <c:v>6</c:v>
                </c:pt>
                <c:pt idx="7">
                  <c:v>2</c:v>
                </c:pt>
                <c:pt idx="8">
                  <c:v>4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ser>
          <c:idx val="3"/>
          <c:order val="3"/>
          <c:tx>
            <c:strRef>
              <c:f>GRAFICAS!$E$6:$E$7</c:f>
              <c:strCache>
                <c:ptCount val="1"/>
                <c:pt idx="0">
                  <c:v>NO DISPONIBLE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GRAFICAS!$E$8:$E$22</c:f>
              <c:numCache>
                <c:formatCode>General</c:formatCode>
                <c:ptCount val="14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4</c:v>
                </c:pt>
                <c:pt idx="1">
                  <c:v>5</c:v>
                </c:pt>
                <c:pt idx="2">
                  <c:v>1</c:v>
                </c:pt>
                <c:pt idx="4">
                  <c:v>7</c:v>
                </c:pt>
                <c:pt idx="5">
                  <c:v>2</c:v>
                </c:pt>
                <c:pt idx="6">
                  <c:v>6</c:v>
                </c:pt>
                <c:pt idx="7">
                  <c:v>5</c:v>
                </c:pt>
                <c:pt idx="9">
                  <c:v>5</c:v>
                </c:pt>
                <c:pt idx="10">
                  <c:v>1</c:v>
                </c:pt>
                <c:pt idx="11">
                  <c:v>9</c:v>
                </c:pt>
                <c:pt idx="12">
                  <c:v>6</c:v>
                </c:pt>
                <c:pt idx="1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NO DISPONIBLE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0">
                  <c:v>6</c:v>
                </c:pt>
                <c:pt idx="1">
                  <c:v>1</c:v>
                </c:pt>
                <c:pt idx="2">
                  <c:v>8</c:v>
                </c:pt>
                <c:pt idx="3">
                  <c:v>7</c:v>
                </c:pt>
                <c:pt idx="4">
                  <c:v>1</c:v>
                </c:pt>
                <c:pt idx="5">
                  <c:v>7</c:v>
                </c:pt>
                <c:pt idx="6">
                  <c:v>2</c:v>
                </c:pt>
                <c:pt idx="7">
                  <c:v>2</c:v>
                </c:pt>
                <c:pt idx="8">
                  <c:v>9</c:v>
                </c:pt>
                <c:pt idx="9">
                  <c:v>2</c:v>
                </c:pt>
                <c:pt idx="10">
                  <c:v>6</c:v>
                </c:pt>
                <c:pt idx="11">
                  <c:v>1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ser>
          <c:idx val="3"/>
          <c:order val="3"/>
          <c:tx>
            <c:strRef>
              <c:f>GRAFICAS!$E$57:$E$58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GRAFICAS!$E$59:$E$73</c:f>
              <c:numCache>
                <c:formatCode>General</c:formatCode>
                <c:ptCount val="14"/>
                <c:pt idx="1">
                  <c:v>3</c:v>
                </c:pt>
                <c:pt idx="2">
                  <c:v>2</c:v>
                </c:pt>
                <c:pt idx="6">
                  <c:v>1</c:v>
                </c:pt>
                <c:pt idx="7">
                  <c:v>1</c:v>
                </c:pt>
                <c:pt idx="9">
                  <c:v>2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423.024</c:v>
                </c:pt>
                <c:pt idx="2">
                  <c:v>257.14400000000001</c:v>
                </c:pt>
                <c:pt idx="3">
                  <c:v>461.07799999999997</c:v>
                </c:pt>
                <c:pt idx="5">
                  <c:v>351.32300000000004</c:v>
                </c:pt>
                <c:pt idx="6">
                  <c:v>479.87299999999993</c:v>
                </c:pt>
                <c:pt idx="8">
                  <c:v>358.82699999999994</c:v>
                </c:pt>
                <c:pt idx="9">
                  <c:v>726.70300000000009</c:v>
                </c:pt>
                <c:pt idx="11">
                  <c:v>384.82900000000001</c:v>
                </c:pt>
                <c:pt idx="13">
                  <c:v>226.447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404.30200000000002</c:v>
                </c:pt>
                <c:pt idx="2">
                  <c:v>165.02199999999999</c:v>
                </c:pt>
                <c:pt idx="4">
                  <c:v>274.67999999999995</c:v>
                </c:pt>
                <c:pt idx="7">
                  <c:v>636.64899999999989</c:v>
                </c:pt>
                <c:pt idx="10">
                  <c:v>266.94100000000003</c:v>
                </c:pt>
                <c:pt idx="11">
                  <c:v>45.506</c:v>
                </c:pt>
                <c:pt idx="12">
                  <c:v>431.863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6</c:v>
                </c:pt>
                <c:pt idx="1">
                  <c:v>1</c:v>
                </c:pt>
                <c:pt idx="2">
                  <c:v>8</c:v>
                </c:pt>
                <c:pt idx="3">
                  <c:v>7</c:v>
                </c:pt>
                <c:pt idx="4">
                  <c:v>1</c:v>
                </c:pt>
                <c:pt idx="5">
                  <c:v>7</c:v>
                </c:pt>
                <c:pt idx="6">
                  <c:v>2</c:v>
                </c:pt>
                <c:pt idx="7">
                  <c:v>2</c:v>
                </c:pt>
                <c:pt idx="8">
                  <c:v>9</c:v>
                </c:pt>
                <c:pt idx="9">
                  <c:v>2</c:v>
                </c:pt>
                <c:pt idx="10">
                  <c:v>6</c:v>
                </c:pt>
                <c:pt idx="11">
                  <c:v>1</c:v>
                </c:pt>
                <c:pt idx="1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GRAFICAS!$W$109:$W$120</c:f>
              <c:strCache>
                <c:ptCount val="11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Iván Andrés Quintana Vélez</c:v>
                </c:pt>
                <c:pt idx="4">
                  <c:v>John Alexander Ortiz</c:v>
                </c:pt>
                <c:pt idx="5">
                  <c:v>John Alexander Porras</c:v>
                </c:pt>
                <c:pt idx="6">
                  <c:v>Johnatan Alexis Alvarez Florez</c:v>
                </c:pt>
                <c:pt idx="7">
                  <c:v>Jorge Alberto Zapata Vásquez</c:v>
                </c:pt>
                <c:pt idx="8">
                  <c:v>Jose David Patiño</c:v>
                </c:pt>
                <c:pt idx="9">
                  <c:v>Julian Oritz</c:v>
                </c:pt>
                <c:pt idx="10">
                  <c:v>Yeiner Alejandro López</c:v>
                </c:pt>
              </c:strCache>
            </c:strRef>
          </c:cat>
          <c:val>
            <c:numRef>
              <c:f>GRAFICAS!$X$109:$X$120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6</c:v>
                </c:pt>
                <c:pt idx="3">
                  <c:v>1</c:v>
                </c:pt>
                <c:pt idx="4">
                  <c:v>6</c:v>
                </c:pt>
                <c:pt idx="5">
                  <c:v>2</c:v>
                </c:pt>
                <c:pt idx="6">
                  <c:v>4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0.21459490740740739</c:v>
                </c:pt>
                <c:pt idx="1">
                  <c:v>0.25193287037037038</c:v>
                </c:pt>
                <c:pt idx="2">
                  <c:v>1.819988425925926</c:v>
                </c:pt>
                <c:pt idx="3">
                  <c:v>0.5245023148148148</c:v>
                </c:pt>
                <c:pt idx="4">
                  <c:v>2.6412037037037036E-2</c:v>
                </c:pt>
                <c:pt idx="5">
                  <c:v>0.35018518518518521</c:v>
                </c:pt>
                <c:pt idx="6">
                  <c:v>0.19193287037037038</c:v>
                </c:pt>
                <c:pt idx="7">
                  <c:v>0.16253472222222221</c:v>
                </c:pt>
                <c:pt idx="8">
                  <c:v>1.6799074074074076</c:v>
                </c:pt>
                <c:pt idx="9">
                  <c:v>0.60583333333333322</c:v>
                </c:pt>
                <c:pt idx="10">
                  <c:v>0.34309027777777779</c:v>
                </c:pt>
                <c:pt idx="11">
                  <c:v>7.4293981481481475E-2</c:v>
                </c:pt>
                <c:pt idx="12">
                  <c:v>0</c:v>
                </c:pt>
                <c:pt idx="13">
                  <c:v>0.51296296296296295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2400" b="1">
                  <a:solidFill>
                    <a:sysClr val="windowText" lastClr="000000"/>
                  </a:solidFill>
                  <a:latin typeface="Arial" panose="020B0604020202020204" pitchFamily="34" charset="0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4</c:v>
                </c:pt>
                <c:pt idx="1">
                  <c:v>5</c:v>
                </c:pt>
                <c:pt idx="2">
                  <c:v>1</c:v>
                </c:pt>
                <c:pt idx="4">
                  <c:v>7</c:v>
                </c:pt>
                <c:pt idx="5">
                  <c:v>2</c:v>
                </c:pt>
                <c:pt idx="6">
                  <c:v>6</c:v>
                </c:pt>
                <c:pt idx="7">
                  <c:v>5</c:v>
                </c:pt>
                <c:pt idx="9">
                  <c:v>5</c:v>
                </c:pt>
                <c:pt idx="10">
                  <c:v>1</c:v>
                </c:pt>
                <c:pt idx="11">
                  <c:v>9</c:v>
                </c:pt>
                <c:pt idx="12">
                  <c:v>6</c:v>
                </c:pt>
                <c:pt idx="1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NO DISPONIBLE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0">
                  <c:v>6</c:v>
                </c:pt>
                <c:pt idx="1">
                  <c:v>1</c:v>
                </c:pt>
                <c:pt idx="2">
                  <c:v>8</c:v>
                </c:pt>
                <c:pt idx="3">
                  <c:v>7</c:v>
                </c:pt>
                <c:pt idx="4">
                  <c:v>1</c:v>
                </c:pt>
                <c:pt idx="5">
                  <c:v>7</c:v>
                </c:pt>
                <c:pt idx="6">
                  <c:v>2</c:v>
                </c:pt>
                <c:pt idx="7">
                  <c:v>2</c:v>
                </c:pt>
                <c:pt idx="8">
                  <c:v>9</c:v>
                </c:pt>
                <c:pt idx="9">
                  <c:v>2</c:v>
                </c:pt>
                <c:pt idx="10">
                  <c:v>6</c:v>
                </c:pt>
                <c:pt idx="11">
                  <c:v>1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ser>
          <c:idx val="3"/>
          <c:order val="3"/>
          <c:tx>
            <c:strRef>
              <c:f>GRAFICAS!$E$57:$E$58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2400" b="1">
                    <a:solidFill>
                      <a:sysClr val="windowText" lastClr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GRAFICAS!$E$59:$E$73</c:f>
              <c:numCache>
                <c:formatCode>General</c:formatCode>
                <c:ptCount val="14"/>
                <c:pt idx="1">
                  <c:v>3</c:v>
                </c:pt>
                <c:pt idx="2">
                  <c:v>2</c:v>
                </c:pt>
                <c:pt idx="6">
                  <c:v>1</c:v>
                </c:pt>
                <c:pt idx="7">
                  <c:v>1</c:v>
                </c:pt>
                <c:pt idx="9">
                  <c:v>2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5</c:v>
                </c:pt>
                <c:pt idx="1">
                  <c:v>7</c:v>
                </c:pt>
                <c:pt idx="2">
                  <c:v>1</c:v>
                </c:pt>
                <c:pt idx="4">
                  <c:v>6</c:v>
                </c:pt>
                <c:pt idx="6">
                  <c:v>1</c:v>
                </c:pt>
                <c:pt idx="7">
                  <c:v>5</c:v>
                </c:pt>
                <c:pt idx="8">
                  <c:v>2</c:v>
                </c:pt>
                <c:pt idx="9">
                  <c:v>5</c:v>
                </c:pt>
                <c:pt idx="10">
                  <c:v>4</c:v>
                </c:pt>
                <c:pt idx="11">
                  <c:v>1</c:v>
                </c:pt>
                <c:pt idx="12">
                  <c:v>8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1</c:v>
                </c:pt>
                <c:pt idx="2">
                  <c:v>4</c:v>
                </c:pt>
                <c:pt idx="3">
                  <c:v>7</c:v>
                </c:pt>
                <c:pt idx="4">
                  <c:v>1</c:v>
                </c:pt>
                <c:pt idx="5">
                  <c:v>9</c:v>
                </c:pt>
                <c:pt idx="6">
                  <c:v>2</c:v>
                </c:pt>
                <c:pt idx="7">
                  <c:v>1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8</c:v>
                </c:pt>
                <c:pt idx="1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1</c:v>
                </c:pt>
                <c:pt idx="1">
                  <c:v>1</c:v>
                </c:pt>
                <c:pt idx="2">
                  <c:v>6</c:v>
                </c:pt>
                <c:pt idx="4">
                  <c:v>1</c:v>
                </c:pt>
                <c:pt idx="6">
                  <c:v>6</c:v>
                </c:pt>
                <c:pt idx="7">
                  <c:v>2</c:v>
                </c:pt>
                <c:pt idx="8">
                  <c:v>4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ser>
          <c:idx val="3"/>
          <c:order val="3"/>
          <c:tx>
            <c:strRef>
              <c:f>GRAFICAS!$E$6:$E$7</c:f>
              <c:strCache>
                <c:ptCount val="1"/>
                <c:pt idx="0">
                  <c:v>NO DISPONIBLE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GRAFICAS!$E$8:$E$22</c:f>
              <c:numCache>
                <c:formatCode>General</c:formatCode>
                <c:ptCount val="14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423.024</c:v>
                </c:pt>
                <c:pt idx="2">
                  <c:v>257.14400000000001</c:v>
                </c:pt>
                <c:pt idx="3">
                  <c:v>461.07799999999997</c:v>
                </c:pt>
                <c:pt idx="5">
                  <c:v>351.32300000000004</c:v>
                </c:pt>
                <c:pt idx="6">
                  <c:v>479.87299999999993</c:v>
                </c:pt>
                <c:pt idx="8">
                  <c:v>358.82699999999994</c:v>
                </c:pt>
                <c:pt idx="9">
                  <c:v>726.70300000000009</c:v>
                </c:pt>
                <c:pt idx="11">
                  <c:v>384.82900000000001</c:v>
                </c:pt>
                <c:pt idx="13">
                  <c:v>226.447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404.30200000000002</c:v>
                </c:pt>
                <c:pt idx="2">
                  <c:v>165.02199999999999</c:v>
                </c:pt>
                <c:pt idx="4">
                  <c:v>274.67999999999995</c:v>
                </c:pt>
                <c:pt idx="7">
                  <c:v>636.64899999999989</c:v>
                </c:pt>
                <c:pt idx="10">
                  <c:v>266.94100000000003</c:v>
                </c:pt>
                <c:pt idx="11">
                  <c:v>45.506</c:v>
                </c:pt>
                <c:pt idx="12">
                  <c:v>431.863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79.614366087961" createdVersion="8" refreshedVersion="8" minRefreshableVersion="3" recordCount="126" xr:uid="{4743F9B8-9139-4DCD-A807-2514F242574C}">
  <cacheSource type="worksheet">
    <worksheetSource ref="A1:AF1048573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13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430" maxValue="12439"/>
    </cacheField>
    <cacheField name="Inicio Colombia" numFmtId="0">
      <sharedItems containsBlank="1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3" maxDate="1899-12-30T22:42:00"/>
    </cacheField>
    <cacheField name="Estado inicio" numFmtId="0">
      <sharedItems containsBlank="1" count="5">
        <s v="INICIO TARDÍO"/>
        <s v="INICIO CUMPLE"/>
        <s v="INICIO ANTES DEL HORARIO"/>
        <s v="NO DISPONIBLE"/>
        <m/>
      </sharedItems>
    </cacheField>
    <cacheField name="Fin Colombia" numFmtId="0">
      <sharedItems containsBlank="1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1T02:29:41"/>
    </cacheField>
    <cacheField name="Estado fin" numFmtId="0">
      <sharedItems containsBlank="1" count="5">
        <s v="FIN CUMPLE"/>
        <s v="TERMINÓ ANTES"/>
        <s v="TERMINÓ DESPUÉS"/>
        <s v="NO DISPONIBLE"/>
        <m/>
      </sharedItems>
    </cacheField>
    <cacheField name="Duración" numFmtId="0">
      <sharedItems containsDate="1" containsBlank="1" containsMixedTypes="1" minDate="1899-12-30T00:41:09" maxDate="1899-12-30T10:30:36"/>
    </cacheField>
    <cacheField name="Kilómetros" numFmtId="0">
      <sharedItems containsString="0" containsBlank="1" containsNumber="1" minValue="7.2619999999999996" maxValue="124.512"/>
    </cacheField>
    <cacheField name="Velocidad promedio (km/h)" numFmtId="0">
      <sharedItems containsString="0" containsBlank="1" containsNumber="1" minValue="1.71" maxValue="55.058999999999997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5:39:44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3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79.614367013892" createdVersion="8" refreshedVersion="8" minRefreshableVersion="3" recordCount="126" xr:uid="{FDEF9B37-15CF-42E8-BC5E-E1CE4649CF2B}">
  <cacheSource type="worksheet">
    <worksheetSource ref="A1:AM554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12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430" maxValue="12439"/>
    </cacheField>
    <cacheField name="Inicio Colombia" numFmtId="0">
      <sharedItems containsBlank="1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3" maxDate="1899-12-30T22:42:00"/>
    </cacheField>
    <cacheField name="Estado inicio" numFmtId="0">
      <sharedItems containsBlank="1"/>
    </cacheField>
    <cacheField name="Fin Colombia" numFmtId="0">
      <sharedItems containsBlank="1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1T02:29:41"/>
    </cacheField>
    <cacheField name="Estado fin" numFmtId="0">
      <sharedItems containsBlank="1"/>
    </cacheField>
    <cacheField name="Duración" numFmtId="0">
      <sharedItems containsDate="1" containsBlank="1" containsMixedTypes="1" minDate="1899-12-30T00:41:09" maxDate="1899-12-30T10:30:36"/>
    </cacheField>
    <cacheField name="Kilómetros" numFmtId="0">
      <sharedItems containsString="0" containsBlank="1" containsNumber="1" minValue="7.2619999999999996" maxValue="124.512"/>
    </cacheField>
    <cacheField name="Velocidad promedio (km/h)" numFmtId="0">
      <sharedItems containsString="0" containsBlank="1" containsNumber="1" minValue="1.71" maxValue="55.058999999999997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5:39:44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3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Blank="1" containsMixedTypes="1" containsNumber="1" minValue="6.1641009999999996" maxValue="6.3405149999999999"/>
    </cacheField>
    <cacheField name="Longitud inicio" numFmtId="0">
      <sharedItems containsBlank="1" containsMixedTypes="1" containsNumber="1" minValue="-75.637045999999998" maxValue="-75.539415000000005"/>
    </cacheField>
    <cacheField name="Coordenada fin recorrido" numFmtId="0">
      <sharedItems containsBlank="1"/>
    </cacheField>
    <cacheField name="Latitud fin" numFmtId="0">
      <sharedItems containsBlank="1" containsMixedTypes="1" containsNumber="1" minValue="6.196637" maxValue="6.3234539999999999"/>
    </cacheField>
    <cacheField name="Longitud fin" numFmtId="0">
      <sharedItems containsBlank="1" containsMixedTypes="1" containsNumber="1" minValue="-75.687256000000005" maxValue="-75.544776999999996"/>
    </cacheField>
    <cacheField name="Sumatoria de tiempo total sin recorrido" numFmtId="21">
      <sharedItems containsNonDate="0" containsDate="1" containsString="0" containsBlank="1" minDate="1899-12-30T00:00:00" maxDate="1899-12-31T02:29:41" count="72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1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1T02:29:41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1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1T02:29:41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1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1T02:29:41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1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1T02:29:41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1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6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m/>
    <s v="08:30:00"/>
    <m/>
    <x v="3"/>
    <m/>
    <s v="16:30"/>
    <m/>
    <x v="3"/>
    <m/>
    <n v="69.915000000000006"/>
    <m/>
    <m/>
    <m/>
    <m/>
    <m/>
    <m/>
    <m/>
    <m/>
    <m/>
    <m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m/>
    <s v="08:30"/>
    <m/>
    <x v="3"/>
    <m/>
    <s v="16:30"/>
    <m/>
    <x v="3"/>
    <s v="NO DISPONIBLE"/>
    <m/>
    <n v="55.058999999999997"/>
    <m/>
    <m/>
    <m/>
    <m/>
    <m/>
    <m/>
    <m/>
    <m/>
    <m/>
    <m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s v="07/09/2026 09:48:00"/>
    <s v="08:30"/>
    <d v="1899-12-30T22:42:00"/>
    <x v="2"/>
    <s v="07/09/2026 14:00:19"/>
    <s v="16:30"/>
    <d v="1899-12-31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m/>
    <m/>
    <m/>
    <x v="11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6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m/>
    <s v="08:30:00"/>
    <m/>
    <s v="NO DISPONIBLE"/>
    <m/>
    <s v="16:30"/>
    <m/>
    <s v="NO DISPONIBLE"/>
    <m/>
    <n v="69.915000000000006"/>
    <m/>
    <m/>
    <m/>
    <m/>
    <m/>
    <m/>
    <m/>
    <m/>
    <m/>
    <m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e v="#N/A"/>
    <e v="#N/A"/>
    <e v="#N/A"/>
    <e v="#N/A"/>
    <e v="#N/A"/>
    <e v="#N/A"/>
    <x v="4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m/>
    <s v="08:30"/>
    <m/>
    <s v="NO DISPONIBLE"/>
    <m/>
    <s v="16:30"/>
    <m/>
    <s v="NO DISPONIBLE"/>
    <s v="NO DISPONIBLE"/>
    <m/>
    <n v="55.058999999999997"/>
    <m/>
    <m/>
    <m/>
    <m/>
    <m/>
    <m/>
    <m/>
    <m/>
    <m/>
    <m/>
    <s v="REVISAR GPX SIN TIMESTAMP"/>
    <e v="#N/A"/>
    <e v="#N/A"/>
    <e v="#N/A"/>
    <e v="#N/A"/>
    <e v="#N/A"/>
    <e v="#N/A"/>
    <x v="4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s v="07/09/2026 09:48:00"/>
    <s v="08:30"/>
    <d v="1899-12-30T22:42:00"/>
    <s v="INICIO ANTES DEL HORARIO"/>
    <s v="07/09/2026 14:00:19"/>
    <s v="16:30"/>
    <d v="1899-12-31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m/>
    <m/>
    <m/>
    <x v="11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7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4">
        <item x="0"/>
        <item x="1"/>
        <item h="1" x="11"/>
        <item x="2"/>
        <item h="1" m="1" x="12"/>
        <item x="3"/>
        <item x="4"/>
        <item x="5"/>
        <item x="6"/>
        <item x="7"/>
        <item x="8"/>
        <item x="9"/>
        <item x="10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h="1" x="0"/>
        <item h="1" x="3"/>
        <item x="1"/>
        <item h="1" x="2"/>
        <item h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17">
      <pivotArea outline="0" collapsedLevelsAreSubtotals="1" fieldPosition="0"/>
    </format>
    <format dxfId="16">
      <pivotArea field="6" type="button" dataOnly="0" labelOnly="1" outline="0" axis="axisRow" fieldPosition="0"/>
    </format>
    <format dxfId="15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4">
      <pivotArea dataOnly="0" labelOnly="1" grandRow="1" outline="0" fieldPosition="0"/>
    </format>
    <format dxfId="13">
      <pivotArea dataOnly="0" labelOnly="1" fieldPosition="0">
        <references count="1">
          <reference field="17" count="0"/>
        </references>
      </pivotArea>
    </format>
    <format dxfId="12">
      <pivotArea dataOnly="0" labelOnly="1" grandCol="1" outline="0" fieldPosition="0"/>
    </format>
    <format dxfId="11">
      <pivotArea outline="0" collapsedLevelsAreSubtotals="1" fieldPosition="0"/>
    </format>
    <format dxfId="10">
      <pivotArea field="6" type="button" dataOnly="0" labelOnly="1" outline="0" axis="axisRow" fieldPosition="0"/>
    </format>
    <format dxfId="9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8">
      <pivotArea dataOnly="0" labelOnly="1" grandRow="1" outline="0" fieldPosition="0"/>
    </format>
    <format dxfId="7">
      <pivotArea dataOnly="0" labelOnly="1" fieldPosition="0">
        <references count="1">
          <reference field="17" count="0"/>
        </references>
      </pivotArea>
    </format>
    <format dxfId="6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14">
        <item x="0"/>
        <item x="1"/>
        <item h="1" x="11"/>
        <item x="2"/>
        <item h="1" m="1" x="12"/>
        <item x="3"/>
        <item x="4"/>
        <item x="5"/>
        <item x="6"/>
        <item x="7"/>
        <item x="8"/>
        <item x="9"/>
        <item x="10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27">
      <pivotArea outline="0" collapsedLevelsAreSubtotals="1" fieldPosition="0"/>
    </format>
    <format dxfId="26">
      <pivotArea field="6" type="button" dataOnly="0" labelOnly="1" outline="0" axis="axisRow" fieldPosition="0"/>
    </format>
    <format dxfId="25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4">
      <pivotArea dataOnly="0" labelOnly="1" grandRow="1" outline="0" fieldPosition="0"/>
    </format>
    <format dxfId="23">
      <pivotArea dataOnly="0" labelOnly="1" grandCol="1" outline="0" fieldPosition="0"/>
    </format>
    <format dxfId="22">
      <pivotArea outline="0" collapsedLevelsAreSubtotals="1" fieldPosition="0"/>
    </format>
    <format dxfId="21">
      <pivotArea field="6" type="button" dataOnly="0" labelOnly="1" outline="0" axis="axisRow" fieldPosition="0"/>
    </format>
    <format dxfId="2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9">
      <pivotArea dataOnly="0" labelOnly="1" grandRow="1" outline="0" fieldPosition="0"/>
    </format>
    <format dxfId="18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73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46"/>
        <item x="71"/>
        <item x="70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28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0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4">
        <item x="0"/>
        <item x="1"/>
        <item h="1" x="11"/>
        <item x="2"/>
        <item h="1" m="1" x="12"/>
        <item x="3"/>
        <item x="4"/>
        <item x="5"/>
        <item x="6"/>
        <item x="7"/>
        <item x="8"/>
        <item x="9"/>
        <item x="10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6">
        <item h="1" x="2"/>
        <item h="1" x="1"/>
        <item x="0"/>
        <item h="1" x="3"/>
        <item h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2">
    <i>
      <x/>
    </i>
    <i>
      <x v="1"/>
    </i>
    <i>
      <x v="2"/>
    </i>
    <i>
      <x v="4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grandCol="1" outline="0" fieldPosition="0"/>
    </format>
    <format dxfId="33">
      <pivotArea outline="0" collapsedLevelsAreSubtotals="1" fieldPosition="0"/>
    </format>
    <format dxfId="32">
      <pivotArea field="6" type="button" dataOnly="0" labelOnly="1" outline="0" axis="axisRow" fieldPosition="0"/>
    </format>
    <format dxfId="31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0">
      <pivotArea dataOnly="0" labelOnly="1" grandRow="1" outline="0" fieldPosition="0"/>
    </format>
    <format dxfId="29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F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4">
        <item x="0"/>
        <item x="1"/>
        <item h="1" x="11"/>
        <item x="2"/>
        <item h="1" m="1" x="12"/>
        <item x="3"/>
        <item x="4"/>
        <item x="5"/>
        <item x="6"/>
        <item x="7"/>
        <item x="8"/>
        <item x="9"/>
        <item x="10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0"/>
        <item x="3"/>
        <item x="1"/>
        <item x="2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5">
    <i>
      <x/>
    </i>
    <i>
      <x v="1"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4">
        <item x="0"/>
        <item x="1"/>
        <item h="1" x="11"/>
        <item x="2"/>
        <item h="1" m="1" x="12"/>
        <item x="3"/>
        <item x="4"/>
        <item x="5"/>
        <item x="6"/>
        <item x="7"/>
        <item x="8"/>
        <item x="9"/>
        <item x="10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F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4">
        <item x="0"/>
        <item x="1"/>
        <item h="1" x="11"/>
        <item x="2"/>
        <item h="1" m="1" x="12"/>
        <item x="3"/>
        <item x="4"/>
        <item x="5"/>
        <item x="6"/>
        <item x="7"/>
        <item x="8"/>
        <item x="9"/>
        <item x="10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5">
    <i>
      <x/>
    </i>
    <i>
      <x v="1"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73" totalsRowShown="0" headerRowDxfId="72" dataDxfId="71">
  <autoFilter ref="A1:AF1048573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A46" zoomScale="70" zoomScaleNormal="70" workbookViewId="0">
      <selection activeCell="K58" sqref="K58"/>
    </sheetView>
  </sheetViews>
  <sheetFormatPr baseColWidth="10" defaultRowHeight="15" x14ac:dyDescent="0.25"/>
  <cols>
    <col min="1" max="1" width="34.42578125" bestFit="1" customWidth="1"/>
    <col min="2" max="2" width="56.85546875" bestFit="1" customWidth="1"/>
    <col min="3" max="3" width="15" bestFit="1" customWidth="1"/>
    <col min="4" max="4" width="16.7109375" bestFit="1" customWidth="1"/>
    <col min="5" max="5" width="20.140625" bestFit="1" customWidth="1"/>
    <col min="6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6" x14ac:dyDescent="0.25">
      <c r="A3" s="5" t="s">
        <v>3</v>
      </c>
      <c r="B3" t="s">
        <v>268</v>
      </c>
    </row>
    <row r="4" spans="1:6" x14ac:dyDescent="0.25">
      <c r="A4" s="5" t="s">
        <v>4</v>
      </c>
      <c r="B4" t="s">
        <v>36</v>
      </c>
    </row>
    <row r="6" spans="1:6" x14ac:dyDescent="0.25">
      <c r="A6" s="5" t="s">
        <v>265</v>
      </c>
      <c r="B6" s="5" t="s">
        <v>266</v>
      </c>
    </row>
    <row r="7" spans="1:6" x14ac:dyDescent="0.25">
      <c r="A7" s="5" t="s">
        <v>263</v>
      </c>
      <c r="B7" t="s">
        <v>127</v>
      </c>
      <c r="C7" t="s">
        <v>65</v>
      </c>
      <c r="D7" t="s">
        <v>43</v>
      </c>
      <c r="E7" t="s">
        <v>260</v>
      </c>
      <c r="F7" t="s">
        <v>264</v>
      </c>
    </row>
    <row r="8" spans="1:6" x14ac:dyDescent="0.25">
      <c r="A8" s="6" t="s">
        <v>52</v>
      </c>
      <c r="B8">
        <v>5</v>
      </c>
      <c r="C8">
        <v>4</v>
      </c>
      <c r="D8">
        <v>1</v>
      </c>
      <c r="F8">
        <v>10</v>
      </c>
    </row>
    <row r="9" spans="1:6" x14ac:dyDescent="0.25">
      <c r="A9" s="6" t="s">
        <v>124</v>
      </c>
      <c r="B9">
        <v>7</v>
      </c>
      <c r="C9">
        <v>1</v>
      </c>
      <c r="D9">
        <v>1</v>
      </c>
      <c r="F9">
        <v>9</v>
      </c>
    </row>
    <row r="10" spans="1:6" x14ac:dyDescent="0.25">
      <c r="A10" s="6" t="s">
        <v>113</v>
      </c>
      <c r="B10">
        <v>1</v>
      </c>
      <c r="C10">
        <v>4</v>
      </c>
      <c r="D10">
        <v>6</v>
      </c>
      <c r="F10">
        <v>11</v>
      </c>
    </row>
    <row r="11" spans="1:6" x14ac:dyDescent="0.25">
      <c r="A11" s="6" t="s">
        <v>62</v>
      </c>
      <c r="C11">
        <v>7</v>
      </c>
      <c r="E11">
        <v>2</v>
      </c>
      <c r="F11">
        <v>9</v>
      </c>
    </row>
    <row r="12" spans="1:6" x14ac:dyDescent="0.25">
      <c r="A12" s="6" t="s">
        <v>135</v>
      </c>
      <c r="B12">
        <v>6</v>
      </c>
      <c r="C12">
        <v>1</v>
      </c>
      <c r="D12">
        <v>1</v>
      </c>
      <c r="F12">
        <v>8</v>
      </c>
    </row>
    <row r="13" spans="1:6" x14ac:dyDescent="0.25">
      <c r="A13" s="6" t="s">
        <v>97</v>
      </c>
      <c r="C13">
        <v>9</v>
      </c>
      <c r="F13">
        <v>9</v>
      </c>
    </row>
    <row r="14" spans="1:6" x14ac:dyDescent="0.25">
      <c r="A14" s="6" t="s">
        <v>38</v>
      </c>
      <c r="B14">
        <v>1</v>
      </c>
      <c r="C14">
        <v>2</v>
      </c>
      <c r="D14">
        <v>6</v>
      </c>
      <c r="F14">
        <v>9</v>
      </c>
    </row>
    <row r="15" spans="1:6" x14ac:dyDescent="0.25">
      <c r="A15" s="6" t="s">
        <v>144</v>
      </c>
      <c r="B15">
        <v>5</v>
      </c>
      <c r="C15">
        <v>1</v>
      </c>
      <c r="D15">
        <v>2</v>
      </c>
      <c r="F15">
        <v>8</v>
      </c>
    </row>
    <row r="16" spans="1:6" x14ac:dyDescent="0.25">
      <c r="A16" s="6" t="s">
        <v>72</v>
      </c>
      <c r="B16">
        <v>2</v>
      </c>
      <c r="C16">
        <v>3</v>
      </c>
      <c r="D16">
        <v>4</v>
      </c>
      <c r="F16">
        <v>9</v>
      </c>
    </row>
    <row r="17" spans="1:6" x14ac:dyDescent="0.25">
      <c r="A17" s="6" t="s">
        <v>89</v>
      </c>
      <c r="B17">
        <v>5</v>
      </c>
      <c r="C17">
        <v>2</v>
      </c>
      <c r="D17">
        <v>2</v>
      </c>
      <c r="F17">
        <v>9</v>
      </c>
    </row>
    <row r="18" spans="1:6" x14ac:dyDescent="0.25">
      <c r="A18" s="6" t="s">
        <v>152</v>
      </c>
      <c r="B18">
        <v>4</v>
      </c>
      <c r="C18">
        <v>2</v>
      </c>
      <c r="D18">
        <v>1</v>
      </c>
      <c r="F18">
        <v>7</v>
      </c>
    </row>
    <row r="19" spans="1:6" x14ac:dyDescent="0.25">
      <c r="A19" s="6" t="s">
        <v>80</v>
      </c>
      <c r="B19">
        <v>1</v>
      </c>
      <c r="C19">
        <v>8</v>
      </c>
      <c r="D19">
        <v>1</v>
      </c>
      <c r="F19">
        <v>10</v>
      </c>
    </row>
    <row r="20" spans="1:6" x14ac:dyDescent="0.25">
      <c r="A20" s="6" t="s">
        <v>160</v>
      </c>
      <c r="B20">
        <v>8</v>
      </c>
      <c r="F20">
        <v>8</v>
      </c>
    </row>
    <row r="21" spans="1:6" x14ac:dyDescent="0.25">
      <c r="A21" s="6" t="s">
        <v>105</v>
      </c>
      <c r="B21">
        <v>1</v>
      </c>
      <c r="C21">
        <v>3</v>
      </c>
      <c r="D21">
        <v>5</v>
      </c>
      <c r="F21">
        <v>9</v>
      </c>
    </row>
    <row r="22" spans="1:6" x14ac:dyDescent="0.25">
      <c r="A22" s="6" t="s">
        <v>264</v>
      </c>
      <c r="B22">
        <v>46</v>
      </c>
      <c r="C22">
        <v>47</v>
      </c>
      <c r="D22">
        <v>30</v>
      </c>
      <c r="E22">
        <v>2</v>
      </c>
      <c r="F22">
        <v>125</v>
      </c>
    </row>
    <row r="54" spans="1:6" x14ac:dyDescent="0.25">
      <c r="A54" s="5" t="s">
        <v>3</v>
      </c>
      <c r="B54" t="s">
        <v>268</v>
      </c>
    </row>
    <row r="55" spans="1:6" x14ac:dyDescent="0.25">
      <c r="A55" s="5" t="s">
        <v>4</v>
      </c>
      <c r="B55" t="s">
        <v>36</v>
      </c>
    </row>
    <row r="57" spans="1:6" x14ac:dyDescent="0.25">
      <c r="A57" s="5" t="s">
        <v>267</v>
      </c>
      <c r="B57" s="5" t="s">
        <v>266</v>
      </c>
    </row>
    <row r="58" spans="1:6" x14ac:dyDescent="0.25">
      <c r="A58" s="5" t="s">
        <v>263</v>
      </c>
      <c r="B58" t="s">
        <v>46</v>
      </c>
      <c r="C58" t="s">
        <v>260</v>
      </c>
      <c r="D58" t="s">
        <v>56</v>
      </c>
      <c r="E58" t="s">
        <v>129</v>
      </c>
      <c r="F58" t="s">
        <v>264</v>
      </c>
    </row>
    <row r="59" spans="1:6" x14ac:dyDescent="0.25">
      <c r="A59" s="6" t="s">
        <v>52</v>
      </c>
      <c r="B59">
        <v>4</v>
      </c>
      <c r="D59">
        <v>6</v>
      </c>
      <c r="F59">
        <v>10</v>
      </c>
    </row>
    <row r="60" spans="1:6" x14ac:dyDescent="0.25">
      <c r="A60" s="6" t="s">
        <v>124</v>
      </c>
      <c r="B60">
        <v>5</v>
      </c>
      <c r="D60">
        <v>1</v>
      </c>
      <c r="E60">
        <v>3</v>
      </c>
      <c r="F60">
        <v>9</v>
      </c>
    </row>
    <row r="61" spans="1:6" x14ac:dyDescent="0.25">
      <c r="A61" s="6" t="s">
        <v>113</v>
      </c>
      <c r="B61">
        <v>1</v>
      </c>
      <c r="D61">
        <v>8</v>
      </c>
      <c r="E61">
        <v>2</v>
      </c>
      <c r="F61">
        <v>11</v>
      </c>
    </row>
    <row r="62" spans="1:6" x14ac:dyDescent="0.25">
      <c r="A62" s="6" t="s">
        <v>62</v>
      </c>
      <c r="C62">
        <v>2</v>
      </c>
      <c r="D62">
        <v>7</v>
      </c>
      <c r="F62">
        <v>9</v>
      </c>
    </row>
    <row r="63" spans="1:6" x14ac:dyDescent="0.25">
      <c r="A63" s="6" t="s">
        <v>135</v>
      </c>
      <c r="B63">
        <v>7</v>
      </c>
      <c r="D63">
        <v>1</v>
      </c>
      <c r="F63">
        <v>8</v>
      </c>
    </row>
    <row r="64" spans="1:6" x14ac:dyDescent="0.25">
      <c r="A64" s="6" t="s">
        <v>97</v>
      </c>
      <c r="B64">
        <v>2</v>
      </c>
      <c r="D64">
        <v>7</v>
      </c>
      <c r="F64">
        <v>9</v>
      </c>
    </row>
    <row r="65" spans="1:6" x14ac:dyDescent="0.25">
      <c r="A65" s="6" t="s">
        <v>38</v>
      </c>
      <c r="B65">
        <v>6</v>
      </c>
      <c r="D65">
        <v>2</v>
      </c>
      <c r="E65">
        <v>1</v>
      </c>
      <c r="F65">
        <v>9</v>
      </c>
    </row>
    <row r="66" spans="1:6" x14ac:dyDescent="0.25">
      <c r="A66" s="6" t="s">
        <v>144</v>
      </c>
      <c r="B66">
        <v>5</v>
      </c>
      <c r="D66">
        <v>2</v>
      </c>
      <c r="E66">
        <v>1</v>
      </c>
      <c r="F66">
        <v>8</v>
      </c>
    </row>
    <row r="67" spans="1:6" x14ac:dyDescent="0.25">
      <c r="A67" s="6" t="s">
        <v>72</v>
      </c>
      <c r="D67">
        <v>9</v>
      </c>
      <c r="F67">
        <v>9</v>
      </c>
    </row>
    <row r="68" spans="1:6" x14ac:dyDescent="0.25">
      <c r="A68" s="6" t="s">
        <v>89</v>
      </c>
      <c r="B68">
        <v>5</v>
      </c>
      <c r="D68">
        <v>2</v>
      </c>
      <c r="E68">
        <v>2</v>
      </c>
      <c r="F68">
        <v>9</v>
      </c>
    </row>
    <row r="69" spans="1:6" x14ac:dyDescent="0.25">
      <c r="A69" s="6" t="s">
        <v>152</v>
      </c>
      <c r="B69">
        <v>1</v>
      </c>
      <c r="D69">
        <v>6</v>
      </c>
      <c r="F69">
        <v>7</v>
      </c>
    </row>
    <row r="70" spans="1:6" x14ac:dyDescent="0.25">
      <c r="A70" s="6" t="s">
        <v>80</v>
      </c>
      <c r="B70">
        <v>9</v>
      </c>
      <c r="D70">
        <v>1</v>
      </c>
      <c r="F70">
        <v>10</v>
      </c>
    </row>
    <row r="71" spans="1:6" x14ac:dyDescent="0.25">
      <c r="A71" s="6" t="s">
        <v>160</v>
      </c>
      <c r="B71">
        <v>6</v>
      </c>
      <c r="E71">
        <v>2</v>
      </c>
      <c r="F71">
        <v>8</v>
      </c>
    </row>
    <row r="72" spans="1:6" x14ac:dyDescent="0.25">
      <c r="A72" s="6" t="s">
        <v>105</v>
      </c>
      <c r="B72">
        <v>3</v>
      </c>
      <c r="D72">
        <v>6</v>
      </c>
      <c r="F72">
        <v>9</v>
      </c>
    </row>
    <row r="73" spans="1:6" x14ac:dyDescent="0.25">
      <c r="A73" s="6" t="s">
        <v>264</v>
      </c>
      <c r="B73">
        <v>54</v>
      </c>
      <c r="C73">
        <v>2</v>
      </c>
      <c r="D73">
        <v>58</v>
      </c>
      <c r="E73">
        <v>11</v>
      </c>
      <c r="F73">
        <v>125</v>
      </c>
    </row>
    <row r="104" spans="1:36" x14ac:dyDescent="0.25">
      <c r="A104" s="5" t="s">
        <v>3</v>
      </c>
      <c r="B104" t="s">
        <v>268</v>
      </c>
      <c r="K104" s="5" t="s">
        <v>3</v>
      </c>
      <c r="L104" t="s">
        <v>268</v>
      </c>
      <c r="W104" s="5" t="s">
        <v>3</v>
      </c>
      <c r="X104" t="s">
        <v>268</v>
      </c>
      <c r="AI104" s="5" t="s">
        <v>3</v>
      </c>
      <c r="AJ104" t="s">
        <v>268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269</v>
      </c>
      <c r="B107" s="5" t="s">
        <v>266</v>
      </c>
      <c r="K107" s="5" t="s">
        <v>267</v>
      </c>
      <c r="L107" s="5" t="s">
        <v>266</v>
      </c>
      <c r="W107" s="5" t="s">
        <v>265</v>
      </c>
      <c r="X107" s="5" t="s">
        <v>266</v>
      </c>
      <c r="AI107" s="20" t="s">
        <v>263</v>
      </c>
      <c r="AJ107" s="21" t="s">
        <v>1092</v>
      </c>
    </row>
    <row r="108" spans="1:36" ht="18" x14ac:dyDescent="0.25">
      <c r="A108" s="5" t="s">
        <v>263</v>
      </c>
      <c r="B108" t="s">
        <v>40</v>
      </c>
      <c r="C108" t="s">
        <v>115</v>
      </c>
      <c r="D108" t="s">
        <v>264</v>
      </c>
      <c r="K108" s="20" t="s">
        <v>263</v>
      </c>
      <c r="L108" s="21" t="s">
        <v>56</v>
      </c>
      <c r="M108" s="21" t="s">
        <v>264</v>
      </c>
      <c r="N108" s="21"/>
      <c r="O108" s="21"/>
      <c r="P108" s="21"/>
      <c r="W108" s="20" t="s">
        <v>263</v>
      </c>
      <c r="X108" t="s">
        <v>43</v>
      </c>
      <c r="Y108" s="21" t="s">
        <v>264</v>
      </c>
      <c r="AI108" s="22" t="s">
        <v>52</v>
      </c>
      <c r="AJ108" s="21">
        <v>10</v>
      </c>
    </row>
    <row r="109" spans="1:36" ht="18" x14ac:dyDescent="0.25">
      <c r="A109" s="6" t="s">
        <v>52</v>
      </c>
      <c r="B109">
        <v>423.024</v>
      </c>
      <c r="D109">
        <v>423.024</v>
      </c>
      <c r="K109" s="22" t="s">
        <v>52</v>
      </c>
      <c r="L109" s="21">
        <v>6</v>
      </c>
      <c r="M109" s="21">
        <v>6</v>
      </c>
      <c r="N109" s="21"/>
      <c r="O109" s="21"/>
      <c r="P109" s="21"/>
      <c r="W109" s="22" t="s">
        <v>52</v>
      </c>
      <c r="X109" s="21">
        <v>1</v>
      </c>
      <c r="Y109" s="21">
        <v>1</v>
      </c>
      <c r="AI109" s="22" t="s">
        <v>124</v>
      </c>
      <c r="AJ109" s="21">
        <v>9</v>
      </c>
    </row>
    <row r="110" spans="1:36" ht="18" x14ac:dyDescent="0.25">
      <c r="A110" s="6" t="s">
        <v>124</v>
      </c>
      <c r="C110">
        <v>404.30200000000002</v>
      </c>
      <c r="D110">
        <v>404.30200000000002</v>
      </c>
      <c r="K110" s="22" t="s">
        <v>124</v>
      </c>
      <c r="L110" s="21">
        <v>1</v>
      </c>
      <c r="M110" s="21">
        <v>1</v>
      </c>
      <c r="N110" s="21"/>
      <c r="O110" s="21"/>
      <c r="P110" s="21"/>
      <c r="W110" s="22" t="s">
        <v>124</v>
      </c>
      <c r="X110" s="21">
        <v>1</v>
      </c>
      <c r="Y110" s="21">
        <v>1</v>
      </c>
      <c r="AI110" s="22" t="s">
        <v>113</v>
      </c>
      <c r="AJ110" s="21">
        <v>11</v>
      </c>
    </row>
    <row r="111" spans="1:36" ht="18" x14ac:dyDescent="0.25">
      <c r="A111" s="6" t="s">
        <v>113</v>
      </c>
      <c r="B111">
        <v>257.14400000000001</v>
      </c>
      <c r="C111">
        <v>165.02199999999999</v>
      </c>
      <c r="D111">
        <v>422.166</v>
      </c>
      <c r="K111" s="22" t="s">
        <v>113</v>
      </c>
      <c r="L111" s="21">
        <v>8</v>
      </c>
      <c r="M111" s="21">
        <v>8</v>
      </c>
      <c r="N111" s="21"/>
      <c r="O111" s="21"/>
      <c r="P111" s="21"/>
      <c r="W111" s="22" t="s">
        <v>113</v>
      </c>
      <c r="X111" s="21">
        <v>6</v>
      </c>
      <c r="Y111" s="21">
        <v>6</v>
      </c>
      <c r="AI111" s="22" t="s">
        <v>62</v>
      </c>
      <c r="AJ111" s="21">
        <v>9</v>
      </c>
    </row>
    <row r="112" spans="1:36" ht="18" x14ac:dyDescent="0.25">
      <c r="A112" s="6" t="s">
        <v>62</v>
      </c>
      <c r="B112">
        <v>461.07799999999997</v>
      </c>
      <c r="D112">
        <v>461.07799999999997</v>
      </c>
      <c r="K112" s="22" t="s">
        <v>62</v>
      </c>
      <c r="L112" s="21">
        <v>7</v>
      </c>
      <c r="M112" s="21">
        <v>7</v>
      </c>
      <c r="N112" s="21"/>
      <c r="O112" s="21"/>
      <c r="P112" s="21"/>
      <c r="W112" s="22" t="s">
        <v>135</v>
      </c>
      <c r="X112" s="21">
        <v>1</v>
      </c>
      <c r="Y112" s="21">
        <v>1</v>
      </c>
      <c r="AI112" s="22" t="s">
        <v>135</v>
      </c>
      <c r="AJ112" s="21">
        <v>8</v>
      </c>
    </row>
    <row r="113" spans="1:36" ht="18" x14ac:dyDescent="0.25">
      <c r="A113" s="6" t="s">
        <v>135</v>
      </c>
      <c r="C113">
        <v>274.67999999999995</v>
      </c>
      <c r="D113">
        <v>274.67999999999995</v>
      </c>
      <c r="K113" s="22" t="s">
        <v>135</v>
      </c>
      <c r="L113" s="21">
        <v>1</v>
      </c>
      <c r="M113" s="21">
        <v>1</v>
      </c>
      <c r="N113" s="21"/>
      <c r="O113" s="21"/>
      <c r="P113" s="21"/>
      <c r="W113" s="22" t="s">
        <v>38</v>
      </c>
      <c r="X113" s="21">
        <v>6</v>
      </c>
      <c r="Y113" s="21">
        <v>6</v>
      </c>
      <c r="AI113" s="22" t="s">
        <v>97</v>
      </c>
      <c r="AJ113" s="21">
        <v>9</v>
      </c>
    </row>
    <row r="114" spans="1:36" ht="18" x14ac:dyDescent="0.25">
      <c r="A114" s="6" t="s">
        <v>97</v>
      </c>
      <c r="B114">
        <v>351.32300000000004</v>
      </c>
      <c r="D114">
        <v>351.32300000000004</v>
      </c>
      <c r="K114" s="22" t="s">
        <v>97</v>
      </c>
      <c r="L114" s="21">
        <v>7</v>
      </c>
      <c r="M114" s="21">
        <v>7</v>
      </c>
      <c r="N114" s="21"/>
      <c r="O114" s="21"/>
      <c r="P114" s="21"/>
      <c r="W114" s="22" t="s">
        <v>144</v>
      </c>
      <c r="X114" s="21">
        <v>2</v>
      </c>
      <c r="Y114" s="21">
        <v>2</v>
      </c>
      <c r="AI114" s="22" t="s">
        <v>38</v>
      </c>
      <c r="AJ114" s="21">
        <v>9</v>
      </c>
    </row>
    <row r="115" spans="1:36" ht="18" x14ac:dyDescent="0.25">
      <c r="A115" s="6" t="s">
        <v>38</v>
      </c>
      <c r="B115">
        <v>479.87299999999993</v>
      </c>
      <c r="D115">
        <v>479.87299999999993</v>
      </c>
      <c r="K115" s="22" t="s">
        <v>38</v>
      </c>
      <c r="L115" s="21">
        <v>2</v>
      </c>
      <c r="M115" s="21">
        <v>2</v>
      </c>
      <c r="N115" s="21"/>
      <c r="O115" s="21"/>
      <c r="P115" s="21"/>
      <c r="W115" s="22" t="s">
        <v>72</v>
      </c>
      <c r="X115" s="21">
        <v>4</v>
      </c>
      <c r="Y115" s="21">
        <v>4</v>
      </c>
      <c r="AI115" s="22" t="s">
        <v>144</v>
      </c>
      <c r="AJ115" s="21">
        <v>8</v>
      </c>
    </row>
    <row r="116" spans="1:36" ht="18" x14ac:dyDescent="0.25">
      <c r="A116" s="6" t="s">
        <v>144</v>
      </c>
      <c r="C116">
        <v>636.64899999999989</v>
      </c>
      <c r="D116">
        <v>636.64899999999989</v>
      </c>
      <c r="K116" s="22" t="s">
        <v>144</v>
      </c>
      <c r="L116" s="21">
        <v>2</v>
      </c>
      <c r="M116" s="21">
        <v>2</v>
      </c>
      <c r="N116" s="21"/>
      <c r="O116" s="21"/>
      <c r="P116" s="21"/>
      <c r="W116" s="22" t="s">
        <v>89</v>
      </c>
      <c r="X116" s="21">
        <v>2</v>
      </c>
      <c r="Y116" s="21">
        <v>2</v>
      </c>
      <c r="AI116" s="22" t="s">
        <v>72</v>
      </c>
      <c r="AJ116" s="21">
        <v>9</v>
      </c>
    </row>
    <row r="117" spans="1:36" ht="18" x14ac:dyDescent="0.25">
      <c r="A117" s="6" t="s">
        <v>72</v>
      </c>
      <c r="B117">
        <v>358.82699999999994</v>
      </c>
      <c r="D117">
        <v>358.82699999999994</v>
      </c>
      <c r="K117" s="22" t="s">
        <v>72</v>
      </c>
      <c r="L117" s="21">
        <v>9</v>
      </c>
      <c r="M117" s="21">
        <v>9</v>
      </c>
      <c r="N117" s="21"/>
      <c r="O117" s="21"/>
      <c r="P117" s="21"/>
      <c r="W117" s="22" t="s">
        <v>152</v>
      </c>
      <c r="X117" s="21">
        <v>1</v>
      </c>
      <c r="Y117" s="21">
        <v>1</v>
      </c>
      <c r="AI117" s="22" t="s">
        <v>89</v>
      </c>
      <c r="AJ117" s="21">
        <v>9</v>
      </c>
    </row>
    <row r="118" spans="1:36" ht="18" x14ac:dyDescent="0.25">
      <c r="A118" s="6" t="s">
        <v>89</v>
      </c>
      <c r="B118">
        <v>726.70300000000009</v>
      </c>
      <c r="D118">
        <v>726.70300000000009</v>
      </c>
      <c r="K118" s="22" t="s">
        <v>89</v>
      </c>
      <c r="L118" s="21">
        <v>2</v>
      </c>
      <c r="M118" s="21">
        <v>2</v>
      </c>
      <c r="N118" s="21"/>
      <c r="O118" s="21"/>
      <c r="P118" s="21"/>
      <c r="W118" s="22" t="s">
        <v>80</v>
      </c>
      <c r="X118" s="21">
        <v>1</v>
      </c>
      <c r="Y118" s="21">
        <v>1</v>
      </c>
      <c r="AI118" s="22" t="s">
        <v>152</v>
      </c>
      <c r="AJ118" s="21">
        <v>7</v>
      </c>
    </row>
    <row r="119" spans="1:36" ht="18" x14ac:dyDescent="0.25">
      <c r="A119" s="6" t="s">
        <v>152</v>
      </c>
      <c r="C119">
        <v>266.94100000000003</v>
      </c>
      <c r="D119">
        <v>266.94100000000003</v>
      </c>
      <c r="K119" s="22" t="s">
        <v>152</v>
      </c>
      <c r="L119" s="21">
        <v>6</v>
      </c>
      <c r="M119" s="21">
        <v>6</v>
      </c>
      <c r="N119" s="21"/>
      <c r="O119" s="21"/>
      <c r="P119" s="21"/>
      <c r="W119" s="22" t="s">
        <v>105</v>
      </c>
      <c r="X119" s="21">
        <v>5</v>
      </c>
      <c r="Y119" s="21">
        <v>5</v>
      </c>
      <c r="AI119" s="22" t="s">
        <v>80</v>
      </c>
      <c r="AJ119" s="21">
        <v>10</v>
      </c>
    </row>
    <row r="120" spans="1:36" ht="18" x14ac:dyDescent="0.25">
      <c r="A120" s="6" t="s">
        <v>80</v>
      </c>
      <c r="B120">
        <v>384.82900000000001</v>
      </c>
      <c r="C120">
        <v>45.506</v>
      </c>
      <c r="D120">
        <v>430.33500000000004</v>
      </c>
      <c r="K120" s="22" t="s">
        <v>80</v>
      </c>
      <c r="L120" s="21">
        <v>1</v>
      </c>
      <c r="M120" s="21">
        <v>1</v>
      </c>
      <c r="N120" s="21"/>
      <c r="O120" s="21"/>
      <c r="P120" s="21"/>
      <c r="W120" s="22" t="s">
        <v>264</v>
      </c>
      <c r="X120" s="21">
        <v>30</v>
      </c>
      <c r="Y120" s="21">
        <v>30</v>
      </c>
      <c r="AI120" s="6" t="s">
        <v>160</v>
      </c>
      <c r="AJ120" s="21">
        <v>8</v>
      </c>
    </row>
    <row r="121" spans="1:36" ht="18" x14ac:dyDescent="0.25">
      <c r="A121" s="6" t="s">
        <v>160</v>
      </c>
      <c r="C121">
        <v>431.863</v>
      </c>
      <c r="D121">
        <v>431.863</v>
      </c>
      <c r="K121" s="22" t="s">
        <v>105</v>
      </c>
      <c r="L121" s="21">
        <v>6</v>
      </c>
      <c r="M121" s="21">
        <v>6</v>
      </c>
      <c r="N121" s="21"/>
      <c r="O121" s="21"/>
      <c r="P121" s="21"/>
      <c r="AI121" s="22" t="s">
        <v>105</v>
      </c>
      <c r="AJ121" s="21">
        <v>9</v>
      </c>
    </row>
    <row r="122" spans="1:36" ht="18" x14ac:dyDescent="0.25">
      <c r="A122" s="6" t="s">
        <v>105</v>
      </c>
      <c r="B122">
        <v>226.447</v>
      </c>
      <c r="C122">
        <v>46.487000000000002</v>
      </c>
      <c r="D122">
        <v>272.93400000000003</v>
      </c>
      <c r="K122" s="22" t="s">
        <v>264</v>
      </c>
      <c r="L122" s="21">
        <v>58</v>
      </c>
      <c r="M122" s="21">
        <v>58</v>
      </c>
      <c r="N122" s="21"/>
      <c r="O122" s="21"/>
      <c r="P122" s="21"/>
      <c r="AI122" s="22" t="s">
        <v>264</v>
      </c>
      <c r="AJ122" s="21">
        <v>125</v>
      </c>
    </row>
    <row r="123" spans="1:36" ht="18" x14ac:dyDescent="0.25">
      <c r="A123" s="6" t="s">
        <v>264</v>
      </c>
      <c r="B123">
        <v>3669.248</v>
      </c>
      <c r="C123">
        <v>2271.4499999999998</v>
      </c>
      <c r="D123">
        <v>5940.6980000000003</v>
      </c>
      <c r="K123" s="21"/>
      <c r="L123" s="21"/>
      <c r="M123" s="21"/>
      <c r="N123" s="21"/>
      <c r="O123" s="21"/>
      <c r="P123" s="21"/>
    </row>
    <row r="166" spans="1:2" x14ac:dyDescent="0.25">
      <c r="A166" s="5" t="s">
        <v>3</v>
      </c>
      <c r="B166" t="s">
        <v>1089</v>
      </c>
    </row>
    <row r="167" spans="1:2" x14ac:dyDescent="0.25">
      <c r="A167" s="5" t="s">
        <v>4</v>
      </c>
      <c r="B167" t="s">
        <v>1089</v>
      </c>
    </row>
    <row r="169" spans="1:2" x14ac:dyDescent="0.25">
      <c r="A169" s="5" t="s">
        <v>263</v>
      </c>
      <c r="B169" t="s">
        <v>1091</v>
      </c>
    </row>
    <row r="170" spans="1:2" x14ac:dyDescent="0.25">
      <c r="A170" s="6" t="s">
        <v>52</v>
      </c>
      <c r="B170" s="23">
        <v>0.21459490740740739</v>
      </c>
    </row>
    <row r="171" spans="1:2" x14ac:dyDescent="0.25">
      <c r="A171" s="6" t="s">
        <v>124</v>
      </c>
      <c r="B171" s="23">
        <v>0.25193287037037038</v>
      </c>
    </row>
    <row r="172" spans="1:2" x14ac:dyDescent="0.25">
      <c r="A172" s="6" t="s">
        <v>113</v>
      </c>
      <c r="B172" s="23">
        <v>1.819988425925926</v>
      </c>
    </row>
    <row r="173" spans="1:2" x14ac:dyDescent="0.25">
      <c r="A173" s="6" t="s">
        <v>62</v>
      </c>
      <c r="B173" s="23">
        <v>0.5245023148148148</v>
      </c>
    </row>
    <row r="174" spans="1:2" x14ac:dyDescent="0.25">
      <c r="A174" s="6" t="s">
        <v>135</v>
      </c>
      <c r="B174" s="23">
        <v>2.6412037037037036E-2</v>
      </c>
    </row>
    <row r="175" spans="1:2" x14ac:dyDescent="0.25">
      <c r="A175" s="6" t="s">
        <v>97</v>
      </c>
      <c r="B175" s="23">
        <v>0.35018518518518521</v>
      </c>
    </row>
    <row r="176" spans="1:2" x14ac:dyDescent="0.25">
      <c r="A176" s="6" t="s">
        <v>38</v>
      </c>
      <c r="B176" s="23">
        <v>0.19193287037037038</v>
      </c>
    </row>
    <row r="177" spans="1:2" x14ac:dyDescent="0.25">
      <c r="A177" s="6" t="s">
        <v>144</v>
      </c>
      <c r="B177" s="23">
        <v>0.16253472222222221</v>
      </c>
    </row>
    <row r="178" spans="1:2" x14ac:dyDescent="0.25">
      <c r="A178" s="6" t="s">
        <v>72</v>
      </c>
      <c r="B178" s="23">
        <v>1.6799074074074076</v>
      </c>
    </row>
    <row r="179" spans="1:2" x14ac:dyDescent="0.25">
      <c r="A179" s="6" t="s">
        <v>89</v>
      </c>
      <c r="B179" s="23">
        <v>0.60583333333333322</v>
      </c>
    </row>
    <row r="180" spans="1:2" x14ac:dyDescent="0.25">
      <c r="A180" s="6" t="s">
        <v>152</v>
      </c>
      <c r="B180" s="23">
        <v>0.34309027777777779</v>
      </c>
    </row>
    <row r="181" spans="1:2" x14ac:dyDescent="0.25">
      <c r="A181" s="6" t="s">
        <v>80</v>
      </c>
      <c r="B181" s="23">
        <v>7.4293981481481475E-2</v>
      </c>
    </row>
    <row r="182" spans="1:2" x14ac:dyDescent="0.25">
      <c r="A182" s="6" t="s">
        <v>160</v>
      </c>
      <c r="B182" s="23">
        <v>0</v>
      </c>
    </row>
    <row r="183" spans="1:2" x14ac:dyDescent="0.25">
      <c r="A183" s="6" t="s">
        <v>105</v>
      </c>
      <c r="B183" s="23">
        <v>0.51296296296296295</v>
      </c>
    </row>
    <row r="184" spans="1:2" x14ac:dyDescent="0.25">
      <c r="A184" s="6" t="s">
        <v>1090</v>
      </c>
      <c r="B184" s="23"/>
    </row>
    <row r="185" spans="1:2" x14ac:dyDescent="0.25">
      <c r="A185" s="6" t="s">
        <v>264</v>
      </c>
      <c r="B185" s="23">
        <v>6.7581712962962959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A193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6" customWidth="1"/>
    <col min="2" max="2" width="11" style="26" customWidth="1"/>
    <col min="3" max="16384" width="9.140625" style="26"/>
  </cols>
  <sheetData>
    <row r="1" spans="1:2" ht="92.25" customHeight="1" x14ac:dyDescent="0.25">
      <c r="A1" s="26" t="s">
        <v>203</v>
      </c>
    </row>
    <row r="2" spans="1:2" x14ac:dyDescent="0.25">
      <c r="A2" s="26" t="s">
        <v>204</v>
      </c>
      <c r="B2" s="26" t="s">
        <v>205</v>
      </c>
    </row>
    <row r="4" spans="1:2" x14ac:dyDescent="0.25">
      <c r="A4" s="26" t="s">
        <v>206</v>
      </c>
      <c r="B4" s="26">
        <v>20</v>
      </c>
    </row>
    <row r="5" spans="1:2" x14ac:dyDescent="0.25">
      <c r="A5" s="26" t="s">
        <v>207</v>
      </c>
      <c r="B5" s="26">
        <v>0</v>
      </c>
    </row>
    <row r="6" spans="1:2" x14ac:dyDescent="0.25">
      <c r="A6" s="26" t="s">
        <v>208</v>
      </c>
      <c r="B6" s="26">
        <v>35</v>
      </c>
    </row>
    <row r="8" spans="1:2" x14ac:dyDescent="0.25">
      <c r="A8" s="26" t="s">
        <v>209</v>
      </c>
      <c r="B8" s="26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330"/>
  <sheetViews>
    <sheetView tabSelected="1" zoomScale="80" zoomScaleNormal="80" workbookViewId="0">
      <pane ySplit="1" topLeftCell="A170" activePane="bottomLeft" state="frozen"/>
      <selection pane="bottomLeft" activeCell="AN184" sqref="AN184"/>
    </sheetView>
  </sheetViews>
  <sheetFormatPr baseColWidth="10" defaultColWidth="9.140625" defaultRowHeight="14.25" x14ac:dyDescent="0.25"/>
  <cols>
    <col min="1" max="1" width="20" style="9" customWidth="1"/>
    <col min="2" max="2" width="28.140625" style="9" customWidth="1"/>
    <col min="3" max="3" width="17" style="9" customWidth="1"/>
    <col min="4" max="4" width="11" style="9" customWidth="1"/>
    <col min="5" max="5" width="12.140625" style="9" customWidth="1"/>
    <col min="6" max="6" width="11" style="9" customWidth="1"/>
    <col min="7" max="7" width="26.140625" style="9" customWidth="1"/>
    <col min="8" max="9" width="11" style="9" customWidth="1"/>
    <col min="10" max="10" width="15.140625" style="9" customWidth="1"/>
    <col min="11" max="11" width="24.85546875" style="9" customWidth="1"/>
    <col min="12" max="12" width="21.5703125" style="9" customWidth="1"/>
    <col min="13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30" customWidth="1"/>
    <col min="40" max="40" width="17.42578125" style="1" customWidth="1"/>
    <col min="41" max="42" width="9.140625" style="1"/>
    <col min="43" max="49" width="0" style="1" hidden="1" customWidth="1"/>
    <col min="50" max="50" width="9.140625" style="1"/>
    <col min="51" max="54" width="9.140625" style="31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561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615</v>
      </c>
      <c r="AH1" s="13" t="s">
        <v>616</v>
      </c>
      <c r="AI1" s="7" t="s">
        <v>617</v>
      </c>
      <c r="AJ1" s="16" t="s">
        <v>618</v>
      </c>
      <c r="AK1" s="7" t="s">
        <v>619</v>
      </c>
      <c r="AL1" s="24" t="s">
        <v>620</v>
      </c>
      <c r="AM1" s="27" t="s">
        <v>1088</v>
      </c>
      <c r="AN1" s="33" t="s">
        <v>1557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621</v>
      </c>
      <c r="AH2" s="14">
        <v>6.2049580000000004</v>
      </c>
      <c r="AI2" s="9">
        <v>-75.588588999999999</v>
      </c>
      <c r="AJ2" s="9" t="s">
        <v>622</v>
      </c>
      <c r="AK2" s="9">
        <v>6.2317770000000001</v>
      </c>
      <c r="AL2" s="19">
        <v>-75.597115000000002</v>
      </c>
      <c r="AM2" s="28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623</v>
      </c>
      <c r="AH3" s="14">
        <v>6.2311649999999998</v>
      </c>
      <c r="AI3" s="9">
        <v>-75.601382999999998</v>
      </c>
      <c r="AJ3" s="9" t="s">
        <v>624</v>
      </c>
      <c r="AK3" s="9">
        <v>6.196637</v>
      </c>
      <c r="AL3" s="19">
        <v>-75.594896000000006</v>
      </c>
      <c r="AM3" s="28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629</v>
      </c>
      <c r="AH4" s="14">
        <v>6.2251849999999997</v>
      </c>
      <c r="AI4" s="9">
        <v>-75.599536999999998</v>
      </c>
      <c r="AJ4" s="9" t="s">
        <v>630</v>
      </c>
      <c r="AK4" s="9">
        <v>6.2998750000000001</v>
      </c>
      <c r="AL4" s="19">
        <v>-75.579885000000004</v>
      </c>
      <c r="AM4" s="28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633</v>
      </c>
      <c r="AH5" s="14">
        <v>6.2250180000000004</v>
      </c>
      <c r="AI5" s="9">
        <v>-75.597339000000005</v>
      </c>
      <c r="AJ5" s="9" t="s">
        <v>634</v>
      </c>
      <c r="AK5" s="9">
        <v>6.2394579999999999</v>
      </c>
      <c r="AL5" s="19">
        <v>-75.561046000000005</v>
      </c>
      <c r="AM5" s="28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637</v>
      </c>
      <c r="AH6" s="14">
        <v>6.2256140000000002</v>
      </c>
      <c r="AI6" s="9">
        <v>-75.599107000000004</v>
      </c>
      <c r="AJ6" s="9" t="s">
        <v>638</v>
      </c>
      <c r="AK6" s="9">
        <v>6.2592569999999998</v>
      </c>
      <c r="AL6" s="19">
        <v>-75.620980000000003</v>
      </c>
      <c r="AM6" s="28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641</v>
      </c>
      <c r="AH7" s="14">
        <v>6.3405149999999999</v>
      </c>
      <c r="AI7" s="9">
        <v>-75.539415000000005</v>
      </c>
      <c r="AJ7" s="9" t="s">
        <v>642</v>
      </c>
      <c r="AK7" s="9">
        <v>6.3087530000000003</v>
      </c>
      <c r="AL7" s="19">
        <v>-75.559876000000003</v>
      </c>
      <c r="AM7" s="28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645</v>
      </c>
      <c r="AH8" s="14">
        <v>6.2257040000000003</v>
      </c>
      <c r="AI8" s="9">
        <v>-75.599072000000007</v>
      </c>
      <c r="AJ8" s="9" t="s">
        <v>646</v>
      </c>
      <c r="AK8" s="9">
        <v>6.2948180000000002</v>
      </c>
      <c r="AL8" s="19">
        <v>-75.582283000000004</v>
      </c>
      <c r="AM8" s="28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647</v>
      </c>
      <c r="AH9" s="14">
        <v>6.2257230000000003</v>
      </c>
      <c r="AI9" s="9">
        <v>-75.599062000000004</v>
      </c>
      <c r="AJ9" s="9" t="s">
        <v>648</v>
      </c>
      <c r="AK9" s="9">
        <v>6.2255029999999998</v>
      </c>
      <c r="AL9" s="19">
        <v>-75.599205999999995</v>
      </c>
      <c r="AM9" s="28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625</v>
      </c>
      <c r="AH10" s="14">
        <v>6.2378520000000002</v>
      </c>
      <c r="AI10" s="9">
        <v>-75.608054999999993</v>
      </c>
      <c r="AJ10" s="9" t="s">
        <v>626</v>
      </c>
      <c r="AK10" s="9">
        <v>6.2549440000000001</v>
      </c>
      <c r="AL10" s="19">
        <v>-75.613510000000005</v>
      </c>
      <c r="AM10" s="28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627</v>
      </c>
      <c r="AH11" s="14">
        <v>6.2261930000000003</v>
      </c>
      <c r="AI11" s="9">
        <v>-75.599278999999996</v>
      </c>
      <c r="AJ11" s="9" t="s">
        <v>628</v>
      </c>
      <c r="AK11" s="9">
        <v>6.2727040000000001</v>
      </c>
      <c r="AL11" s="19">
        <v>-75.602023000000003</v>
      </c>
      <c r="AM11" s="28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631</v>
      </c>
      <c r="AH12" s="14">
        <v>6.2161799999999996</v>
      </c>
      <c r="AI12" s="9">
        <v>-75.600252999999995</v>
      </c>
      <c r="AJ12" s="9" t="s">
        <v>632</v>
      </c>
      <c r="AK12" s="9">
        <v>6.2342769999999996</v>
      </c>
      <c r="AL12" s="19">
        <v>-75.572151000000005</v>
      </c>
      <c r="AM12" s="28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635</v>
      </c>
      <c r="AH13" s="14">
        <v>6.2267570000000001</v>
      </c>
      <c r="AI13" s="9">
        <v>-75.599271000000002</v>
      </c>
      <c r="AJ13" s="9" t="s">
        <v>636</v>
      </c>
      <c r="AK13" s="9">
        <v>6.3234539999999999</v>
      </c>
      <c r="AL13" s="19">
        <v>-75.687256000000005</v>
      </c>
      <c r="AM13" s="28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639</v>
      </c>
      <c r="AH14" s="14">
        <v>6.2268319999999999</v>
      </c>
      <c r="AI14" s="9">
        <v>-75.599738000000002</v>
      </c>
      <c r="AJ14" s="9" t="s">
        <v>640</v>
      </c>
      <c r="AK14" s="9">
        <v>6.3080499999999997</v>
      </c>
      <c r="AL14" s="19">
        <v>-75.571286999999998</v>
      </c>
      <c r="AM14" s="28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643</v>
      </c>
      <c r="AH15" s="14">
        <v>6.229698</v>
      </c>
      <c r="AI15" s="9">
        <v>-75.596121999999994</v>
      </c>
      <c r="AJ15" s="9" t="s">
        <v>644</v>
      </c>
      <c r="AK15" s="9">
        <v>6.2684920000000002</v>
      </c>
      <c r="AL15" s="19">
        <v>-75.599203000000003</v>
      </c>
      <c r="AM15" s="28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649</v>
      </c>
      <c r="AH16" s="14">
        <v>6.2033170000000002</v>
      </c>
      <c r="AI16" s="9">
        <v>-75.600712999999999</v>
      </c>
      <c r="AJ16" s="9" t="s">
        <v>650</v>
      </c>
      <c r="AK16" s="9">
        <v>6.221597</v>
      </c>
      <c r="AL16" s="19">
        <v>-75.59384</v>
      </c>
      <c r="AM16" s="28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651</v>
      </c>
      <c r="AH17" s="14">
        <v>6.2254310000000004</v>
      </c>
      <c r="AI17" s="9">
        <v>-75.599253000000004</v>
      </c>
      <c r="AJ17" s="9" t="s">
        <v>652</v>
      </c>
      <c r="AK17" s="9">
        <v>6.2563789999999999</v>
      </c>
      <c r="AL17" s="19">
        <v>-75.616522000000003</v>
      </c>
      <c r="AM17" s="28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659</v>
      </c>
      <c r="AH18" s="14">
        <v>6.2254959999999997</v>
      </c>
      <c r="AI18" s="9">
        <v>-75.599254000000002</v>
      </c>
      <c r="AJ18" s="9" t="s">
        <v>660</v>
      </c>
      <c r="AK18" s="9">
        <v>6.2468139999999996</v>
      </c>
      <c r="AL18" s="19">
        <v>-75.564496000000005</v>
      </c>
      <c r="AM18" s="28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663</v>
      </c>
      <c r="AH19" s="14">
        <v>6.2251799999999999</v>
      </c>
      <c r="AI19" s="9">
        <v>-75.599445000000003</v>
      </c>
      <c r="AJ19" s="9" t="s">
        <v>664</v>
      </c>
      <c r="AK19" s="9">
        <v>6.2592369999999997</v>
      </c>
      <c r="AL19" s="19">
        <v>-75.620937999999995</v>
      </c>
      <c r="AM19" s="28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667</v>
      </c>
      <c r="AH20" s="14">
        <v>6.2264600000000003</v>
      </c>
      <c r="AI20" s="9">
        <v>-75.599228999999994</v>
      </c>
      <c r="AJ20" s="9" t="s">
        <v>668</v>
      </c>
      <c r="AK20" s="9">
        <v>6.3089069999999996</v>
      </c>
      <c r="AL20" s="19">
        <v>-75.559781999999998</v>
      </c>
      <c r="AM20" s="28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671</v>
      </c>
      <c r="AH21" s="14">
        <v>6.2291800000000004</v>
      </c>
      <c r="AI21" s="9">
        <v>-75.596322000000001</v>
      </c>
      <c r="AJ21" s="9" t="s">
        <v>672</v>
      </c>
      <c r="AK21" s="9">
        <v>6.308344</v>
      </c>
      <c r="AL21" s="19">
        <v>-75.576536000000004</v>
      </c>
      <c r="AM21" s="28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2">
        <v>46267.353692129633</v>
      </c>
      <c r="L22" s="11" t="s">
        <v>259</v>
      </c>
      <c r="M22" s="10">
        <v>4.7453703703703698E-4</v>
      </c>
      <c r="N22" s="9" t="s">
        <v>65</v>
      </c>
      <c r="O22" s="32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261</v>
      </c>
      <c r="AF22" s="11" t="s">
        <v>262</v>
      </c>
      <c r="AG22" s="14" t="s">
        <v>629</v>
      </c>
      <c r="AH22" s="14">
        <v>6.2251849999999997</v>
      </c>
      <c r="AI22" s="9">
        <v>-75.599536999999998</v>
      </c>
      <c r="AJ22" s="9" t="s">
        <v>630</v>
      </c>
      <c r="AK22" s="9">
        <v>6.2998750000000001</v>
      </c>
      <c r="AL22" s="19">
        <v>-75.579885000000004</v>
      </c>
      <c r="AM22" s="28">
        <f t="shared" si="0"/>
        <v>7.3657407407407408E-2</v>
      </c>
      <c r="AN22" s="9"/>
    </row>
    <row r="23" spans="1:40" ht="15" x14ac:dyDescent="0.25">
      <c r="A23" s="9" t="s">
        <v>270</v>
      </c>
      <c r="B23" s="9" t="s">
        <v>271</v>
      </c>
      <c r="C23" s="9" t="s">
        <v>272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273</v>
      </c>
      <c r="L23" s="9" t="s">
        <v>42</v>
      </c>
      <c r="M23" s="10">
        <v>5.4513888888888893E-3</v>
      </c>
      <c r="N23" s="9" t="s">
        <v>65</v>
      </c>
      <c r="O23" s="9" t="s">
        <v>274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275</v>
      </c>
      <c r="AG23" s="14" t="s">
        <v>673</v>
      </c>
      <c r="AH23" s="14">
        <v>6.2311730000000001</v>
      </c>
      <c r="AI23" s="9">
        <v>-75.598545999999999</v>
      </c>
      <c r="AJ23" s="9" t="s">
        <v>674</v>
      </c>
      <c r="AK23" s="9">
        <v>6.225498</v>
      </c>
      <c r="AL23" s="19">
        <v>-75.599266999999998</v>
      </c>
      <c r="AM23" s="28">
        <f t="shared" si="0"/>
        <v>1.5821759259259261E-2</v>
      </c>
      <c r="AN23" s="9"/>
    </row>
    <row r="24" spans="1:40" ht="15" x14ac:dyDescent="0.25">
      <c r="A24" s="9" t="s">
        <v>276</v>
      </c>
      <c r="B24" s="9" t="s">
        <v>277</v>
      </c>
      <c r="C24" s="9" t="s">
        <v>278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279</v>
      </c>
      <c r="L24" s="9" t="s">
        <v>117</v>
      </c>
      <c r="M24" s="10">
        <v>8.2523148148148148E-3</v>
      </c>
      <c r="N24" s="9" t="s">
        <v>65</v>
      </c>
      <c r="O24" s="9" t="s">
        <v>280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281</v>
      </c>
      <c r="AG24" s="14" t="s">
        <v>653</v>
      </c>
      <c r="AH24" s="14">
        <v>6.1641009999999996</v>
      </c>
      <c r="AI24" s="9">
        <v>-75.615692999999993</v>
      </c>
      <c r="AJ24" s="9" t="s">
        <v>654</v>
      </c>
      <c r="AK24" s="9">
        <v>6.2456750000000003</v>
      </c>
      <c r="AL24" s="19">
        <v>-75.621076000000002</v>
      </c>
      <c r="AM24" s="28">
        <f t="shared" si="0"/>
        <v>7.0451388888888883E-2</v>
      </c>
      <c r="AN24" s="9"/>
    </row>
    <row r="25" spans="1:40" ht="15" x14ac:dyDescent="0.25">
      <c r="A25" s="9" t="s">
        <v>282</v>
      </c>
      <c r="B25" s="9" t="s">
        <v>283</v>
      </c>
      <c r="C25" s="9" t="s">
        <v>284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285</v>
      </c>
      <c r="L25" s="9" t="s">
        <v>117</v>
      </c>
      <c r="M25" s="10">
        <v>2.7430555555555559E-2</v>
      </c>
      <c r="N25" s="9" t="s">
        <v>127</v>
      </c>
      <c r="O25" s="9" t="s">
        <v>286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287</v>
      </c>
      <c r="AG25" s="14" t="s">
        <v>655</v>
      </c>
      <c r="AH25" s="14">
        <v>6.2265430000000004</v>
      </c>
      <c r="AI25" s="9">
        <v>-75.599318999999994</v>
      </c>
      <c r="AJ25" s="9" t="s">
        <v>656</v>
      </c>
      <c r="AK25" s="9">
        <v>6.2726360000000003</v>
      </c>
      <c r="AL25" s="19">
        <v>-75.602001999999999</v>
      </c>
      <c r="AM25" s="28">
        <f t="shared" si="0"/>
        <v>0</v>
      </c>
      <c r="AN25" s="9"/>
    </row>
    <row r="26" spans="1:40" ht="15" x14ac:dyDescent="0.25">
      <c r="A26" s="9" t="s">
        <v>288</v>
      </c>
      <c r="B26" s="9" t="s">
        <v>289</v>
      </c>
      <c r="C26" s="9" t="s">
        <v>290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291</v>
      </c>
      <c r="L26" s="9" t="s">
        <v>117</v>
      </c>
      <c r="M26" s="10">
        <v>6.2152777777777779E-3</v>
      </c>
      <c r="N26" s="9" t="s">
        <v>65</v>
      </c>
      <c r="O26" s="9" t="s">
        <v>292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293</v>
      </c>
      <c r="AG26" s="14" t="s">
        <v>657</v>
      </c>
      <c r="AH26" s="14">
        <v>6.2516999999999996</v>
      </c>
      <c r="AI26" s="9">
        <v>-75.620225000000005</v>
      </c>
      <c r="AJ26" s="9" t="s">
        <v>658</v>
      </c>
      <c r="AK26" s="9">
        <v>6.268078</v>
      </c>
      <c r="AL26" s="19">
        <v>-75.591665000000006</v>
      </c>
      <c r="AM26" s="28">
        <f t="shared" si="0"/>
        <v>0</v>
      </c>
      <c r="AN26" s="9"/>
    </row>
    <row r="27" spans="1:40" ht="15" x14ac:dyDescent="0.25">
      <c r="A27" s="9" t="s">
        <v>294</v>
      </c>
      <c r="B27" s="9" t="s">
        <v>295</v>
      </c>
      <c r="C27" s="9" t="s">
        <v>296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297</v>
      </c>
      <c r="L27" s="9" t="s">
        <v>117</v>
      </c>
      <c r="M27" s="10">
        <v>7.8113425925925919E-2</v>
      </c>
      <c r="N27" s="9" t="s">
        <v>43</v>
      </c>
      <c r="O27" s="9" t="s">
        <v>298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299</v>
      </c>
      <c r="AG27" s="14" t="s">
        <v>661</v>
      </c>
      <c r="AH27" s="14">
        <v>6.272634</v>
      </c>
      <c r="AI27" s="9">
        <v>-75.573853</v>
      </c>
      <c r="AJ27" s="9" t="s">
        <v>662</v>
      </c>
      <c r="AK27" s="9">
        <v>6.272805</v>
      </c>
      <c r="AL27" s="19">
        <v>-75.574417999999994</v>
      </c>
      <c r="AM27" s="28">
        <f t="shared" si="0"/>
        <v>9.5347222222222222E-2</v>
      </c>
      <c r="AN27" s="9"/>
    </row>
    <row r="28" spans="1:40" ht="15" x14ac:dyDescent="0.25">
      <c r="A28" s="9" t="s">
        <v>300</v>
      </c>
      <c r="B28" s="9" t="s">
        <v>301</v>
      </c>
      <c r="C28" s="9" t="s">
        <v>302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303</v>
      </c>
      <c r="L28" s="9" t="s">
        <v>117</v>
      </c>
      <c r="M28" s="10">
        <v>3.7534722222222219E-2</v>
      </c>
      <c r="N28" s="9" t="s">
        <v>127</v>
      </c>
      <c r="O28" s="9" t="s">
        <v>304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305</v>
      </c>
      <c r="AG28" s="14" t="s">
        <v>665</v>
      </c>
      <c r="AH28" s="14">
        <v>6.2269129999999997</v>
      </c>
      <c r="AI28" s="9">
        <v>-75.599711999999997</v>
      </c>
      <c r="AJ28" s="9" t="s">
        <v>666</v>
      </c>
      <c r="AK28" s="9">
        <v>6.2920199999999999</v>
      </c>
      <c r="AL28" s="19">
        <v>-75.569181999999998</v>
      </c>
      <c r="AM28" s="28">
        <f t="shared" si="0"/>
        <v>8.1585648148148143E-2</v>
      </c>
      <c r="AN28" s="9"/>
    </row>
    <row r="29" spans="1:40" ht="15" x14ac:dyDescent="0.25">
      <c r="A29" s="9" t="s">
        <v>306</v>
      </c>
      <c r="B29" s="9" t="s">
        <v>307</v>
      </c>
      <c r="C29" s="9" t="s">
        <v>308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309</v>
      </c>
      <c r="L29" s="9" t="s">
        <v>117</v>
      </c>
      <c r="M29" s="10">
        <v>1.5827546296296301E-2</v>
      </c>
      <c r="N29" s="9" t="s">
        <v>127</v>
      </c>
      <c r="O29" s="9" t="s">
        <v>310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311</v>
      </c>
      <c r="AG29" s="14" t="s">
        <v>669</v>
      </c>
      <c r="AH29" s="14">
        <v>6.2266430000000001</v>
      </c>
      <c r="AI29" s="9">
        <v>-75.599171999999996</v>
      </c>
      <c r="AJ29" s="9" t="s">
        <v>670</v>
      </c>
      <c r="AK29" s="9">
        <v>6.2684899999999999</v>
      </c>
      <c r="AL29" s="19">
        <v>-75.599357999999995</v>
      </c>
      <c r="AM29" s="28">
        <f t="shared" si="0"/>
        <v>0</v>
      </c>
      <c r="AN29" s="9"/>
    </row>
    <row r="30" spans="1:40" ht="15" x14ac:dyDescent="0.25">
      <c r="A30" s="9" t="s">
        <v>312</v>
      </c>
      <c r="B30" s="9" t="s">
        <v>313</v>
      </c>
      <c r="C30" s="9" t="s">
        <v>314</v>
      </c>
      <c r="D30" s="9" t="s">
        <v>315</v>
      </c>
      <c r="E30" s="9" t="s">
        <v>36</v>
      </c>
      <c r="F30" s="9" t="s">
        <v>316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317</v>
      </c>
      <c r="L30" s="9" t="s">
        <v>42</v>
      </c>
      <c r="M30" s="10">
        <v>1.5865347222222222E-2</v>
      </c>
      <c r="N30" s="9" t="s">
        <v>43</v>
      </c>
      <c r="O30" s="9" t="s">
        <v>318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319</v>
      </c>
      <c r="AG30" s="14" t="s">
        <v>675</v>
      </c>
      <c r="AH30" s="14">
        <v>6.2160060000000001</v>
      </c>
      <c r="AI30" s="9">
        <v>-75.597631000000007</v>
      </c>
      <c r="AJ30" s="9" t="s">
        <v>676</v>
      </c>
      <c r="AK30" s="9">
        <v>6.2217310000000001</v>
      </c>
      <c r="AL30" s="19">
        <v>-75.593853999999993</v>
      </c>
      <c r="AM30" s="28">
        <f t="shared" si="0"/>
        <v>1.5865347222222222E-2</v>
      </c>
      <c r="AN30" s="9"/>
    </row>
    <row r="31" spans="1:40" ht="15" x14ac:dyDescent="0.25">
      <c r="A31" s="9" t="s">
        <v>320</v>
      </c>
      <c r="B31" s="9" t="s">
        <v>321</v>
      </c>
      <c r="C31" s="9" t="s">
        <v>322</v>
      </c>
      <c r="D31" s="9" t="s">
        <v>315</v>
      </c>
      <c r="E31" s="9" t="s">
        <v>36</v>
      </c>
      <c r="F31" s="9" t="s">
        <v>316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323</v>
      </c>
      <c r="L31" s="9" t="s">
        <v>42</v>
      </c>
      <c r="M31" s="10">
        <v>8.8425925925925929E-3</v>
      </c>
      <c r="N31" s="9" t="s">
        <v>65</v>
      </c>
      <c r="O31" s="9" t="s">
        <v>324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325</v>
      </c>
      <c r="AG31" s="14" t="s">
        <v>677</v>
      </c>
      <c r="AH31" s="14">
        <v>6.23834</v>
      </c>
      <c r="AI31" s="9">
        <v>-75.602986000000001</v>
      </c>
      <c r="AJ31" s="9" t="s">
        <v>678</v>
      </c>
      <c r="AK31" s="9">
        <v>6.2478249999999997</v>
      </c>
      <c r="AL31" s="19">
        <v>-75.615007000000006</v>
      </c>
      <c r="AM31" s="28">
        <f t="shared" si="0"/>
        <v>0</v>
      </c>
      <c r="AN31" s="9"/>
    </row>
    <row r="32" spans="1:40" ht="15" x14ac:dyDescent="0.25">
      <c r="A32" s="9" t="s">
        <v>326</v>
      </c>
      <c r="B32" s="9" t="s">
        <v>363</v>
      </c>
      <c r="C32" s="9" t="s">
        <v>327</v>
      </c>
      <c r="D32" s="9" t="s">
        <v>315</v>
      </c>
      <c r="E32" s="9" t="s">
        <v>36</v>
      </c>
      <c r="F32" s="9" t="s">
        <v>316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328</v>
      </c>
      <c r="L32" s="9" t="s">
        <v>42</v>
      </c>
      <c r="M32" s="10">
        <v>1.2442129629629629E-2</v>
      </c>
      <c r="N32" s="9" t="s">
        <v>127</v>
      </c>
      <c r="O32" s="9" t="s">
        <v>329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364</v>
      </c>
      <c r="AG32" s="14" t="s">
        <v>686</v>
      </c>
      <c r="AH32" s="14">
        <v>6.2257069999999999</v>
      </c>
      <c r="AI32" s="9">
        <v>-75.599096000000003</v>
      </c>
      <c r="AJ32" s="9" t="s">
        <v>687</v>
      </c>
      <c r="AK32" s="9">
        <v>6.2432730000000003</v>
      </c>
      <c r="AL32" s="19">
        <v>-75.561981000000003</v>
      </c>
      <c r="AM32" s="28">
        <f t="shared" si="0"/>
        <v>0.15590277777777781</v>
      </c>
      <c r="AN32" s="9"/>
    </row>
    <row r="33" spans="1:40" ht="15" x14ac:dyDescent="0.25">
      <c r="A33" s="9" t="s">
        <v>330</v>
      </c>
      <c r="B33" s="9" t="s">
        <v>331</v>
      </c>
      <c r="C33" s="9" t="s">
        <v>332</v>
      </c>
      <c r="D33" s="9" t="s">
        <v>315</v>
      </c>
      <c r="E33" s="9" t="s">
        <v>36</v>
      </c>
      <c r="F33" s="9" t="s">
        <v>316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333</v>
      </c>
      <c r="L33" s="9" t="s">
        <v>42</v>
      </c>
      <c r="M33" s="10">
        <v>9.8155092592592586E-4</v>
      </c>
      <c r="N33" s="9" t="s">
        <v>65</v>
      </c>
      <c r="O33" s="9" t="s">
        <v>334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335</v>
      </c>
      <c r="AG33" s="14" t="s">
        <v>690</v>
      </c>
      <c r="AH33" s="14">
        <v>6.2330269999999999</v>
      </c>
      <c r="AI33" s="9">
        <v>-75.602300999999997</v>
      </c>
      <c r="AJ33" s="9" t="s">
        <v>691</v>
      </c>
      <c r="AK33" s="9">
        <v>6.2592590000000001</v>
      </c>
      <c r="AL33" s="19">
        <v>-75.620960999999994</v>
      </c>
      <c r="AM33" s="28">
        <f t="shared" si="0"/>
        <v>0</v>
      </c>
      <c r="AN33" s="9"/>
    </row>
    <row r="34" spans="1:40" ht="15" x14ac:dyDescent="0.25">
      <c r="A34" s="9" t="s">
        <v>336</v>
      </c>
      <c r="B34" s="9" t="s">
        <v>337</v>
      </c>
      <c r="C34" s="9" t="s">
        <v>338</v>
      </c>
      <c r="D34" s="9" t="s">
        <v>315</v>
      </c>
      <c r="E34" s="9" t="s">
        <v>36</v>
      </c>
      <c r="F34" s="9" t="s">
        <v>316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339</v>
      </c>
      <c r="L34" s="9" t="s">
        <v>117</v>
      </c>
      <c r="M34" s="10">
        <v>0.1814236111111111</v>
      </c>
      <c r="N34" s="9" t="s">
        <v>127</v>
      </c>
      <c r="O34" s="9" t="s">
        <v>340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341</v>
      </c>
      <c r="AG34" s="14" t="s">
        <v>694</v>
      </c>
      <c r="AH34" s="14">
        <v>6.2787610000000003</v>
      </c>
      <c r="AI34" s="9">
        <v>-75.637045999999998</v>
      </c>
      <c r="AJ34" s="9" t="s">
        <v>695</v>
      </c>
      <c r="AK34" s="9">
        <v>6.2532880000000004</v>
      </c>
      <c r="AL34" s="19">
        <v>-75.588837999999996</v>
      </c>
      <c r="AM34" s="28">
        <f t="shared" si="0"/>
        <v>0.31496527777777777</v>
      </c>
      <c r="AN34" s="9"/>
    </row>
    <row r="35" spans="1:40" ht="15" x14ac:dyDescent="0.25">
      <c r="A35" s="9" t="s">
        <v>342</v>
      </c>
      <c r="B35" s="9" t="s">
        <v>343</v>
      </c>
      <c r="C35" s="9" t="s">
        <v>344</v>
      </c>
      <c r="D35" s="9" t="s">
        <v>315</v>
      </c>
      <c r="E35" s="9" t="s">
        <v>36</v>
      </c>
      <c r="F35" s="9" t="s">
        <v>316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345</v>
      </c>
      <c r="L35" s="9" t="s">
        <v>42</v>
      </c>
      <c r="M35" s="10">
        <v>1.1689814814814809E-2</v>
      </c>
      <c r="N35" s="9" t="s">
        <v>127</v>
      </c>
      <c r="O35" s="9" t="s">
        <v>346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347</v>
      </c>
      <c r="AG35" s="14" t="s">
        <v>696</v>
      </c>
      <c r="AH35" s="14">
        <v>6.2267510000000001</v>
      </c>
      <c r="AI35" s="9">
        <v>-75.599288999999999</v>
      </c>
      <c r="AJ35" s="9" t="s">
        <v>697</v>
      </c>
      <c r="AK35" s="9">
        <v>6.2787249999999997</v>
      </c>
      <c r="AL35" s="19">
        <v>-75.637084999999999</v>
      </c>
      <c r="AM35" s="28">
        <f t="shared" si="0"/>
        <v>0.1219097222222222</v>
      </c>
      <c r="AN35" s="9"/>
    </row>
    <row r="36" spans="1:40" ht="15" x14ac:dyDescent="0.25">
      <c r="A36" s="9" t="s">
        <v>348</v>
      </c>
      <c r="B36" s="9" t="s">
        <v>349</v>
      </c>
      <c r="C36" s="9" t="s">
        <v>350</v>
      </c>
      <c r="D36" s="9" t="s">
        <v>315</v>
      </c>
      <c r="E36" s="9" t="s">
        <v>36</v>
      </c>
      <c r="F36" s="9" t="s">
        <v>316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351</v>
      </c>
      <c r="L36" s="9" t="s">
        <v>42</v>
      </c>
      <c r="M36" s="10">
        <v>1.8402777777777779E-3</v>
      </c>
      <c r="N36" s="9" t="s">
        <v>65</v>
      </c>
      <c r="O36" s="9" t="s">
        <v>352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353</v>
      </c>
      <c r="AG36" s="14" t="s">
        <v>700</v>
      </c>
      <c r="AH36" s="14">
        <v>6.2266120000000003</v>
      </c>
      <c r="AI36" s="9">
        <v>-75.599232999999998</v>
      </c>
      <c r="AJ36" s="9" t="s">
        <v>701</v>
      </c>
      <c r="AK36" s="9">
        <v>6.2573290000000004</v>
      </c>
      <c r="AL36" s="19">
        <v>-75.562562999999997</v>
      </c>
      <c r="AM36" s="28">
        <f t="shared" si="0"/>
        <v>0</v>
      </c>
      <c r="AN36" s="9"/>
    </row>
    <row r="37" spans="1:40" ht="15" x14ac:dyDescent="0.25">
      <c r="A37" s="9" t="s">
        <v>354</v>
      </c>
      <c r="B37" s="9" t="s">
        <v>355</v>
      </c>
      <c r="C37" s="9" t="s">
        <v>356</v>
      </c>
      <c r="D37" s="9" t="s">
        <v>315</v>
      </c>
      <c r="E37" s="9" t="s">
        <v>36</v>
      </c>
      <c r="F37" s="9" t="s">
        <v>316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357</v>
      </c>
      <c r="L37" s="9" t="s">
        <v>42</v>
      </c>
      <c r="M37" s="10">
        <v>7.1087962962962964E-2</v>
      </c>
      <c r="N37" s="9" t="s">
        <v>43</v>
      </c>
      <c r="O37" s="9" t="s">
        <v>358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359</v>
      </c>
      <c r="AG37" s="14" t="s">
        <v>702</v>
      </c>
      <c r="AH37" s="14">
        <v>6.2256150000000003</v>
      </c>
      <c r="AI37" s="9">
        <v>-75.599114999999998</v>
      </c>
      <c r="AJ37" s="9" t="s">
        <v>703</v>
      </c>
      <c r="AK37" s="9">
        <v>6.2254620000000003</v>
      </c>
      <c r="AL37" s="19">
        <v>-75.599331000000006</v>
      </c>
      <c r="AM37" s="28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360</v>
      </c>
      <c r="C38" s="12" t="s">
        <v>361</v>
      </c>
      <c r="D38" s="9" t="s">
        <v>315</v>
      </c>
      <c r="E38" s="12" t="s">
        <v>36</v>
      </c>
      <c r="F38" s="9" t="s">
        <v>407</v>
      </c>
      <c r="G38" s="12" t="s">
        <v>62</v>
      </c>
      <c r="H38" s="12" t="s">
        <v>63</v>
      </c>
      <c r="I38" s="12" t="s">
        <v>258</v>
      </c>
      <c r="J38" s="12">
        <v>6378</v>
      </c>
      <c r="K38" s="32">
        <v>46268.353692129633</v>
      </c>
      <c r="L38" s="9" t="s">
        <v>42</v>
      </c>
      <c r="M38" s="10">
        <v>4.7453703703703698E-4</v>
      </c>
      <c r="N38" s="9" t="s">
        <v>65</v>
      </c>
      <c r="O38" s="32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261</v>
      </c>
      <c r="AF38" s="12" t="s">
        <v>362</v>
      </c>
      <c r="AG38" s="14" t="s">
        <v>629</v>
      </c>
      <c r="AH38" s="14">
        <v>6.2251849999999997</v>
      </c>
      <c r="AI38" s="9">
        <v>-75.599536999999998</v>
      </c>
      <c r="AJ38" s="9" t="s">
        <v>630</v>
      </c>
      <c r="AK38" s="9">
        <v>6.2998750000000001</v>
      </c>
      <c r="AL38" s="19">
        <v>-75.579885000000004</v>
      </c>
      <c r="AM38" s="28">
        <f t="shared" si="0"/>
        <v>7.3657407407407408E-2</v>
      </c>
      <c r="AN38" s="9"/>
    </row>
    <row r="39" spans="1:40" ht="15" x14ac:dyDescent="0.25">
      <c r="A39" s="9" t="s">
        <v>365</v>
      </c>
      <c r="B39" s="9" t="s">
        <v>366</v>
      </c>
      <c r="C39" s="9" t="s">
        <v>367</v>
      </c>
      <c r="D39" s="9" t="s">
        <v>315</v>
      </c>
      <c r="E39" s="9" t="s">
        <v>36</v>
      </c>
      <c r="F39" s="9" t="s">
        <v>316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368</v>
      </c>
      <c r="L39" s="9" t="s">
        <v>117</v>
      </c>
      <c r="M39" s="10">
        <v>2.719907407407407E-3</v>
      </c>
      <c r="N39" s="9" t="s">
        <v>65</v>
      </c>
      <c r="O39" s="9" t="s">
        <v>369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370</v>
      </c>
      <c r="AG39" s="14" t="s">
        <v>679</v>
      </c>
      <c r="AH39" s="14">
        <v>6.2228389999999996</v>
      </c>
      <c r="AI39" s="9">
        <v>-75.598386000000005</v>
      </c>
      <c r="AJ39" s="9" t="s">
        <v>680</v>
      </c>
      <c r="AK39" s="9">
        <v>6.215058</v>
      </c>
      <c r="AL39" s="19">
        <v>-75.597426999999996</v>
      </c>
      <c r="AM39" s="28">
        <f t="shared" si="0"/>
        <v>0</v>
      </c>
      <c r="AN39" s="9"/>
    </row>
    <row r="40" spans="1:40" ht="15" x14ac:dyDescent="0.25">
      <c r="A40" s="9" t="s">
        <v>371</v>
      </c>
      <c r="B40" s="9" t="s">
        <v>372</v>
      </c>
      <c r="C40" s="9" t="s">
        <v>373</v>
      </c>
      <c r="D40" s="9" t="s">
        <v>315</v>
      </c>
      <c r="E40" s="9" t="s">
        <v>36</v>
      </c>
      <c r="F40" s="9" t="s">
        <v>316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374</v>
      </c>
      <c r="L40" s="9" t="s">
        <v>117</v>
      </c>
      <c r="M40" s="10">
        <v>0.22957175925925929</v>
      </c>
      <c r="N40" s="9" t="s">
        <v>43</v>
      </c>
      <c r="O40" s="9" t="s">
        <v>375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376</v>
      </c>
      <c r="AG40" s="14" t="s">
        <v>681</v>
      </c>
      <c r="AH40" s="14">
        <v>6.268446</v>
      </c>
      <c r="AI40" s="9">
        <v>-75.587143999999995</v>
      </c>
      <c r="AJ40" s="9" t="s">
        <v>682</v>
      </c>
      <c r="AK40" s="9">
        <v>6.2726620000000004</v>
      </c>
      <c r="AL40" s="19">
        <v>-75.602045000000004</v>
      </c>
      <c r="AM40" s="28">
        <f t="shared" si="0"/>
        <v>0.22957175925925929</v>
      </c>
      <c r="AN40" s="9"/>
    </row>
    <row r="41" spans="1:40" ht="15" x14ac:dyDescent="0.25">
      <c r="A41" s="9" t="s">
        <v>377</v>
      </c>
      <c r="B41" s="9" t="s">
        <v>378</v>
      </c>
      <c r="C41" s="9" t="s">
        <v>379</v>
      </c>
      <c r="D41" s="9" t="s">
        <v>315</v>
      </c>
      <c r="E41" s="9" t="s">
        <v>36</v>
      </c>
      <c r="F41" s="9" t="s">
        <v>316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380</v>
      </c>
      <c r="L41" s="9" t="s">
        <v>117</v>
      </c>
      <c r="M41" s="10">
        <v>3.8715277777777779E-2</v>
      </c>
      <c r="N41" s="9" t="s">
        <v>127</v>
      </c>
      <c r="O41" s="9" t="s">
        <v>381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382</v>
      </c>
      <c r="AG41" s="14" t="s">
        <v>683</v>
      </c>
      <c r="AH41" s="14">
        <v>6.2266190000000003</v>
      </c>
      <c r="AI41" s="9">
        <v>-75.599181999999999</v>
      </c>
      <c r="AJ41" s="9" t="s">
        <v>684</v>
      </c>
      <c r="AK41" s="9">
        <v>6.2674899999999996</v>
      </c>
      <c r="AL41" s="19">
        <v>-75.587031999999994</v>
      </c>
      <c r="AM41" s="28">
        <f t="shared" si="0"/>
        <v>2.2361111111111109E-2</v>
      </c>
      <c r="AN41" s="9"/>
    </row>
    <row r="42" spans="1:40" ht="15" x14ac:dyDescent="0.25">
      <c r="A42" s="9" t="s">
        <v>383</v>
      </c>
      <c r="B42" s="9" t="s">
        <v>384</v>
      </c>
      <c r="C42" s="9" t="s">
        <v>385</v>
      </c>
      <c r="D42" s="9" t="s">
        <v>315</v>
      </c>
      <c r="E42" s="9" t="s">
        <v>36</v>
      </c>
      <c r="F42" s="9" t="s">
        <v>316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386</v>
      </c>
      <c r="L42" s="9" t="s">
        <v>117</v>
      </c>
      <c r="M42" s="10">
        <v>2.4872685185185189E-2</v>
      </c>
      <c r="N42" s="9" t="s">
        <v>127</v>
      </c>
      <c r="O42" s="9" t="s">
        <v>387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388</v>
      </c>
      <c r="AG42" s="14" t="s">
        <v>658</v>
      </c>
      <c r="AH42" s="14">
        <v>6.268078</v>
      </c>
      <c r="AI42" s="9">
        <v>-75.591665000000006</v>
      </c>
      <c r="AJ42" s="9" t="s">
        <v>685</v>
      </c>
      <c r="AK42" s="9">
        <v>6.2670130000000004</v>
      </c>
      <c r="AL42" s="19">
        <v>-75.550280000000001</v>
      </c>
      <c r="AM42" s="28">
        <f t="shared" si="0"/>
        <v>1.232638888888889E-2</v>
      </c>
      <c r="AN42" s="9"/>
    </row>
    <row r="43" spans="1:40" ht="15" x14ac:dyDescent="0.25">
      <c r="A43" s="9" t="s">
        <v>389</v>
      </c>
      <c r="B43" s="9" t="s">
        <v>390</v>
      </c>
      <c r="C43" s="9" t="s">
        <v>391</v>
      </c>
      <c r="D43" s="9" t="s">
        <v>315</v>
      </c>
      <c r="E43" s="9" t="s">
        <v>36</v>
      </c>
      <c r="F43" s="9" t="s">
        <v>316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392</v>
      </c>
      <c r="L43" s="9" t="s">
        <v>117</v>
      </c>
      <c r="M43" s="10">
        <v>4.0787037037037038E-2</v>
      </c>
      <c r="N43" s="9" t="s">
        <v>127</v>
      </c>
      <c r="O43" s="9" t="s">
        <v>393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394</v>
      </c>
      <c r="AG43" s="14" t="s">
        <v>688</v>
      </c>
      <c r="AH43" s="14">
        <v>6.2265639999999998</v>
      </c>
      <c r="AI43" s="9">
        <v>-75.599241000000006</v>
      </c>
      <c r="AJ43" s="9" t="s">
        <v>689</v>
      </c>
      <c r="AK43" s="9">
        <v>6.2903789999999997</v>
      </c>
      <c r="AL43" s="19">
        <v>-75.546631000000005</v>
      </c>
      <c r="AM43" s="28">
        <f t="shared" si="0"/>
        <v>0</v>
      </c>
      <c r="AN43" s="9"/>
    </row>
    <row r="44" spans="1:40" ht="15" x14ac:dyDescent="0.25">
      <c r="A44" s="9" t="s">
        <v>395</v>
      </c>
      <c r="B44" s="9" t="s">
        <v>396</v>
      </c>
      <c r="C44" s="9" t="s">
        <v>397</v>
      </c>
      <c r="D44" s="9" t="s">
        <v>315</v>
      </c>
      <c r="E44" s="9" t="s">
        <v>36</v>
      </c>
      <c r="F44" s="9" t="s">
        <v>316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398</v>
      </c>
      <c r="L44" s="9" t="s">
        <v>117</v>
      </c>
      <c r="M44" s="10">
        <v>4.6018518518518521E-2</v>
      </c>
      <c r="N44" s="9" t="s">
        <v>127</v>
      </c>
      <c r="O44" s="9" t="s">
        <v>399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400</v>
      </c>
      <c r="AG44" s="14" t="s">
        <v>692</v>
      </c>
      <c r="AH44" s="14">
        <v>6.2270370000000002</v>
      </c>
      <c r="AI44" s="9">
        <v>-75.599748000000005</v>
      </c>
      <c r="AJ44" s="9" t="s">
        <v>693</v>
      </c>
      <c r="AK44" s="9">
        <v>6.2572970000000003</v>
      </c>
      <c r="AL44" s="19">
        <v>-75.555535000000006</v>
      </c>
      <c r="AM44" s="28">
        <f t="shared" si="0"/>
        <v>6.9467592592592595E-2</v>
      </c>
      <c r="AN44" s="9"/>
    </row>
    <row r="45" spans="1:40" ht="15" x14ac:dyDescent="0.25">
      <c r="A45" s="9" t="s">
        <v>401</v>
      </c>
      <c r="B45" s="9" t="s">
        <v>402</v>
      </c>
      <c r="C45" s="9" t="s">
        <v>403</v>
      </c>
      <c r="D45" s="9" t="s">
        <v>315</v>
      </c>
      <c r="E45" s="9" t="s">
        <v>36</v>
      </c>
      <c r="F45" s="9" t="s">
        <v>316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404</v>
      </c>
      <c r="L45" s="9" t="s">
        <v>117</v>
      </c>
      <c r="M45" s="10">
        <v>5.1483993055555552E-2</v>
      </c>
      <c r="N45" s="9" t="s">
        <v>127</v>
      </c>
      <c r="O45" s="9" t="s">
        <v>405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406</v>
      </c>
      <c r="AG45" s="14" t="s">
        <v>698</v>
      </c>
      <c r="AH45" s="14">
        <v>6.2255779999999996</v>
      </c>
      <c r="AI45" s="9">
        <v>-75.599153000000001</v>
      </c>
      <c r="AJ45" s="9" t="s">
        <v>699</v>
      </c>
      <c r="AK45" s="9">
        <v>6.268478</v>
      </c>
      <c r="AL45" s="19">
        <v>-75.599271999999999</v>
      </c>
      <c r="AM45" s="28">
        <f t="shared" si="0"/>
        <v>0</v>
      </c>
      <c r="AN45" s="9"/>
    </row>
    <row r="46" spans="1:40" ht="15" x14ac:dyDescent="0.25">
      <c r="A46" s="9" t="s">
        <v>408</v>
      </c>
      <c r="B46" s="9" t="s">
        <v>409</v>
      </c>
      <c r="C46" s="9" t="s">
        <v>410</v>
      </c>
      <c r="D46" s="9" t="s">
        <v>411</v>
      </c>
      <c r="E46" s="9" t="s">
        <v>36</v>
      </c>
      <c r="F46" s="9" t="s">
        <v>407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412</v>
      </c>
      <c r="L46" s="9" t="s">
        <v>42</v>
      </c>
      <c r="M46" s="10">
        <v>2.7495509259259261E-2</v>
      </c>
      <c r="N46" s="9" t="s">
        <v>127</v>
      </c>
      <c r="O46" s="9" t="s">
        <v>413</v>
      </c>
      <c r="P46" s="9" t="s">
        <v>414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415</v>
      </c>
      <c r="AG46" s="14" t="s">
        <v>704</v>
      </c>
      <c r="AH46" s="14">
        <v>6.2254810000000003</v>
      </c>
      <c r="AI46" s="9">
        <v>-75.599737000000005</v>
      </c>
      <c r="AJ46" s="9" t="s">
        <v>705</v>
      </c>
      <c r="AK46" s="9">
        <v>6.2318340000000001</v>
      </c>
      <c r="AL46" s="19">
        <v>-75.597142000000005</v>
      </c>
      <c r="AM46" s="28">
        <f t="shared" si="0"/>
        <v>0</v>
      </c>
      <c r="AN46" s="9"/>
    </row>
    <row r="47" spans="1:40" ht="15" x14ac:dyDescent="0.25">
      <c r="A47" s="9" t="s">
        <v>416</v>
      </c>
      <c r="B47" s="9" t="s">
        <v>417</v>
      </c>
      <c r="C47" s="9" t="s">
        <v>418</v>
      </c>
      <c r="D47" s="9" t="s">
        <v>411</v>
      </c>
      <c r="E47" s="9" t="s">
        <v>36</v>
      </c>
      <c r="F47" s="9" t="s">
        <v>407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419</v>
      </c>
      <c r="L47" s="9" t="s">
        <v>42</v>
      </c>
      <c r="M47" s="10">
        <v>1.1238425925925929E-2</v>
      </c>
      <c r="N47" s="9" t="s">
        <v>127</v>
      </c>
      <c r="O47" s="9" t="s">
        <v>420</v>
      </c>
      <c r="P47" s="9" t="s">
        <v>414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421</v>
      </c>
      <c r="AG47" s="14" t="s">
        <v>706</v>
      </c>
      <c r="AH47" s="14">
        <v>6.2315449999999997</v>
      </c>
      <c r="AI47" s="9">
        <v>-75.601985999999997</v>
      </c>
      <c r="AJ47" s="9" t="s">
        <v>707</v>
      </c>
      <c r="AK47" s="9">
        <v>6.2386660000000003</v>
      </c>
      <c r="AL47" s="19">
        <v>-75.607446999999993</v>
      </c>
      <c r="AM47" s="28">
        <f t="shared" si="0"/>
        <v>2.1377314814814811E-2</v>
      </c>
      <c r="AN47" s="9"/>
    </row>
    <row r="48" spans="1:40" ht="15" x14ac:dyDescent="0.25">
      <c r="A48" s="9" t="s">
        <v>422</v>
      </c>
      <c r="B48" s="9" t="s">
        <v>423</v>
      </c>
      <c r="C48" s="9" t="s">
        <v>424</v>
      </c>
      <c r="D48" s="9" t="s">
        <v>411</v>
      </c>
      <c r="E48" s="9" t="s">
        <v>36</v>
      </c>
      <c r="F48" s="9" t="s">
        <v>407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425</v>
      </c>
      <c r="L48" s="9" t="s">
        <v>42</v>
      </c>
      <c r="M48" s="10">
        <v>1.226851851851852E-3</v>
      </c>
      <c r="N48" s="9" t="s">
        <v>65</v>
      </c>
      <c r="O48" s="9" t="s">
        <v>426</v>
      </c>
      <c r="P48" s="9" t="s">
        <v>414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427</v>
      </c>
      <c r="AG48" s="14" t="s">
        <v>712</v>
      </c>
      <c r="AH48" s="14">
        <v>6.2253210000000001</v>
      </c>
      <c r="AI48" s="9">
        <v>-75.599405000000004</v>
      </c>
      <c r="AJ48" s="9" t="s">
        <v>713</v>
      </c>
      <c r="AK48" s="9">
        <v>6.3028529999999998</v>
      </c>
      <c r="AL48" s="19">
        <v>-75.580264</v>
      </c>
      <c r="AM48" s="28">
        <f t="shared" si="0"/>
        <v>7.1886574074074075E-2</v>
      </c>
      <c r="AN48" s="9"/>
    </row>
    <row r="49" spans="1:40" ht="15" x14ac:dyDescent="0.25">
      <c r="A49" s="9" t="s">
        <v>428</v>
      </c>
      <c r="B49" s="9" t="s">
        <v>429</v>
      </c>
      <c r="C49" s="9" t="s">
        <v>430</v>
      </c>
      <c r="D49" s="9" t="s">
        <v>411</v>
      </c>
      <c r="E49" s="9" t="s">
        <v>36</v>
      </c>
      <c r="F49" s="9" t="s">
        <v>407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431</v>
      </c>
      <c r="L49" s="9" t="s">
        <v>42</v>
      </c>
      <c r="M49" s="10">
        <v>9.0416666666666673E-2</v>
      </c>
      <c r="N49" s="9" t="s">
        <v>43</v>
      </c>
      <c r="O49" s="9" t="s">
        <v>432</v>
      </c>
      <c r="P49" s="9" t="s">
        <v>414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433</v>
      </c>
      <c r="AG49" s="14" t="s">
        <v>715</v>
      </c>
      <c r="AH49" s="14">
        <v>6.2256900000000002</v>
      </c>
      <c r="AI49" s="9">
        <v>-75.600273000000001</v>
      </c>
      <c r="AJ49" s="9" t="s">
        <v>716</v>
      </c>
      <c r="AK49" s="9">
        <v>6.2378770000000001</v>
      </c>
      <c r="AL49" s="19">
        <v>-75.559747999999999</v>
      </c>
      <c r="AM49" s="28">
        <f t="shared" si="0"/>
        <v>0.23129629629629628</v>
      </c>
      <c r="AN49" s="9"/>
    </row>
    <row r="50" spans="1:40" ht="15" x14ac:dyDescent="0.25">
      <c r="A50" s="9" t="s">
        <v>434</v>
      </c>
      <c r="B50" s="9" t="s">
        <v>435</v>
      </c>
      <c r="C50" s="9" t="s">
        <v>436</v>
      </c>
      <c r="D50" s="9" t="s">
        <v>411</v>
      </c>
      <c r="E50" s="9" t="s">
        <v>36</v>
      </c>
      <c r="F50" s="9" t="s">
        <v>407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437</v>
      </c>
      <c r="L50" s="9" t="s">
        <v>42</v>
      </c>
      <c r="M50" s="10">
        <v>1.2677847222222221E-2</v>
      </c>
      <c r="N50" s="9" t="s">
        <v>127</v>
      </c>
      <c r="O50" s="9" t="s">
        <v>438</v>
      </c>
      <c r="P50" s="9" t="s">
        <v>414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439</v>
      </c>
      <c r="AG50" s="14" t="s">
        <v>719</v>
      </c>
      <c r="AH50" s="14">
        <v>6.225625</v>
      </c>
      <c r="AI50" s="9">
        <v>-75.599158000000003</v>
      </c>
      <c r="AJ50" s="9" t="s">
        <v>720</v>
      </c>
      <c r="AK50" s="9">
        <v>6.2592379999999999</v>
      </c>
      <c r="AL50" s="19">
        <v>-75.620984000000007</v>
      </c>
      <c r="AM50" s="28">
        <f t="shared" si="0"/>
        <v>0</v>
      </c>
      <c r="AN50" s="9"/>
    </row>
    <row r="51" spans="1:40" ht="15" x14ac:dyDescent="0.25">
      <c r="A51" s="9" t="s">
        <v>440</v>
      </c>
      <c r="B51" s="9" t="s">
        <v>441</v>
      </c>
      <c r="C51" s="9" t="s">
        <v>442</v>
      </c>
      <c r="D51" s="9" t="s">
        <v>411</v>
      </c>
      <c r="E51" s="9" t="s">
        <v>36</v>
      </c>
      <c r="F51" s="9" t="s">
        <v>407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443</v>
      </c>
      <c r="L51" s="9" t="s">
        <v>42</v>
      </c>
      <c r="M51" s="10">
        <v>1.296296296296296E-3</v>
      </c>
      <c r="N51" s="9" t="s">
        <v>65</v>
      </c>
      <c r="O51" s="9" t="s">
        <v>444</v>
      </c>
      <c r="P51" s="9" t="s">
        <v>414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445</v>
      </c>
      <c r="AG51" s="14" t="s">
        <v>725</v>
      </c>
      <c r="AH51" s="14">
        <v>6.2257759999999998</v>
      </c>
      <c r="AI51" s="9">
        <v>-75.599372000000002</v>
      </c>
      <c r="AJ51" s="9" t="s">
        <v>726</v>
      </c>
      <c r="AK51" s="9">
        <v>6.295776</v>
      </c>
      <c r="AL51" s="19">
        <v>-75.575108999999998</v>
      </c>
      <c r="AM51" s="28">
        <f t="shared" si="0"/>
        <v>8.5335648148148147E-2</v>
      </c>
      <c r="AN51" s="9"/>
    </row>
    <row r="52" spans="1:40" ht="15" x14ac:dyDescent="0.25">
      <c r="A52" s="9" t="s">
        <v>446</v>
      </c>
      <c r="B52" s="9" t="s">
        <v>447</v>
      </c>
      <c r="C52" s="9" t="s">
        <v>448</v>
      </c>
      <c r="D52" s="9" t="s">
        <v>411</v>
      </c>
      <c r="E52" s="9" t="s">
        <v>36</v>
      </c>
      <c r="F52" s="9" t="s">
        <v>407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449</v>
      </c>
      <c r="L52" s="9" t="s">
        <v>42</v>
      </c>
      <c r="M52" s="10">
        <v>1.018518518518518E-3</v>
      </c>
      <c r="N52" s="9" t="s">
        <v>65</v>
      </c>
      <c r="O52" s="9" t="s">
        <v>450</v>
      </c>
      <c r="P52" s="9" t="s">
        <v>414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451</v>
      </c>
      <c r="AG52" s="14" t="s">
        <v>727</v>
      </c>
      <c r="AH52" s="14">
        <v>6.2256210000000003</v>
      </c>
      <c r="AI52" s="9">
        <v>-75.599231000000003</v>
      </c>
      <c r="AJ52" s="9" t="s">
        <v>728</v>
      </c>
      <c r="AK52" s="9">
        <v>6.225365</v>
      </c>
      <c r="AL52" s="19">
        <v>-75.599449000000007</v>
      </c>
      <c r="AM52" s="28">
        <f t="shared" si="0"/>
        <v>0.12884259259259259</v>
      </c>
      <c r="AN52" s="9"/>
    </row>
    <row r="53" spans="1:40" ht="15" x14ac:dyDescent="0.25">
      <c r="A53" s="9" t="s">
        <v>452</v>
      </c>
      <c r="B53" s="9" t="s">
        <v>453</v>
      </c>
      <c r="C53" s="9" t="s">
        <v>454</v>
      </c>
      <c r="D53" s="9" t="s">
        <v>455</v>
      </c>
      <c r="E53" s="9" t="s">
        <v>36</v>
      </c>
      <c r="F53" s="9" t="s">
        <v>456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457</v>
      </c>
      <c r="L53" s="9" t="s">
        <v>42</v>
      </c>
      <c r="M53" s="10">
        <v>3.7268518518518519E-3</v>
      </c>
      <c r="N53" s="9" t="s">
        <v>65</v>
      </c>
      <c r="O53" s="9" t="s">
        <v>458</v>
      </c>
      <c r="P53" s="9" t="s">
        <v>414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325</v>
      </c>
      <c r="AG53" s="14" t="s">
        <v>729</v>
      </c>
      <c r="AH53" s="14">
        <v>6.2479370000000003</v>
      </c>
      <c r="AI53" s="9">
        <v>-75.615139999999997</v>
      </c>
      <c r="AJ53" s="9" t="s">
        <v>730</v>
      </c>
      <c r="AK53" s="9">
        <v>6.2418899999999997</v>
      </c>
      <c r="AL53" s="19">
        <v>-75.607436000000007</v>
      </c>
      <c r="AM53" s="28">
        <f t="shared" si="0"/>
        <v>0</v>
      </c>
      <c r="AN53" s="9"/>
    </row>
    <row r="54" spans="1:40" ht="15" x14ac:dyDescent="0.25">
      <c r="A54" s="9" t="s">
        <v>459</v>
      </c>
      <c r="B54" s="9" t="s">
        <v>460</v>
      </c>
      <c r="C54" s="9" t="s">
        <v>461</v>
      </c>
      <c r="D54" s="9" t="s">
        <v>455</v>
      </c>
      <c r="E54" s="9" t="s">
        <v>36</v>
      </c>
      <c r="F54" s="9" t="s">
        <v>456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462</v>
      </c>
      <c r="L54" s="9" t="s">
        <v>42</v>
      </c>
      <c r="M54" s="10">
        <v>3.9456018518518522E-2</v>
      </c>
      <c r="N54" s="9" t="s">
        <v>43</v>
      </c>
      <c r="O54" s="9" t="s">
        <v>463</v>
      </c>
      <c r="P54" s="9" t="s">
        <v>414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464</v>
      </c>
      <c r="AG54" s="14" t="s">
        <v>731</v>
      </c>
      <c r="AH54" s="14">
        <v>6.2478480000000003</v>
      </c>
      <c r="AI54" s="9">
        <v>-75.614915999999994</v>
      </c>
      <c r="AJ54" s="9" t="s">
        <v>732</v>
      </c>
      <c r="AK54" s="9">
        <v>6.2748359999999996</v>
      </c>
      <c r="AL54" s="19">
        <v>-75.585510999999997</v>
      </c>
      <c r="AM54" s="28">
        <f t="shared" si="0"/>
        <v>5.0150462962962966E-2</v>
      </c>
      <c r="AN54" s="9"/>
    </row>
    <row r="55" spans="1:40" ht="15" x14ac:dyDescent="0.25">
      <c r="A55" s="9" t="s">
        <v>465</v>
      </c>
      <c r="B55" s="9" t="s">
        <v>466</v>
      </c>
      <c r="C55" s="9" t="s">
        <v>467</v>
      </c>
      <c r="D55" s="9" t="s">
        <v>411</v>
      </c>
      <c r="E55" s="9" t="s">
        <v>36</v>
      </c>
      <c r="F55" s="9" t="s">
        <v>407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468</v>
      </c>
      <c r="L55" s="9" t="s">
        <v>117</v>
      </c>
      <c r="M55" s="10">
        <v>1.136574074074074E-2</v>
      </c>
      <c r="N55" s="9" t="s">
        <v>127</v>
      </c>
      <c r="O55" s="9" t="s">
        <v>469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470</v>
      </c>
      <c r="AG55" s="14" t="s">
        <v>710</v>
      </c>
      <c r="AH55" s="14">
        <v>6.2727510000000004</v>
      </c>
      <c r="AI55" s="9">
        <v>-75.601884999999996</v>
      </c>
      <c r="AJ55" s="9" t="s">
        <v>711</v>
      </c>
      <c r="AK55" s="9">
        <v>6.2732570000000001</v>
      </c>
      <c r="AL55" s="19">
        <v>-75.602136999999999</v>
      </c>
      <c r="AM55" s="28">
        <f t="shared" si="0"/>
        <v>0</v>
      </c>
      <c r="AN55" s="9"/>
    </row>
    <row r="56" spans="1:40" ht="15" x14ac:dyDescent="0.25">
      <c r="A56" s="9" t="s">
        <v>471</v>
      </c>
      <c r="B56" s="9" t="s">
        <v>472</v>
      </c>
      <c r="C56" s="9" t="s">
        <v>473</v>
      </c>
      <c r="D56" s="9" t="s">
        <v>411</v>
      </c>
      <c r="E56" s="9" t="s">
        <v>36</v>
      </c>
      <c r="F56" s="9" t="s">
        <v>407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474</v>
      </c>
      <c r="L56" s="9" t="s">
        <v>117</v>
      </c>
      <c r="M56" s="10">
        <v>3.412037037037037E-2</v>
      </c>
      <c r="N56" s="9" t="s">
        <v>127</v>
      </c>
      <c r="O56" s="9" t="s">
        <v>475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476</v>
      </c>
      <c r="AG56" s="14" t="s">
        <v>685</v>
      </c>
      <c r="AH56" s="14">
        <v>6.2670130000000004</v>
      </c>
      <c r="AI56" s="9">
        <v>-75.550280000000001</v>
      </c>
      <c r="AJ56" s="9" t="s">
        <v>714</v>
      </c>
      <c r="AK56" s="9">
        <v>6.2677769999999997</v>
      </c>
      <c r="AL56" s="19">
        <v>-75.558897999999999</v>
      </c>
      <c r="AM56" s="28">
        <f t="shared" si="0"/>
        <v>0</v>
      </c>
      <c r="AN56" s="9"/>
    </row>
    <row r="57" spans="1:40" ht="15" x14ac:dyDescent="0.25">
      <c r="A57" s="9" t="s">
        <v>477</v>
      </c>
      <c r="B57" s="9" t="s">
        <v>478</v>
      </c>
      <c r="C57" s="9" t="s">
        <v>479</v>
      </c>
      <c r="D57" s="9" t="s">
        <v>411</v>
      </c>
      <c r="E57" s="9" t="s">
        <v>36</v>
      </c>
      <c r="F57" s="9" t="s">
        <v>407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480</v>
      </c>
      <c r="L57" s="9" t="s">
        <v>117</v>
      </c>
      <c r="M57" s="10">
        <v>1.0995370370370371E-3</v>
      </c>
      <c r="N57" s="9" t="s">
        <v>65</v>
      </c>
      <c r="O57" s="9" t="s">
        <v>481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353</v>
      </c>
      <c r="AG57" s="14" t="s">
        <v>717</v>
      </c>
      <c r="AH57" s="14">
        <v>6.2906209999999998</v>
      </c>
      <c r="AI57" s="9">
        <v>-75.546621999999999</v>
      </c>
      <c r="AJ57" s="9" t="s">
        <v>718</v>
      </c>
      <c r="AK57" s="9">
        <v>6.2904239999999998</v>
      </c>
      <c r="AL57" s="19">
        <v>-75.546570000000003</v>
      </c>
      <c r="AM57" s="28">
        <f t="shared" si="0"/>
        <v>0</v>
      </c>
      <c r="AN57" s="9"/>
    </row>
    <row r="58" spans="1:40" ht="15" x14ac:dyDescent="0.25">
      <c r="A58" s="9" t="s">
        <v>482</v>
      </c>
      <c r="B58" s="9" t="s">
        <v>483</v>
      </c>
      <c r="C58" s="9" t="s">
        <v>484</v>
      </c>
      <c r="D58" s="9" t="s">
        <v>411</v>
      </c>
      <c r="E58" s="9" t="s">
        <v>36</v>
      </c>
      <c r="F58" s="9" t="s">
        <v>407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485</v>
      </c>
      <c r="L58" s="9" t="s">
        <v>117</v>
      </c>
      <c r="M58" s="10">
        <v>5.5555555555555558E-3</v>
      </c>
      <c r="N58" s="9" t="s">
        <v>65</v>
      </c>
      <c r="O58" s="9" t="s">
        <v>486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353</v>
      </c>
      <c r="AG58" s="14" t="s">
        <v>721</v>
      </c>
      <c r="AH58" s="14">
        <v>6.2502880000000003</v>
      </c>
      <c r="AI58" s="9">
        <v>-75.552210000000002</v>
      </c>
      <c r="AJ58" s="9" t="s">
        <v>722</v>
      </c>
      <c r="AK58" s="9">
        <v>6.2517820000000004</v>
      </c>
      <c r="AL58" s="19">
        <v>-75.551777999999999</v>
      </c>
      <c r="AM58" s="28">
        <f t="shared" si="0"/>
        <v>0</v>
      </c>
      <c r="AN58" s="9"/>
    </row>
    <row r="59" spans="1:40" ht="15" x14ac:dyDescent="0.25">
      <c r="A59" s="9" t="s">
        <v>487</v>
      </c>
      <c r="B59" s="9" t="s">
        <v>488</v>
      </c>
      <c r="C59" s="9" t="s">
        <v>489</v>
      </c>
      <c r="D59" s="9" t="s">
        <v>411</v>
      </c>
      <c r="E59" s="9" t="s">
        <v>36</v>
      </c>
      <c r="F59" s="9" t="s">
        <v>407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490</v>
      </c>
      <c r="L59" s="9" t="s">
        <v>117</v>
      </c>
      <c r="M59" s="10">
        <v>2.0525196759259259E-2</v>
      </c>
      <c r="N59" s="9" t="s">
        <v>127</v>
      </c>
      <c r="O59" s="9" t="s">
        <v>491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492</v>
      </c>
      <c r="AG59" s="14" t="s">
        <v>723</v>
      </c>
      <c r="AH59" s="14">
        <v>6.2684170000000003</v>
      </c>
      <c r="AI59" s="9">
        <v>-75.599547999999999</v>
      </c>
      <c r="AJ59" s="9" t="s">
        <v>724</v>
      </c>
      <c r="AK59" s="9">
        <v>6.2684920000000002</v>
      </c>
      <c r="AL59" s="19">
        <v>-75.599114999999998</v>
      </c>
      <c r="AM59" s="28">
        <f t="shared" si="0"/>
        <v>0</v>
      </c>
      <c r="AN59" s="9"/>
    </row>
    <row r="60" spans="1:40" ht="15" x14ac:dyDescent="0.25">
      <c r="A60" s="9" t="s">
        <v>493</v>
      </c>
      <c r="B60" s="9" t="s">
        <v>494</v>
      </c>
      <c r="C60" s="9" t="s">
        <v>495</v>
      </c>
      <c r="D60" s="9" t="s">
        <v>455</v>
      </c>
      <c r="E60" s="9" t="s">
        <v>36</v>
      </c>
      <c r="F60" s="9" t="s">
        <v>456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496</v>
      </c>
      <c r="L60" s="9" t="s">
        <v>117</v>
      </c>
      <c r="M60" s="10">
        <v>2.2881944444444441E-2</v>
      </c>
      <c r="N60" s="9" t="s">
        <v>127</v>
      </c>
      <c r="O60" s="9" t="s">
        <v>497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498</v>
      </c>
      <c r="AG60" s="14" t="s">
        <v>733</v>
      </c>
      <c r="AH60" s="14">
        <v>6.2585040000000003</v>
      </c>
      <c r="AI60" s="9">
        <v>-75.616451999999995</v>
      </c>
      <c r="AJ60" s="9" t="s">
        <v>734</v>
      </c>
      <c r="AK60" s="9">
        <v>6.2585139999999999</v>
      </c>
      <c r="AL60" s="19">
        <v>-75.616004000000004</v>
      </c>
      <c r="AM60" s="28">
        <f t="shared" si="0"/>
        <v>0</v>
      </c>
      <c r="AN60" s="9"/>
    </row>
    <row r="61" spans="1:40" ht="15" x14ac:dyDescent="0.25">
      <c r="A61" s="9" t="s">
        <v>499</v>
      </c>
      <c r="B61" s="9" t="s">
        <v>500</v>
      </c>
      <c r="C61" s="9" t="s">
        <v>501</v>
      </c>
      <c r="D61" s="9" t="s">
        <v>411</v>
      </c>
      <c r="E61" s="9" t="s">
        <v>36</v>
      </c>
      <c r="F61" s="9" t="s">
        <v>407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502</v>
      </c>
      <c r="L61" s="9" t="s">
        <v>117</v>
      </c>
      <c r="M61" s="10">
        <v>2.975694444444444E-2</v>
      </c>
      <c r="N61" s="9" t="s">
        <v>43</v>
      </c>
      <c r="O61" s="9" t="s">
        <v>503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504</v>
      </c>
      <c r="AG61" s="14" t="s">
        <v>708</v>
      </c>
      <c r="AH61" s="14">
        <v>6.2477179999999999</v>
      </c>
      <c r="AI61" s="9">
        <v>-75.614855000000006</v>
      </c>
      <c r="AJ61" s="9" t="s">
        <v>709</v>
      </c>
      <c r="AK61" s="9">
        <v>6.2509800000000002</v>
      </c>
      <c r="AL61" s="19">
        <v>-75.605256999999995</v>
      </c>
      <c r="AM61" s="28">
        <f t="shared" si="0"/>
        <v>7.4814814814814806E-2</v>
      </c>
      <c r="AN61" s="9"/>
    </row>
    <row r="62" spans="1:40" ht="15" x14ac:dyDescent="0.25">
      <c r="A62" s="9" t="s">
        <v>505</v>
      </c>
      <c r="B62" s="9" t="s">
        <v>506</v>
      </c>
      <c r="C62" s="9" t="s">
        <v>507</v>
      </c>
      <c r="D62" s="9" t="s">
        <v>508</v>
      </c>
      <c r="E62" s="9" t="s">
        <v>36</v>
      </c>
      <c r="F62" s="9" t="s">
        <v>509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510</v>
      </c>
      <c r="L62" s="9" t="s">
        <v>42</v>
      </c>
      <c r="M62" s="10">
        <v>1.7296712962962962E-2</v>
      </c>
      <c r="N62" s="9" t="s">
        <v>43</v>
      </c>
      <c r="O62" s="9" t="s">
        <v>511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512</v>
      </c>
      <c r="AG62" s="14" t="s">
        <v>735</v>
      </c>
      <c r="AH62" s="14">
        <v>6.225346</v>
      </c>
      <c r="AI62" s="9">
        <v>-75.599774999999994</v>
      </c>
      <c r="AJ62" s="9" t="s">
        <v>736</v>
      </c>
      <c r="AK62" s="9">
        <v>6.2215870000000004</v>
      </c>
      <c r="AL62" s="19">
        <v>-75.593845000000002</v>
      </c>
      <c r="AM62" s="28">
        <f t="shared" si="0"/>
        <v>3.3721018518518525E-2</v>
      </c>
      <c r="AN62" s="9"/>
    </row>
    <row r="63" spans="1:40" ht="15" x14ac:dyDescent="0.25">
      <c r="A63" s="9" t="s">
        <v>513</v>
      </c>
      <c r="B63" s="9" t="s">
        <v>514</v>
      </c>
      <c r="C63" s="9" t="s">
        <v>515</v>
      </c>
      <c r="D63" s="9" t="s">
        <v>508</v>
      </c>
      <c r="E63" s="9" t="s">
        <v>36</v>
      </c>
      <c r="F63" s="9" t="s">
        <v>509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516</v>
      </c>
      <c r="L63" s="9" t="s">
        <v>42</v>
      </c>
      <c r="M63" s="10">
        <v>1.103009259259259E-2</v>
      </c>
      <c r="N63" s="9" t="s">
        <v>127</v>
      </c>
      <c r="O63" s="9" t="s">
        <v>517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518</v>
      </c>
      <c r="AG63" s="14" t="s">
        <v>737</v>
      </c>
      <c r="AH63" s="14">
        <v>6.225333</v>
      </c>
      <c r="AI63" s="9">
        <v>-75.599200999999994</v>
      </c>
      <c r="AJ63" s="9" t="s">
        <v>738</v>
      </c>
      <c r="AK63" s="9">
        <v>6.2477859999999996</v>
      </c>
      <c r="AL63" s="19">
        <v>-75.615042000000003</v>
      </c>
      <c r="AM63" s="28">
        <f t="shared" si="0"/>
        <v>0</v>
      </c>
      <c r="AN63" s="9"/>
    </row>
    <row r="64" spans="1:40" ht="15" x14ac:dyDescent="0.25">
      <c r="A64" s="9" t="s">
        <v>519</v>
      </c>
      <c r="B64" s="9" t="s">
        <v>520</v>
      </c>
      <c r="C64" s="9" t="s">
        <v>521</v>
      </c>
      <c r="D64" s="9" t="s">
        <v>508</v>
      </c>
      <c r="E64" s="9" t="s">
        <v>36</v>
      </c>
      <c r="F64" s="9" t="s">
        <v>509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522</v>
      </c>
      <c r="L64" s="9" t="s">
        <v>42</v>
      </c>
      <c r="M64" s="10">
        <v>5.4166666666666669E-2</v>
      </c>
      <c r="N64" s="9" t="s">
        <v>43</v>
      </c>
      <c r="O64" s="9" t="s">
        <v>523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524</v>
      </c>
      <c r="AG64" s="14" t="s">
        <v>739</v>
      </c>
      <c r="AH64" s="14">
        <v>6.2252320000000001</v>
      </c>
      <c r="AI64" s="9">
        <v>-75.598584000000002</v>
      </c>
      <c r="AJ64" s="9" t="s">
        <v>740</v>
      </c>
      <c r="AK64" s="9">
        <v>6.2635589999999999</v>
      </c>
      <c r="AL64" s="19">
        <v>-75.597027999999995</v>
      </c>
      <c r="AM64" s="28">
        <f t="shared" si="0"/>
        <v>0.15811342592592598</v>
      </c>
      <c r="AN64" s="9"/>
    </row>
    <row r="65" spans="1:40" ht="15" x14ac:dyDescent="0.25">
      <c r="A65" s="9" t="s">
        <v>525</v>
      </c>
      <c r="B65" s="9" t="s">
        <v>526</v>
      </c>
      <c r="C65" s="9" t="s">
        <v>527</v>
      </c>
      <c r="D65" s="9" t="s">
        <v>508</v>
      </c>
      <c r="E65" s="9" t="s">
        <v>36</v>
      </c>
      <c r="F65" s="9" t="s">
        <v>509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528</v>
      </c>
      <c r="L65" s="9" t="s">
        <v>42</v>
      </c>
      <c r="M65" s="10">
        <v>4.7453703703703698E-4</v>
      </c>
      <c r="N65" s="9" t="s">
        <v>65</v>
      </c>
      <c r="O65" s="9" t="s">
        <v>529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530</v>
      </c>
      <c r="AG65" s="14" t="s">
        <v>741</v>
      </c>
      <c r="AH65" s="14">
        <v>6.2257230000000003</v>
      </c>
      <c r="AI65" s="9">
        <v>-75.599405000000004</v>
      </c>
      <c r="AJ65" s="9" t="s">
        <v>742</v>
      </c>
      <c r="AK65" s="9">
        <v>6.29678</v>
      </c>
      <c r="AL65" s="19">
        <v>-75.582290999999998</v>
      </c>
      <c r="AM65" s="28">
        <f t="shared" si="0"/>
        <v>5.078703703703704E-2</v>
      </c>
      <c r="AN65" s="9"/>
    </row>
    <row r="66" spans="1:40" ht="15" x14ac:dyDescent="0.25">
      <c r="A66" s="9" t="s">
        <v>531</v>
      </c>
      <c r="B66" s="9" t="s">
        <v>532</v>
      </c>
      <c r="C66" s="9" t="s">
        <v>533</v>
      </c>
      <c r="D66" s="9" t="s">
        <v>508</v>
      </c>
      <c r="E66" s="9" t="s">
        <v>36</v>
      </c>
      <c r="F66" s="9" t="s">
        <v>509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534</v>
      </c>
      <c r="L66" s="9" t="s">
        <v>42</v>
      </c>
      <c r="M66" s="10">
        <v>1.4548611111111109E-2</v>
      </c>
      <c r="N66" s="9" t="s">
        <v>127</v>
      </c>
      <c r="O66" s="9" t="s">
        <v>535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536</v>
      </c>
      <c r="AG66" s="14" t="s">
        <v>743</v>
      </c>
      <c r="AH66" s="14">
        <v>6.2255940000000001</v>
      </c>
      <c r="AI66" s="9">
        <v>-75.599468000000002</v>
      </c>
      <c r="AJ66" s="9" t="s">
        <v>744</v>
      </c>
      <c r="AK66" s="9">
        <v>6.237031</v>
      </c>
      <c r="AL66" s="19">
        <v>-75.558795000000003</v>
      </c>
      <c r="AM66" s="28">
        <f t="shared" si="0"/>
        <v>0.13465277777777779</v>
      </c>
      <c r="AN66" s="9"/>
    </row>
    <row r="67" spans="1:40" ht="15" x14ac:dyDescent="0.25">
      <c r="A67" s="9" t="s">
        <v>537</v>
      </c>
      <c r="B67" s="9" t="s">
        <v>538</v>
      </c>
      <c r="C67" s="9" t="s">
        <v>539</v>
      </c>
      <c r="D67" s="9" t="s">
        <v>508</v>
      </c>
      <c r="E67" s="9" t="s">
        <v>36</v>
      </c>
      <c r="F67" s="9" t="s">
        <v>509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540</v>
      </c>
      <c r="L67" s="9" t="s">
        <v>42</v>
      </c>
      <c r="M67" s="10">
        <v>4.5633506944444437E-2</v>
      </c>
      <c r="N67" s="9" t="s">
        <v>43</v>
      </c>
      <c r="O67" s="9" t="s">
        <v>541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542</v>
      </c>
      <c r="AG67" s="14" t="s">
        <v>745</v>
      </c>
      <c r="AH67" s="14">
        <v>6.2253920000000003</v>
      </c>
      <c r="AI67" s="9">
        <v>-75.599262999999993</v>
      </c>
      <c r="AJ67" s="9" t="s">
        <v>746</v>
      </c>
      <c r="AK67" s="9">
        <v>6.2476979999999998</v>
      </c>
      <c r="AL67" s="19">
        <v>-75.551682999999997</v>
      </c>
      <c r="AM67" s="28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543</v>
      </c>
      <c r="B68" s="9" t="s">
        <v>544</v>
      </c>
      <c r="C68" s="9" t="s">
        <v>545</v>
      </c>
      <c r="D68" s="9" t="s">
        <v>508</v>
      </c>
      <c r="E68" s="9" t="s">
        <v>36</v>
      </c>
      <c r="F68" s="9" t="s">
        <v>509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546</v>
      </c>
      <c r="L68" s="9" t="s">
        <v>42</v>
      </c>
      <c r="M68" s="10">
        <v>1.510416666666667E-2</v>
      </c>
      <c r="N68" s="9" t="s">
        <v>127</v>
      </c>
      <c r="O68" s="9" t="s">
        <v>547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548</v>
      </c>
      <c r="AG68" s="14" t="s">
        <v>747</v>
      </c>
      <c r="AH68" s="14">
        <v>6.2266820000000003</v>
      </c>
      <c r="AI68" s="9">
        <v>-75.599277000000001</v>
      </c>
      <c r="AJ68" s="9" t="s">
        <v>748</v>
      </c>
      <c r="AK68" s="9">
        <v>6.3086760000000002</v>
      </c>
      <c r="AL68" s="19">
        <v>-75.559915000000004</v>
      </c>
      <c r="AM68" s="28">
        <f t="shared" si="1"/>
        <v>0</v>
      </c>
      <c r="AN68" s="9"/>
    </row>
    <row r="69" spans="1:40" ht="15" x14ac:dyDescent="0.25">
      <c r="A69" s="9" t="s">
        <v>549</v>
      </c>
      <c r="B69" s="9" t="s">
        <v>550</v>
      </c>
      <c r="C69" s="9" t="s">
        <v>551</v>
      </c>
      <c r="D69" s="9" t="s">
        <v>508</v>
      </c>
      <c r="E69" s="9" t="s">
        <v>36</v>
      </c>
      <c r="F69" s="9" t="s">
        <v>509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552</v>
      </c>
      <c r="L69" s="9" t="s">
        <v>42</v>
      </c>
      <c r="M69" s="10">
        <v>3.4722222222222222E-5</v>
      </c>
      <c r="N69" s="9" t="s">
        <v>65</v>
      </c>
      <c r="O69" s="9" t="s">
        <v>553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554</v>
      </c>
      <c r="AG69" s="14" t="s">
        <v>749</v>
      </c>
      <c r="AH69" s="14">
        <v>6.2256869999999997</v>
      </c>
      <c r="AI69" s="9">
        <v>-75.599423999999999</v>
      </c>
      <c r="AJ69" s="9" t="s">
        <v>750</v>
      </c>
      <c r="AK69" s="9">
        <v>6.3070500000000003</v>
      </c>
      <c r="AL69" s="19">
        <v>-75.578316000000001</v>
      </c>
      <c r="AM69" s="28">
        <f t="shared" si="1"/>
        <v>3.0567129629629632E-2</v>
      </c>
      <c r="AN69" s="9"/>
    </row>
    <row r="70" spans="1:40" ht="15" x14ac:dyDescent="0.25">
      <c r="A70" s="9" t="s">
        <v>555</v>
      </c>
      <c r="B70" s="9" t="s">
        <v>556</v>
      </c>
      <c r="C70" s="9" t="s">
        <v>557</v>
      </c>
      <c r="D70" s="9" t="s">
        <v>508</v>
      </c>
      <c r="E70" s="9" t="s">
        <v>36</v>
      </c>
      <c r="F70" s="9" t="s">
        <v>509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558</v>
      </c>
      <c r="L70" s="9" t="s">
        <v>42</v>
      </c>
      <c r="M70" s="10">
        <v>4.1493055555555547E-2</v>
      </c>
      <c r="N70" s="9" t="s">
        <v>43</v>
      </c>
      <c r="O70" s="9" t="s">
        <v>559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560</v>
      </c>
      <c r="AG70" s="14" t="s">
        <v>751</v>
      </c>
      <c r="AH70" s="14">
        <v>6.2255770000000004</v>
      </c>
      <c r="AI70" s="9">
        <v>-75.599168000000006</v>
      </c>
      <c r="AJ70" s="9" t="s">
        <v>752</v>
      </c>
      <c r="AK70" s="9">
        <v>6.2253429999999996</v>
      </c>
      <c r="AL70" s="19">
        <v>-75.599208000000004</v>
      </c>
      <c r="AM70" s="28">
        <f t="shared" si="1"/>
        <v>5.5925925925925921E-2</v>
      </c>
      <c r="AN70" s="9"/>
    </row>
    <row r="71" spans="1:40" ht="15" x14ac:dyDescent="0.25">
      <c r="A71" s="9" t="s">
        <v>562</v>
      </c>
      <c r="B71" s="9" t="s">
        <v>563</v>
      </c>
      <c r="C71" s="9" t="s">
        <v>564</v>
      </c>
      <c r="D71" s="9" t="s">
        <v>565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566</v>
      </c>
      <c r="L71" s="9" t="s">
        <v>42</v>
      </c>
      <c r="M71" s="10">
        <v>5.7773379629629624E-3</v>
      </c>
      <c r="N71" s="9" t="s">
        <v>65</v>
      </c>
      <c r="O71" s="9" t="s">
        <v>567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568</v>
      </c>
      <c r="AG71" s="14" t="s">
        <v>753</v>
      </c>
      <c r="AH71" s="14">
        <v>6.2217500000000001</v>
      </c>
      <c r="AI71" s="9">
        <v>-75.593790999999996</v>
      </c>
      <c r="AJ71" s="9" t="s">
        <v>754</v>
      </c>
      <c r="AK71" s="9">
        <v>6.2321720000000003</v>
      </c>
      <c r="AL71" s="19">
        <v>-75.597104000000002</v>
      </c>
      <c r="AM71" s="28">
        <f t="shared" si="1"/>
        <v>0</v>
      </c>
      <c r="AN71" s="9"/>
    </row>
    <row r="72" spans="1:40" ht="15" x14ac:dyDescent="0.25">
      <c r="A72" s="9" t="s">
        <v>569</v>
      </c>
      <c r="B72" s="9" t="s">
        <v>570</v>
      </c>
      <c r="C72" s="9" t="s">
        <v>571</v>
      </c>
      <c r="D72" s="9" t="s">
        <v>565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572</v>
      </c>
      <c r="L72" s="9" t="s">
        <v>42</v>
      </c>
      <c r="M72" s="10">
        <v>2.239583333333333E-2</v>
      </c>
      <c r="N72" s="9" t="s">
        <v>127</v>
      </c>
      <c r="O72" s="9" t="s">
        <v>573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574</v>
      </c>
      <c r="AG72" s="14" t="s">
        <v>755</v>
      </c>
      <c r="AH72" s="14">
        <v>6.2256450000000001</v>
      </c>
      <c r="AI72" s="9">
        <v>-75.599376000000007</v>
      </c>
      <c r="AJ72" s="9" t="s">
        <v>756</v>
      </c>
      <c r="AK72" s="9">
        <v>6.2517519999999998</v>
      </c>
      <c r="AL72" s="19">
        <v>-75.606869000000003</v>
      </c>
      <c r="AM72" s="28">
        <f t="shared" si="1"/>
        <v>4.0335648148148148E-2</v>
      </c>
      <c r="AN72" s="9"/>
    </row>
    <row r="73" spans="1:40" ht="15" x14ac:dyDescent="0.25">
      <c r="A73" s="9" t="s">
        <v>575</v>
      </c>
      <c r="B73" s="9" t="s">
        <v>576</v>
      </c>
      <c r="C73" s="9" t="s">
        <v>577</v>
      </c>
      <c r="D73" s="9" t="s">
        <v>565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578</v>
      </c>
      <c r="L73" s="9" t="s">
        <v>42</v>
      </c>
      <c r="M73" s="10">
        <v>5.6018518518518518E-3</v>
      </c>
      <c r="N73" s="9" t="s">
        <v>65</v>
      </c>
      <c r="O73" s="9" t="s">
        <v>579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580</v>
      </c>
      <c r="AG73" s="14" t="s">
        <v>757</v>
      </c>
      <c r="AH73" s="14">
        <v>6.225651</v>
      </c>
      <c r="AI73" s="9">
        <v>-75.599455000000006</v>
      </c>
      <c r="AJ73" s="9" t="s">
        <v>758</v>
      </c>
      <c r="AK73" s="9">
        <v>6.2588150000000002</v>
      </c>
      <c r="AL73" s="19">
        <v>-75.597380000000001</v>
      </c>
      <c r="AM73" s="28">
        <f t="shared" si="1"/>
        <v>0.1113078703703704</v>
      </c>
      <c r="AN73" s="9"/>
    </row>
    <row r="74" spans="1:40" ht="15" x14ac:dyDescent="0.25">
      <c r="A74" s="9" t="s">
        <v>581</v>
      </c>
      <c r="B74" s="9" t="s">
        <v>582</v>
      </c>
      <c r="C74" s="9" t="s">
        <v>583</v>
      </c>
      <c r="D74" s="9" t="s">
        <v>565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584</v>
      </c>
      <c r="L74" s="9" t="s">
        <v>42</v>
      </c>
      <c r="M74" s="10">
        <v>6.6087962962962966E-3</v>
      </c>
      <c r="N74" s="9" t="s">
        <v>65</v>
      </c>
      <c r="O74" s="9" t="s">
        <v>585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586</v>
      </c>
      <c r="AG74" s="14" t="s">
        <v>759</v>
      </c>
      <c r="AH74" s="14">
        <v>6.2257400000000001</v>
      </c>
      <c r="AI74" s="9">
        <v>-75.599144999999993</v>
      </c>
      <c r="AJ74" s="9" t="s">
        <v>760</v>
      </c>
      <c r="AK74" s="9">
        <v>6.2465330000000003</v>
      </c>
      <c r="AL74" s="19">
        <v>-75.568451999999994</v>
      </c>
      <c r="AM74" s="28">
        <f t="shared" si="1"/>
        <v>0.17048611111111109</v>
      </c>
      <c r="AN74" s="9"/>
    </row>
    <row r="75" spans="1:40" ht="15" x14ac:dyDescent="0.25">
      <c r="A75" s="9" t="s">
        <v>587</v>
      </c>
      <c r="B75" s="9" t="s">
        <v>588</v>
      </c>
      <c r="C75" s="9" t="s">
        <v>589</v>
      </c>
      <c r="D75" s="9" t="s">
        <v>565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590</v>
      </c>
      <c r="L75" s="9" t="s">
        <v>42</v>
      </c>
      <c r="M75" s="10">
        <v>2.1839120370370372E-3</v>
      </c>
      <c r="N75" s="9" t="s">
        <v>65</v>
      </c>
      <c r="O75" s="9" t="s">
        <v>591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592</v>
      </c>
      <c r="AG75" s="14" t="s">
        <v>761</v>
      </c>
      <c r="AH75" s="14">
        <v>6.2255900000000004</v>
      </c>
      <c r="AI75" s="9">
        <v>-75.599134000000006</v>
      </c>
      <c r="AJ75" s="9" t="s">
        <v>762</v>
      </c>
      <c r="AK75" s="9">
        <v>6.2592119999999998</v>
      </c>
      <c r="AL75" s="19">
        <v>-75.620936999999998</v>
      </c>
      <c r="AM75" s="28">
        <f t="shared" si="1"/>
        <v>0</v>
      </c>
      <c r="AN75" s="9"/>
    </row>
    <row r="76" spans="1:40" ht="15" x14ac:dyDescent="0.25">
      <c r="A76" s="9" t="s">
        <v>593</v>
      </c>
      <c r="B76" s="9" t="s">
        <v>594</v>
      </c>
      <c r="C76" s="9" t="s">
        <v>595</v>
      </c>
      <c r="D76" s="9" t="s">
        <v>565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596</v>
      </c>
      <c r="L76" s="9" t="s">
        <v>42</v>
      </c>
      <c r="M76" s="10">
        <v>5.8796296296296296E-3</v>
      </c>
      <c r="N76" s="9" t="s">
        <v>65</v>
      </c>
      <c r="O76" s="9" t="s">
        <v>597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598</v>
      </c>
      <c r="AG76" s="14" t="s">
        <v>763</v>
      </c>
      <c r="AH76" s="14">
        <v>6.2267859999999997</v>
      </c>
      <c r="AI76" s="9">
        <v>-75.599287000000004</v>
      </c>
      <c r="AJ76" s="9" t="s">
        <v>764</v>
      </c>
      <c r="AK76" s="9">
        <v>6.2791969999999999</v>
      </c>
      <c r="AL76" s="19">
        <v>-75.569158000000002</v>
      </c>
      <c r="AM76" s="28">
        <f t="shared" si="1"/>
        <v>0</v>
      </c>
      <c r="AN76" s="9"/>
    </row>
    <row r="77" spans="1:40" ht="15" x14ac:dyDescent="0.25">
      <c r="A77" s="9" t="s">
        <v>599</v>
      </c>
      <c r="B77" s="9" t="s">
        <v>600</v>
      </c>
      <c r="C77" s="9" t="s">
        <v>601</v>
      </c>
      <c r="D77" s="9" t="s">
        <v>565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602</v>
      </c>
      <c r="L77" s="9" t="s">
        <v>42</v>
      </c>
      <c r="M77" s="10">
        <v>4.5138888888888892E-4</v>
      </c>
      <c r="N77" s="9" t="s">
        <v>65</v>
      </c>
      <c r="O77" s="9" t="s">
        <v>603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604</v>
      </c>
      <c r="AG77" s="14" t="s">
        <v>765</v>
      </c>
      <c r="AH77" s="14">
        <v>6.2257170000000004</v>
      </c>
      <c r="AI77" s="9">
        <v>-75.599404000000007</v>
      </c>
      <c r="AJ77" s="9" t="s">
        <v>766</v>
      </c>
      <c r="AK77" s="9">
        <v>6.3035889999999997</v>
      </c>
      <c r="AL77" s="19">
        <v>-75.574327999999994</v>
      </c>
      <c r="AM77" s="28">
        <f t="shared" si="1"/>
        <v>5.2974537037037042E-2</v>
      </c>
      <c r="AN77" s="9"/>
    </row>
    <row r="78" spans="1:40" ht="15" x14ac:dyDescent="0.25">
      <c r="A78" s="9" t="s">
        <v>605</v>
      </c>
      <c r="B78" s="9" t="s">
        <v>606</v>
      </c>
      <c r="C78" s="9" t="s">
        <v>607</v>
      </c>
      <c r="D78" s="9" t="s">
        <v>565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608</v>
      </c>
      <c r="L78" s="9" t="s">
        <v>42</v>
      </c>
      <c r="M78" s="10">
        <v>1.3888888888888889E-3</v>
      </c>
      <c r="N78" s="9" t="s">
        <v>65</v>
      </c>
      <c r="O78" s="9" t="s">
        <v>609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610</v>
      </c>
      <c r="AG78" s="14" t="s">
        <v>767</v>
      </c>
      <c r="AH78" s="14">
        <v>6.2255209999999996</v>
      </c>
      <c r="AI78" s="9">
        <v>-75.599044000000006</v>
      </c>
      <c r="AJ78" s="9" t="s">
        <v>768</v>
      </c>
      <c r="AK78" s="9">
        <v>6.2255269999999996</v>
      </c>
      <c r="AL78" s="19">
        <v>-75.599142999999998</v>
      </c>
      <c r="AM78" s="28">
        <f t="shared" si="1"/>
        <v>1.1817129629629631E-2</v>
      </c>
      <c r="AN78" s="9"/>
    </row>
    <row r="79" spans="1:40" ht="15" x14ac:dyDescent="0.25">
      <c r="A79" s="9" t="s">
        <v>611</v>
      </c>
      <c r="B79" s="9" t="s">
        <v>612</v>
      </c>
      <c r="C79" s="9" t="s">
        <v>613</v>
      </c>
      <c r="D79" s="9" t="s">
        <v>565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2">
        <v>46273.354166666664</v>
      </c>
      <c r="L79" s="9" t="s">
        <v>42</v>
      </c>
      <c r="M79" s="10">
        <v>0</v>
      </c>
      <c r="N79" s="9" t="s">
        <v>127</v>
      </c>
      <c r="O79" s="32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614</v>
      </c>
      <c r="AG79" s="14" t="s">
        <v>739</v>
      </c>
      <c r="AH79" s="14">
        <v>6.2252320000000001</v>
      </c>
      <c r="AI79" s="9">
        <v>-75.598584000000002</v>
      </c>
      <c r="AJ79" s="9" t="s">
        <v>740</v>
      </c>
      <c r="AK79" s="9">
        <v>6.2635589999999999</v>
      </c>
      <c r="AL79" s="19">
        <v>-75.597027999999995</v>
      </c>
      <c r="AM79" s="28">
        <f t="shared" si="1"/>
        <v>0.10394675925925929</v>
      </c>
      <c r="AN79" s="9" t="s">
        <v>1322</v>
      </c>
    </row>
    <row r="80" spans="1:40" ht="15" x14ac:dyDescent="0.25">
      <c r="A80" s="9" t="s">
        <v>769</v>
      </c>
      <c r="B80" s="9" t="s">
        <v>770</v>
      </c>
      <c r="C80" s="9" t="s">
        <v>771</v>
      </c>
      <c r="D80" s="9" t="s">
        <v>565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772</v>
      </c>
      <c r="L80" s="9" t="s">
        <v>117</v>
      </c>
      <c r="M80" s="10">
        <v>5.486111111111111E-2</v>
      </c>
      <c r="N80" s="9" t="s">
        <v>127</v>
      </c>
      <c r="O80" s="9" t="s">
        <v>773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774</v>
      </c>
      <c r="AG80" s="9" t="s">
        <v>775</v>
      </c>
      <c r="AH80" s="9">
        <v>6.2291530000000002</v>
      </c>
      <c r="AI80" s="9">
        <v>-75.601984999999999</v>
      </c>
      <c r="AJ80" s="9" t="s">
        <v>776</v>
      </c>
      <c r="AK80" s="9">
        <v>6.2727120000000003</v>
      </c>
      <c r="AL80" s="19">
        <v>-75.602135000000004</v>
      </c>
      <c r="AM80" s="28">
        <f t="shared" si="1"/>
        <v>0</v>
      </c>
      <c r="AN80" s="9"/>
    </row>
    <row r="81" spans="1:54" ht="15" x14ac:dyDescent="0.25">
      <c r="A81" s="9" t="s">
        <v>777</v>
      </c>
      <c r="B81" s="9" t="s">
        <v>778</v>
      </c>
      <c r="C81" s="9" t="s">
        <v>779</v>
      </c>
      <c r="D81" s="9" t="s">
        <v>565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780</v>
      </c>
      <c r="L81" s="9" t="s">
        <v>117</v>
      </c>
      <c r="M81" s="10">
        <v>5.2847222222222219E-2</v>
      </c>
      <c r="N81" s="9" t="s">
        <v>127</v>
      </c>
      <c r="O81" s="9" t="s">
        <v>781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782</v>
      </c>
      <c r="AG81" s="9" t="s">
        <v>783</v>
      </c>
      <c r="AH81" s="9">
        <v>6.2848389999999998</v>
      </c>
      <c r="AI81" s="9">
        <v>-75.562652999999997</v>
      </c>
      <c r="AJ81" s="9" t="s">
        <v>784</v>
      </c>
      <c r="AK81" s="9">
        <v>6.2633109999999999</v>
      </c>
      <c r="AL81" s="19">
        <v>-75.556538000000003</v>
      </c>
      <c r="AM81" s="28">
        <f t="shared" si="1"/>
        <v>0</v>
      </c>
      <c r="AN81" s="9"/>
    </row>
    <row r="82" spans="1:54" ht="15" x14ac:dyDescent="0.25">
      <c r="A82" s="9" t="s">
        <v>785</v>
      </c>
      <c r="B82" s="9" t="s">
        <v>786</v>
      </c>
      <c r="C82" s="9" t="s">
        <v>787</v>
      </c>
      <c r="D82" s="9" t="s">
        <v>565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788</v>
      </c>
      <c r="L82" s="9" t="s">
        <v>117</v>
      </c>
      <c r="M82" s="10">
        <v>1.351851851851852E-2</v>
      </c>
      <c r="N82" s="9" t="s">
        <v>127</v>
      </c>
      <c r="O82" s="9" t="s">
        <v>789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790</v>
      </c>
      <c r="AG82" s="9" t="s">
        <v>791</v>
      </c>
      <c r="AH82" s="9">
        <v>6.2269959999999998</v>
      </c>
      <c r="AI82" s="9">
        <v>-75.599277000000001</v>
      </c>
      <c r="AJ82" s="9" t="s">
        <v>792</v>
      </c>
      <c r="AK82" s="9">
        <v>6.2904710000000001</v>
      </c>
      <c r="AL82" s="19">
        <v>-75.546616999999998</v>
      </c>
      <c r="AM82" s="28">
        <f t="shared" si="1"/>
        <v>0</v>
      </c>
      <c r="AN82" s="9"/>
    </row>
    <row r="83" spans="1:54" ht="15" x14ac:dyDescent="0.25">
      <c r="A83" s="9" t="s">
        <v>793</v>
      </c>
      <c r="B83" s="9" t="s">
        <v>794</v>
      </c>
      <c r="C83" s="9" t="s">
        <v>795</v>
      </c>
      <c r="D83" s="9" t="s">
        <v>565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796</v>
      </c>
      <c r="L83" s="9" t="s">
        <v>117</v>
      </c>
      <c r="M83" s="10">
        <v>1.380787037037037E-2</v>
      </c>
      <c r="N83" s="9" t="s">
        <v>127</v>
      </c>
      <c r="O83" s="9" t="s">
        <v>797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798</v>
      </c>
      <c r="AG83" s="9" t="s">
        <v>799</v>
      </c>
      <c r="AH83" s="9">
        <v>6.2253429999999996</v>
      </c>
      <c r="AI83" s="9">
        <v>-75.599271999999999</v>
      </c>
      <c r="AJ83" s="9" t="s">
        <v>800</v>
      </c>
      <c r="AK83" s="9">
        <v>6.251735</v>
      </c>
      <c r="AL83" s="19">
        <v>-75.551812999999996</v>
      </c>
      <c r="AM83" s="28">
        <f t="shared" si="1"/>
        <v>3.064814814814815E-2</v>
      </c>
      <c r="AN83" s="9"/>
    </row>
    <row r="84" spans="1:54" ht="15" x14ac:dyDescent="0.25">
      <c r="A84" s="17" t="s">
        <v>801</v>
      </c>
      <c r="B84" s="17" t="s">
        <v>802</v>
      </c>
      <c r="C84" s="17" t="s">
        <v>803</v>
      </c>
      <c r="D84" s="17" t="s">
        <v>565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804</v>
      </c>
      <c r="L84" s="17" t="s">
        <v>117</v>
      </c>
      <c r="M84" s="18">
        <v>2.8470277777777771E-2</v>
      </c>
      <c r="N84" s="17" t="s">
        <v>127</v>
      </c>
      <c r="O84" s="17" t="s">
        <v>805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806</v>
      </c>
      <c r="AG84" s="17" t="s">
        <v>807</v>
      </c>
      <c r="AH84" s="17">
        <v>6.2266000000000004</v>
      </c>
      <c r="AI84" s="17">
        <v>-75.599172999999993</v>
      </c>
      <c r="AJ84" s="17" t="s">
        <v>808</v>
      </c>
      <c r="AK84" s="17">
        <v>6.2590969999999997</v>
      </c>
      <c r="AL84" s="25">
        <v>-75.587132999999994</v>
      </c>
      <c r="AM84" s="28">
        <f t="shared" si="1"/>
        <v>0</v>
      </c>
      <c r="AN84" s="9"/>
    </row>
    <row r="85" spans="1:54" ht="15" x14ac:dyDescent="0.25">
      <c r="A85" s="9" t="s">
        <v>809</v>
      </c>
      <c r="B85" s="9" t="s">
        <v>810</v>
      </c>
      <c r="C85" s="9" t="s">
        <v>811</v>
      </c>
      <c r="D85" s="9" t="s">
        <v>812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813</v>
      </c>
      <c r="L85" s="9" t="s">
        <v>42</v>
      </c>
      <c r="M85" s="10">
        <v>1.8701712962962962E-2</v>
      </c>
      <c r="N85" s="9" t="s">
        <v>43</v>
      </c>
      <c r="O85" s="9" t="s">
        <v>814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815</v>
      </c>
      <c r="AG85" s="9" t="s">
        <v>816</v>
      </c>
      <c r="AH85" s="9">
        <v>6.2217019999999996</v>
      </c>
      <c r="AI85" s="9">
        <v>-75.593802999999994</v>
      </c>
      <c r="AJ85" s="9" t="s">
        <v>817</v>
      </c>
      <c r="AK85" s="9">
        <v>6.239052</v>
      </c>
      <c r="AL85" s="19">
        <v>-75.573688000000004</v>
      </c>
      <c r="AM85" s="28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818</v>
      </c>
      <c r="B86" s="9" t="s">
        <v>819</v>
      </c>
      <c r="C86" s="9" t="s">
        <v>820</v>
      </c>
      <c r="D86" s="9" t="s">
        <v>812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821</v>
      </c>
      <c r="L86" s="9" t="s">
        <v>42</v>
      </c>
      <c r="M86" s="10">
        <v>1.90625E-2</v>
      </c>
      <c r="N86" s="9" t="s">
        <v>127</v>
      </c>
      <c r="O86" s="9" t="s">
        <v>822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823</v>
      </c>
      <c r="AG86" s="9" t="s">
        <v>824</v>
      </c>
      <c r="AH86" s="9">
        <v>6.2476459999999996</v>
      </c>
      <c r="AI86" s="9">
        <v>-75.614966999999993</v>
      </c>
      <c r="AJ86" s="9" t="s">
        <v>825</v>
      </c>
      <c r="AK86" s="9">
        <v>6.2434399999999997</v>
      </c>
      <c r="AL86" s="19">
        <v>-75.602891999999997</v>
      </c>
      <c r="AM86" s="28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826</v>
      </c>
      <c r="B87" s="9" t="s">
        <v>827</v>
      </c>
      <c r="C87" s="9" t="s">
        <v>828</v>
      </c>
      <c r="D87" s="9" t="s">
        <v>812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829</v>
      </c>
      <c r="L87" s="9" t="s">
        <v>42</v>
      </c>
      <c r="M87" s="10">
        <v>2.685185185185185E-3</v>
      </c>
      <c r="N87" s="9" t="s">
        <v>65</v>
      </c>
      <c r="O87" s="9" t="s">
        <v>830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831</v>
      </c>
      <c r="AG87" s="9" t="s">
        <v>832</v>
      </c>
      <c r="AH87" s="9">
        <v>6.258318</v>
      </c>
      <c r="AI87" s="9">
        <v>-75.597741999999997</v>
      </c>
      <c r="AJ87" s="9" t="s">
        <v>833</v>
      </c>
      <c r="AK87" s="9">
        <v>6.2054049999999998</v>
      </c>
      <c r="AL87" s="19">
        <v>-75.550645000000003</v>
      </c>
      <c r="AM87" s="28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834</v>
      </c>
      <c r="B88" s="9" t="s">
        <v>835</v>
      </c>
      <c r="C88" s="9" t="s">
        <v>836</v>
      </c>
      <c r="D88" s="9" t="s">
        <v>812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837</v>
      </c>
      <c r="L88" s="9" t="s">
        <v>42</v>
      </c>
      <c r="M88" s="10">
        <v>3.9004629629629632E-3</v>
      </c>
      <c r="N88" s="9" t="s">
        <v>65</v>
      </c>
      <c r="O88" s="9" t="s">
        <v>838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839</v>
      </c>
      <c r="AG88" s="9" t="s">
        <v>840</v>
      </c>
      <c r="AH88" s="9">
        <v>6.3100529999999999</v>
      </c>
      <c r="AI88" s="9">
        <v>-75.578040999999999</v>
      </c>
      <c r="AJ88" s="9" t="s">
        <v>841</v>
      </c>
      <c r="AK88" s="9">
        <v>6.3061689999999997</v>
      </c>
      <c r="AL88" s="19">
        <v>-75.573086000000004</v>
      </c>
      <c r="AM88" s="28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842</v>
      </c>
      <c r="B89" s="9" t="s">
        <v>843</v>
      </c>
      <c r="C89" s="9" t="s">
        <v>844</v>
      </c>
      <c r="D89" s="9" t="s">
        <v>812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845</v>
      </c>
      <c r="L89" s="9" t="s">
        <v>42</v>
      </c>
      <c r="M89" s="10">
        <v>3.4097222222222223E-2</v>
      </c>
      <c r="N89" s="9" t="s">
        <v>43</v>
      </c>
      <c r="O89" s="9" t="s">
        <v>846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847</v>
      </c>
      <c r="AG89" s="9" t="s">
        <v>848</v>
      </c>
      <c r="AH89" s="9">
        <v>6.2415830000000003</v>
      </c>
      <c r="AI89" s="9">
        <v>-75.555441999999999</v>
      </c>
      <c r="AJ89" s="9" t="s">
        <v>849</v>
      </c>
      <c r="AK89" s="9">
        <v>6.2369300000000001</v>
      </c>
      <c r="AL89" s="19">
        <v>-75.558775999999995</v>
      </c>
      <c r="AM89" s="28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850</v>
      </c>
      <c r="B90" s="9" t="s">
        <v>851</v>
      </c>
      <c r="C90" s="9" t="s">
        <v>852</v>
      </c>
      <c r="D90" s="9" t="s">
        <v>812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853</v>
      </c>
      <c r="L90" s="9" t="s">
        <v>42</v>
      </c>
      <c r="M90" s="10">
        <v>4.1909953703703701E-3</v>
      </c>
      <c r="N90" s="9" t="s">
        <v>65</v>
      </c>
      <c r="O90" s="9" t="s">
        <v>854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592</v>
      </c>
      <c r="AG90" s="9" t="s">
        <v>855</v>
      </c>
      <c r="AH90" s="9">
        <v>6.2592470000000002</v>
      </c>
      <c r="AI90" s="9">
        <v>-75.620994999999994</v>
      </c>
      <c r="AJ90" s="9" t="s">
        <v>856</v>
      </c>
      <c r="AK90" s="9">
        <v>6.2474959999999999</v>
      </c>
      <c r="AL90" s="19">
        <v>-75.552143999999998</v>
      </c>
      <c r="AM90" s="28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857</v>
      </c>
      <c r="B91" s="9" t="s">
        <v>858</v>
      </c>
      <c r="C91" s="9" t="s">
        <v>859</v>
      </c>
      <c r="D91" s="9" t="s">
        <v>812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860</v>
      </c>
      <c r="L91" s="9" t="s">
        <v>42</v>
      </c>
      <c r="M91" s="10">
        <v>4.8750000000000002E-2</v>
      </c>
      <c r="N91" s="9" t="s">
        <v>43</v>
      </c>
      <c r="O91" s="9" t="s">
        <v>861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862</v>
      </c>
      <c r="AG91" s="9" t="s">
        <v>863</v>
      </c>
      <c r="AH91" s="9">
        <v>6.217206</v>
      </c>
      <c r="AI91" s="9">
        <v>-75.576186000000007</v>
      </c>
      <c r="AJ91" s="9" t="s">
        <v>864</v>
      </c>
      <c r="AK91" s="9">
        <v>6.3036430000000001</v>
      </c>
      <c r="AL91" s="19">
        <v>-75.557889000000003</v>
      </c>
      <c r="AM91" s="28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865</v>
      </c>
      <c r="B92" s="9" t="s">
        <v>866</v>
      </c>
      <c r="C92" s="9" t="s">
        <v>867</v>
      </c>
      <c r="D92" s="9" t="s">
        <v>812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868</v>
      </c>
      <c r="L92" s="9" t="s">
        <v>42</v>
      </c>
      <c r="M92" s="10">
        <v>2.5462962962962961E-4</v>
      </c>
      <c r="N92" s="9" t="s">
        <v>65</v>
      </c>
      <c r="O92" s="9" t="s">
        <v>869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870</v>
      </c>
      <c r="AG92" s="9" t="s">
        <v>871</v>
      </c>
      <c r="AH92" s="9">
        <v>6.3083960000000001</v>
      </c>
      <c r="AI92" s="9">
        <v>-75.576554000000002</v>
      </c>
      <c r="AJ92" s="9" t="s">
        <v>872</v>
      </c>
      <c r="AK92" s="9">
        <v>6.3069069999999998</v>
      </c>
      <c r="AL92" s="19">
        <v>-75.555556999999993</v>
      </c>
      <c r="AM92" s="28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873</v>
      </c>
      <c r="B93" s="9" t="s">
        <v>874</v>
      </c>
      <c r="C93" s="9" t="s">
        <v>875</v>
      </c>
      <c r="D93" s="9" t="s">
        <v>812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876</v>
      </c>
      <c r="L93" s="9" t="s">
        <v>42</v>
      </c>
      <c r="M93" s="10">
        <v>1.7708333333333329E-2</v>
      </c>
      <c r="N93" s="9" t="s">
        <v>43</v>
      </c>
      <c r="O93" s="9" t="s">
        <v>877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878</v>
      </c>
      <c r="AG93" s="9" t="s">
        <v>879</v>
      </c>
      <c r="AH93" s="9">
        <v>6.2253720000000001</v>
      </c>
      <c r="AI93" s="9">
        <v>-75.599439000000004</v>
      </c>
      <c r="AJ93" s="9" t="s">
        <v>880</v>
      </c>
      <c r="AK93" s="9">
        <v>6.2254300000000002</v>
      </c>
      <c r="AL93" s="19">
        <v>-75.599134000000006</v>
      </c>
      <c r="AM93" s="28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881</v>
      </c>
      <c r="B94" s="9" t="s">
        <v>882</v>
      </c>
      <c r="C94" s="9" t="s">
        <v>883</v>
      </c>
      <c r="D94" s="9" t="s">
        <v>812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884</v>
      </c>
      <c r="L94" s="9" t="s">
        <v>117</v>
      </c>
      <c r="M94" s="10">
        <v>1.087962962962963E-2</v>
      </c>
      <c r="N94" s="9" t="s">
        <v>127</v>
      </c>
      <c r="O94" s="9" t="s">
        <v>885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886</v>
      </c>
      <c r="AG94" s="9" t="s">
        <v>887</v>
      </c>
      <c r="AH94" s="9">
        <v>6.2724310000000001</v>
      </c>
      <c r="AI94" s="9">
        <v>-75.602117000000007</v>
      </c>
      <c r="AJ94" s="9" t="s">
        <v>888</v>
      </c>
      <c r="AK94" s="9">
        <v>6.2727500000000003</v>
      </c>
      <c r="AL94" s="19">
        <v>-75.602029000000002</v>
      </c>
      <c r="AM94" s="28">
        <f t="shared" si="1"/>
        <v>0</v>
      </c>
      <c r="AN94" s="9"/>
    </row>
    <row r="95" spans="1:54" ht="15" x14ac:dyDescent="0.25">
      <c r="A95" s="9" t="s">
        <v>889</v>
      </c>
      <c r="B95" s="9" t="s">
        <v>890</v>
      </c>
      <c r="C95" s="9" t="s">
        <v>891</v>
      </c>
      <c r="D95" s="9" t="s">
        <v>812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892</v>
      </c>
      <c r="L95" s="9" t="s">
        <v>117</v>
      </c>
      <c r="M95" s="10">
        <v>1.1087962962962959E-2</v>
      </c>
      <c r="N95" s="9" t="s">
        <v>127</v>
      </c>
      <c r="O95" s="9" t="s">
        <v>893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894</v>
      </c>
      <c r="AG95" s="9" t="s">
        <v>784</v>
      </c>
      <c r="AH95" s="9">
        <v>6.2633109999999999</v>
      </c>
      <c r="AI95" s="9">
        <v>-75.556538000000003</v>
      </c>
      <c r="AJ95" s="9" t="s">
        <v>895</v>
      </c>
      <c r="AK95" s="9">
        <v>6.261107</v>
      </c>
      <c r="AL95" s="19">
        <v>-75.584666999999996</v>
      </c>
      <c r="AM95" s="28">
        <f t="shared" si="1"/>
        <v>0</v>
      </c>
      <c r="AN95" s="9"/>
    </row>
    <row r="96" spans="1:54" ht="15" x14ac:dyDescent="0.25">
      <c r="A96" s="9" t="s">
        <v>896</v>
      </c>
      <c r="B96" s="9" t="s">
        <v>897</v>
      </c>
      <c r="C96" s="9" t="s">
        <v>898</v>
      </c>
      <c r="D96" s="9" t="s">
        <v>812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899</v>
      </c>
      <c r="L96" s="9" t="s">
        <v>117</v>
      </c>
      <c r="M96" s="10">
        <v>4.0659722222222222E-2</v>
      </c>
      <c r="N96" s="9" t="s">
        <v>43</v>
      </c>
      <c r="O96" s="9" t="s">
        <v>900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901</v>
      </c>
      <c r="AG96" s="9" t="s">
        <v>902</v>
      </c>
      <c r="AH96" s="9">
        <v>6.2727060000000003</v>
      </c>
      <c r="AI96" s="9">
        <v>-75.573803999999996</v>
      </c>
      <c r="AJ96" s="9" t="s">
        <v>903</v>
      </c>
      <c r="AK96" s="9">
        <v>6.29061</v>
      </c>
      <c r="AL96" s="19">
        <v>-75.546387999999993</v>
      </c>
      <c r="AM96" s="28">
        <f t="shared" si="1"/>
        <v>4.0659722222222222E-2</v>
      </c>
      <c r="AN96" s="9"/>
    </row>
    <row r="97" spans="1:40" ht="15" x14ac:dyDescent="0.25">
      <c r="A97" s="9" t="s">
        <v>904</v>
      </c>
      <c r="B97" s="9" t="s">
        <v>905</v>
      </c>
      <c r="C97" s="9" t="s">
        <v>906</v>
      </c>
      <c r="D97" s="9" t="s">
        <v>812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907</v>
      </c>
      <c r="L97" s="9" t="s">
        <v>117</v>
      </c>
      <c r="M97" s="10">
        <v>1.684027777777778E-2</v>
      </c>
      <c r="N97" s="9" t="s">
        <v>43</v>
      </c>
      <c r="O97" s="9" t="s">
        <v>908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909</v>
      </c>
      <c r="AG97" s="9" t="s">
        <v>910</v>
      </c>
      <c r="AH97" s="9">
        <v>6.2518079999999996</v>
      </c>
      <c r="AI97" s="9">
        <v>-75.551905000000005</v>
      </c>
      <c r="AJ97" s="9" t="s">
        <v>911</v>
      </c>
      <c r="AK97" s="9">
        <v>6.2517630000000004</v>
      </c>
      <c r="AL97" s="19">
        <v>-75.551749999999998</v>
      </c>
      <c r="AM97" s="28">
        <f t="shared" si="1"/>
        <v>4.193287037037037E-2</v>
      </c>
      <c r="AN97" s="9"/>
    </row>
    <row r="98" spans="1:40" ht="15" x14ac:dyDescent="0.25">
      <c r="A98" s="9" t="s">
        <v>912</v>
      </c>
      <c r="B98" s="9" t="s">
        <v>913</v>
      </c>
      <c r="C98" s="9" t="s">
        <v>914</v>
      </c>
      <c r="D98" s="9" t="s">
        <v>812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915</v>
      </c>
      <c r="L98" s="9" t="s">
        <v>117</v>
      </c>
      <c r="M98" s="10">
        <v>2.1409467592592591E-2</v>
      </c>
      <c r="N98" s="9" t="s">
        <v>127</v>
      </c>
      <c r="O98" s="9" t="s">
        <v>916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917</v>
      </c>
      <c r="AG98" s="9" t="s">
        <v>918</v>
      </c>
      <c r="AH98" s="9">
        <v>6.2685320000000004</v>
      </c>
      <c r="AI98" s="9">
        <v>-75.597139999999996</v>
      </c>
      <c r="AJ98" s="9" t="s">
        <v>919</v>
      </c>
      <c r="AK98" s="9">
        <v>6.2685719999999998</v>
      </c>
      <c r="AL98" s="19">
        <v>-75.599348000000006</v>
      </c>
      <c r="AM98" s="28">
        <f t="shared" si="1"/>
        <v>0</v>
      </c>
      <c r="AN98" s="9"/>
    </row>
    <row r="99" spans="1:40" ht="15" x14ac:dyDescent="0.25">
      <c r="A99" s="9" t="s">
        <v>926</v>
      </c>
      <c r="B99" s="9" t="s">
        <v>927</v>
      </c>
      <c r="C99" s="9" t="s">
        <v>928</v>
      </c>
      <c r="D99" s="9" t="s">
        <v>929</v>
      </c>
      <c r="E99" s="9" t="s">
        <v>36</v>
      </c>
      <c r="F99" s="9" t="s">
        <v>316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930</v>
      </c>
      <c r="L99" s="9" t="s">
        <v>42</v>
      </c>
      <c r="M99" s="10">
        <v>3.8180555555555558E-2</v>
      </c>
      <c r="N99" s="9" t="s">
        <v>43</v>
      </c>
      <c r="O99" s="9" t="s">
        <v>931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932</v>
      </c>
      <c r="AG99" s="9" t="s">
        <v>933</v>
      </c>
      <c r="AH99" s="9">
        <v>6.2252510000000001</v>
      </c>
      <c r="AI99" s="9">
        <v>-75.599789999999999</v>
      </c>
      <c r="AJ99" s="9" t="s">
        <v>934</v>
      </c>
      <c r="AK99" s="9">
        <v>6.221514</v>
      </c>
      <c r="AL99" s="19">
        <v>-75.593841999999995</v>
      </c>
      <c r="AM99" s="28">
        <f t="shared" si="1"/>
        <v>4.9216388888888886E-2</v>
      </c>
      <c r="AN99" s="9"/>
    </row>
    <row r="100" spans="1:40" ht="15" x14ac:dyDescent="0.25">
      <c r="A100" s="9" t="s">
        <v>935</v>
      </c>
      <c r="B100" s="9" t="s">
        <v>936</v>
      </c>
      <c r="C100" s="9" t="s">
        <v>937</v>
      </c>
      <c r="D100" s="9" t="s">
        <v>929</v>
      </c>
      <c r="E100" s="9" t="s">
        <v>36</v>
      </c>
      <c r="F100" s="9" t="s">
        <v>316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938</v>
      </c>
      <c r="L100" s="9" t="s">
        <v>42</v>
      </c>
      <c r="M100" s="10">
        <v>3.5879629629629629E-3</v>
      </c>
      <c r="N100" s="9" t="s">
        <v>65</v>
      </c>
      <c r="O100" s="9" t="s">
        <v>939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293</v>
      </c>
      <c r="AG100" s="9" t="s">
        <v>940</v>
      </c>
      <c r="AH100" s="9">
        <v>6.2256349999999996</v>
      </c>
      <c r="AI100" s="9">
        <v>-75.599376000000007</v>
      </c>
      <c r="AJ100" s="9" t="s">
        <v>941</v>
      </c>
      <c r="AK100" s="9">
        <v>6.2477539999999996</v>
      </c>
      <c r="AL100" s="19">
        <v>-75.615013000000005</v>
      </c>
      <c r="AM100" s="28">
        <f t="shared" si="1"/>
        <v>0</v>
      </c>
      <c r="AN100" s="9"/>
    </row>
    <row r="101" spans="1:40" ht="15" x14ac:dyDescent="0.25">
      <c r="A101" s="9" t="s">
        <v>942</v>
      </c>
      <c r="B101" s="9" t="s">
        <v>943</v>
      </c>
      <c r="C101" s="9" t="s">
        <v>944</v>
      </c>
      <c r="D101" s="9" t="s">
        <v>929</v>
      </c>
      <c r="E101" s="9" t="s">
        <v>36</v>
      </c>
      <c r="F101" s="9" t="s">
        <v>316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945</v>
      </c>
      <c r="L101" s="9" t="s">
        <v>42</v>
      </c>
      <c r="M101" s="10">
        <v>9.6643518518518511E-3</v>
      </c>
      <c r="N101" s="9" t="s">
        <v>65</v>
      </c>
      <c r="O101" s="9" t="s">
        <v>946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947</v>
      </c>
      <c r="AG101" s="9" t="s">
        <v>948</v>
      </c>
      <c r="AH101" s="9">
        <v>6.225778</v>
      </c>
      <c r="AI101" s="9">
        <v>-75.599474999999998</v>
      </c>
      <c r="AJ101" s="9" t="s">
        <v>949</v>
      </c>
      <c r="AK101" s="9">
        <v>6.2990209999999998</v>
      </c>
      <c r="AL101" s="19">
        <v>-75.579161999999997</v>
      </c>
      <c r="AM101" s="28">
        <f t="shared" si="1"/>
        <v>5.5173611111111111E-2</v>
      </c>
      <c r="AN101" s="9"/>
    </row>
    <row r="102" spans="1:40" ht="15" x14ac:dyDescent="0.25">
      <c r="A102" s="9" t="s">
        <v>950</v>
      </c>
      <c r="B102" s="9" t="s">
        <v>951</v>
      </c>
      <c r="C102" s="9" t="s">
        <v>952</v>
      </c>
      <c r="D102" s="9" t="s">
        <v>929</v>
      </c>
      <c r="E102" s="9" t="s">
        <v>36</v>
      </c>
      <c r="F102" s="9" t="s">
        <v>316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953</v>
      </c>
      <c r="L102" s="9" t="s">
        <v>42</v>
      </c>
      <c r="M102" s="10">
        <v>1.6307870370370368E-2</v>
      </c>
      <c r="N102" s="9" t="s">
        <v>43</v>
      </c>
      <c r="O102" s="9" t="s">
        <v>954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955</v>
      </c>
      <c r="AG102" s="9" t="s">
        <v>956</v>
      </c>
      <c r="AH102" s="9">
        <v>6.2256520000000002</v>
      </c>
      <c r="AI102" s="9">
        <v>-75.599211999999994</v>
      </c>
      <c r="AJ102" s="9" t="s">
        <v>957</v>
      </c>
      <c r="AK102" s="9">
        <v>6.2370000000000001</v>
      </c>
      <c r="AL102" s="19">
        <v>-75.558790000000002</v>
      </c>
      <c r="AM102" s="28">
        <f t="shared" si="1"/>
        <v>0.18754629629629627</v>
      </c>
      <c r="AN102" s="9"/>
    </row>
    <row r="103" spans="1:40" ht="15" x14ac:dyDescent="0.25">
      <c r="A103" s="9" t="s">
        <v>958</v>
      </c>
      <c r="B103" s="9" t="s">
        <v>959</v>
      </c>
      <c r="C103" s="9" t="s">
        <v>960</v>
      </c>
      <c r="D103" s="9" t="s">
        <v>929</v>
      </c>
      <c r="E103" s="9" t="s">
        <v>36</v>
      </c>
      <c r="F103" s="9" t="s">
        <v>316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961</v>
      </c>
      <c r="L103" s="9" t="s">
        <v>42</v>
      </c>
      <c r="M103" s="10">
        <v>3.6712731481481479E-3</v>
      </c>
      <c r="N103" s="9" t="s">
        <v>65</v>
      </c>
      <c r="O103" s="9" t="s">
        <v>962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963</v>
      </c>
      <c r="AG103" s="9" t="s">
        <v>964</v>
      </c>
      <c r="AH103" s="9">
        <v>6.2254079999999998</v>
      </c>
      <c r="AI103" s="9">
        <v>-75.599204</v>
      </c>
      <c r="AJ103" s="9" t="s">
        <v>965</v>
      </c>
      <c r="AK103" s="9">
        <v>6.2774130000000001</v>
      </c>
      <c r="AL103" s="19">
        <v>-75.558407000000003</v>
      </c>
      <c r="AM103" s="28">
        <f t="shared" si="1"/>
        <v>2.866016203703704E-2</v>
      </c>
      <c r="AN103" s="9"/>
    </row>
    <row r="104" spans="1:40" ht="15" x14ac:dyDescent="0.25">
      <c r="A104" s="9" t="s">
        <v>966</v>
      </c>
      <c r="B104" s="9" t="s">
        <v>967</v>
      </c>
      <c r="C104" s="9" t="s">
        <v>968</v>
      </c>
      <c r="D104" s="9" t="s">
        <v>929</v>
      </c>
      <c r="E104" s="9" t="s">
        <v>36</v>
      </c>
      <c r="F104" s="9" t="s">
        <v>316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969</v>
      </c>
      <c r="L104" s="9" t="s">
        <v>42</v>
      </c>
      <c r="M104" s="10">
        <v>2.055555555555556E-2</v>
      </c>
      <c r="N104" s="9" t="s">
        <v>127</v>
      </c>
      <c r="O104" s="9" t="s">
        <v>970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971</v>
      </c>
      <c r="AG104" s="9" t="s">
        <v>972</v>
      </c>
      <c r="AH104" s="9">
        <v>6.2260600000000004</v>
      </c>
      <c r="AI104" s="9">
        <v>-75.599687000000003</v>
      </c>
      <c r="AJ104" s="9" t="s">
        <v>973</v>
      </c>
      <c r="AK104" s="9">
        <v>6.3071640000000002</v>
      </c>
      <c r="AL104" s="19">
        <v>-75.558222000000001</v>
      </c>
      <c r="AM104" s="28">
        <f t="shared" si="1"/>
        <v>0</v>
      </c>
      <c r="AN104" s="9"/>
    </row>
    <row r="105" spans="1:40" ht="15" x14ac:dyDescent="0.25">
      <c r="A105" s="9" t="s">
        <v>974</v>
      </c>
      <c r="B105" s="9" t="s">
        <v>975</v>
      </c>
      <c r="C105" s="9" t="s">
        <v>976</v>
      </c>
      <c r="D105" s="9" t="s">
        <v>929</v>
      </c>
      <c r="E105" s="9" t="s">
        <v>36</v>
      </c>
      <c r="F105" s="9" t="s">
        <v>316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977</v>
      </c>
      <c r="L105" s="9" t="s">
        <v>42</v>
      </c>
      <c r="M105" s="10">
        <v>3.645833333333333E-3</v>
      </c>
      <c r="N105" s="9" t="s">
        <v>65</v>
      </c>
      <c r="O105" s="9" t="s">
        <v>978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979</v>
      </c>
      <c r="AG105" s="9" t="s">
        <v>980</v>
      </c>
      <c r="AH105" s="9">
        <v>6.2256580000000001</v>
      </c>
      <c r="AI105" s="9">
        <v>-75.599368999999996</v>
      </c>
      <c r="AJ105" s="9" t="s">
        <v>981</v>
      </c>
      <c r="AK105" s="9">
        <v>6.3035839999999999</v>
      </c>
      <c r="AL105" s="19">
        <v>-75.576179999999994</v>
      </c>
      <c r="AM105" s="28">
        <f t="shared" si="1"/>
        <v>4.1250000000000002E-2</v>
      </c>
      <c r="AN105" s="9"/>
    </row>
    <row r="106" spans="1:40" ht="15" x14ac:dyDescent="0.25">
      <c r="A106" s="9" t="s">
        <v>920</v>
      </c>
      <c r="B106" s="9" t="s">
        <v>982</v>
      </c>
      <c r="C106" s="9" t="s">
        <v>921</v>
      </c>
      <c r="D106" s="9" t="s">
        <v>929</v>
      </c>
      <c r="E106" s="9" t="s">
        <v>36</v>
      </c>
      <c r="F106" s="9" t="s">
        <v>316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922</v>
      </c>
      <c r="L106" s="9" t="s">
        <v>42</v>
      </c>
      <c r="M106" s="10">
        <v>1.8761574074074069E-2</v>
      </c>
      <c r="N106" s="9" t="s">
        <v>43</v>
      </c>
      <c r="O106" s="9" t="s">
        <v>923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983</v>
      </c>
      <c r="AG106" s="9" t="s">
        <v>924</v>
      </c>
      <c r="AH106" s="9">
        <v>6.2314870000000004</v>
      </c>
      <c r="AI106" s="9">
        <v>-75.593181999999999</v>
      </c>
      <c r="AJ106" s="9" t="s">
        <v>925</v>
      </c>
      <c r="AK106" s="9">
        <v>6.2534739999999998</v>
      </c>
      <c r="AL106" s="19">
        <v>-75.609339000000006</v>
      </c>
      <c r="AM106" s="28">
        <f t="shared" si="1"/>
        <v>0.12312499999999997</v>
      </c>
      <c r="AN106" s="9"/>
    </row>
    <row r="107" spans="1:40" ht="15" x14ac:dyDescent="0.25">
      <c r="A107" s="9" t="s">
        <v>984</v>
      </c>
      <c r="B107" s="9" t="s">
        <v>985</v>
      </c>
      <c r="C107" s="9" t="s">
        <v>986</v>
      </c>
      <c r="D107" s="9" t="s">
        <v>929</v>
      </c>
      <c r="E107" s="9" t="s">
        <v>36</v>
      </c>
      <c r="F107" s="9" t="s">
        <v>316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987</v>
      </c>
      <c r="L107" s="9" t="s">
        <v>42</v>
      </c>
      <c r="M107" s="10">
        <v>0.1043981481481481</v>
      </c>
      <c r="N107" s="9" t="s">
        <v>43</v>
      </c>
      <c r="O107" s="9" t="s">
        <v>988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989</v>
      </c>
      <c r="AG107" s="9" t="s">
        <v>990</v>
      </c>
      <c r="AH107" s="9">
        <v>6.2256109999999998</v>
      </c>
      <c r="AI107" s="9">
        <v>-75.599046000000001</v>
      </c>
      <c r="AJ107" s="9" t="s">
        <v>991</v>
      </c>
      <c r="AK107" s="9">
        <v>6.225644</v>
      </c>
      <c r="AL107" s="19">
        <v>-75.599170999999998</v>
      </c>
      <c r="AM107" s="28">
        <f t="shared" si="1"/>
        <v>0.11730324074074069</v>
      </c>
      <c r="AN107" s="9"/>
    </row>
    <row r="108" spans="1:40" ht="15" x14ac:dyDescent="0.25">
      <c r="A108" s="9" t="s">
        <v>992</v>
      </c>
      <c r="B108" s="9" t="s">
        <v>993</v>
      </c>
      <c r="C108" s="9" t="s">
        <v>994</v>
      </c>
      <c r="D108" s="9" t="s">
        <v>929</v>
      </c>
      <c r="E108" s="9" t="s">
        <v>36</v>
      </c>
      <c r="F108" s="9" t="s">
        <v>316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995</v>
      </c>
      <c r="L108" s="9" t="s">
        <v>117</v>
      </c>
      <c r="M108" s="10">
        <v>5.5185185185185177E-2</v>
      </c>
      <c r="N108" s="9" t="s">
        <v>127</v>
      </c>
      <c r="O108" s="9" t="s">
        <v>996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997</v>
      </c>
      <c r="AG108" s="9" t="s">
        <v>998</v>
      </c>
      <c r="AH108" s="9">
        <v>6.230658</v>
      </c>
      <c r="AI108" s="9">
        <v>-75.601994000000005</v>
      </c>
      <c r="AJ108" s="9" t="s">
        <v>999</v>
      </c>
      <c r="AK108" s="9">
        <v>6.2727430000000002</v>
      </c>
      <c r="AL108" s="19">
        <v>-75.601894000000001</v>
      </c>
      <c r="AM108" s="28">
        <f t="shared" si="1"/>
        <v>0</v>
      </c>
      <c r="AN108" s="9"/>
    </row>
    <row r="109" spans="1:40" ht="15" x14ac:dyDescent="0.25">
      <c r="A109" s="9" t="s">
        <v>1000</v>
      </c>
      <c r="B109" s="9" t="s">
        <v>1001</v>
      </c>
      <c r="C109" s="9" t="s">
        <v>1002</v>
      </c>
      <c r="D109" s="9" t="s">
        <v>929</v>
      </c>
      <c r="E109" s="9" t="s">
        <v>36</v>
      </c>
      <c r="F109" s="9" t="s">
        <v>316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1003</v>
      </c>
      <c r="L109" s="9" t="s">
        <v>117</v>
      </c>
      <c r="M109" s="10">
        <v>1.9849537037037041E-2</v>
      </c>
      <c r="N109" s="9" t="s">
        <v>127</v>
      </c>
      <c r="O109" s="9" t="s">
        <v>1004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1005</v>
      </c>
      <c r="AG109" s="9" t="s">
        <v>1006</v>
      </c>
      <c r="AH109" s="9">
        <v>6.2320650000000004</v>
      </c>
      <c r="AI109" s="9">
        <v>-75.595332999999997</v>
      </c>
      <c r="AJ109" s="9" t="s">
        <v>1007</v>
      </c>
      <c r="AK109" s="9">
        <v>6.2310100000000004</v>
      </c>
      <c r="AL109" s="19">
        <v>-75.544776999999996</v>
      </c>
      <c r="AM109" s="28">
        <f t="shared" si="1"/>
        <v>0</v>
      </c>
      <c r="AN109" s="9"/>
    </row>
    <row r="110" spans="1:40" ht="15" x14ac:dyDescent="0.25">
      <c r="A110" s="9" t="s">
        <v>1008</v>
      </c>
      <c r="B110" s="9" t="s">
        <v>1009</v>
      </c>
      <c r="C110" s="9" t="s">
        <v>1010</v>
      </c>
      <c r="D110" s="9" t="s">
        <v>929</v>
      </c>
      <c r="E110" s="9" t="s">
        <v>36</v>
      </c>
      <c r="F110" s="9" t="s">
        <v>316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1011</v>
      </c>
      <c r="L110" s="9" t="s">
        <v>117</v>
      </c>
      <c r="M110" s="10">
        <v>3.9571759259259258E-2</v>
      </c>
      <c r="N110" s="9" t="s">
        <v>127</v>
      </c>
      <c r="O110" s="9" t="s">
        <v>1012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1013</v>
      </c>
      <c r="AG110" s="9" t="s">
        <v>1014</v>
      </c>
      <c r="AH110" s="9">
        <v>6.2268330000000001</v>
      </c>
      <c r="AI110" s="9">
        <v>-75.599509999999995</v>
      </c>
      <c r="AJ110" s="9" t="s">
        <v>1015</v>
      </c>
      <c r="AK110" s="9">
        <v>6.2904929999999997</v>
      </c>
      <c r="AL110" s="19">
        <v>-75.546404999999993</v>
      </c>
      <c r="AM110" s="28">
        <f t="shared" si="1"/>
        <v>0</v>
      </c>
      <c r="AN110" s="9"/>
    </row>
    <row r="111" spans="1:40" ht="15" x14ac:dyDescent="0.25">
      <c r="A111" s="9" t="s">
        <v>1016</v>
      </c>
      <c r="B111" s="9" t="s">
        <v>1017</v>
      </c>
      <c r="C111" s="9" t="s">
        <v>1018</v>
      </c>
      <c r="D111" s="9" t="s">
        <v>929</v>
      </c>
      <c r="E111" s="9" t="s">
        <v>36</v>
      </c>
      <c r="F111" s="9" t="s">
        <v>316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1019</v>
      </c>
      <c r="L111" s="9" t="s">
        <v>117</v>
      </c>
      <c r="M111" s="10">
        <v>1.7465439814814809E-2</v>
      </c>
      <c r="N111" s="9" t="s">
        <v>127</v>
      </c>
      <c r="O111" s="9" t="s">
        <v>1020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1021</v>
      </c>
      <c r="AG111" s="9" t="s">
        <v>1022</v>
      </c>
      <c r="AH111" s="9">
        <v>6.2267450000000002</v>
      </c>
      <c r="AI111" s="9">
        <v>-75.599447999999995</v>
      </c>
      <c r="AJ111" s="9" t="s">
        <v>1023</v>
      </c>
      <c r="AK111" s="9">
        <v>6.2685180000000003</v>
      </c>
      <c r="AL111" s="19">
        <v>-75.59948</v>
      </c>
      <c r="AM111" s="28">
        <f t="shared" si="1"/>
        <v>0</v>
      </c>
      <c r="AN111" s="9"/>
    </row>
    <row r="112" spans="1:40" ht="15" x14ac:dyDescent="0.25">
      <c r="A112" s="9" t="s">
        <v>1024</v>
      </c>
      <c r="B112" s="9" t="s">
        <v>1025</v>
      </c>
      <c r="C112" s="9" t="s">
        <v>1026</v>
      </c>
      <c r="D112" s="9" t="s">
        <v>1027</v>
      </c>
      <c r="E112" s="9" t="s">
        <v>36</v>
      </c>
      <c r="F112" s="9" t="s">
        <v>407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1028</v>
      </c>
      <c r="L112" s="9" t="s">
        <v>42</v>
      </c>
      <c r="M112" s="10">
        <v>2.663623842592593E-2</v>
      </c>
      <c r="N112" s="9" t="s">
        <v>43</v>
      </c>
      <c r="O112" s="9" t="s">
        <v>1029</v>
      </c>
      <c r="P112" s="9" t="s">
        <v>414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1030</v>
      </c>
      <c r="AG112" s="9" t="s">
        <v>1031</v>
      </c>
      <c r="AH112" s="9">
        <v>6.2217669999999998</v>
      </c>
      <c r="AI112" s="9">
        <v>-75.593763999999993</v>
      </c>
      <c r="AJ112" s="9" t="s">
        <v>1032</v>
      </c>
      <c r="AK112" s="9">
        <v>6.2123650000000001</v>
      </c>
      <c r="AL112" s="19">
        <v>-75.569951000000003</v>
      </c>
      <c r="AM112" s="28">
        <f t="shared" si="1"/>
        <v>2.663623842592593E-2</v>
      </c>
      <c r="AN112" s="9"/>
    </row>
    <row r="113" spans="1:40" ht="15" x14ac:dyDescent="0.25">
      <c r="A113" s="9" t="s">
        <v>1033</v>
      </c>
      <c r="B113" s="9" t="s">
        <v>1034</v>
      </c>
      <c r="C113" s="9" t="s">
        <v>1035</v>
      </c>
      <c r="D113" s="9" t="s">
        <v>1027</v>
      </c>
      <c r="E113" s="9" t="s">
        <v>36</v>
      </c>
      <c r="F113" s="9" t="s">
        <v>407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1036</v>
      </c>
      <c r="L113" s="9" t="s">
        <v>42</v>
      </c>
      <c r="M113" s="10">
        <v>1.469907407407407E-3</v>
      </c>
      <c r="N113" s="9" t="s">
        <v>65</v>
      </c>
      <c r="O113" s="9" t="s">
        <v>1037</v>
      </c>
      <c r="P113" s="9" t="s">
        <v>414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1038</v>
      </c>
      <c r="AG113" s="9" t="s">
        <v>1039</v>
      </c>
      <c r="AH113" s="9">
        <v>6.2256939999999998</v>
      </c>
      <c r="AI113" s="9">
        <v>-75.599417000000003</v>
      </c>
      <c r="AJ113" s="9" t="s">
        <v>1040</v>
      </c>
      <c r="AK113" s="9">
        <v>6.2498519999999997</v>
      </c>
      <c r="AL113" s="19">
        <v>-75.607061000000002</v>
      </c>
      <c r="AM113" s="28">
        <f t="shared" si="1"/>
        <v>1.877314814814815E-2</v>
      </c>
      <c r="AN113" s="9"/>
    </row>
    <row r="114" spans="1:40" ht="15" x14ac:dyDescent="0.25">
      <c r="A114" s="9" t="s">
        <v>1041</v>
      </c>
      <c r="B114" s="9" t="s">
        <v>1042</v>
      </c>
      <c r="C114" s="9" t="s">
        <v>1043</v>
      </c>
      <c r="D114" s="9" t="s">
        <v>1027</v>
      </c>
      <c r="E114" s="9" t="s">
        <v>36</v>
      </c>
      <c r="F114" s="9" t="s">
        <v>407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1044</v>
      </c>
      <c r="L114" s="9" t="s">
        <v>42</v>
      </c>
      <c r="M114" s="10">
        <v>2.3842592592592591E-3</v>
      </c>
      <c r="N114" s="9" t="s">
        <v>65</v>
      </c>
      <c r="O114" s="9" t="s">
        <v>1045</v>
      </c>
      <c r="P114" s="9" t="s">
        <v>414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1046</v>
      </c>
      <c r="AG114" s="9" t="s">
        <v>1047</v>
      </c>
      <c r="AH114" s="9">
        <v>6.233676</v>
      </c>
      <c r="AI114" s="9">
        <v>-75.602097000000001</v>
      </c>
      <c r="AJ114" s="9" t="s">
        <v>1048</v>
      </c>
      <c r="AK114" s="9">
        <v>6.2458530000000003</v>
      </c>
      <c r="AL114" s="19">
        <v>-75.583882000000003</v>
      </c>
      <c r="AM114" s="28">
        <f t="shared" si="1"/>
        <v>0.12945601851851851</v>
      </c>
      <c r="AN114" s="9"/>
    </row>
    <row r="115" spans="1:40" ht="15" x14ac:dyDescent="0.25">
      <c r="A115" s="9" t="s">
        <v>1049</v>
      </c>
      <c r="B115" s="9" t="s">
        <v>1050</v>
      </c>
      <c r="C115" s="9" t="s">
        <v>1051</v>
      </c>
      <c r="D115" s="9" t="s">
        <v>1027</v>
      </c>
      <c r="E115" s="9" t="s">
        <v>36</v>
      </c>
      <c r="F115" s="9" t="s">
        <v>407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1052</v>
      </c>
      <c r="L115" s="9" t="s">
        <v>42</v>
      </c>
      <c r="M115" s="10">
        <v>1.643518518518519E-3</v>
      </c>
      <c r="N115" s="9" t="s">
        <v>65</v>
      </c>
      <c r="O115" s="9" t="s">
        <v>1053</v>
      </c>
      <c r="P115" s="9" t="s">
        <v>414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1054</v>
      </c>
      <c r="AG115" s="9" t="s">
        <v>1055</v>
      </c>
      <c r="AH115" s="9">
        <v>6.2258250000000004</v>
      </c>
      <c r="AI115" s="9">
        <v>-75.599273999999994</v>
      </c>
      <c r="AJ115" s="9" t="s">
        <v>1056</v>
      </c>
      <c r="AK115" s="9">
        <v>6.291334</v>
      </c>
      <c r="AL115" s="19">
        <v>-75.564667</v>
      </c>
      <c r="AM115" s="28">
        <f t="shared" si="1"/>
        <v>9.1701388888888888E-2</v>
      </c>
      <c r="AN115" s="9"/>
    </row>
    <row r="116" spans="1:40" ht="15" x14ac:dyDescent="0.25">
      <c r="A116" s="9" t="s">
        <v>1057</v>
      </c>
      <c r="B116" s="9" t="s">
        <v>1058</v>
      </c>
      <c r="C116" s="9" t="s">
        <v>1059</v>
      </c>
      <c r="D116" s="9" t="s">
        <v>1027</v>
      </c>
      <c r="E116" s="9" t="s">
        <v>36</v>
      </c>
      <c r="F116" s="9" t="s">
        <v>407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1060</v>
      </c>
      <c r="L116" s="9" t="s">
        <v>42</v>
      </c>
      <c r="M116" s="10">
        <v>3.8310185185185179E-3</v>
      </c>
      <c r="N116" s="9" t="s">
        <v>65</v>
      </c>
      <c r="O116" s="9" t="s">
        <v>1061</v>
      </c>
      <c r="P116" s="9" t="s">
        <v>414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1062</v>
      </c>
      <c r="AG116" s="9" t="s">
        <v>1063</v>
      </c>
      <c r="AH116" s="9">
        <v>6.2257600000000002</v>
      </c>
      <c r="AI116" s="9">
        <v>-75.599007999999998</v>
      </c>
      <c r="AJ116" s="9" t="s">
        <v>1064</v>
      </c>
      <c r="AK116" s="9">
        <v>6.23719</v>
      </c>
      <c r="AL116" s="19">
        <v>-75.559157999999996</v>
      </c>
      <c r="AM116" s="28">
        <f t="shared" si="1"/>
        <v>0.22291666666666671</v>
      </c>
      <c r="AN116" s="9"/>
    </row>
    <row r="117" spans="1:40" ht="15" x14ac:dyDescent="0.25">
      <c r="A117" s="9" t="s">
        <v>1065</v>
      </c>
      <c r="B117" s="9" t="s">
        <v>1066</v>
      </c>
      <c r="C117" s="9" t="s">
        <v>1067</v>
      </c>
      <c r="D117" s="9" t="s">
        <v>1027</v>
      </c>
      <c r="E117" s="9" t="s">
        <v>36</v>
      </c>
      <c r="F117" s="9" t="s">
        <v>407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1068</v>
      </c>
      <c r="L117" s="9" t="s">
        <v>42</v>
      </c>
      <c r="M117" s="10">
        <v>4.6527777777777774E-3</v>
      </c>
      <c r="N117" s="9" t="s">
        <v>65</v>
      </c>
      <c r="O117" s="9" t="s">
        <v>1069</v>
      </c>
      <c r="P117" s="9" t="s">
        <v>414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353</v>
      </c>
      <c r="AG117" s="9" t="s">
        <v>1070</v>
      </c>
      <c r="AH117" s="9">
        <v>6.2265819999999996</v>
      </c>
      <c r="AI117" s="9">
        <v>-75.598346000000006</v>
      </c>
      <c r="AJ117" s="9" t="s">
        <v>1071</v>
      </c>
      <c r="AK117" s="9">
        <v>6.232227</v>
      </c>
      <c r="AL117" s="19">
        <v>-75.596295999999995</v>
      </c>
      <c r="AM117" s="28">
        <f t="shared" si="1"/>
        <v>0</v>
      </c>
      <c r="AN117" s="9"/>
    </row>
    <row r="118" spans="1:40" ht="15" x14ac:dyDescent="0.25">
      <c r="A118" s="9" t="s">
        <v>1072</v>
      </c>
      <c r="B118" s="9" t="s">
        <v>1073</v>
      </c>
      <c r="C118" s="9" t="s">
        <v>1074</v>
      </c>
      <c r="D118" s="9" t="s">
        <v>1027</v>
      </c>
      <c r="E118" s="9" t="s">
        <v>36</v>
      </c>
      <c r="F118" s="9" t="s">
        <v>407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1075</v>
      </c>
      <c r="L118" s="9" t="s">
        <v>42</v>
      </c>
      <c r="M118" s="10">
        <v>7.2106481481481483E-3</v>
      </c>
      <c r="N118" s="9" t="s">
        <v>65</v>
      </c>
      <c r="O118" s="9" t="s">
        <v>1076</v>
      </c>
      <c r="P118" s="9" t="s">
        <v>414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353</v>
      </c>
      <c r="AG118" s="9" t="s">
        <v>1077</v>
      </c>
      <c r="AH118" s="9">
        <v>6.2995099999999997</v>
      </c>
      <c r="AI118" s="9">
        <v>-75.578996000000004</v>
      </c>
      <c r="AJ118" s="9" t="s">
        <v>1078</v>
      </c>
      <c r="AK118" s="9">
        <v>6.2561540000000004</v>
      </c>
      <c r="AL118" s="19">
        <v>-75.562804</v>
      </c>
      <c r="AM118" s="28">
        <f t="shared" si="1"/>
        <v>0</v>
      </c>
      <c r="AN118" s="9"/>
    </row>
    <row r="119" spans="1:40" ht="15" x14ac:dyDescent="0.25">
      <c r="A119" s="9" t="s">
        <v>1079</v>
      </c>
      <c r="B119" s="9" t="s">
        <v>1080</v>
      </c>
      <c r="C119" s="9" t="s">
        <v>1081</v>
      </c>
      <c r="D119" s="9" t="s">
        <v>1082</v>
      </c>
      <c r="E119" s="9" t="s">
        <v>36</v>
      </c>
      <c r="F119" s="9" t="s">
        <v>456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1083</v>
      </c>
      <c r="L119" s="9" t="s">
        <v>42</v>
      </c>
      <c r="M119" s="10">
        <v>3.3206018518518517E-2</v>
      </c>
      <c r="N119" s="9" t="s">
        <v>43</v>
      </c>
      <c r="O119" s="9" t="s">
        <v>1084</v>
      </c>
      <c r="P119" s="9" t="s">
        <v>414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1085</v>
      </c>
      <c r="AG119" s="9" t="s">
        <v>1086</v>
      </c>
      <c r="AH119" s="9">
        <v>6.2431239999999999</v>
      </c>
      <c r="AI119" s="9">
        <v>-75.602213000000006</v>
      </c>
      <c r="AJ119" s="9" t="s">
        <v>1087</v>
      </c>
      <c r="AK119" s="9">
        <v>6.247789</v>
      </c>
      <c r="AL119" s="19">
        <v>-75.614941999999999</v>
      </c>
      <c r="AM119" s="28">
        <f t="shared" si="1"/>
        <v>3.3206018518518517E-2</v>
      </c>
      <c r="AN119" s="9"/>
    </row>
    <row r="120" spans="1:40" ht="15" x14ac:dyDescent="0.25">
      <c r="A120" s="9" t="s">
        <v>1099</v>
      </c>
      <c r="B120" s="9" t="s">
        <v>1100</v>
      </c>
      <c r="C120" s="9" t="s">
        <v>1101</v>
      </c>
      <c r="D120" s="9" t="s">
        <v>1027</v>
      </c>
      <c r="E120" s="9" t="s">
        <v>36</v>
      </c>
      <c r="F120" s="9" t="s">
        <v>407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1102</v>
      </c>
      <c r="L120" s="9" t="s">
        <v>117</v>
      </c>
      <c r="M120" s="10">
        <v>9.5138888888888894E-3</v>
      </c>
      <c r="N120" s="9" t="s">
        <v>65</v>
      </c>
      <c r="O120" s="9" t="s">
        <v>1103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1104</v>
      </c>
      <c r="AG120" s="9" t="s">
        <v>1105</v>
      </c>
      <c r="AH120" s="9">
        <v>6.2727830000000004</v>
      </c>
      <c r="AI120" s="9">
        <v>-75.601922999999999</v>
      </c>
      <c r="AJ120" s="9" t="s">
        <v>1106</v>
      </c>
      <c r="AK120" s="9">
        <v>6.2734019999999999</v>
      </c>
      <c r="AL120" s="9">
        <v>-75.602096000000003</v>
      </c>
      <c r="AM120" s="28">
        <f t="shared" si="1"/>
        <v>0</v>
      </c>
      <c r="AN120" s="9"/>
    </row>
    <row r="121" spans="1:40" ht="15" x14ac:dyDescent="0.25">
      <c r="A121" s="9" t="s">
        <v>1107</v>
      </c>
      <c r="B121" s="9" t="s">
        <v>1108</v>
      </c>
      <c r="C121" s="9" t="s">
        <v>1109</v>
      </c>
      <c r="D121" s="9" t="s">
        <v>1027</v>
      </c>
      <c r="E121" s="9" t="s">
        <v>36</v>
      </c>
      <c r="F121" s="9" t="s">
        <v>407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1110</v>
      </c>
      <c r="L121" s="9" t="s">
        <v>117</v>
      </c>
      <c r="M121" s="10">
        <v>1.4085648148148149E-2</v>
      </c>
      <c r="N121" s="9" t="s">
        <v>43</v>
      </c>
      <c r="O121" s="9" t="s">
        <v>1111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1112</v>
      </c>
      <c r="AG121" s="9" t="s">
        <v>1007</v>
      </c>
      <c r="AH121" s="9">
        <v>6.2310100000000004</v>
      </c>
      <c r="AI121" s="9">
        <v>-75.544776999999996</v>
      </c>
      <c r="AJ121" s="9" t="s">
        <v>1113</v>
      </c>
      <c r="AK121" s="9">
        <v>6.2452800000000002</v>
      </c>
      <c r="AL121" s="9">
        <v>-75.573187000000004</v>
      </c>
      <c r="AM121" s="28">
        <f t="shared" si="1"/>
        <v>1.4085648148148149E-2</v>
      </c>
      <c r="AN121" s="9"/>
    </row>
    <row r="122" spans="1:40" ht="15" x14ac:dyDescent="0.25">
      <c r="A122" s="9" t="s">
        <v>1114</v>
      </c>
      <c r="B122" s="9" t="s">
        <v>1115</v>
      </c>
      <c r="C122" s="9" t="s">
        <v>1116</v>
      </c>
      <c r="D122" s="9" t="s">
        <v>1027</v>
      </c>
      <c r="E122" s="9" t="s">
        <v>36</v>
      </c>
      <c r="F122" s="9" t="s">
        <v>407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1117</v>
      </c>
      <c r="L122" s="9" t="s">
        <v>117</v>
      </c>
      <c r="M122" s="10">
        <v>4.5578703703703698E-2</v>
      </c>
      <c r="N122" s="9" t="s">
        <v>127</v>
      </c>
      <c r="O122" s="9" t="s">
        <v>1118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1119</v>
      </c>
      <c r="AG122" s="9" t="s">
        <v>1120</v>
      </c>
      <c r="AH122" s="9">
        <v>6.2904799999999996</v>
      </c>
      <c r="AI122" s="9">
        <v>-75.546561999999994</v>
      </c>
      <c r="AJ122" s="9" t="s">
        <v>1121</v>
      </c>
      <c r="AK122" s="9">
        <v>6.2904520000000002</v>
      </c>
      <c r="AL122" s="9">
        <v>-75.546645999999996</v>
      </c>
      <c r="AM122" s="28">
        <f t="shared" si="1"/>
        <v>0</v>
      </c>
      <c r="AN122" s="9"/>
    </row>
    <row r="123" spans="1:40" ht="15" x14ac:dyDescent="0.25">
      <c r="A123" s="9" t="s">
        <v>1122</v>
      </c>
      <c r="B123" s="9" t="s">
        <v>1123</v>
      </c>
      <c r="C123" s="9" t="s">
        <v>1124</v>
      </c>
      <c r="D123" s="9" t="s">
        <v>1027</v>
      </c>
      <c r="E123" s="9" t="s">
        <v>36</v>
      </c>
      <c r="F123" s="9" t="s">
        <v>407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1125</v>
      </c>
      <c r="L123" s="9" t="s">
        <v>42</v>
      </c>
      <c r="M123" s="10">
        <v>8.9244791666666674E-3</v>
      </c>
      <c r="N123" s="9" t="s">
        <v>65</v>
      </c>
      <c r="O123" s="9" t="s">
        <v>1126</v>
      </c>
      <c r="P123" s="9" t="s">
        <v>414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1127</v>
      </c>
      <c r="AH123" s="9">
        <v>6.2256530000000003</v>
      </c>
      <c r="AI123" s="9">
        <v>-75.599463</v>
      </c>
      <c r="AJ123" s="9" t="s">
        <v>1128</v>
      </c>
      <c r="AK123" s="9">
        <v>6.2592160000000003</v>
      </c>
      <c r="AL123" s="9">
        <v>-75.620954999999995</v>
      </c>
      <c r="AM123" s="28">
        <f t="shared" si="1"/>
        <v>0</v>
      </c>
      <c r="AN123" s="9"/>
    </row>
    <row r="124" spans="1:40" ht="15" x14ac:dyDescent="0.25">
      <c r="A124" s="9" t="s">
        <v>1129</v>
      </c>
      <c r="B124" s="9" t="s">
        <v>1130</v>
      </c>
      <c r="C124" s="9" t="s">
        <v>1131</v>
      </c>
      <c r="D124" s="9" t="s">
        <v>1027</v>
      </c>
      <c r="E124" s="9" t="s">
        <v>36</v>
      </c>
      <c r="F124" s="9" t="s">
        <v>407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1132</v>
      </c>
      <c r="L124" s="9" t="s">
        <v>117</v>
      </c>
      <c r="M124" s="10">
        <v>4.5138888888888892E-4</v>
      </c>
      <c r="N124" s="9" t="s">
        <v>65</v>
      </c>
      <c r="O124" s="9" t="s">
        <v>1133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1134</v>
      </c>
      <c r="AG124" s="9" t="s">
        <v>1135</v>
      </c>
      <c r="AH124" s="9">
        <v>6.2517699999999996</v>
      </c>
      <c r="AI124" s="9">
        <v>-75.552062000000006</v>
      </c>
      <c r="AJ124" s="9" t="s">
        <v>1136</v>
      </c>
      <c r="AK124" s="9">
        <v>6.251843</v>
      </c>
      <c r="AL124" s="9">
        <v>-75.551862</v>
      </c>
      <c r="AM124" s="28">
        <f t="shared" si="1"/>
        <v>5.5173611111111111E-2</v>
      </c>
      <c r="AN124" s="9"/>
    </row>
    <row r="125" spans="1:40" ht="15" x14ac:dyDescent="0.25">
      <c r="A125" s="9" t="s">
        <v>1137</v>
      </c>
      <c r="B125" s="9" t="s">
        <v>1138</v>
      </c>
      <c r="C125" s="9" t="s">
        <v>1139</v>
      </c>
      <c r="D125" s="9" t="s">
        <v>1082</v>
      </c>
      <c r="E125" s="9" t="s">
        <v>36</v>
      </c>
      <c r="F125" s="9" t="s">
        <v>456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1140</v>
      </c>
      <c r="L125" s="9" t="s">
        <v>117</v>
      </c>
      <c r="M125" s="10">
        <v>3.2639004629629628E-3</v>
      </c>
      <c r="N125" s="9" t="s">
        <v>65</v>
      </c>
      <c r="O125" s="9" t="s">
        <v>1141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1142</v>
      </c>
      <c r="AG125" s="9" t="s">
        <v>1143</v>
      </c>
      <c r="AH125" s="9">
        <v>6.2542499999999999</v>
      </c>
      <c r="AI125" s="9">
        <v>-75.615746999999999</v>
      </c>
      <c r="AJ125" s="9" t="s">
        <v>1144</v>
      </c>
      <c r="AK125" s="9">
        <v>6.2551119999999996</v>
      </c>
      <c r="AL125" s="9">
        <v>-75.619004000000004</v>
      </c>
      <c r="AM125" s="28">
        <f t="shared" si="1"/>
        <v>0</v>
      </c>
      <c r="AN125" s="9"/>
    </row>
    <row r="126" spans="1:40" ht="15" x14ac:dyDescent="0.25">
      <c r="A126" s="9" t="s">
        <v>1093</v>
      </c>
      <c r="B126" s="9" t="s">
        <v>1145</v>
      </c>
      <c r="C126" s="9" t="s">
        <v>1094</v>
      </c>
      <c r="D126" s="9" t="s">
        <v>1027</v>
      </c>
      <c r="E126" s="9" t="s">
        <v>36</v>
      </c>
      <c r="F126" s="9" t="s">
        <v>407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1095</v>
      </c>
      <c r="L126" s="9" t="s">
        <v>117</v>
      </c>
      <c r="M126" s="10">
        <v>3.3919722222222233E-2</v>
      </c>
      <c r="N126" s="9" t="s">
        <v>127</v>
      </c>
      <c r="O126" s="9" t="s">
        <v>1096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1146</v>
      </c>
      <c r="AG126" s="9" t="s">
        <v>1097</v>
      </c>
      <c r="AH126" s="9">
        <v>6.2684600000000001</v>
      </c>
      <c r="AI126" s="9">
        <v>-75.598605000000006</v>
      </c>
      <c r="AJ126" s="9" t="s">
        <v>1098</v>
      </c>
      <c r="AK126" s="9">
        <v>6.2615119999999997</v>
      </c>
      <c r="AL126" s="9">
        <v>-75.592320000000001</v>
      </c>
      <c r="AM126" s="28">
        <f t="shared" si="1"/>
        <v>0</v>
      </c>
      <c r="AN126" s="9"/>
    </row>
    <row r="127" spans="1:40" ht="15" x14ac:dyDescent="0.25">
      <c r="A127" s="9" t="s">
        <v>1147</v>
      </c>
      <c r="B127" s="9" t="s">
        <v>1148</v>
      </c>
      <c r="C127" s="9" t="s">
        <v>1149</v>
      </c>
      <c r="D127" s="9" t="s">
        <v>1150</v>
      </c>
      <c r="E127" s="9" t="s">
        <v>36</v>
      </c>
      <c r="F127" s="9" t="s">
        <v>509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1151</v>
      </c>
      <c r="L127" s="9" t="s">
        <v>42</v>
      </c>
      <c r="M127" s="10">
        <v>1.38003587962963E-2</v>
      </c>
      <c r="N127" s="9" t="s">
        <v>43</v>
      </c>
      <c r="O127" s="9" t="s">
        <v>1152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1153</v>
      </c>
      <c r="AG127" s="9" t="s">
        <v>1154</v>
      </c>
      <c r="AH127" s="9">
        <v>6.225295</v>
      </c>
      <c r="AI127" s="9">
        <v>-75.599788000000004</v>
      </c>
      <c r="AJ127" s="9" t="s">
        <v>1155</v>
      </c>
      <c r="AK127" s="9">
        <v>6.2217440000000002</v>
      </c>
      <c r="AL127" s="9">
        <v>-75.593836999999994</v>
      </c>
      <c r="AM127" s="28">
        <f t="shared" si="1"/>
        <v>1.38003587962963E-2</v>
      </c>
      <c r="AN127" s="9"/>
    </row>
    <row r="128" spans="1:40" ht="15" x14ac:dyDescent="0.25">
      <c r="A128" s="9" t="s">
        <v>1156</v>
      </c>
      <c r="B128" s="9" t="s">
        <v>1157</v>
      </c>
      <c r="C128" s="9" t="s">
        <v>1158</v>
      </c>
      <c r="D128" s="9" t="s">
        <v>1150</v>
      </c>
      <c r="E128" s="9" t="s">
        <v>36</v>
      </c>
      <c r="F128" s="9" t="s">
        <v>509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1159</v>
      </c>
      <c r="L128" s="9" t="s">
        <v>42</v>
      </c>
      <c r="M128" s="10">
        <v>1.1446759259259261E-2</v>
      </c>
      <c r="N128" s="9" t="s">
        <v>127</v>
      </c>
      <c r="O128" s="9" t="s">
        <v>1160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1161</v>
      </c>
      <c r="AG128" s="9" t="s">
        <v>1162</v>
      </c>
      <c r="AH128" s="9">
        <v>6.2257540000000002</v>
      </c>
      <c r="AI128" s="9">
        <v>-75.599475999999996</v>
      </c>
      <c r="AJ128" s="9" t="s">
        <v>1163</v>
      </c>
      <c r="AK128" s="9">
        <v>6.2502360000000001</v>
      </c>
      <c r="AL128" s="9">
        <v>-75.604742000000002</v>
      </c>
      <c r="AM128" s="28">
        <f t="shared" si="1"/>
        <v>2.0370370370370369E-2</v>
      </c>
      <c r="AN128" s="9"/>
    </row>
    <row r="129" spans="1:54" ht="15" x14ac:dyDescent="0.25">
      <c r="A129" s="9" t="s">
        <v>1164</v>
      </c>
      <c r="B129" s="9" t="s">
        <v>1165</v>
      </c>
      <c r="C129" s="9" t="s">
        <v>1166</v>
      </c>
      <c r="D129" s="9" t="s">
        <v>1150</v>
      </c>
      <c r="E129" s="9" t="s">
        <v>36</v>
      </c>
      <c r="F129" s="9" t="s">
        <v>509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1167</v>
      </c>
      <c r="L129" s="9" t="s">
        <v>42</v>
      </c>
      <c r="M129" s="10">
        <v>2.4548611111111111E-2</v>
      </c>
      <c r="N129" s="9" t="s">
        <v>43</v>
      </c>
      <c r="O129" s="9" t="s">
        <v>1168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1169</v>
      </c>
      <c r="AG129" s="9" t="s">
        <v>1170</v>
      </c>
      <c r="AH129" s="9">
        <v>6.2375030000000002</v>
      </c>
      <c r="AI129" s="9">
        <v>-75.606639999999999</v>
      </c>
      <c r="AJ129" s="9" t="s">
        <v>1171</v>
      </c>
      <c r="AK129" s="9">
        <v>6.2630569999999999</v>
      </c>
      <c r="AL129" s="9">
        <v>-75.595337000000001</v>
      </c>
      <c r="AM129" s="28">
        <f t="shared" si="1"/>
        <v>5.9606481481481483E-2</v>
      </c>
      <c r="AN129" s="9"/>
    </row>
    <row r="130" spans="1:54" ht="15" x14ac:dyDescent="0.25">
      <c r="A130" s="9" t="s">
        <v>1172</v>
      </c>
      <c r="B130" s="9" t="s">
        <v>1173</v>
      </c>
      <c r="C130" s="9" t="s">
        <v>1174</v>
      </c>
      <c r="D130" s="9" t="s">
        <v>1150</v>
      </c>
      <c r="E130" s="9" t="s">
        <v>36</v>
      </c>
      <c r="F130" s="9" t="s">
        <v>509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1175</v>
      </c>
      <c r="L130" s="9" t="s">
        <v>42</v>
      </c>
      <c r="M130" s="10">
        <v>9.1319444444444443E-3</v>
      </c>
      <c r="N130" s="9" t="s">
        <v>65</v>
      </c>
      <c r="O130" s="9" t="s">
        <v>1176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1177</v>
      </c>
      <c r="AG130" s="9" t="s">
        <v>1178</v>
      </c>
      <c r="AH130" s="9">
        <v>6.2256830000000001</v>
      </c>
      <c r="AI130" s="9">
        <v>-75.599395999999999</v>
      </c>
      <c r="AJ130" s="9" t="s">
        <v>1179</v>
      </c>
      <c r="AK130" s="9">
        <v>6.274832</v>
      </c>
      <c r="AL130" s="9">
        <v>-75.579003999999998</v>
      </c>
      <c r="AM130" s="28">
        <f t="shared" si="1"/>
        <v>0.1008680555555556</v>
      </c>
      <c r="AN130" s="9"/>
    </row>
    <row r="131" spans="1:54" ht="15" x14ac:dyDescent="0.25">
      <c r="A131" s="9" t="s">
        <v>1180</v>
      </c>
      <c r="B131" s="9" t="s">
        <v>1181</v>
      </c>
      <c r="C131" s="9" t="s">
        <v>1182</v>
      </c>
      <c r="D131" s="9" t="s">
        <v>1150</v>
      </c>
      <c r="E131" s="9" t="s">
        <v>36</v>
      </c>
      <c r="F131" s="9" t="s">
        <v>509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1183</v>
      </c>
      <c r="L131" s="9" t="s">
        <v>42</v>
      </c>
      <c r="M131" s="10">
        <v>3.49537037037037E-3</v>
      </c>
      <c r="N131" s="9" t="s">
        <v>65</v>
      </c>
      <c r="O131" s="9" t="s">
        <v>1184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353</v>
      </c>
      <c r="AG131" s="9" t="s">
        <v>1185</v>
      </c>
      <c r="AH131" s="9">
        <v>6.2267570000000001</v>
      </c>
      <c r="AI131" s="9">
        <v>-75.599795</v>
      </c>
      <c r="AJ131" s="9" t="s">
        <v>1186</v>
      </c>
      <c r="AK131" s="9">
        <v>6.2793390000000002</v>
      </c>
      <c r="AL131" s="9">
        <v>-75.569377000000003</v>
      </c>
      <c r="AM131" s="28">
        <f t="shared" ref="AM131:AM177" si="2">IF(N131="INICIO TARDÍO",M131,0)+IF(R131="TERMINÓ ANTES",Q131,0)</f>
        <v>0</v>
      </c>
      <c r="AN131" s="9"/>
    </row>
    <row r="132" spans="1:54" ht="15" x14ac:dyDescent="0.25">
      <c r="A132" s="9" t="s">
        <v>1187</v>
      </c>
      <c r="B132" s="9" t="s">
        <v>1188</v>
      </c>
      <c r="C132" s="9" t="s">
        <v>1189</v>
      </c>
      <c r="D132" s="9" t="s">
        <v>1150</v>
      </c>
      <c r="E132" s="9" t="s">
        <v>36</v>
      </c>
      <c r="F132" s="9" t="s">
        <v>509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1190</v>
      </c>
      <c r="L132" s="9" t="s">
        <v>42</v>
      </c>
      <c r="M132" s="10">
        <v>1.5069444444444441E-2</v>
      </c>
      <c r="N132" s="9" t="s">
        <v>43</v>
      </c>
      <c r="O132" s="9" t="s">
        <v>1191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1192</v>
      </c>
      <c r="AG132" s="9" t="s">
        <v>1193</v>
      </c>
      <c r="AH132" s="9">
        <v>6.2251849999999997</v>
      </c>
      <c r="AI132" s="9">
        <v>-75.599487999999994</v>
      </c>
      <c r="AJ132" s="9" t="s">
        <v>1194</v>
      </c>
      <c r="AK132" s="9">
        <v>6.3049689999999998</v>
      </c>
      <c r="AL132" s="9">
        <v>-75.581789000000001</v>
      </c>
      <c r="AM132" s="28">
        <f t="shared" si="2"/>
        <v>2.958333333333333E-2</v>
      </c>
      <c r="AN132" s="9"/>
    </row>
    <row r="133" spans="1:54" ht="15" x14ac:dyDescent="0.25">
      <c r="A133" s="9" t="s">
        <v>1195</v>
      </c>
      <c r="B133" s="9" t="s">
        <v>1196</v>
      </c>
      <c r="C133" s="9" t="s">
        <v>1197</v>
      </c>
      <c r="D133" s="9" t="s">
        <v>1150</v>
      </c>
      <c r="E133" s="9" t="s">
        <v>36</v>
      </c>
      <c r="F133" s="9" t="s">
        <v>509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1198</v>
      </c>
      <c r="L133" s="9" t="s">
        <v>42</v>
      </c>
      <c r="M133" s="10">
        <v>1.2939814814814821E-2</v>
      </c>
      <c r="N133" s="9" t="s">
        <v>43</v>
      </c>
      <c r="O133" s="9" t="s">
        <v>1199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1200</v>
      </c>
      <c r="AG133" s="9" t="s">
        <v>1201</v>
      </c>
      <c r="AH133" s="9">
        <v>6.2256239999999998</v>
      </c>
      <c r="AI133" s="9">
        <v>-75.599592000000001</v>
      </c>
      <c r="AJ133" s="9" t="s">
        <v>1202</v>
      </c>
      <c r="AK133" s="9">
        <v>6.2586849999999998</v>
      </c>
      <c r="AL133" s="9">
        <v>-75.616231999999997</v>
      </c>
      <c r="AM133" s="28">
        <f t="shared" si="2"/>
        <v>1.2939814814814821E-2</v>
      </c>
      <c r="AN133" s="9"/>
    </row>
    <row r="134" spans="1:54" ht="15" x14ac:dyDescent="0.25">
      <c r="A134" s="9" t="s">
        <v>1203</v>
      </c>
      <c r="B134" s="9" t="s">
        <v>1204</v>
      </c>
      <c r="C134" s="9" t="s">
        <v>1205</v>
      </c>
      <c r="D134" s="9" t="s">
        <v>1150</v>
      </c>
      <c r="E134" s="9" t="s">
        <v>36</v>
      </c>
      <c r="F134" s="9" t="s">
        <v>509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1206</v>
      </c>
      <c r="L134" s="9" t="s">
        <v>42</v>
      </c>
      <c r="M134" s="10">
        <v>9.1550925925925931E-3</v>
      </c>
      <c r="N134" s="9" t="s">
        <v>65</v>
      </c>
      <c r="O134" s="9" t="s">
        <v>1207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1208</v>
      </c>
      <c r="AG134" s="9" t="s">
        <v>1209</v>
      </c>
      <c r="AH134" s="9">
        <v>6.2257300000000004</v>
      </c>
      <c r="AI134" s="9">
        <v>-75.599395999999999</v>
      </c>
      <c r="AJ134" s="9" t="s">
        <v>1210</v>
      </c>
      <c r="AK134" s="9">
        <v>6.2370660000000004</v>
      </c>
      <c r="AL134" s="9">
        <v>-75.558841999999999</v>
      </c>
      <c r="AM134" s="28">
        <f t="shared" si="2"/>
        <v>0.14796296296296299</v>
      </c>
      <c r="AN134" s="9"/>
    </row>
    <row r="135" spans="1:54" ht="15" x14ac:dyDescent="0.25">
      <c r="A135" s="9" t="s">
        <v>1211</v>
      </c>
      <c r="B135" s="9" t="s">
        <v>1212</v>
      </c>
      <c r="C135" s="9" t="s">
        <v>1213</v>
      </c>
      <c r="D135" s="9" t="s">
        <v>1150</v>
      </c>
      <c r="E135" s="9" t="s">
        <v>36</v>
      </c>
      <c r="F135" s="9" t="s">
        <v>509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1214</v>
      </c>
      <c r="L135" s="9" t="s">
        <v>117</v>
      </c>
      <c r="M135" s="10">
        <v>3.8252314814814822E-2</v>
      </c>
      <c r="N135" s="9" t="s">
        <v>127</v>
      </c>
      <c r="O135" s="9" t="s">
        <v>1215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1216</v>
      </c>
      <c r="AG135" s="9" t="s">
        <v>1217</v>
      </c>
      <c r="AH135" s="9">
        <v>6.2267809999999999</v>
      </c>
      <c r="AI135" s="9">
        <v>-75.599305999999999</v>
      </c>
      <c r="AJ135" s="9" t="s">
        <v>1218</v>
      </c>
      <c r="AK135" s="9">
        <v>6.2726870000000003</v>
      </c>
      <c r="AL135" s="9">
        <v>-75.602014999999994</v>
      </c>
      <c r="AM135" s="28">
        <f t="shared" si="2"/>
        <v>0</v>
      </c>
      <c r="AN135" s="9"/>
    </row>
    <row r="136" spans="1:54" ht="15" x14ac:dyDescent="0.25">
      <c r="A136" s="9" t="s">
        <v>1219</v>
      </c>
      <c r="B136" s="9" t="s">
        <v>1220</v>
      </c>
      <c r="C136" s="9" t="s">
        <v>1221</v>
      </c>
      <c r="D136" s="9" t="s">
        <v>1150</v>
      </c>
      <c r="E136" s="9" t="s">
        <v>36</v>
      </c>
      <c r="F136" s="9" t="s">
        <v>509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1222</v>
      </c>
      <c r="L136" s="9" t="s">
        <v>117</v>
      </c>
      <c r="M136" s="10">
        <v>1.450231481481482E-2</v>
      </c>
      <c r="N136" s="9" t="s">
        <v>43</v>
      </c>
      <c r="O136" s="9" t="s">
        <v>1223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1224</v>
      </c>
      <c r="AG136" s="9" t="s">
        <v>1225</v>
      </c>
      <c r="AH136" s="9">
        <v>6.2759520000000002</v>
      </c>
      <c r="AI136" s="9">
        <v>-75.554822999999999</v>
      </c>
      <c r="AJ136" s="9" t="s">
        <v>1226</v>
      </c>
      <c r="AK136" s="9">
        <v>6.2745030000000002</v>
      </c>
      <c r="AL136" s="9">
        <v>-75.540476999999996</v>
      </c>
      <c r="AM136" s="28">
        <f t="shared" si="2"/>
        <v>1.450231481481482E-2</v>
      </c>
      <c r="AN136" s="9"/>
    </row>
    <row r="137" spans="1:54" ht="15" x14ac:dyDescent="0.25">
      <c r="A137" s="9" t="s">
        <v>1227</v>
      </c>
      <c r="B137" s="9" t="s">
        <v>1228</v>
      </c>
      <c r="C137" s="9" t="s">
        <v>1229</v>
      </c>
      <c r="D137" s="9" t="s">
        <v>1150</v>
      </c>
      <c r="E137" s="9" t="s">
        <v>36</v>
      </c>
      <c r="F137" s="9" t="s">
        <v>509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1230</v>
      </c>
      <c r="L137" s="9" t="s">
        <v>117</v>
      </c>
      <c r="M137" s="10">
        <v>1.252314814814815E-2</v>
      </c>
      <c r="N137" s="9" t="s">
        <v>127</v>
      </c>
      <c r="O137" s="9" t="s">
        <v>1231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1232</v>
      </c>
      <c r="AG137" s="9" t="s">
        <v>1233</v>
      </c>
      <c r="AH137" s="9">
        <v>6.2265389999999998</v>
      </c>
      <c r="AI137" s="9">
        <v>-75.599269000000007</v>
      </c>
      <c r="AJ137" s="9" t="s">
        <v>1234</v>
      </c>
      <c r="AK137" s="9">
        <v>6.2903820000000001</v>
      </c>
      <c r="AL137" s="9">
        <v>-75.546633</v>
      </c>
      <c r="AM137" s="28">
        <f t="shared" si="2"/>
        <v>0</v>
      </c>
      <c r="AN137" s="9"/>
    </row>
    <row r="138" spans="1:54" ht="15" x14ac:dyDescent="0.25">
      <c r="A138" s="9" t="s">
        <v>1235</v>
      </c>
      <c r="B138" s="9" t="s">
        <v>1236</v>
      </c>
      <c r="C138" s="9" t="s">
        <v>1237</v>
      </c>
      <c r="D138" s="9" t="s">
        <v>1150</v>
      </c>
      <c r="E138" s="9" t="s">
        <v>36</v>
      </c>
      <c r="F138" s="9" t="s">
        <v>509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1238</v>
      </c>
      <c r="L138" s="9" t="s">
        <v>117</v>
      </c>
      <c r="M138" s="10">
        <v>3.5937499999999997E-2</v>
      </c>
      <c r="N138" s="9" t="s">
        <v>127</v>
      </c>
      <c r="O138" s="9" t="s">
        <v>1239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1240</v>
      </c>
      <c r="AG138" s="9" t="s">
        <v>1241</v>
      </c>
      <c r="AH138" s="9">
        <v>6.2270120000000002</v>
      </c>
      <c r="AI138" s="9">
        <v>-75.599711999999997</v>
      </c>
      <c r="AJ138" s="9" t="s">
        <v>1242</v>
      </c>
      <c r="AK138" s="9">
        <v>6.2483149999999998</v>
      </c>
      <c r="AL138" s="9">
        <v>-75.55735</v>
      </c>
      <c r="AM138" s="28">
        <f t="shared" si="2"/>
        <v>2.6168981481481481E-2</v>
      </c>
      <c r="AN138" s="9"/>
    </row>
    <row r="139" spans="1:54" ht="15" x14ac:dyDescent="0.25">
      <c r="A139" s="17" t="s">
        <v>1243</v>
      </c>
      <c r="B139" s="17" t="s">
        <v>1244</v>
      </c>
      <c r="C139" s="17" t="s">
        <v>1245</v>
      </c>
      <c r="D139" s="17" t="s">
        <v>1150</v>
      </c>
      <c r="E139" s="17" t="s">
        <v>36</v>
      </c>
      <c r="F139" s="17" t="s">
        <v>509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1246</v>
      </c>
      <c r="L139" s="17" t="s">
        <v>117</v>
      </c>
      <c r="M139" s="18">
        <v>3.6535509259259261E-2</v>
      </c>
      <c r="N139" s="17" t="s">
        <v>127</v>
      </c>
      <c r="O139" s="17" t="s">
        <v>1247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1248</v>
      </c>
      <c r="AG139" s="17" t="s">
        <v>1249</v>
      </c>
      <c r="AH139" s="17">
        <v>6.2267029999999997</v>
      </c>
      <c r="AI139" s="17">
        <v>-75.599232000000001</v>
      </c>
      <c r="AJ139" s="17" t="s">
        <v>1250</v>
      </c>
      <c r="AK139" s="17">
        <v>6.2537599999999998</v>
      </c>
      <c r="AL139" s="17">
        <v>-75.576220000000006</v>
      </c>
      <c r="AM139" s="29">
        <f t="shared" si="2"/>
        <v>0</v>
      </c>
      <c r="AN139" s="9"/>
    </row>
    <row r="140" spans="1:54" ht="15" x14ac:dyDescent="0.25">
      <c r="A140" s="9" t="s">
        <v>1251</v>
      </c>
      <c r="B140" s="9" t="s">
        <v>1252</v>
      </c>
      <c r="C140" s="9" t="s">
        <v>1253</v>
      </c>
      <c r="D140" s="9" t="s">
        <v>1254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1255</v>
      </c>
      <c r="L140" s="9" t="s">
        <v>42</v>
      </c>
      <c r="M140" s="10">
        <v>1.108123842592592E-2</v>
      </c>
      <c r="N140" s="9" t="s">
        <v>43</v>
      </c>
      <c r="O140" s="9" t="s">
        <v>1256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1257</v>
      </c>
      <c r="AG140" s="9" t="s">
        <v>1258</v>
      </c>
      <c r="AH140" s="9">
        <v>6.2252169999999998</v>
      </c>
      <c r="AI140" s="9">
        <v>-75.599784</v>
      </c>
      <c r="AJ140" s="9" t="s">
        <v>1259</v>
      </c>
      <c r="AK140" s="9">
        <v>6.232094</v>
      </c>
      <c r="AL140" s="9">
        <v>-75.602227999999997</v>
      </c>
      <c r="AM140" s="28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1260</v>
      </c>
      <c r="B141" s="9" t="s">
        <v>1261</v>
      </c>
      <c r="C141" s="9" t="s">
        <v>1262</v>
      </c>
      <c r="D141" s="9" t="s">
        <v>1254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1263</v>
      </c>
      <c r="L141" s="9" t="s">
        <v>42</v>
      </c>
      <c r="M141" s="10">
        <v>1.950231481481482E-2</v>
      </c>
      <c r="N141" s="9" t="s">
        <v>127</v>
      </c>
      <c r="O141" s="9" t="s">
        <v>1264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1265</v>
      </c>
      <c r="AG141" s="9" t="s">
        <v>1266</v>
      </c>
      <c r="AH141" s="9">
        <v>6.2256729999999996</v>
      </c>
      <c r="AI141" s="9">
        <v>-75.599416000000005</v>
      </c>
      <c r="AJ141" s="9" t="s">
        <v>1267</v>
      </c>
      <c r="AK141" s="9">
        <v>6.2476240000000001</v>
      </c>
      <c r="AL141" s="9">
        <v>-75.614924000000002</v>
      </c>
      <c r="AM141" s="28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1268</v>
      </c>
      <c r="B142" s="9" t="s">
        <v>1269</v>
      </c>
      <c r="C142" s="9" t="s">
        <v>1270</v>
      </c>
      <c r="D142" s="9" t="s">
        <v>1254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1271</v>
      </c>
      <c r="L142" s="9" t="s">
        <v>42</v>
      </c>
      <c r="M142" s="10">
        <v>2.2893518518518521E-2</v>
      </c>
      <c r="N142" s="9" t="s">
        <v>43</v>
      </c>
      <c r="O142" s="9" t="s">
        <v>1272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1273</v>
      </c>
      <c r="AG142" s="9" t="s">
        <v>1274</v>
      </c>
      <c r="AH142" s="9">
        <v>6.2592109999999996</v>
      </c>
      <c r="AI142" s="9">
        <v>-75.597568999999993</v>
      </c>
      <c r="AJ142" s="9" t="s">
        <v>1275</v>
      </c>
      <c r="AK142" s="9">
        <v>6.2441329999999997</v>
      </c>
      <c r="AL142" s="9">
        <v>-75.612316000000007</v>
      </c>
      <c r="AM142" s="29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1276</v>
      </c>
      <c r="B143" s="9" t="s">
        <v>1277</v>
      </c>
      <c r="C143" s="9" t="s">
        <v>1278</v>
      </c>
      <c r="D143" s="9" t="s">
        <v>1254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1279</v>
      </c>
      <c r="L143" s="9" t="s">
        <v>42</v>
      </c>
      <c r="M143" s="10">
        <v>1.0555555555555559E-2</v>
      </c>
      <c r="N143" s="9" t="s">
        <v>127</v>
      </c>
      <c r="O143" s="9" t="s">
        <v>1280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1281</v>
      </c>
      <c r="AG143" s="9" t="s">
        <v>1282</v>
      </c>
      <c r="AH143" s="9">
        <v>6.2258820000000004</v>
      </c>
      <c r="AI143" s="9">
        <v>-75.599431999999993</v>
      </c>
      <c r="AJ143" s="9" t="s">
        <v>1283</v>
      </c>
      <c r="AK143" s="9">
        <v>6.2714299999999996</v>
      </c>
      <c r="AL143" s="9">
        <v>-75.586136999999994</v>
      </c>
      <c r="AM143" s="28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1284</v>
      </c>
      <c r="B144" s="9" t="s">
        <v>1285</v>
      </c>
      <c r="C144" s="9" t="s">
        <v>1286</v>
      </c>
      <c r="D144" s="9" t="s">
        <v>1254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1287</v>
      </c>
      <c r="L144" s="9" t="s">
        <v>42</v>
      </c>
      <c r="M144" s="10">
        <v>1.508101851851852E-2</v>
      </c>
      <c r="N144" s="9" t="s">
        <v>127</v>
      </c>
      <c r="O144" s="9" t="s">
        <v>1288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1289</v>
      </c>
      <c r="AG144" s="9" t="s">
        <v>1290</v>
      </c>
      <c r="AH144" s="9">
        <v>6.2256309999999999</v>
      </c>
      <c r="AI144" s="9">
        <v>-75.599101000000005</v>
      </c>
      <c r="AJ144" s="9" t="s">
        <v>1291</v>
      </c>
      <c r="AK144" s="9">
        <v>6.2427619999999999</v>
      </c>
      <c r="AL144" s="9">
        <v>-75.565274000000002</v>
      </c>
      <c r="AM144" s="28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1292</v>
      </c>
      <c r="B145" s="9" t="s">
        <v>1293</v>
      </c>
      <c r="C145" s="9" t="s">
        <v>1294</v>
      </c>
      <c r="D145" s="9" t="s">
        <v>1254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1295</v>
      </c>
      <c r="L145" s="9" t="s">
        <v>42</v>
      </c>
      <c r="M145" s="10">
        <v>4.2107523148148147E-3</v>
      </c>
      <c r="N145" s="9" t="s">
        <v>65</v>
      </c>
      <c r="O145" s="9" t="s">
        <v>1296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1297</v>
      </c>
      <c r="AH145" s="9">
        <v>6.2256539999999996</v>
      </c>
      <c r="AI145" s="9">
        <v>-75.599407999999997</v>
      </c>
      <c r="AJ145" s="9" t="s">
        <v>1298</v>
      </c>
      <c r="AK145" s="9">
        <v>6.2592400000000001</v>
      </c>
      <c r="AL145" s="9">
        <v>-75.620921999999993</v>
      </c>
      <c r="AM145" s="28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1299</v>
      </c>
      <c r="B146" s="9" t="s">
        <v>1300</v>
      </c>
      <c r="C146" s="9" t="s">
        <v>1301</v>
      </c>
      <c r="D146" s="9" t="s">
        <v>1254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1302</v>
      </c>
      <c r="L146" s="9" t="s">
        <v>42</v>
      </c>
      <c r="M146" s="10">
        <v>1.306712962962963E-2</v>
      </c>
      <c r="N146" s="9" t="s">
        <v>127</v>
      </c>
      <c r="O146" s="9" t="s">
        <v>1303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1304</v>
      </c>
      <c r="AG146" s="9" t="s">
        <v>1305</v>
      </c>
      <c r="AH146" s="9">
        <v>6.2267169999999998</v>
      </c>
      <c r="AI146" s="9">
        <v>-75.599193</v>
      </c>
      <c r="AJ146" s="9" t="s">
        <v>1306</v>
      </c>
      <c r="AK146" s="9">
        <v>6.2796190000000003</v>
      </c>
      <c r="AL146" s="9">
        <v>-75.572063</v>
      </c>
      <c r="AM146" s="28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1307</v>
      </c>
      <c r="B147" s="9" t="s">
        <v>1308</v>
      </c>
      <c r="C147" s="9" t="s">
        <v>1309</v>
      </c>
      <c r="D147" s="9" t="s">
        <v>1254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1310</v>
      </c>
      <c r="L147" s="9" t="s">
        <v>42</v>
      </c>
      <c r="M147" s="10">
        <v>2.2337962962962958E-3</v>
      </c>
      <c r="N147" s="9" t="s">
        <v>65</v>
      </c>
      <c r="O147" s="9" t="s">
        <v>1311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1312</v>
      </c>
      <c r="AG147" s="9" t="s">
        <v>1313</v>
      </c>
      <c r="AH147" s="9">
        <v>6.2256239999999998</v>
      </c>
      <c r="AI147" s="9">
        <v>-75.599385999999996</v>
      </c>
      <c r="AJ147" s="9" t="s">
        <v>1314</v>
      </c>
      <c r="AK147" s="9">
        <v>6.2654759999999996</v>
      </c>
      <c r="AL147" s="9">
        <v>-75.574816999999996</v>
      </c>
      <c r="AM147" s="28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1315</v>
      </c>
      <c r="B148" s="9" t="s">
        <v>1316</v>
      </c>
      <c r="C148" s="9" t="s">
        <v>1317</v>
      </c>
      <c r="D148" s="9" t="s">
        <v>1254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1318</v>
      </c>
      <c r="L148" s="9" t="s">
        <v>42</v>
      </c>
      <c r="M148" s="10">
        <v>6.1921296296296299E-3</v>
      </c>
      <c r="N148" s="9" t="s">
        <v>65</v>
      </c>
      <c r="O148" s="9" t="s">
        <v>1319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353</v>
      </c>
      <c r="AG148" s="9" t="s">
        <v>1320</v>
      </c>
      <c r="AH148" s="9">
        <v>6.2254269999999998</v>
      </c>
      <c r="AI148" s="9">
        <v>-75.599320000000006</v>
      </c>
      <c r="AJ148" s="9" t="s">
        <v>1321</v>
      </c>
      <c r="AK148" s="9">
        <v>6.2584350000000004</v>
      </c>
      <c r="AL148" s="9">
        <v>-75.615871999999996</v>
      </c>
      <c r="AM148" s="28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1323</v>
      </c>
      <c r="B149" s="9" t="s">
        <v>1324</v>
      </c>
      <c r="C149" s="9" t="s">
        <v>1325</v>
      </c>
      <c r="D149" s="9" t="s">
        <v>1254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1326</v>
      </c>
      <c r="L149" s="9" t="s">
        <v>117</v>
      </c>
      <c r="M149" s="10">
        <v>3.7210648148148152E-2</v>
      </c>
      <c r="N149" s="9" t="s">
        <v>127</v>
      </c>
      <c r="O149" s="9" t="s">
        <v>1327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1328</v>
      </c>
      <c r="AG149" s="9" t="s">
        <v>1329</v>
      </c>
      <c r="AH149" s="9">
        <v>6.2262570000000004</v>
      </c>
      <c r="AI149" s="9">
        <v>-75.59845</v>
      </c>
      <c r="AJ149" s="9" t="s">
        <v>1330</v>
      </c>
      <c r="AK149" s="9">
        <v>6.2728149999999996</v>
      </c>
      <c r="AL149" s="9">
        <v>-75.601960000000005</v>
      </c>
      <c r="AM149" s="28">
        <f t="shared" si="2"/>
        <v>0</v>
      </c>
      <c r="AN149" s="9"/>
    </row>
    <row r="150" spans="1:54" ht="15" x14ac:dyDescent="0.25">
      <c r="A150" s="9" t="s">
        <v>1331</v>
      </c>
      <c r="B150" s="9" t="s">
        <v>1332</v>
      </c>
      <c r="C150" s="9" t="s">
        <v>1333</v>
      </c>
      <c r="D150" s="9" t="s">
        <v>1254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1334</v>
      </c>
      <c r="L150" s="9" t="s">
        <v>117</v>
      </c>
      <c r="M150" s="10">
        <v>9.600694444444445E-2</v>
      </c>
      <c r="N150" s="9" t="s">
        <v>43</v>
      </c>
      <c r="O150" s="9" t="s">
        <v>1335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1336</v>
      </c>
      <c r="AG150" s="9" t="s">
        <v>1337</v>
      </c>
      <c r="AH150" s="9">
        <v>6.2741470000000001</v>
      </c>
      <c r="AI150" s="9">
        <v>-75.559567000000001</v>
      </c>
      <c r="AJ150" s="9" t="s">
        <v>1338</v>
      </c>
      <c r="AK150" s="9">
        <v>6.2632539999999999</v>
      </c>
      <c r="AL150" s="9">
        <v>-75.556406999999993</v>
      </c>
      <c r="AM150" s="28">
        <f t="shared" si="2"/>
        <v>9.600694444444445E-2</v>
      </c>
      <c r="AN150" s="9"/>
    </row>
    <row r="151" spans="1:54" ht="15" x14ac:dyDescent="0.25">
      <c r="A151" s="9" t="s">
        <v>1339</v>
      </c>
      <c r="B151" s="9" t="s">
        <v>1340</v>
      </c>
      <c r="C151" s="9" t="s">
        <v>1341</v>
      </c>
      <c r="D151" s="9" t="s">
        <v>1254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1342</v>
      </c>
      <c r="L151" s="9" t="s">
        <v>117</v>
      </c>
      <c r="M151" s="10">
        <v>2.4872685185185189E-2</v>
      </c>
      <c r="N151" s="9" t="s">
        <v>127</v>
      </c>
      <c r="O151" s="9" t="s">
        <v>1343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1344</v>
      </c>
      <c r="AG151" s="9" t="s">
        <v>1345</v>
      </c>
      <c r="AH151" s="9">
        <v>6.225314</v>
      </c>
      <c r="AI151" s="9">
        <v>-75.599262999999993</v>
      </c>
      <c r="AJ151" s="9" t="s">
        <v>1346</v>
      </c>
      <c r="AK151" s="9">
        <v>6.2904030000000004</v>
      </c>
      <c r="AL151" s="9">
        <v>-75.546654000000004</v>
      </c>
      <c r="AM151" s="28">
        <f t="shared" si="2"/>
        <v>0</v>
      </c>
      <c r="AN151" s="9"/>
    </row>
    <row r="152" spans="1:54" ht="15" x14ac:dyDescent="0.25">
      <c r="A152" s="9" t="s">
        <v>1347</v>
      </c>
      <c r="B152" s="9" t="s">
        <v>1348</v>
      </c>
      <c r="C152" s="9" t="s">
        <v>1349</v>
      </c>
      <c r="D152" s="9" t="s">
        <v>1254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1350</v>
      </c>
      <c r="L152" s="9" t="s">
        <v>117</v>
      </c>
      <c r="M152" s="10">
        <v>3.8252314814814822E-2</v>
      </c>
      <c r="N152" s="9" t="s">
        <v>127</v>
      </c>
      <c r="O152" s="9" t="s">
        <v>1351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1352</v>
      </c>
      <c r="AG152" s="9" t="s">
        <v>1353</v>
      </c>
      <c r="AH152" s="9">
        <v>6.2252280000000004</v>
      </c>
      <c r="AI152" s="9">
        <v>-75.597255000000004</v>
      </c>
      <c r="AJ152" s="9" t="s">
        <v>1354</v>
      </c>
      <c r="AK152" s="9">
        <v>6.2517420000000001</v>
      </c>
      <c r="AL152" s="9">
        <v>-75.551962000000003</v>
      </c>
      <c r="AM152" s="28">
        <f t="shared" si="2"/>
        <v>0</v>
      </c>
      <c r="AN152" s="9"/>
    </row>
    <row r="153" spans="1:54" ht="15" x14ac:dyDescent="0.25">
      <c r="A153" s="9" t="s">
        <v>1355</v>
      </c>
      <c r="B153" s="9" t="s">
        <v>1356</v>
      </c>
      <c r="C153" s="9" t="s">
        <v>1357</v>
      </c>
      <c r="D153" s="9" t="s">
        <v>1254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1358</v>
      </c>
      <c r="L153" s="9" t="s">
        <v>117</v>
      </c>
      <c r="M153" s="10">
        <v>2.1999293981481479E-2</v>
      </c>
      <c r="N153" s="9" t="s">
        <v>127</v>
      </c>
      <c r="O153" s="9" t="s">
        <v>1359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1360</v>
      </c>
      <c r="AG153" s="9" t="s">
        <v>1361</v>
      </c>
      <c r="AH153" s="9">
        <v>6.2266019999999997</v>
      </c>
      <c r="AI153" s="9">
        <v>-75.599207000000007</v>
      </c>
      <c r="AJ153" s="9" t="s">
        <v>1362</v>
      </c>
      <c r="AK153" s="9">
        <v>6.2643599999999999</v>
      </c>
      <c r="AL153" s="9">
        <v>-75.598920000000007</v>
      </c>
      <c r="AM153" s="28">
        <f t="shared" si="2"/>
        <v>0</v>
      </c>
      <c r="AN153" s="9"/>
    </row>
    <row r="154" spans="1:54" ht="15" x14ac:dyDescent="0.25">
      <c r="A154" s="9" t="s">
        <v>1363</v>
      </c>
      <c r="B154" s="9" t="s">
        <v>1364</v>
      </c>
      <c r="C154" s="9" t="s">
        <v>1365</v>
      </c>
      <c r="D154" s="9" t="s">
        <v>1366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1367</v>
      </c>
      <c r="L154" s="9" t="s">
        <v>42</v>
      </c>
      <c r="M154" s="10">
        <v>2.3263159722222222E-2</v>
      </c>
      <c r="N154" s="9" t="s">
        <v>43</v>
      </c>
      <c r="O154" s="9" t="s">
        <v>1368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1369</v>
      </c>
      <c r="AG154" s="9" t="s">
        <v>1370</v>
      </c>
      <c r="AH154" s="9">
        <v>6.2024109999999997</v>
      </c>
      <c r="AI154" s="9">
        <v>-75.596127999999993</v>
      </c>
      <c r="AJ154" s="9" t="s">
        <v>1371</v>
      </c>
      <c r="AK154" s="9">
        <v>6.2217089999999997</v>
      </c>
      <c r="AL154" s="9">
        <v>-75.593845999999999</v>
      </c>
      <c r="AM154" s="28">
        <f t="shared" si="2"/>
        <v>2.3263159722222222E-2</v>
      </c>
      <c r="AN154" s="9"/>
    </row>
    <row r="155" spans="1:54" ht="15" x14ac:dyDescent="0.25">
      <c r="A155" s="9" t="s">
        <v>1372</v>
      </c>
      <c r="B155" s="9" t="s">
        <v>1373</v>
      </c>
      <c r="C155" s="9" t="s">
        <v>1374</v>
      </c>
      <c r="D155" s="9" t="s">
        <v>1366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1375</v>
      </c>
      <c r="L155" s="9" t="s">
        <v>42</v>
      </c>
      <c r="M155" s="10">
        <v>1.232638888888889E-2</v>
      </c>
      <c r="N155" s="9" t="s">
        <v>127</v>
      </c>
      <c r="O155" s="9" t="s">
        <v>1376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1377</v>
      </c>
      <c r="AG155" s="9" t="s">
        <v>1378</v>
      </c>
      <c r="AH155" s="9">
        <v>6.2256720000000003</v>
      </c>
      <c r="AI155" s="9">
        <v>-75.599374999999995</v>
      </c>
      <c r="AJ155" s="9" t="s">
        <v>1379</v>
      </c>
      <c r="AK155" s="9">
        <v>6.2508720000000002</v>
      </c>
      <c r="AL155" s="9">
        <v>-75.604692999999997</v>
      </c>
      <c r="AM155" s="28">
        <f t="shared" si="2"/>
        <v>0</v>
      </c>
      <c r="AN155" s="9"/>
    </row>
    <row r="156" spans="1:54" ht="15" x14ac:dyDescent="0.25">
      <c r="A156" s="9" t="s">
        <v>1380</v>
      </c>
      <c r="B156" s="9" t="s">
        <v>1381</v>
      </c>
      <c r="C156" s="9" t="s">
        <v>1382</v>
      </c>
      <c r="D156" s="9" t="s">
        <v>1366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1383</v>
      </c>
      <c r="L156" s="9" t="s">
        <v>42</v>
      </c>
      <c r="M156" s="10">
        <v>1.8171296296296299E-3</v>
      </c>
      <c r="N156" s="9" t="s">
        <v>65</v>
      </c>
      <c r="O156" s="9" t="s">
        <v>1384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1385</v>
      </c>
      <c r="AG156" s="9" t="s">
        <v>1386</v>
      </c>
      <c r="AH156" s="9">
        <v>6.225384</v>
      </c>
      <c r="AI156" s="9">
        <v>-75.599851000000001</v>
      </c>
      <c r="AJ156" s="9" t="s">
        <v>1387</v>
      </c>
      <c r="AK156" s="9">
        <v>6.2497100000000003</v>
      </c>
      <c r="AL156" s="9">
        <v>-75.599356999999998</v>
      </c>
      <c r="AM156" s="28">
        <f t="shared" si="2"/>
        <v>0</v>
      </c>
      <c r="AN156" s="9"/>
    </row>
    <row r="157" spans="1:54" ht="15" x14ac:dyDescent="0.25">
      <c r="A157" s="9" t="s">
        <v>1388</v>
      </c>
      <c r="B157" s="9" t="s">
        <v>1389</v>
      </c>
      <c r="C157" s="9" t="s">
        <v>1390</v>
      </c>
      <c r="D157" s="9" t="s">
        <v>1366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1391</v>
      </c>
      <c r="L157" s="9" t="s">
        <v>42</v>
      </c>
      <c r="M157" s="10">
        <v>1.086805555555556E-2</v>
      </c>
      <c r="N157" s="9" t="s">
        <v>43</v>
      </c>
      <c r="O157" s="9" t="s">
        <v>1392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1393</v>
      </c>
      <c r="AG157" s="9" t="s">
        <v>1394</v>
      </c>
      <c r="AH157" s="9">
        <v>6.225695</v>
      </c>
      <c r="AI157" s="9">
        <v>-75.599413999999996</v>
      </c>
      <c r="AJ157" s="9" t="s">
        <v>1395</v>
      </c>
      <c r="AK157" s="9">
        <v>6.2539199999999999</v>
      </c>
      <c r="AL157" s="9">
        <v>-75.584340999999995</v>
      </c>
      <c r="AM157" s="28">
        <f t="shared" si="2"/>
        <v>9.4675925925925927E-2</v>
      </c>
      <c r="AN157" s="9"/>
    </row>
    <row r="158" spans="1:54" ht="15" x14ac:dyDescent="0.25">
      <c r="A158" s="9" t="s">
        <v>1396</v>
      </c>
      <c r="B158" s="9" t="s">
        <v>1397</v>
      </c>
      <c r="C158" s="9" t="s">
        <v>1398</v>
      </c>
      <c r="D158" s="9" t="s">
        <v>1366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1399</v>
      </c>
      <c r="L158" s="9" t="s">
        <v>42</v>
      </c>
      <c r="M158" s="10">
        <v>7.9861111111111116E-4</v>
      </c>
      <c r="N158" s="9" t="s">
        <v>65</v>
      </c>
      <c r="O158" s="9" t="s">
        <v>1400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1401</v>
      </c>
      <c r="AG158" s="9" t="s">
        <v>1402</v>
      </c>
      <c r="AH158" s="9">
        <v>6.2254500000000004</v>
      </c>
      <c r="AI158" s="9">
        <v>-75.599216999999996</v>
      </c>
      <c r="AJ158" s="9" t="s">
        <v>1403</v>
      </c>
      <c r="AK158" s="9">
        <v>6.2133330000000004</v>
      </c>
      <c r="AL158" s="9">
        <v>-75.576359999999994</v>
      </c>
      <c r="AM158" s="28">
        <f t="shared" si="2"/>
        <v>9.947916666666666E-2</v>
      </c>
      <c r="AN158" s="9"/>
    </row>
    <row r="159" spans="1:54" ht="15" x14ac:dyDescent="0.25">
      <c r="A159" s="9" t="s">
        <v>1404</v>
      </c>
      <c r="B159" s="9" t="s">
        <v>1405</v>
      </c>
      <c r="C159" s="9" t="s">
        <v>1406</v>
      </c>
      <c r="D159" s="9" t="s">
        <v>1366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1407</v>
      </c>
      <c r="L159" s="9" t="s">
        <v>42</v>
      </c>
      <c r="M159" s="10">
        <v>1.1289351851851851E-3</v>
      </c>
      <c r="N159" s="9" t="s">
        <v>65</v>
      </c>
      <c r="O159" s="9" t="s">
        <v>1408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1409</v>
      </c>
      <c r="AG159" s="9" t="s">
        <v>1410</v>
      </c>
      <c r="AH159" s="9">
        <v>6.2256169999999997</v>
      </c>
      <c r="AI159" s="9">
        <v>-75.599124000000003</v>
      </c>
      <c r="AJ159" s="9" t="s">
        <v>1411</v>
      </c>
      <c r="AK159" s="9">
        <v>6.2592230000000004</v>
      </c>
      <c r="AL159" s="9">
        <v>-75.620931999999996</v>
      </c>
      <c r="AM159" s="28">
        <f t="shared" si="2"/>
        <v>0</v>
      </c>
      <c r="AN159" s="9"/>
    </row>
    <row r="160" spans="1:54" ht="15" x14ac:dyDescent="0.25">
      <c r="A160" s="9" t="s">
        <v>1412</v>
      </c>
      <c r="B160" s="9" t="s">
        <v>1413</v>
      </c>
      <c r="C160" s="9" t="s">
        <v>1414</v>
      </c>
      <c r="D160" s="9" t="s">
        <v>1366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1415</v>
      </c>
      <c r="L160" s="9" t="s">
        <v>42</v>
      </c>
      <c r="M160" s="10">
        <v>3.368055555555556E-3</v>
      </c>
      <c r="N160" s="9" t="s">
        <v>65</v>
      </c>
      <c r="O160" s="9" t="s">
        <v>1416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1417</v>
      </c>
      <c r="AG160" s="9" t="s">
        <v>1418</v>
      </c>
      <c r="AH160" s="9">
        <v>6.2269129999999997</v>
      </c>
      <c r="AI160" s="9">
        <v>-75.599265000000003</v>
      </c>
      <c r="AJ160" s="9" t="s">
        <v>1419</v>
      </c>
      <c r="AK160" s="9">
        <v>6.210324</v>
      </c>
      <c r="AL160" s="9">
        <v>-75.497533000000004</v>
      </c>
      <c r="AM160" s="28">
        <f t="shared" si="2"/>
        <v>0.14015046296296299</v>
      </c>
      <c r="AN160" s="9"/>
    </row>
    <row r="161" spans="1:40" ht="15" x14ac:dyDescent="0.25">
      <c r="A161" s="9" t="s">
        <v>1420</v>
      </c>
      <c r="B161" s="9" t="s">
        <v>1421</v>
      </c>
      <c r="C161" s="9" t="s">
        <v>1422</v>
      </c>
      <c r="D161" s="9" t="s">
        <v>1366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1423</v>
      </c>
      <c r="L161" s="9" t="s">
        <v>42</v>
      </c>
      <c r="M161" s="10">
        <v>0.1945601851851852</v>
      </c>
      <c r="N161" s="9" t="s">
        <v>43</v>
      </c>
      <c r="O161" s="9" t="s">
        <v>1424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1425</v>
      </c>
      <c r="AG161" s="9" t="s">
        <v>1426</v>
      </c>
      <c r="AH161" s="9">
        <v>6.2104739999999996</v>
      </c>
      <c r="AI161" s="9">
        <v>-75.497412999999995</v>
      </c>
      <c r="AJ161" s="9" t="s">
        <v>1427</v>
      </c>
      <c r="AK161" s="9">
        <v>6.2795769999999997</v>
      </c>
      <c r="AL161" s="9">
        <v>-75.571878999999996</v>
      </c>
      <c r="AM161" s="28">
        <f t="shared" si="2"/>
        <v>0.1945601851851852</v>
      </c>
      <c r="AN161" s="9" t="s">
        <v>1444</v>
      </c>
    </row>
    <row r="162" spans="1:40" ht="15" x14ac:dyDescent="0.25">
      <c r="A162" s="9" t="s">
        <v>1428</v>
      </c>
      <c r="B162" s="9" t="s">
        <v>1429</v>
      </c>
      <c r="C162" s="9" t="s">
        <v>1430</v>
      </c>
      <c r="D162" s="9" t="s">
        <v>1366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1431</v>
      </c>
      <c r="L162" s="9" t="s">
        <v>42</v>
      </c>
      <c r="M162" s="10">
        <v>6.030092592592593E-3</v>
      </c>
      <c r="N162" s="9" t="s">
        <v>65</v>
      </c>
      <c r="O162" s="9" t="s">
        <v>1432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1433</v>
      </c>
      <c r="AG162" s="9" t="s">
        <v>1434</v>
      </c>
      <c r="AH162" s="9">
        <v>6.225689</v>
      </c>
      <c r="AI162" s="9">
        <v>-75.599446</v>
      </c>
      <c r="AJ162" s="9" t="s">
        <v>1435</v>
      </c>
      <c r="AK162" s="9">
        <v>6.2800310000000001</v>
      </c>
      <c r="AL162" s="9">
        <v>-75.586410999999998</v>
      </c>
      <c r="AM162" s="28">
        <f t="shared" si="2"/>
        <v>2.9699074074074079E-2</v>
      </c>
      <c r="AN162" s="9"/>
    </row>
    <row r="163" spans="1:40" ht="15" x14ac:dyDescent="0.25">
      <c r="A163" s="9" t="s">
        <v>1436</v>
      </c>
      <c r="B163" s="9" t="s">
        <v>1437</v>
      </c>
      <c r="C163" s="9" t="s">
        <v>1438</v>
      </c>
      <c r="D163" s="9" t="s">
        <v>1366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1439</v>
      </c>
      <c r="L163" s="9" t="s">
        <v>42</v>
      </c>
      <c r="M163" s="10">
        <v>2.1064814814814809E-3</v>
      </c>
      <c r="N163" s="9" t="s">
        <v>65</v>
      </c>
      <c r="O163" s="9" t="s">
        <v>1440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1441</v>
      </c>
      <c r="AG163" s="9" t="s">
        <v>1442</v>
      </c>
      <c r="AH163" s="9">
        <v>6.2256590000000003</v>
      </c>
      <c r="AI163" s="9">
        <v>-75.598974999999996</v>
      </c>
      <c r="AJ163" s="9" t="s">
        <v>1443</v>
      </c>
      <c r="AK163" s="9">
        <v>6.2254180000000003</v>
      </c>
      <c r="AL163" s="9">
        <v>-75.599401999999998</v>
      </c>
      <c r="AM163" s="28">
        <f t="shared" si="2"/>
        <v>9.2789351851851845E-2</v>
      </c>
      <c r="AN163" s="9"/>
    </row>
    <row r="164" spans="1:40" ht="15" x14ac:dyDescent="0.25">
      <c r="A164" s="9" t="s">
        <v>1445</v>
      </c>
      <c r="B164" s="9" t="s">
        <v>1446</v>
      </c>
      <c r="C164" s="9" t="s">
        <v>1447</v>
      </c>
      <c r="D164" s="9" t="s">
        <v>1366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1448</v>
      </c>
      <c r="L164" s="9" t="s">
        <v>117</v>
      </c>
      <c r="M164" s="10">
        <v>3.7511574074074072E-2</v>
      </c>
      <c r="N164" s="9" t="s">
        <v>127</v>
      </c>
      <c r="O164" s="9" t="s">
        <v>1449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1450</v>
      </c>
      <c r="AG164" s="9" t="s">
        <v>1451</v>
      </c>
      <c r="AH164" s="9">
        <v>6.2493230000000004</v>
      </c>
      <c r="AI164" s="9">
        <v>-75.586797000000004</v>
      </c>
      <c r="AJ164" s="9" t="s">
        <v>1452</v>
      </c>
      <c r="AK164" s="9">
        <v>6.2726949999999997</v>
      </c>
      <c r="AL164" s="9">
        <v>-75.602046999999999</v>
      </c>
      <c r="AM164" s="28">
        <f t="shared" si="2"/>
        <v>0</v>
      </c>
      <c r="AN164" s="9"/>
    </row>
    <row r="165" spans="1:40" ht="15" x14ac:dyDescent="0.25">
      <c r="A165" s="9" t="s">
        <v>1453</v>
      </c>
      <c r="B165" s="9" t="s">
        <v>1454</v>
      </c>
      <c r="C165" s="9" t="s">
        <v>1455</v>
      </c>
      <c r="D165" s="9" t="s">
        <v>1366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1456</v>
      </c>
      <c r="L165" s="9" t="s">
        <v>117</v>
      </c>
      <c r="M165" s="10">
        <v>7.9282407407407409E-3</v>
      </c>
      <c r="N165" s="9" t="s">
        <v>65</v>
      </c>
      <c r="O165" s="9" t="s">
        <v>1457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353</v>
      </c>
      <c r="AG165" s="9" t="s">
        <v>1338</v>
      </c>
      <c r="AH165" s="9">
        <v>6.2632539999999999</v>
      </c>
      <c r="AI165" s="9">
        <v>-75.556406999999993</v>
      </c>
      <c r="AJ165" s="9" t="s">
        <v>1458</v>
      </c>
      <c r="AK165" s="9">
        <v>6.2724099999999998</v>
      </c>
      <c r="AL165" s="9">
        <v>-75.540272000000002</v>
      </c>
      <c r="AM165" s="28">
        <f t="shared" si="2"/>
        <v>0</v>
      </c>
      <c r="AN165" s="9"/>
    </row>
    <row r="166" spans="1:40" ht="15" x14ac:dyDescent="0.25">
      <c r="A166" s="9" t="s">
        <v>1459</v>
      </c>
      <c r="B166" s="9" t="s">
        <v>1460</v>
      </c>
      <c r="C166" s="9" t="s">
        <v>1461</v>
      </c>
      <c r="D166" s="9" t="s">
        <v>1366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1462</v>
      </c>
      <c r="L166" s="9" t="s">
        <v>117</v>
      </c>
      <c r="M166" s="10">
        <v>2.8356481481481479E-2</v>
      </c>
      <c r="N166" s="9" t="s">
        <v>43</v>
      </c>
      <c r="O166" s="9" t="s">
        <v>1463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1464</v>
      </c>
      <c r="AG166" s="9" t="s">
        <v>1465</v>
      </c>
      <c r="AH166" s="9">
        <v>6.2728029999999997</v>
      </c>
      <c r="AI166" s="9">
        <v>-75.574162000000001</v>
      </c>
      <c r="AJ166" s="9" t="s">
        <v>1466</v>
      </c>
      <c r="AK166" s="9">
        <v>6.2728219999999997</v>
      </c>
      <c r="AL166" s="9">
        <v>-75.574470000000005</v>
      </c>
      <c r="AM166" s="28">
        <f t="shared" si="2"/>
        <v>2.8356481481481479E-2</v>
      </c>
      <c r="AN166" s="9"/>
    </row>
    <row r="167" spans="1:40" ht="15" x14ac:dyDescent="0.25">
      <c r="A167" s="9" t="s">
        <v>1467</v>
      </c>
      <c r="B167" s="9" t="s">
        <v>1468</v>
      </c>
      <c r="C167" s="9" t="s">
        <v>1469</v>
      </c>
      <c r="D167" s="9" t="s">
        <v>1366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1470</v>
      </c>
      <c r="L167" s="9" t="s">
        <v>117</v>
      </c>
      <c r="M167" s="10">
        <v>3.3750000000000002E-2</v>
      </c>
      <c r="N167" s="9" t="s">
        <v>127</v>
      </c>
      <c r="O167" s="9" t="s">
        <v>1471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1472</v>
      </c>
      <c r="AG167" s="9" t="s">
        <v>1473</v>
      </c>
      <c r="AH167" s="9">
        <v>6.2270219999999998</v>
      </c>
      <c r="AI167" s="9">
        <v>-75.599649999999997</v>
      </c>
      <c r="AJ167" s="9" t="s">
        <v>1474</v>
      </c>
      <c r="AK167" s="9">
        <v>6.2517449999999997</v>
      </c>
      <c r="AL167" s="9">
        <v>-75.551824999999994</v>
      </c>
      <c r="AM167" s="28">
        <f t="shared" si="2"/>
        <v>3.1863425925925927E-2</v>
      </c>
      <c r="AN167" s="9"/>
    </row>
    <row r="168" spans="1:40" ht="15" x14ac:dyDescent="0.25">
      <c r="A168" s="9" t="s">
        <v>1475</v>
      </c>
      <c r="B168" s="9" t="s">
        <v>1476</v>
      </c>
      <c r="C168" s="9" t="s">
        <v>1477</v>
      </c>
      <c r="D168" s="9" t="s">
        <v>1366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1478</v>
      </c>
      <c r="L168" s="9" t="s">
        <v>117</v>
      </c>
      <c r="M168" s="10">
        <v>3.5135393518518507E-2</v>
      </c>
      <c r="N168" s="9" t="s">
        <v>127</v>
      </c>
      <c r="O168" s="9" t="s">
        <v>1479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1480</v>
      </c>
      <c r="AG168" s="9" t="s">
        <v>1481</v>
      </c>
      <c r="AH168" s="9">
        <v>6.2267970000000004</v>
      </c>
      <c r="AI168" s="9">
        <v>-75.599226999999999</v>
      </c>
      <c r="AJ168" s="9" t="s">
        <v>1482</v>
      </c>
      <c r="AK168" s="9">
        <v>6.2684870000000004</v>
      </c>
      <c r="AL168" s="9">
        <v>-75.599356999999998</v>
      </c>
      <c r="AM168" s="28">
        <f t="shared" si="2"/>
        <v>0</v>
      </c>
      <c r="AN168" s="9"/>
    </row>
    <row r="169" spans="1:40" ht="15" x14ac:dyDescent="0.25">
      <c r="A169" s="9" t="s">
        <v>1483</v>
      </c>
      <c r="B169" s="9" t="s">
        <v>1484</v>
      </c>
      <c r="C169" s="9" t="s">
        <v>1485</v>
      </c>
      <c r="D169" s="9" t="s">
        <v>1486</v>
      </c>
      <c r="E169" s="9" t="s">
        <v>36</v>
      </c>
      <c r="F169" s="9" t="s">
        <v>316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1487</v>
      </c>
      <c r="L169" s="9" t="s">
        <v>42</v>
      </c>
      <c r="M169" s="10">
        <v>2.6235532407407409E-2</v>
      </c>
      <c r="N169" s="9" t="s">
        <v>43</v>
      </c>
      <c r="O169" s="9" t="s">
        <v>1488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1489</v>
      </c>
      <c r="AG169" s="9" t="s">
        <v>1490</v>
      </c>
      <c r="AH169" s="9">
        <v>6.2257090000000002</v>
      </c>
      <c r="AI169" s="9">
        <v>-75.599609999999998</v>
      </c>
      <c r="AJ169" s="9" t="s">
        <v>1491</v>
      </c>
      <c r="AK169" s="9">
        <v>6.2216290000000001</v>
      </c>
      <c r="AL169" s="9">
        <v>-75.593868000000001</v>
      </c>
      <c r="AM169" s="28">
        <f t="shared" si="2"/>
        <v>3.7516921296296302E-2</v>
      </c>
      <c r="AN169" s="9"/>
    </row>
    <row r="170" spans="1:40" ht="15" x14ac:dyDescent="0.25">
      <c r="A170" s="9" t="s">
        <v>1492</v>
      </c>
      <c r="B170" s="9" t="s">
        <v>1493</v>
      </c>
      <c r="C170" s="9" t="s">
        <v>1494</v>
      </c>
      <c r="D170" s="9" t="s">
        <v>1486</v>
      </c>
      <c r="E170" s="9" t="s">
        <v>36</v>
      </c>
      <c r="F170" s="9" t="s">
        <v>316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1495</v>
      </c>
      <c r="L170" s="9" t="s">
        <v>42</v>
      </c>
      <c r="M170" s="10">
        <v>3.8194444444444448E-2</v>
      </c>
      <c r="N170" s="9" t="s">
        <v>43</v>
      </c>
      <c r="O170" s="9" t="s">
        <v>1496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1497</v>
      </c>
      <c r="AG170" s="9" t="s">
        <v>1498</v>
      </c>
      <c r="AH170" s="9">
        <v>6.225651</v>
      </c>
      <c r="AI170" s="9">
        <v>-75.599445000000003</v>
      </c>
      <c r="AJ170" s="9" t="s">
        <v>1499</v>
      </c>
      <c r="AK170" s="9">
        <v>6.2508710000000001</v>
      </c>
      <c r="AL170" s="9">
        <v>-75.605401999999998</v>
      </c>
      <c r="AM170" s="28">
        <f t="shared" si="2"/>
        <v>3.8194444444444448E-2</v>
      </c>
      <c r="AN170" s="9"/>
    </row>
    <row r="171" spans="1:40" ht="15" x14ac:dyDescent="0.25">
      <c r="A171" s="9" t="s">
        <v>1500</v>
      </c>
      <c r="B171" s="9" t="s">
        <v>1501</v>
      </c>
      <c r="C171" s="9" t="s">
        <v>1502</v>
      </c>
      <c r="D171" s="9" t="s">
        <v>1486</v>
      </c>
      <c r="E171" s="9" t="s">
        <v>36</v>
      </c>
      <c r="F171" s="9" t="s">
        <v>316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1503</v>
      </c>
      <c r="L171" s="9" t="s">
        <v>42</v>
      </c>
      <c r="M171" s="10">
        <v>0.33482638888888888</v>
      </c>
      <c r="N171" s="9" t="s">
        <v>43</v>
      </c>
      <c r="O171" s="9" t="s">
        <v>1504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1505</v>
      </c>
      <c r="AG171" s="9" t="s">
        <v>1506</v>
      </c>
      <c r="AH171" s="9">
        <v>6.2509420000000002</v>
      </c>
      <c r="AI171" s="9">
        <v>-75.605234999999993</v>
      </c>
      <c r="AJ171" s="9" t="s">
        <v>1507</v>
      </c>
      <c r="AK171" s="9">
        <v>6.2130260000000002</v>
      </c>
      <c r="AL171" s="9">
        <v>-75.583926000000005</v>
      </c>
      <c r="AM171" s="28">
        <f t="shared" si="2"/>
        <v>0.33482638888888888</v>
      </c>
      <c r="AN171" s="9"/>
    </row>
    <row r="172" spans="1:40" ht="15" x14ac:dyDescent="0.25">
      <c r="A172" s="9" t="s">
        <v>1508</v>
      </c>
      <c r="B172" s="9" t="s">
        <v>1509</v>
      </c>
      <c r="C172" s="9" t="s">
        <v>1510</v>
      </c>
      <c r="D172" s="9" t="s">
        <v>1486</v>
      </c>
      <c r="E172" s="9" t="s">
        <v>36</v>
      </c>
      <c r="F172" s="9" t="s">
        <v>316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1511</v>
      </c>
      <c r="L172" s="9" t="s">
        <v>42</v>
      </c>
      <c r="M172" s="10">
        <v>5.9837962962962961E-3</v>
      </c>
      <c r="N172" s="9" t="s">
        <v>65</v>
      </c>
      <c r="O172" s="9" t="s">
        <v>1512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1513</v>
      </c>
      <c r="AG172" s="9" t="s">
        <v>1514</v>
      </c>
      <c r="AH172" s="9">
        <v>6.225759</v>
      </c>
      <c r="AI172" s="9">
        <v>-75.599501000000004</v>
      </c>
      <c r="AJ172" s="9" t="s">
        <v>1515</v>
      </c>
      <c r="AK172" s="9">
        <v>6.2660460000000002</v>
      </c>
      <c r="AL172" s="9">
        <v>-75.593369999999993</v>
      </c>
      <c r="AM172" s="28">
        <f t="shared" si="2"/>
        <v>1.9953703703703699E-2</v>
      </c>
      <c r="AN172" s="9"/>
    </row>
    <row r="173" spans="1:40" ht="15" x14ac:dyDescent="0.25">
      <c r="A173" s="9" t="s">
        <v>1516</v>
      </c>
      <c r="B173" s="9" t="s">
        <v>1517</v>
      </c>
      <c r="C173" s="9" t="s">
        <v>1518</v>
      </c>
      <c r="D173" s="9" t="s">
        <v>1486</v>
      </c>
      <c r="E173" s="9" t="s">
        <v>36</v>
      </c>
      <c r="F173" s="9" t="s">
        <v>316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1519</v>
      </c>
      <c r="L173" s="9" t="s">
        <v>42</v>
      </c>
      <c r="M173" s="10">
        <v>1.8101851851851852E-2</v>
      </c>
      <c r="N173" s="9" t="s">
        <v>43</v>
      </c>
      <c r="O173" s="9" t="s">
        <v>1520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1521</v>
      </c>
      <c r="AG173" s="9" t="s">
        <v>1522</v>
      </c>
      <c r="AH173" s="9">
        <v>6.225752</v>
      </c>
      <c r="AI173" s="9">
        <v>-75.599102999999999</v>
      </c>
      <c r="AJ173" s="9" t="s">
        <v>1523</v>
      </c>
      <c r="AK173" s="9">
        <v>6.237069</v>
      </c>
      <c r="AL173" s="9">
        <v>-75.558763999999996</v>
      </c>
      <c r="AM173" s="28">
        <f t="shared" si="2"/>
        <v>0.15148148148148144</v>
      </c>
      <c r="AN173" s="9"/>
    </row>
    <row r="174" spans="1:40" ht="15" x14ac:dyDescent="0.25">
      <c r="A174" s="9" t="s">
        <v>1524</v>
      </c>
      <c r="B174" s="9" t="s">
        <v>1525</v>
      </c>
      <c r="C174" s="9" t="s">
        <v>1526</v>
      </c>
      <c r="D174" s="9" t="s">
        <v>1486</v>
      </c>
      <c r="E174" s="9" t="s">
        <v>36</v>
      </c>
      <c r="F174" s="9" t="s">
        <v>316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1527</v>
      </c>
      <c r="L174" s="9" t="s">
        <v>42</v>
      </c>
      <c r="M174" s="10">
        <v>2.3850081018518519E-2</v>
      </c>
      <c r="N174" s="9" t="s">
        <v>43</v>
      </c>
      <c r="O174" s="9" t="s">
        <v>1528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1529</v>
      </c>
      <c r="AG174" s="9" t="s">
        <v>1530</v>
      </c>
      <c r="AH174" s="9">
        <v>6.2256349999999996</v>
      </c>
      <c r="AI174" s="9">
        <v>-75.599196000000006</v>
      </c>
      <c r="AJ174" s="9" t="s">
        <v>1531</v>
      </c>
      <c r="AK174" s="9">
        <v>6.2468329999999996</v>
      </c>
      <c r="AL174" s="9">
        <v>-75.554225000000002</v>
      </c>
      <c r="AM174" s="28">
        <f t="shared" si="2"/>
        <v>2.3850081018518519E-2</v>
      </c>
      <c r="AN174" s="9"/>
    </row>
    <row r="175" spans="1:40" ht="15" x14ac:dyDescent="0.25">
      <c r="A175" s="9" t="s">
        <v>1532</v>
      </c>
      <c r="B175" s="9" t="s">
        <v>1533</v>
      </c>
      <c r="C175" s="9" t="s">
        <v>1534</v>
      </c>
      <c r="D175" s="9" t="s">
        <v>1486</v>
      </c>
      <c r="E175" s="9" t="s">
        <v>36</v>
      </c>
      <c r="F175" s="9" t="s">
        <v>316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1535</v>
      </c>
      <c r="L175" s="9" t="s">
        <v>42</v>
      </c>
      <c r="M175" s="10">
        <v>0.10704861111111109</v>
      </c>
      <c r="N175" s="9" t="s">
        <v>43</v>
      </c>
      <c r="O175" s="9" t="s">
        <v>1536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1537</v>
      </c>
      <c r="AG175" s="9" t="s">
        <v>1538</v>
      </c>
      <c r="AH175" s="9">
        <v>6.2282820000000001</v>
      </c>
      <c r="AI175" s="9">
        <v>-75.599524000000002</v>
      </c>
      <c r="AJ175" s="9" t="s">
        <v>1539</v>
      </c>
      <c r="AK175" s="9">
        <v>6.259334</v>
      </c>
      <c r="AL175" s="9">
        <v>-75.597497000000004</v>
      </c>
      <c r="AM175" s="28">
        <f t="shared" si="2"/>
        <v>0.10704861111111109</v>
      </c>
      <c r="AN175" s="9" t="s">
        <v>1556</v>
      </c>
    </row>
    <row r="176" spans="1:40" ht="15" x14ac:dyDescent="0.25">
      <c r="A176" s="9" t="s">
        <v>1540</v>
      </c>
      <c r="B176" s="9" t="s">
        <v>1541</v>
      </c>
      <c r="C176" s="9" t="s">
        <v>1542</v>
      </c>
      <c r="D176" s="9" t="s">
        <v>1486</v>
      </c>
      <c r="E176" s="9" t="s">
        <v>36</v>
      </c>
      <c r="F176" s="9" t="s">
        <v>316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1543</v>
      </c>
      <c r="L176" s="9" t="s">
        <v>42</v>
      </c>
      <c r="M176" s="10">
        <v>2.6111111111111109E-2</v>
      </c>
      <c r="N176" s="9" t="s">
        <v>43</v>
      </c>
      <c r="O176" s="9" t="s">
        <v>1544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1545</v>
      </c>
      <c r="AG176" s="9" t="s">
        <v>1546</v>
      </c>
      <c r="AH176" s="9">
        <v>6.2258079999999998</v>
      </c>
      <c r="AI176" s="9">
        <v>-75.599391999999995</v>
      </c>
      <c r="AJ176" s="9" t="s">
        <v>1547</v>
      </c>
      <c r="AK176" s="9">
        <v>6.2671140000000003</v>
      </c>
      <c r="AL176" s="9">
        <v>-75.576186000000007</v>
      </c>
      <c r="AM176" s="28">
        <f t="shared" si="2"/>
        <v>2.6111111111111109E-2</v>
      </c>
      <c r="AN176" s="9"/>
    </row>
    <row r="177" spans="1:40" ht="15" x14ac:dyDescent="0.25">
      <c r="A177" s="9" t="s">
        <v>1548</v>
      </c>
      <c r="B177" s="9" t="s">
        <v>1549</v>
      </c>
      <c r="C177" s="9" t="s">
        <v>1550</v>
      </c>
      <c r="D177" s="9" t="s">
        <v>1486</v>
      </c>
      <c r="E177" s="9" t="s">
        <v>36</v>
      </c>
      <c r="F177" s="9" t="s">
        <v>316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1551</v>
      </c>
      <c r="L177" s="9" t="s">
        <v>42</v>
      </c>
      <c r="M177" s="10">
        <v>3.6990740740740741E-2</v>
      </c>
      <c r="N177" s="9" t="s">
        <v>43</v>
      </c>
      <c r="O177" s="9" t="s">
        <v>1552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1553</v>
      </c>
      <c r="AG177" s="9" t="s">
        <v>1554</v>
      </c>
      <c r="AH177" s="9">
        <v>6.2256289999999996</v>
      </c>
      <c r="AI177" s="9">
        <v>-75.599373999999997</v>
      </c>
      <c r="AJ177" s="9" t="s">
        <v>1555</v>
      </c>
      <c r="AK177" s="9">
        <v>6.2589959999999998</v>
      </c>
      <c r="AL177" s="9">
        <v>-75.616399999999999</v>
      </c>
      <c r="AM177" s="28">
        <f t="shared" si="2"/>
        <v>3.6990740740740741E-2</v>
      </c>
      <c r="AN177" s="9"/>
    </row>
    <row r="178" spans="1:40" x14ac:dyDescent="0.25">
      <c r="A178" s="9" t="s">
        <v>1558</v>
      </c>
      <c r="B178" s="9" t="s">
        <v>1559</v>
      </c>
      <c r="C178" s="9" t="s">
        <v>1560</v>
      </c>
      <c r="D178" s="9" t="s">
        <v>1486</v>
      </c>
      <c r="E178" s="9" t="s">
        <v>36</v>
      </c>
      <c r="F178" s="9" t="s">
        <v>316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1561</v>
      </c>
      <c r="L178" s="9" t="s">
        <v>117</v>
      </c>
      <c r="M178" s="10">
        <v>2.465277777777778E-3</v>
      </c>
      <c r="N178" s="9" t="s">
        <v>65</v>
      </c>
      <c r="O178" s="9" t="s">
        <v>1562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353</v>
      </c>
      <c r="AG178" s="9" t="s">
        <v>1563</v>
      </c>
      <c r="AH178" s="9">
        <v>6.2685789999999999</v>
      </c>
      <c r="AI178" s="9">
        <v>-75.597361000000006</v>
      </c>
      <c r="AJ178" s="9" t="s">
        <v>1564</v>
      </c>
      <c r="AK178" s="9">
        <v>6.2726519999999999</v>
      </c>
      <c r="AL178" s="9">
        <v>-75.602017000000004</v>
      </c>
      <c r="AN178" s="9"/>
    </row>
    <row r="179" spans="1:40" x14ac:dyDescent="0.25">
      <c r="A179" s="9" t="s">
        <v>1565</v>
      </c>
      <c r="B179" s="9" t="s">
        <v>1566</v>
      </c>
      <c r="C179" s="9" t="s">
        <v>1567</v>
      </c>
      <c r="D179" s="9" t="s">
        <v>1486</v>
      </c>
      <c r="E179" s="9" t="s">
        <v>36</v>
      </c>
      <c r="F179" s="9" t="s">
        <v>316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1568</v>
      </c>
      <c r="L179" s="9" t="s">
        <v>117</v>
      </c>
      <c r="M179" s="10">
        <v>1.6932870370370369E-2</v>
      </c>
      <c r="N179" s="9" t="s">
        <v>127</v>
      </c>
      <c r="O179" s="9" t="s">
        <v>1569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1570</v>
      </c>
      <c r="AG179" s="9" t="s">
        <v>1571</v>
      </c>
      <c r="AH179" s="9">
        <v>10.979990000000001</v>
      </c>
      <c r="AI179" s="9">
        <v>-74.803664999999995</v>
      </c>
      <c r="AJ179" s="9" t="s">
        <v>1572</v>
      </c>
      <c r="AK179" s="9">
        <v>6.2723969999999998</v>
      </c>
      <c r="AL179" s="9">
        <v>-75.540291999999994</v>
      </c>
      <c r="AN179" s="9" t="s">
        <v>1597</v>
      </c>
    </row>
    <row r="180" spans="1:40" x14ac:dyDescent="0.25">
      <c r="A180" s="9" t="s">
        <v>1573</v>
      </c>
      <c r="B180" s="9" t="s">
        <v>1574</v>
      </c>
      <c r="C180" s="9" t="s">
        <v>1575</v>
      </c>
      <c r="D180" s="9" t="s">
        <v>1486</v>
      </c>
      <c r="E180" s="9" t="s">
        <v>36</v>
      </c>
      <c r="F180" s="9" t="s">
        <v>316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1576</v>
      </c>
      <c r="L180" s="9" t="s">
        <v>117</v>
      </c>
      <c r="M180" s="10">
        <v>3.709490740740741E-2</v>
      </c>
      <c r="N180" s="9" t="s">
        <v>127</v>
      </c>
      <c r="O180" s="9" t="s">
        <v>1577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1578</v>
      </c>
      <c r="AG180" s="9" t="s">
        <v>1579</v>
      </c>
      <c r="AH180" s="9">
        <v>6.2265810000000004</v>
      </c>
      <c r="AI180" s="9">
        <v>-75.599300999999997</v>
      </c>
      <c r="AJ180" s="9" t="s">
        <v>1580</v>
      </c>
      <c r="AK180" s="9">
        <v>6.2903929999999999</v>
      </c>
      <c r="AL180" s="9">
        <v>-75.546537000000001</v>
      </c>
      <c r="AN180" s="9"/>
    </row>
    <row r="181" spans="1:40" x14ac:dyDescent="0.25">
      <c r="A181" s="9" t="s">
        <v>1581</v>
      </c>
      <c r="B181" s="9" t="s">
        <v>1582</v>
      </c>
      <c r="C181" s="9" t="s">
        <v>1583</v>
      </c>
      <c r="D181" s="9" t="s">
        <v>1486</v>
      </c>
      <c r="E181" s="9" t="s">
        <v>36</v>
      </c>
      <c r="F181" s="9" t="s">
        <v>316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1584</v>
      </c>
      <c r="L181" s="9" t="s">
        <v>117</v>
      </c>
      <c r="M181" s="10">
        <v>2.2615740740740738E-2</v>
      </c>
      <c r="N181" s="9" t="s">
        <v>127</v>
      </c>
      <c r="O181" s="9" t="s">
        <v>1585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1586</v>
      </c>
      <c r="AG181" s="9" t="s">
        <v>1587</v>
      </c>
      <c r="AH181" s="9">
        <v>6.2268949999999998</v>
      </c>
      <c r="AI181" s="9">
        <v>-75.599648000000002</v>
      </c>
      <c r="AJ181" s="9" t="s">
        <v>1588</v>
      </c>
      <c r="AK181" s="9">
        <v>6.2618280000000004</v>
      </c>
      <c r="AL181" s="9">
        <v>-75.571967000000001</v>
      </c>
      <c r="AN181" s="9"/>
    </row>
    <row r="182" spans="1:40" x14ac:dyDescent="0.25">
      <c r="A182" s="9" t="s">
        <v>1589</v>
      </c>
      <c r="B182" s="9" t="s">
        <v>1590</v>
      </c>
      <c r="C182" s="9" t="s">
        <v>1591</v>
      </c>
      <c r="D182" s="9" t="s">
        <v>1486</v>
      </c>
      <c r="E182" s="9" t="s">
        <v>36</v>
      </c>
      <c r="F182" s="9" t="s">
        <v>316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1592</v>
      </c>
      <c r="L182" s="9" t="s">
        <v>117</v>
      </c>
      <c r="M182" s="10">
        <v>3.274662037037037E-2</v>
      </c>
      <c r="N182" s="9" t="s">
        <v>127</v>
      </c>
      <c r="O182" s="9" t="s">
        <v>1593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1594</v>
      </c>
      <c r="AG182" s="9" t="s">
        <v>1595</v>
      </c>
      <c r="AH182" s="9">
        <v>6.2266620000000001</v>
      </c>
      <c r="AI182" s="9">
        <v>-75.599261999999996</v>
      </c>
      <c r="AJ182" s="9" t="s">
        <v>1596</v>
      </c>
      <c r="AK182" s="9">
        <v>6.2684569999999997</v>
      </c>
      <c r="AL182" s="9">
        <v>-75.599374999999995</v>
      </c>
      <c r="AN182" s="9"/>
    </row>
    <row r="183" spans="1:40" x14ac:dyDescent="0.25">
      <c r="AN183" s="9"/>
    </row>
    <row r="184" spans="1:40" x14ac:dyDescent="0.25">
      <c r="AN184" s="9"/>
    </row>
    <row r="185" spans="1:40" x14ac:dyDescent="0.25">
      <c r="AN185" s="9"/>
    </row>
    <row r="186" spans="1:40" x14ac:dyDescent="0.25">
      <c r="AN186" s="9"/>
    </row>
    <row r="187" spans="1:40" x14ac:dyDescent="0.25">
      <c r="AN187" s="9"/>
    </row>
    <row r="188" spans="1:40" x14ac:dyDescent="0.25">
      <c r="AN188" s="9"/>
    </row>
    <row r="189" spans="1:40" x14ac:dyDescent="0.25">
      <c r="AN189" s="9"/>
    </row>
    <row r="190" spans="1:40" x14ac:dyDescent="0.25">
      <c r="AN190" s="9"/>
    </row>
    <row r="191" spans="1:40" x14ac:dyDescent="0.25">
      <c r="AN191" s="9"/>
    </row>
    <row r="192" spans="1:40" x14ac:dyDescent="0.25">
      <c r="AN192" s="9"/>
    </row>
    <row r="193" spans="40:40" x14ac:dyDescent="0.25">
      <c r="AN193" s="9"/>
    </row>
    <row r="194" spans="40:40" x14ac:dyDescent="0.25">
      <c r="AN194" s="9"/>
    </row>
    <row r="195" spans="40:40" x14ac:dyDescent="0.25">
      <c r="AN195" s="9"/>
    </row>
    <row r="196" spans="40:40" x14ac:dyDescent="0.25">
      <c r="AN196" s="9"/>
    </row>
    <row r="197" spans="40:40" x14ac:dyDescent="0.25">
      <c r="AN197" s="9"/>
    </row>
    <row r="198" spans="40:40" x14ac:dyDescent="0.25">
      <c r="AN198" s="9"/>
    </row>
    <row r="199" spans="40:40" x14ac:dyDescent="0.25">
      <c r="AN199" s="9"/>
    </row>
    <row r="200" spans="40:40" x14ac:dyDescent="0.25">
      <c r="AN200" s="9"/>
    </row>
    <row r="201" spans="40:40" x14ac:dyDescent="0.25">
      <c r="AN201" s="9"/>
    </row>
    <row r="202" spans="40:40" x14ac:dyDescent="0.25">
      <c r="AN202" s="9"/>
    </row>
    <row r="203" spans="40:40" x14ac:dyDescent="0.25">
      <c r="AN203" s="9"/>
    </row>
    <row r="204" spans="40:40" x14ac:dyDescent="0.25">
      <c r="AN204" s="9"/>
    </row>
    <row r="205" spans="40:40" x14ac:dyDescent="0.25">
      <c r="AN205" s="9"/>
    </row>
    <row r="206" spans="40:40" x14ac:dyDescent="0.25">
      <c r="AN206" s="9"/>
    </row>
    <row r="207" spans="40:40" x14ac:dyDescent="0.25">
      <c r="AN207" s="9"/>
    </row>
    <row r="208" spans="40:40" x14ac:dyDescent="0.25">
      <c r="AN208" s="9"/>
    </row>
    <row r="209" spans="40:40" x14ac:dyDescent="0.25">
      <c r="AN209" s="9"/>
    </row>
    <row r="210" spans="40:40" x14ac:dyDescent="0.25">
      <c r="AN210" s="9"/>
    </row>
    <row r="211" spans="40:40" x14ac:dyDescent="0.25">
      <c r="AN211" s="9"/>
    </row>
    <row r="212" spans="40:40" x14ac:dyDescent="0.25">
      <c r="AN212" s="9"/>
    </row>
    <row r="213" spans="40:40" x14ac:dyDescent="0.25">
      <c r="AN213" s="9"/>
    </row>
    <row r="214" spans="40:40" x14ac:dyDescent="0.25">
      <c r="AN214" s="9"/>
    </row>
    <row r="215" spans="40:40" x14ac:dyDescent="0.25">
      <c r="AN215" s="9"/>
    </row>
    <row r="216" spans="40:40" x14ac:dyDescent="0.25">
      <c r="AN216" s="9"/>
    </row>
    <row r="217" spans="40:40" x14ac:dyDescent="0.25">
      <c r="AN217" s="9"/>
    </row>
    <row r="218" spans="40:40" x14ac:dyDescent="0.25">
      <c r="AN218" s="9"/>
    </row>
    <row r="219" spans="40:40" x14ac:dyDescent="0.25">
      <c r="AN219" s="9"/>
    </row>
    <row r="220" spans="40:40" x14ac:dyDescent="0.25">
      <c r="AN220" s="9"/>
    </row>
    <row r="221" spans="40:40" x14ac:dyDescent="0.25">
      <c r="AN221" s="9"/>
    </row>
    <row r="222" spans="40:40" x14ac:dyDescent="0.25">
      <c r="AN222" s="9"/>
    </row>
    <row r="223" spans="40:40" x14ac:dyDescent="0.25">
      <c r="AN223" s="9"/>
    </row>
    <row r="224" spans="40:40" x14ac:dyDescent="0.25">
      <c r="AN224" s="9"/>
    </row>
    <row r="225" spans="40:40" x14ac:dyDescent="0.25">
      <c r="AN225" s="9"/>
    </row>
    <row r="226" spans="40:40" x14ac:dyDescent="0.25">
      <c r="AN226" s="9"/>
    </row>
    <row r="227" spans="40:40" x14ac:dyDescent="0.25">
      <c r="AN227" s="9"/>
    </row>
    <row r="228" spans="40:40" x14ac:dyDescent="0.25">
      <c r="AN228" s="9"/>
    </row>
    <row r="229" spans="40:40" x14ac:dyDescent="0.25">
      <c r="AN229" s="9"/>
    </row>
    <row r="230" spans="40:40" x14ac:dyDescent="0.25">
      <c r="AN230" s="9"/>
    </row>
    <row r="231" spans="40:40" x14ac:dyDescent="0.25">
      <c r="AN231" s="9"/>
    </row>
    <row r="232" spans="40:40" x14ac:dyDescent="0.25">
      <c r="AN232" s="9"/>
    </row>
    <row r="233" spans="40:40" x14ac:dyDescent="0.25">
      <c r="AN233" s="9"/>
    </row>
    <row r="234" spans="40:40" x14ac:dyDescent="0.25">
      <c r="AN234" s="9"/>
    </row>
    <row r="235" spans="40:40" x14ac:dyDescent="0.25">
      <c r="AN235" s="9"/>
    </row>
    <row r="236" spans="40:40" x14ac:dyDescent="0.25">
      <c r="AN236" s="9"/>
    </row>
    <row r="237" spans="40:40" x14ac:dyDescent="0.25">
      <c r="AN237" s="9"/>
    </row>
    <row r="238" spans="40:40" x14ac:dyDescent="0.25">
      <c r="AN238" s="9"/>
    </row>
    <row r="239" spans="40:40" x14ac:dyDescent="0.25">
      <c r="AN239" s="9"/>
    </row>
    <row r="240" spans="40:40" x14ac:dyDescent="0.25">
      <c r="AN240" s="9"/>
    </row>
    <row r="241" spans="40:40" x14ac:dyDescent="0.25">
      <c r="AN241" s="9"/>
    </row>
    <row r="242" spans="40:40" x14ac:dyDescent="0.25">
      <c r="AN242" s="9"/>
    </row>
    <row r="243" spans="40:40" x14ac:dyDescent="0.25">
      <c r="AN243" s="9"/>
    </row>
    <row r="244" spans="40:40" x14ac:dyDescent="0.25">
      <c r="AN244" s="9"/>
    </row>
    <row r="245" spans="40:40" x14ac:dyDescent="0.25">
      <c r="AN245" s="9"/>
    </row>
    <row r="246" spans="40:40" x14ac:dyDescent="0.25">
      <c r="AN246" s="9"/>
    </row>
    <row r="247" spans="40:40" x14ac:dyDescent="0.25">
      <c r="AN247" s="9"/>
    </row>
    <row r="248" spans="40:40" x14ac:dyDescent="0.25">
      <c r="AN248" s="9"/>
    </row>
    <row r="249" spans="40:40" x14ac:dyDescent="0.25">
      <c r="AN249" s="9"/>
    </row>
    <row r="250" spans="40:40" x14ac:dyDescent="0.25">
      <c r="AN250" s="9"/>
    </row>
    <row r="251" spans="40:40" x14ac:dyDescent="0.25">
      <c r="AN251" s="9"/>
    </row>
    <row r="252" spans="40:40" x14ac:dyDescent="0.25">
      <c r="AN252" s="9"/>
    </row>
    <row r="253" spans="40:40" x14ac:dyDescent="0.25">
      <c r="AN253" s="9"/>
    </row>
    <row r="254" spans="40:40" x14ac:dyDescent="0.25">
      <c r="AN254" s="9"/>
    </row>
    <row r="255" spans="40:40" x14ac:dyDescent="0.25">
      <c r="AN255" s="9"/>
    </row>
    <row r="256" spans="40:40" x14ac:dyDescent="0.25">
      <c r="AN256" s="9"/>
    </row>
    <row r="257" spans="40:40" x14ac:dyDescent="0.25">
      <c r="AN257" s="9"/>
    </row>
    <row r="258" spans="40:40" x14ac:dyDescent="0.25">
      <c r="AN258" s="9"/>
    </row>
    <row r="259" spans="40:40" x14ac:dyDescent="0.25">
      <c r="AN259" s="9"/>
    </row>
    <row r="260" spans="40:40" x14ac:dyDescent="0.25">
      <c r="AN260" s="9"/>
    </row>
    <row r="261" spans="40:40" x14ac:dyDescent="0.25">
      <c r="AN261" s="9"/>
    </row>
    <row r="262" spans="40:40" x14ac:dyDescent="0.25">
      <c r="AN262" s="9"/>
    </row>
    <row r="263" spans="40:40" x14ac:dyDescent="0.25">
      <c r="AN263" s="9"/>
    </row>
    <row r="264" spans="40:40" x14ac:dyDescent="0.25">
      <c r="AN264" s="9"/>
    </row>
    <row r="265" spans="40:40" x14ac:dyDescent="0.25">
      <c r="AN265" s="9"/>
    </row>
    <row r="266" spans="40:40" x14ac:dyDescent="0.25">
      <c r="AN266" s="9"/>
    </row>
    <row r="267" spans="40:40" x14ac:dyDescent="0.25">
      <c r="AN267" s="9"/>
    </row>
    <row r="268" spans="40:40" x14ac:dyDescent="0.25">
      <c r="AN268" s="9"/>
    </row>
    <row r="269" spans="40:40" x14ac:dyDescent="0.25">
      <c r="AN269" s="9"/>
    </row>
    <row r="270" spans="40:40" x14ac:dyDescent="0.25">
      <c r="AN270" s="9"/>
    </row>
    <row r="271" spans="40:40" x14ac:dyDescent="0.25">
      <c r="AN271" s="9"/>
    </row>
    <row r="272" spans="40:40" x14ac:dyDescent="0.25">
      <c r="AN272" s="9"/>
    </row>
    <row r="273" spans="40:40" x14ac:dyDescent="0.25">
      <c r="AN273" s="9"/>
    </row>
    <row r="274" spans="40:40" x14ac:dyDescent="0.25">
      <c r="AN274" s="9"/>
    </row>
    <row r="275" spans="40:40" x14ac:dyDescent="0.25">
      <c r="AN275" s="9"/>
    </row>
    <row r="276" spans="40:40" x14ac:dyDescent="0.25">
      <c r="AN276" s="9"/>
    </row>
    <row r="277" spans="40:40" x14ac:dyDescent="0.25">
      <c r="AN277" s="9"/>
    </row>
    <row r="278" spans="40:40" x14ac:dyDescent="0.25">
      <c r="AN278" s="9"/>
    </row>
    <row r="279" spans="40:40" x14ac:dyDescent="0.25">
      <c r="AN279" s="9"/>
    </row>
    <row r="280" spans="40:40" x14ac:dyDescent="0.25">
      <c r="AN280" s="9"/>
    </row>
    <row r="281" spans="40:40" x14ac:dyDescent="0.25">
      <c r="AN281" s="9"/>
    </row>
    <row r="282" spans="40:40" x14ac:dyDescent="0.25">
      <c r="AN282" s="9"/>
    </row>
    <row r="283" spans="40:40" x14ac:dyDescent="0.25">
      <c r="AN283" s="9"/>
    </row>
    <row r="284" spans="40:40" x14ac:dyDescent="0.25">
      <c r="AN284" s="9"/>
    </row>
    <row r="285" spans="40:40" x14ac:dyDescent="0.25">
      <c r="AN285" s="9"/>
    </row>
    <row r="286" spans="40:40" x14ac:dyDescent="0.25">
      <c r="AN286" s="9"/>
    </row>
    <row r="287" spans="40:40" x14ac:dyDescent="0.25">
      <c r="AN287" s="9"/>
    </row>
    <row r="288" spans="40:40" x14ac:dyDescent="0.25">
      <c r="AN288" s="9"/>
    </row>
    <row r="289" spans="40:40" x14ac:dyDescent="0.25">
      <c r="AN289" s="9"/>
    </row>
    <row r="290" spans="40:40" x14ac:dyDescent="0.25">
      <c r="AN290" s="9"/>
    </row>
    <row r="291" spans="40:40" x14ac:dyDescent="0.25">
      <c r="AN291" s="9"/>
    </row>
    <row r="292" spans="40:40" x14ac:dyDescent="0.25">
      <c r="AN292" s="9"/>
    </row>
    <row r="293" spans="40:40" x14ac:dyDescent="0.25">
      <c r="AN293" s="9"/>
    </row>
    <row r="294" spans="40:40" x14ac:dyDescent="0.25">
      <c r="AN294" s="9"/>
    </row>
    <row r="295" spans="40:40" x14ac:dyDescent="0.25">
      <c r="AN295" s="9"/>
    </row>
    <row r="296" spans="40:40" x14ac:dyDescent="0.25">
      <c r="AN296" s="9"/>
    </row>
    <row r="297" spans="40:40" x14ac:dyDescent="0.25">
      <c r="AN297" s="9"/>
    </row>
    <row r="298" spans="40:40" x14ac:dyDescent="0.25">
      <c r="AN298" s="9"/>
    </row>
    <row r="299" spans="40:40" x14ac:dyDescent="0.25">
      <c r="AN299" s="9"/>
    </row>
    <row r="300" spans="40:40" x14ac:dyDescent="0.25">
      <c r="AN300" s="9"/>
    </row>
    <row r="301" spans="40:40" x14ac:dyDescent="0.25">
      <c r="AN301" s="9"/>
    </row>
    <row r="302" spans="40:40" x14ac:dyDescent="0.25">
      <c r="AN302" s="9"/>
    </row>
    <row r="303" spans="40:40" x14ac:dyDescent="0.25">
      <c r="AN303" s="9"/>
    </row>
    <row r="304" spans="40:40" x14ac:dyDescent="0.25">
      <c r="AN304" s="9"/>
    </row>
    <row r="305" spans="40:40" x14ac:dyDescent="0.25">
      <c r="AN305" s="9"/>
    </row>
    <row r="306" spans="40:40" x14ac:dyDescent="0.25">
      <c r="AN306" s="9"/>
    </row>
    <row r="307" spans="40:40" x14ac:dyDescent="0.25">
      <c r="AN307" s="9"/>
    </row>
    <row r="308" spans="40:40" x14ac:dyDescent="0.25">
      <c r="AN308" s="9"/>
    </row>
    <row r="309" spans="40:40" x14ac:dyDescent="0.25">
      <c r="AN309" s="9"/>
    </row>
    <row r="310" spans="40:40" x14ac:dyDescent="0.25">
      <c r="AN310" s="9"/>
    </row>
    <row r="311" spans="40:40" x14ac:dyDescent="0.25">
      <c r="AN311" s="9"/>
    </row>
    <row r="312" spans="40:40" x14ac:dyDescent="0.25">
      <c r="AN312" s="9"/>
    </row>
    <row r="313" spans="40:40" x14ac:dyDescent="0.25">
      <c r="AN313" s="9"/>
    </row>
    <row r="314" spans="40:40" x14ac:dyDescent="0.25">
      <c r="AN314" s="9"/>
    </row>
    <row r="315" spans="40:40" x14ac:dyDescent="0.25">
      <c r="AN315" s="9"/>
    </row>
    <row r="316" spans="40:40" x14ac:dyDescent="0.25">
      <c r="AN316" s="9"/>
    </row>
    <row r="317" spans="40:40" x14ac:dyDescent="0.25">
      <c r="AN317" s="9"/>
    </row>
    <row r="318" spans="40:40" x14ac:dyDescent="0.25">
      <c r="AN318" s="9"/>
    </row>
    <row r="319" spans="40:40" x14ac:dyDescent="0.25">
      <c r="AN319" s="9"/>
    </row>
    <row r="320" spans="40:40" x14ac:dyDescent="0.25">
      <c r="AN320" s="9"/>
    </row>
    <row r="321" spans="40:40" x14ac:dyDescent="0.25">
      <c r="AN321" s="9"/>
    </row>
    <row r="322" spans="40:40" x14ac:dyDescent="0.25">
      <c r="AN322" s="9"/>
    </row>
    <row r="323" spans="40:40" x14ac:dyDescent="0.25">
      <c r="AN323" s="9"/>
    </row>
    <row r="324" spans="40:40" x14ac:dyDescent="0.25">
      <c r="AN324" s="9"/>
    </row>
    <row r="325" spans="40:40" x14ac:dyDescent="0.25">
      <c r="AN325" s="9"/>
    </row>
    <row r="326" spans="40:40" x14ac:dyDescent="0.25">
      <c r="AN326" s="9"/>
    </row>
    <row r="327" spans="40:40" x14ac:dyDescent="0.25">
      <c r="AN327" s="9"/>
    </row>
    <row r="328" spans="40:40" x14ac:dyDescent="0.25">
      <c r="AN328" s="9"/>
    </row>
    <row r="329" spans="40:40" x14ac:dyDescent="0.25">
      <c r="AN329" s="9"/>
    </row>
    <row r="330" spans="40:40" x14ac:dyDescent="0.25">
      <c r="AN330" s="9"/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73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2026-09-18T17:58:41Z</dcterms:modified>
</cp:coreProperties>
</file>