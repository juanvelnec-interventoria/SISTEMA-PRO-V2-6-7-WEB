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222C50E2-8FE4-4080-AA57-2A91513B073D}" xr6:coauthVersionLast="47" xr6:coauthVersionMax="47" xr10:uidLastSave="{00000000-0000-0000-0000-000000000000}"/>
  <bookViews>
    <workbookView xWindow="20370" yWindow="-120" windowWidth="24240" windowHeight="1302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4" r:id="rId8"/>
    <pivotCache cacheId="5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486" i="2" l="1"/>
  <c r="AM487" i="2"/>
  <c r="AM488" i="2"/>
  <c r="AM489" i="2"/>
  <c r="AM490" i="2"/>
  <c r="AM491" i="2"/>
  <c r="AM492" i="2"/>
  <c r="AM493" i="2"/>
  <c r="AM494" i="2"/>
  <c r="AM482" i="2"/>
  <c r="AM483" i="2"/>
  <c r="AM484" i="2"/>
  <c r="AM485" i="2"/>
  <c r="AM473" i="2"/>
  <c r="AM474" i="2"/>
  <c r="AM475" i="2"/>
  <c r="AM476" i="2"/>
  <c r="AM477" i="2"/>
  <c r="AM478" i="2"/>
  <c r="AM479" i="2"/>
  <c r="AM480" i="2"/>
  <c r="AM481" i="2"/>
  <c r="AM468" i="2"/>
  <c r="AM469" i="2"/>
  <c r="AM470" i="2"/>
  <c r="AM471" i="2"/>
  <c r="AM472" i="2"/>
  <c r="AM467" i="2"/>
  <c r="AM461" i="2"/>
  <c r="AM462" i="2"/>
  <c r="AM463" i="2"/>
  <c r="AM464" i="2"/>
  <c r="AM465" i="2"/>
  <c r="AM466" i="2"/>
  <c r="AM459" i="2"/>
  <c r="AM460" i="2"/>
  <c r="AM458" i="2"/>
  <c r="AM453" i="2"/>
  <c r="AM454" i="2"/>
  <c r="AM455" i="2"/>
  <c r="AM456" i="2"/>
  <c r="AM457" i="2"/>
  <c r="AM448" i="2"/>
  <c r="AM449" i="2"/>
  <c r="AM450" i="2"/>
  <c r="AM451" i="2"/>
  <c r="AM452" i="2"/>
  <c r="AM447" i="2"/>
  <c r="AM439" i="2"/>
  <c r="AM440" i="2"/>
  <c r="AM441" i="2"/>
  <c r="AM442" i="2"/>
  <c r="AM443" i="2"/>
  <c r="AM444" i="2"/>
  <c r="AM445" i="2"/>
  <c r="AM446" i="2"/>
  <c r="AM434" i="2"/>
  <c r="AM435" i="2"/>
  <c r="AM436" i="2"/>
  <c r="AM437" i="2"/>
  <c r="AM438" i="2"/>
  <c r="AM425" i="2"/>
  <c r="AM426" i="2"/>
  <c r="AM427" i="2"/>
  <c r="AM428" i="2"/>
  <c r="AM429" i="2"/>
  <c r="AM430" i="2"/>
  <c r="AM431" i="2"/>
  <c r="AM432" i="2"/>
  <c r="AM433" i="2"/>
  <c r="AM420" i="2"/>
  <c r="AM421" i="2"/>
  <c r="AM422" i="2"/>
  <c r="AM423" i="2"/>
  <c r="AM424" i="2"/>
  <c r="AM412" i="2"/>
  <c r="AM413" i="2"/>
  <c r="AM414" i="2"/>
  <c r="AM415" i="2"/>
  <c r="AM416" i="2"/>
  <c r="AM417" i="2"/>
  <c r="AM418" i="2"/>
  <c r="AM419" i="2"/>
  <c r="AM406" i="2"/>
  <c r="AM407" i="2"/>
  <c r="AM408" i="2"/>
  <c r="AM409" i="2"/>
  <c r="AM410" i="2"/>
  <c r="AM411" i="2"/>
  <c r="AM404" i="2"/>
  <c r="AM405" i="2"/>
  <c r="AM397" i="2"/>
  <c r="AM398" i="2"/>
  <c r="AM399" i="2"/>
  <c r="AM400" i="2"/>
  <c r="AM401" i="2"/>
  <c r="AM402" i="2"/>
  <c r="AM403" i="2"/>
  <c r="AM392" i="2" l="1"/>
  <c r="AM393" i="2"/>
  <c r="AM394" i="2"/>
  <c r="AM395" i="2"/>
  <c r="AM396" i="2"/>
  <c r="AM391" i="2"/>
  <c r="AM382" i="2"/>
  <c r="AM383" i="2"/>
  <c r="AM384" i="2"/>
  <c r="AM385" i="2"/>
  <c r="AM386" i="2"/>
  <c r="AM387" i="2"/>
  <c r="AM388" i="2"/>
  <c r="AM389" i="2"/>
  <c r="AM390" i="2"/>
  <c r="AM377" i="2"/>
  <c r="AM378" i="2"/>
  <c r="AM379" i="2"/>
  <c r="AM380" i="2"/>
  <c r="AM381" i="2"/>
  <c r="AM369" i="2"/>
  <c r="AM370" i="2"/>
  <c r="AM371" i="2"/>
  <c r="AM372" i="2"/>
  <c r="AM373" i="2"/>
  <c r="AM374" i="2"/>
  <c r="AM375" i="2"/>
  <c r="AM376" i="2"/>
  <c r="AM364" i="2"/>
  <c r="AM365" i="2"/>
  <c r="AM366" i="2"/>
  <c r="AM367" i="2"/>
  <c r="AM368" i="2"/>
  <c r="AM363" i="2"/>
  <c r="AM355" i="2"/>
  <c r="AM356" i="2"/>
  <c r="AM357" i="2"/>
  <c r="AM358" i="2"/>
  <c r="AM359" i="2"/>
  <c r="AM360" i="2"/>
  <c r="AM361" i="2"/>
  <c r="AM362" i="2"/>
  <c r="AM354" i="2"/>
  <c r="AM349" i="2"/>
  <c r="AM350" i="2"/>
  <c r="AM351" i="2"/>
  <c r="AM352" i="2"/>
  <c r="AM353" i="2"/>
  <c r="AM342" i="2"/>
  <c r="AM343" i="2"/>
  <c r="AM344" i="2"/>
  <c r="AM345" i="2"/>
  <c r="AM346" i="2"/>
  <c r="AM347" i="2"/>
  <c r="AM348" i="2"/>
  <c r="AM336" i="2"/>
  <c r="AM337" i="2"/>
  <c r="AM338" i="2"/>
  <c r="AM339" i="2"/>
  <c r="AM340" i="2"/>
  <c r="AM341" i="2"/>
  <c r="AM335" i="2"/>
  <c r="AM333" i="2"/>
  <c r="AM329" i="2"/>
  <c r="AM325" i="2"/>
  <c r="AM326" i="2"/>
  <c r="AM327" i="2"/>
  <c r="AM328" i="2"/>
  <c r="AM330" i="2"/>
  <c r="AM331" i="2"/>
  <c r="AM332" i="2"/>
  <c r="AM334" i="2"/>
  <c r="AM320" i="2"/>
  <c r="AM321" i="2"/>
  <c r="AM322" i="2"/>
  <c r="AM323" i="2"/>
  <c r="AM324" i="2"/>
  <c r="AM311" i="2"/>
  <c r="AM312" i="2"/>
  <c r="AM313" i="2"/>
  <c r="AM314" i="2"/>
  <c r="AM315" i="2"/>
  <c r="AM316" i="2"/>
  <c r="AM317" i="2"/>
  <c r="AM318" i="2"/>
  <c r="AM319" i="2"/>
  <c r="AM306" i="2"/>
  <c r="AM307" i="2"/>
  <c r="AM308" i="2"/>
  <c r="AM309" i="2"/>
  <c r="AM310" i="2"/>
  <c r="AM305" i="2"/>
  <c r="AM297" i="2"/>
  <c r="AM298" i="2"/>
  <c r="AM299" i="2"/>
  <c r="AM300" i="2"/>
  <c r="AM301" i="2"/>
  <c r="AM302" i="2"/>
  <c r="AM303" i="2"/>
  <c r="AM304" i="2"/>
  <c r="AM292" i="2"/>
  <c r="AM293" i="2"/>
  <c r="AM294" i="2"/>
  <c r="AM295" i="2"/>
  <c r="AM296" i="2"/>
  <c r="AM283" i="2" l="1"/>
  <c r="AM284" i="2"/>
  <c r="AM285" i="2"/>
  <c r="AM286" i="2"/>
  <c r="AM287" i="2"/>
  <c r="AM288" i="2"/>
  <c r="AM289" i="2"/>
  <c r="AM290" i="2"/>
  <c r="AM291" i="2"/>
  <c r="AM278" i="2"/>
  <c r="AM279" i="2"/>
  <c r="AM280" i="2"/>
  <c r="AM281" i="2"/>
  <c r="AM282" i="2"/>
  <c r="AM277" i="2"/>
  <c r="AM270" i="2"/>
  <c r="AM271" i="2"/>
  <c r="AM272" i="2"/>
  <c r="AM273" i="2"/>
  <c r="AM274" i="2"/>
  <c r="AM275" i="2"/>
  <c r="AM276" i="2"/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<sst xmlns="http://schemas.openxmlformats.org/spreadsheetml/2006/main" count="10356" uniqueCount="4062">
  <si>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</si>
  <si>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</si>
  <si>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</si>
  <si>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</si>
  <si>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</si>
  <si>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</si>
  <si>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</si>
  <si>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</si>
  <si>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</si>
  <si>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</si>
  <si>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</si>
  <si>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</si>
  <si>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</si>
  <si>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</si>
  <si>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</si>
  <si>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</si>
  <si>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</si>
  <si>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</si>
  <si>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</si>
  <si>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</si>
  <si>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</si>
  <si>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</si>
  <si>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</si>
  <si>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</si>
  <si>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</si>
  <si>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</si>
  <si>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</si>
  <si>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</si>
  <si>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</si>
  <si>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</si>
  <si>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</si>
  <si>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</si>
  <si>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</si>
  <si>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</si>
  <si>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</si>
  <si>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</si>
  <si>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</si>
  <si>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</si>
  <si>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</si>
  <si>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</si>
  <si>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</si>
  <si>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</si>
  <si>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</si>
  <si>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</si>
  <si>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</si>
  <si>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</si>
  <si>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</si>
  <si>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</si>
  <si>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</si>
  <si>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</si>
  <si>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</si>
  <si>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</si>
  <si>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</si>
  <si>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</si>
  <si>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</si>
  <si>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</si>
  <si>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</si>
  <si>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</si>
  <si>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</si>
  <si>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</si>
  <si>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</si>
  <si>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</si>
  <si>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</si>
  <si>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</si>
  <si>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</si>
  <si>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</si>
  <si>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</si>
  <si>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</si>
  <si>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</si>
  <si>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</si>
  <si>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</si>
  <si>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</si>
  <si>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</si>
  <si>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</si>
  <si>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</si>
  <si>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</si>
  <si>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</si>
  <si>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</si>
  <si>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</si>
  <si>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</si>
  <si>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</si>
  <si>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</si>
  <si>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</si>
  <si>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</si>
  <si>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</si>
  <si>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</si>
  <si>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</si>
  <si>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</si>
  <si>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</si>
  <si>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</si>
  <si>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</si>
  <si>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</si>
  <si>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</si>
  <si>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</si>
  <si>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</si>
  <si>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</si>
  <si>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</si>
  <si>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</si>
  <si>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</si>
  <si>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</si>
  <si>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</si>
  <si>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</si>
  <si>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</si>
  <si>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</si>
  <si>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</si>
  <si>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</si>
  <si>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</si>
  <si>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</si>
  <si>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</si>
  <si>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</si>
  <si>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</si>
  <si>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</si>
  <si>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</si>
  <si>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</si>
  <si>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</si>
  <si>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</si>
  <si>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</si>
  <si>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</si>
  <si>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</si>
  <si>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</si>
  <si>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</si>
  <si>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</si>
  <si>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</si>
  <si>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</si>
  <si>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</si>
  <si>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</si>
  <si>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</si>
  <si>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</si>
  <si>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</si>
  <si>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</si>
  <si>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</si>
  <si>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</si>
  <si>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</si>
  <si>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</si>
  <si>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</si>
  <si>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</si>
  <si>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</si>
  <si>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</si>
  <si>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</si>
  <si>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</si>
  <si>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</si>
  <si>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</si>
  <si>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</si>
  <si>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</si>
  <si>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</si>
  <si>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</si>
  <si>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</si>
  <si>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</si>
  <si>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</si>
  <si>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</si>
  <si>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</si>
  <si>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</si>
  <si>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</si>
  <si>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</si>
  <si>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</si>
  <si>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</si>
  <si>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</si>
  <si>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</si>
  <si>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</si>
  <si>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</si>
  <si>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</si>
  <si>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</si>
  <si>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</si>
  <si>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</si>
  <si>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</si>
  <si>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</si>
  <si>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</si>
  <si>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</si>
  <si>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</si>
  <si>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</si>
  <si>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</si>
  <si>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</si>
  <si>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</si>
  <si>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</si>
  <si>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</si>
  <si>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</si>
  <si>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</si>
  <si>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</si>
  <si>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</si>
  <si>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</si>
  <si>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</si>
  <si>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</si>
  <si>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</si>
  <si>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</si>
  <si>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</si>
  <si>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</si>
  <si>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</si>
  <si>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</si>
  <si>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</si>
  <si>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</si>
  <si>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</si>
  <si>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</si>
  <si>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</si>
  <si>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</si>
  <si>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</si>
  <si>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</si>
  <si>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</si>
  <si>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</si>
  <si>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</si>
  <si>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</si>
  <si>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</si>
  <si>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</si>
  <si>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</si>
  <si>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</si>
  <si>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</si>
  <si>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</si>
  <si>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</si>
  <si>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</si>
  <si>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</si>
  <si>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</si>
  <si>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</si>
  <si>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</si>
  <si>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</si>
  <si>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</si>
  <si>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</si>
  <si>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</si>
  <si>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</si>
  <si>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</si>
  <si>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</si>
  <si>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</si>
  <si>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</si>
  <si>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</si>
  <si>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</si>
  <si>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</si>
  <si>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</si>
  <si>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</si>
  <si>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</si>
  <si>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</si>
  <si>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</si>
  <si>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</si>
  <si>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</si>
  <si>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</si>
  <si>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</si>
  <si>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</si>
  <si>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</si>
  <si>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</si>
  <si>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</si>
  <si>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</si>
  <si>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</si>
  <si>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</si>
  <si>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</si>
  <si>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</si>
  <si>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</si>
  <si>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</si>
  <si>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</si>
  <si>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</si>
  <si>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</si>
  <si>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</si>
  <si>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</si>
  <si>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</si>
  <si>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</si>
  <si>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</si>
  <si>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</si>
  <si>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</si>
  <si>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</si>
  <si>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</si>
  <si>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</si>
  <si>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</si>
  <si>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</si>
  <si>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</si>
  <si>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</si>
  <si>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</si>
  <si>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</si>
  <si>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</si>
  <si>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</si>
  <si>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</si>
  <si>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</si>
  <si>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</si>
  <si>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</si>
  <si>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</si>
  <si>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</si>
  <si>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</si>
  <si>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</si>
  <si>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</si>
  <si>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</si>
  <si>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</si>
  <si>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</si>
  <si>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</si>
  <si>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</si>
  <si>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</si>
  <si>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</si>
  <si>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</si>
  <si>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</si>
  <si>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</si>
  <si>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</si>
  <si>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</si>
  <si>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</si>
  <si>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</si>
  <si>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</si>
  <si>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</si>
  <si>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</si>
  <si>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</si>
  <si>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</si>
  <si>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</si>
  <si>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</si>
  <si>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</si>
  <si>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</si>
  <si>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</si>
  <si>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</si>
  <si>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</si>
  <si>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</si>
  <si>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</si>
  <si>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</si>
  <si>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</si>
  <si>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</si>
  <si>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</si>
  <si>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</si>
  <si>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</si>
  <si>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</si>
  <si>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</si>
  <si>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</si>
  <si>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</si>
  <si>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</si>
  <si>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</si>
  <si>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</si>
  <si>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</si>
  <si>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</si>
  <si>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</si>
  <si>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</si>
  <si>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</si>
  <si>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</si>
  <si>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</si>
  <si>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</si>
  <si>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</si>
  <si>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</si>
  <si>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</si>
  <si>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</si>
  <si>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</si>
  <si>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</si>
  <si>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</si>
  <si>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</si>
  <si>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</si>
  <si>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</si>
  <si>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</si>
  <si>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</si>
  <si>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</si>
  <si>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</si>
  <si>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</si>
  <si>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</si>
  <si>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</si>
  <si>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</si>
  <si>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</si>
  <si>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</si>
  <si>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</si>
  <si>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</si>
  <si>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</si>
  <si>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</si>
  <si>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</si>
  <si>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</si>
  <si>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</si>
  <si>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</si>
  <si>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</si>
  <si>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</si>
  <si>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</si>
  <si>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</si>
  <si>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</si>
  <si>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</si>
  <si>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</si>
  <si>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</si>
  <si>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</si>
  <si>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</si>
  <si>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</si>
  <si>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</si>
  <si>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</si>
  <si>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</si>
  <si>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</si>
  <si>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</si>
  <si>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</si>
  <si>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</si>
  <si>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</si>
  <si>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</si>
  <si>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</si>
  <si>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</si>
  <si>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</si>
  <si>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</si>
  <si>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</si>
  <si>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</si>
  <si>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</si>
  <si>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</si>
  <si>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</si>
  <si>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</si>
  <si>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</si>
  <si>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</si>
  <si>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</si>
  <si>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</si>
  <si>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</si>
  <si>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</si>
  <si>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</si>
  <si>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</si>
  <si>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</si>
  <si>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</si>
  <si>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</si>
  <si>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</si>
  <si>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</si>
  <si>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</si>
  <si>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</si>
  <si>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</si>
  <si>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</si>
  <si>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</si>
  <si>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</si>
  <si>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</si>
  <si>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</si>
  <si>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</si>
  <si>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</si>
  <si>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</si>
  <si>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</si>
  <si>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</si>
  <si>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</si>
  <si>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</si>
  <si>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</si>
  <si>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</si>
  <si>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</si>
  <si>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</si>
  <si>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</si>
  <si>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</si>
  <si>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</si>
  <si>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</si>
  <si>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</si>
  <si>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</si>
  <si>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</si>
  <si>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</si>
  <si>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</si>
  <si>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</si>
  <si>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</si>
  <si>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</si>
  <si>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</si>
  <si>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</si>
  <si>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</si>
  <si>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</si>
  <si>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</si>
  <si>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</si>
  <si>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</si>
  <si>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</si>
  <si>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</si>
  <si>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</si>
  <si>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</si>
  <si>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</si>
  <si>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</si>
  <si>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</si>
  <si>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</si>
  <si>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</si>
  <si>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</si>
  <si>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</si>
  <si>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</si>
  <si>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</si>
  <si>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</si>
  <si>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</si>
  <si>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</si>
  <si>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</si>
  <si>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</si>
  <si>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</si>
  <si>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</si>
  <si>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</si>
  <si>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</si>
  <si>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</si>
  <si>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</si>
  <si>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</si>
  <si>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</si>
  <si>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</si>
  <si>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</si>
  <si>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</si>
  <si>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</si>
  <si>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</si>
  <si>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</si>
  <si>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</si>
  <si>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</si>
  <si>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</si>
  <si>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</si>
  <si>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</si>
  <si>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</si>
  <si>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</si>
  <si>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</si>
  <si>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</si>
  <si>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</si>
  <si>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</si>
  <si>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</si>
  <si>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</si>
  <si>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</si>
  <si>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</si>
  <si>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</si>
  <si>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</si>
  <si>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</si>
  <si>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</si>
  <si>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</si>
  <si>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</si>
  <si>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</si>
  <si>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</si>
  <si>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</si>
  <si>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</si>
  <si>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</si>
  <si>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</si>
  <si>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</si>
  <si>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</si>
  <si>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</si>
  <si>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</si>
  <si>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</si>
  <si>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</si>
  <si>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</si>
  <si>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</si>
  <si>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</si>
  <si>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</si>
  <si>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</si>
  <si>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</si>
  <si>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</si>
  <si>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</si>
  <si>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</si>
  <si>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</si>
  <si>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</si>
  <si>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</si>
  <si>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</si>
  <si>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</si>
  <si>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</si>
  <si>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</si>
  <si>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</si>
  <si>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</si>
  <si>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</si>
  <si>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</si>
  <si>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</si>
  <si>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</si>
  <si>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</si>
  <si>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</si>
  <si>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</si>
  <si>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</si>
  <si>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</si>
  <si>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</si>
  <si>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</si>
  <si>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</si>
  <si>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</si>
  <si>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</si>
  <si>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</si>
  <si>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</si>
  <si>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</si>
  <si>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</si>
  <si>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</si>
  <si>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</si>
  <si>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</si>
  <si>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</si>
  <si>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</si>
  <si>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</si>
  <si>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</si>
  <si>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</si>
  <si>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</si>
  <si>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</si>
  <si>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</si>
  <si>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</si>
  <si>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</si>
  <si>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</si>
  <si>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</si>
  <si>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</si>
  <si>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</si>
  <si>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</si>
  <si>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</si>
  <si>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</si>
  <si>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</si>
  <si>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</si>
  <si>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</si>
  <si>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</si>
  <si>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</si>
  <si>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</si>
  <si>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</si>
  <si>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</si>
  <si>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</si>
  <si>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</si>
  <si>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</si>
  <si>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</si>
  <si>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</si>
  <si>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</si>
  <si>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</si>
  <si>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</si>
  <si>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</si>
  <si>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</si>
  <si>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</si>
  <si>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</si>
  <si>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</si>
  <si>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</si>
  <si>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</si>
  <si>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</si>
  <si>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</si>
  <si>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</si>
  <si>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</si>
  <si>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</si>
  <si>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</si>
  <si>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</si>
  <si>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</si>
  <si>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</si>
  <si>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</si>
  <si>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</si>
  <si>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</si>
  <si>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</si>
  <si>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</si>
  <si>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</si>
  <si>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</si>
  <si>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</si>
  <si>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</si>
  <si>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</si>
  <si>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</si>
  <si>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</si>
  <si>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</si>
  <si>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</si>
  <si>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</si>
  <si>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</si>
  <si>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</si>
  <si>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</si>
  <si>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</si>
  <si>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</si>
  <si>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</si>
  <si>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</si>
  <si>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</si>
  <si>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</si>
  <si>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</si>
  <si>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</si>
  <si>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</si>
  <si>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</si>
  <si>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</si>
  <si>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</si>
  <si>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</si>
  <si>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</si>
  <si>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</si>
  <si>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</si>
  <si>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</si>
  <si>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</si>
  <si>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</si>
  <si>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</si>
  <si>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</si>
  <si>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</si>
  <si>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</si>
  <si>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</si>
  <si>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</si>
  <si>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</si>
  <si>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</si>
  <si>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</si>
  <si>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</si>
  <si>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</si>
  <si>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</si>
  <si>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</si>
  <si>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</si>
  <si>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</si>
  <si>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</si>
  <si>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</si>
  <si>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</si>
  <si>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</si>
  <si>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</si>
  <si>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</si>
  <si>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</si>
  <si>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</si>
  <si>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</si>
  <si>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</si>
  <si>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</si>
  <si>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</si>
  <si>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</si>
  <si>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</si>
  <si>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</si>
  <si>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</si>
  <si>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</si>
  <si>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</si>
  <si>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</si>
  <si>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</si>
  <si>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</si>
  <si>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</si>
  <si>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</si>
  <si>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</si>
  <si>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</si>
  <si>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</si>
  <si>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</si>
  <si>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</si>
  <si>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</si>
  <si>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</si>
  <si>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</si>
  <si>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</si>
  <si>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</si>
  <si>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</si>
  <si>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</si>
  <si>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</si>
  <si>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</si>
  <si>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</si>
  <si>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</si>
  <si>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</si>
  <si>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</si>
  <si>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</si>
  <si>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</si>
  <si>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</si>
  <si>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</si>
  <si>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</si>
  <si>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</si>
  <si>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</si>
  <si>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</si>
  <si>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</si>
  <si>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</si>
  <si>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</si>
  <si>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</si>
  <si>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</si>
  <si>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</si>
  <si>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</si>
  <si>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</si>
  <si>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</si>
  <si>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</si>
  <si>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</si>
  <si>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</si>
  <si>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</si>
  <si>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</si>
  <si>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</si>
  <si>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</si>
  <si>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</si>
  <si>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</si>
  <si>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</si>
  <si>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</si>
  <si>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</si>
  <si>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</si>
  <si>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</si>
  <si>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</si>
  <si>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</si>
  <si>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</si>
  <si>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</si>
  <si>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</si>
  <si>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</si>
  <si>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</si>
  <si>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</si>
  <si>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</si>
  <si>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</si>
  <si>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</si>
  <si>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</si>
  <si>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</si>
  <si>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</si>
  <si>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</si>
  <si>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</si>
  <si>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</si>
  <si>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</si>
  <si>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</si>
  <si>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</si>
  <si>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</si>
  <si>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</si>
  <si>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</si>
  <si>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</si>
  <si>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</si>
  <si>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</si>
  <si>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</si>
  <si>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</si>
  <si>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</si>
  <si>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</si>
  <si>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</si>
  <si>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</si>
  <si>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</si>
  <si>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</si>
  <si>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</si>
  <si>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</si>
  <si>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</si>
  <si>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</si>
  <si>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</si>
  <si>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</si>
  <si>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</si>
  <si>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</si>
  <si>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</si>
  <si>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</si>
  <si>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</si>
  <si>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</si>
  <si>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</si>
  <si>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</si>
  <si>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</si>
  <si>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</si>
  <si>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</si>
  <si>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</si>
  <si>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</si>
  <si>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</si>
  <si>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</si>
  <si>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</si>
  <si>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</si>
  <si>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</si>
  <si>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</si>
  <si>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</si>
  <si>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</si>
  <si>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</si>
  <si>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</si>
  <si>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</si>
  <si>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</si>
  <si>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</si>
  <si>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</si>
  <si>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</si>
  <si>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</si>
  <si>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</si>
  <si>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</si>
  <si>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</si>
  <si>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</si>
  <si>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</si>
  <si>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</si>
  <si>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</si>
  <si>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</si>
  <si>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</si>
  <si>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</si>
  <si>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</si>
  <si>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</si>
  <si>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</si>
  <si>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</si>
  <si>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</si>
  <si>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</si>
  <si>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</si>
  <si>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</si>
  <si>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</si>
  <si>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</si>
  <si>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</si>
  <si>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</si>
  <si>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</si>
  <si>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</si>
  <si>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</si>
  <si>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</si>
  <si>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</si>
  <si>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</si>
  <si>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</si>
  <si>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</si>
  <si>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</si>
  <si>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</si>
  <si>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</si>
  <si>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</si>
  <si>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</si>
  <si>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</si>
  <si>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</si>
  <si>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</si>
  <si>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</si>
  <si>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</si>
  <si>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</si>
  <si>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</si>
  <si>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</si>
  <si>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</si>
  <si>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</si>
  <si>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</si>
  <si>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</si>
  <si>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</si>
  <si>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</si>
  <si>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</si>
  <si>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</si>
  <si>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</si>
  <si>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</si>
  <si>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</si>
  <si>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</si>
  <si>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</si>
  <si>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</si>
  <si>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</si>
  <si>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</si>
  <si>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</si>
  <si>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</si>
  <si>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</si>
  <si>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</si>
  <si>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</si>
  <si>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</si>
  <si>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</si>
  <si>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</si>
  <si>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</si>
  <si>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</si>
  <si>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</si>
  <si>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</si>
  <si>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</si>
  <si>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</si>
  <si>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</si>
  <si>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</si>
  <si>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</si>
  <si>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</si>
  <si>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</si>
  <si>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</si>
  <si>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</si>
  <si>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</si>
  <si>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</si>
  <si>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</si>
  <si>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</si>
  <si>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</si>
  <si>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</si>
  <si>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</si>
  <si>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</si>
  <si>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</si>
  <si>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</si>
  <si>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</si>
  <si>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</si>
  <si>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</si>
  <si>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</si>
  <si>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</si>
  <si>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</si>
  <si>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</si>
  <si>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</si>
  <si>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</si>
  <si>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</si>
  <si>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</si>
  <si>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</si>
  <si>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</si>
  <si>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</si>
  <si>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</si>
  <si>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</si>
  <si>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</si>
  <si>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</si>
  <si>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</si>
  <si>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</si>
  <si>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</si>
  <si>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</si>
  <si>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</si>
  <si>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</si>
  <si>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</si>
  <si>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</si>
  <si>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</si>
  <si>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</si>
  <si>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</si>
  <si>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</si>
  <si>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</si>
  <si>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</si>
  <si>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</si>
  <si>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</si>
  <si>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</si>
  <si>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</si>
  <si>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</si>
  <si>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</si>
  <si>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</si>
  <si>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</si>
  <si>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</si>
  <si>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</si>
  <si>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</si>
  <si>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</si>
  <si>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</si>
  <si>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</si>
  <si>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</si>
  <si>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</si>
  <si>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</si>
  <si>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</si>
  <si>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</si>
  <si>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</si>
  <si>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</si>
  <si>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</si>
  <si>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</si>
  <si>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</si>
  <si>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</si>
  <si>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</si>
  <si>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</si>
  <si>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</si>
  <si>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</si>
  <si>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</si>
  <si>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</si>
  <si>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</si>
  <si>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</si>
  <si>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</si>
  <si>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</si>
  <si>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</si>
  <si>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</si>
  <si>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</si>
  <si>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</si>
  <si>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</si>
  <si>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</si>
  <si>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</si>
  <si>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</si>
  <si>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</si>
  <si>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</si>
  <si>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</si>
  <si>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</si>
  <si>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</si>
  <si>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</si>
  <si>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</si>
  <si>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</si>
  <si>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</si>
  <si>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</si>
  <si>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</si>
  <si>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</si>
  <si>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</si>
  <si>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</si>
  <si>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</si>
  <si>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</si>
  <si>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</si>
  <si>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</si>
  <si>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</si>
  <si>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</si>
  <si>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</si>
  <si>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</si>
  <si>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</si>
  <si>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</si>
  <si>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</si>
  <si>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</si>
  <si>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</si>
  <si>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</si>
  <si>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</si>
  <si>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</si>
  <si>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</si>
  <si>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</si>
  <si>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</si>
  <si>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</si>
  <si>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</si>
  <si>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</si>
  <si>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</si>
  <si>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</si>
  <si>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</si>
  <si>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</si>
  <si>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</si>
  <si>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</si>
  <si>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</si>
  <si>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</si>
  <si>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</si>
  <si>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</si>
  <si>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</si>
  <si>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</si>
  <si>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</si>
  <si>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</si>
  <si>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</si>
  <si>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</si>
  <si>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</si>
  <si>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</si>
  <si>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</si>
  <si>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</si>
  <si>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</si>
  <si>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</si>
  <si>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</si>
  <si>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</si>
  <si>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</si>
  <si>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</si>
  <si>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</si>
  <si>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</si>
  <si>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</si>
  <si>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</si>
  <si>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</si>
  <si>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</si>
  <si>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</si>
  <si>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</si>
  <si>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</si>
  <si>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</si>
  <si>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</si>
  <si>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</si>
  <si>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</si>
  <si>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</si>
  <si>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</si>
  <si>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</si>
  <si>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</si>
  <si>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</si>
  <si>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</si>
  <si>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</si>
  <si>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</si>
  <si>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</si>
  <si>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</si>
  <si>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</si>
  <si>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</si>
  <si>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</si>
  <si>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</si>
  <si>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</si>
  <si>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</si>
  <si>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</si>
  <si>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</si>
  <si>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</si>
  <si>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</si>
  <si>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</si>
  <si>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</si>
  <si>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</si>
  <si>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</si>
  <si>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</si>
  <si>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</si>
  <si>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</si>
  <si>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</si>
  <si>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</si>
  <si>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</si>
  <si>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</si>
  <si>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</si>
  <si>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</si>
  <si>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</si>
  <si>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</si>
  <si>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</si>
  <si>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</si>
  <si>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</si>
  <si>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</si>
  <si>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</si>
  <si>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</si>
  <si>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</si>
  <si>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</si>
  <si>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</si>
  <si>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</si>
  <si>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</si>
  <si>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</si>
  <si>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</si>
  <si>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</si>
  <si>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</si>
  <si>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</si>
  <si>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</si>
  <si>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</si>
  <si>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</si>
  <si>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</si>
  <si>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</si>
  <si>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</si>
  <si>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</si>
  <si>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</si>
  <si>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</si>
  <si>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</si>
  <si>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</si>
  <si>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</si>
  <si>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</si>
  <si>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</si>
  <si>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</si>
  <si>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</si>
  <si>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</si>
  <si>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</si>
  <si>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</si>
  <si>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</si>
  <si>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</si>
  <si>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</si>
  <si>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</si>
  <si>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</si>
  <si>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</si>
  <si>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</si>
  <si>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</si>
  <si>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</si>
  <si>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</si>
  <si>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</si>
  <si>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</si>
  <si>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</si>
  <si>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</si>
  <si>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</si>
  <si>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</si>
  <si>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</si>
  <si>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</si>
  <si>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</si>
  <si>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</si>
  <si>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</si>
  <si>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</si>
  <si>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</si>
  <si>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</si>
  <si>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</si>
  <si>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</si>
  <si>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</si>
  <si>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</si>
  <si>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</si>
  <si>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</si>
  <si>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</si>
  <si>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</si>
  <si>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</si>
  <si>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</si>
  <si>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</si>
  <si>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</si>
  <si>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</si>
  <si>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</si>
  <si>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</si>
  <si>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</si>
  <si>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</si>
  <si>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</si>
  <si>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</si>
  <si>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</si>
  <si>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</si>
  <si>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</si>
  <si>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</si>
  <si>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</si>
  <si>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</si>
  <si>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</si>
  <si>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</si>
  <si>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</si>
  <si>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</si>
  <si>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</si>
  <si>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</si>
  <si>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</si>
  <si>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</si>
  <si>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</si>
  <si>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</si>
  <si>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</si>
  <si>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</si>
  <si>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</si>
  <si>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</si>
  <si>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</si>
  <si>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</si>
  <si>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</si>
  <si>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</si>
  <si>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</si>
  <si>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</si>
  <si>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</si>
  <si>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</si>
  <si>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</si>
  <si>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</si>
  <si>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</si>
  <si>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</si>
  <si>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</si>
  <si>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</si>
  <si>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</si>
  <si>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</si>
  <si>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</si>
  <si>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</si>
  <si>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</si>
  <si>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</si>
  <si>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</si>
  <si>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</si>
  <si>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</si>
  <si>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</si>
  <si>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</si>
  <si>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</si>
  <si>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</si>
  <si>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</si>
  <si>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</si>
  <si>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</si>
  <si>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</si>
  <si>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</si>
  <si>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</si>
  <si>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</si>
  <si>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</si>
  <si>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</si>
  <si>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</si>
  <si>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</si>
  <si>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</si>
  <si>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</si>
  <si>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</si>
  <si>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</si>
  <si>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</si>
  <si>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</si>
  <si>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</si>
  <si>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</si>
  <si>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</si>
  <si>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</si>
  <si>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</si>
  <si>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</si>
  <si>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</si>
  <si>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</si>
  <si>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</si>
  <si>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</si>
  <si>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</si>
  <si>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</si>
  <si>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</si>
  <si>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</si>
  <si>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</si>
  <si>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</si>
  <si>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</si>
  <si>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</si>
  <si>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</si>
  <si>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</si>
  <si>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</si>
  <si>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</si>
  <si>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</si>
  <si>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</si>
  <si>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</si>
  <si>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</si>
  <si>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</si>
  <si>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</si>
  <si>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</si>
  <si>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</si>
  <si>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</si>
  <si>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</si>
  <si>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</si>
  <si>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</si>
  <si>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</si>
  <si>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</si>
  <si>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</si>
  <si>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</si>
  <si>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</si>
  <si>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</si>
  <si>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</si>
  <si>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</si>
  <si>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</si>
  <si>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</si>
  <si>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</si>
  <si>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</si>
  <si>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</si>
  <si>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</si>
  <si>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</si>
  <si>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</si>
  <si>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</si>
  <si>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</si>
  <si>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</si>
  <si>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</si>
  <si>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</si>
  <si>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</si>
  <si>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</si>
  <si>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</si>
  <si>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</si>
  <si>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</si>
  <si>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</si>
  <si>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</si>
  <si>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</si>
  <si>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</si>
  <si>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</si>
  <si>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</si>
  <si>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</si>
  <si>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</si>
  <si>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</si>
  <si>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</si>
  <si>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</si>
  <si>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</si>
  <si>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</si>
  <si>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</si>
  <si>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</si>
  <si>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</si>
  <si>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</si>
  <si>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</si>
  <si>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</si>
  <si>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</si>
  <si>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</si>
  <si>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</si>
  <si>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</si>
  <si>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</si>
  <si>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</si>
  <si>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</si>
  <si>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</si>
  <si>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</si>
  <si>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</si>
  <si>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</si>
  <si>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</si>
  <si>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</si>
  <si>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</si>
  <si>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</si>
  <si>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</si>
  <si>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</si>
  <si>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</si>
  <si>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</si>
  <si>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</si>
  <si>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</si>
  <si>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</si>
  <si>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</si>
  <si>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</si>
  <si>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</si>
  <si>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</si>
  <si>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</si>
  <si>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</si>
  <si>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</si>
  <si>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</si>
  <si>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</si>
  <si>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</si>
  <si>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</si>
  <si>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</si>
  <si>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</si>
  <si>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</si>
  <si>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</si>
  <si>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</si>
  <si>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</si>
  <si>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</si>
  <si>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</si>
  <si>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</si>
  <si>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</si>
  <si>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</si>
  <si>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</si>
  <si>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</si>
  <si>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</si>
  <si>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</si>
  <si>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</si>
  <si>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</si>
  <si>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</si>
  <si>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</si>
  <si>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</si>
  <si>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</si>
  <si>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</si>
  <si>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</si>
  <si>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</si>
  <si>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</si>
  <si>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</si>
  <si>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</si>
  <si>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</si>
  <si>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</si>
  <si>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</si>
  <si>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</si>
  <si>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</si>
  <si>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</si>
  <si>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</si>
  <si>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</si>
  <si>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</si>
  <si>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</si>
  <si>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</si>
  <si>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</si>
  <si>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</si>
  <si>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</si>
  <si>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</si>
  <si>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</si>
  <si>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</si>
  <si>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</si>
  <si>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</si>
  <si>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</si>
  <si>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</si>
  <si>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</si>
  <si>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</si>
  <si>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</si>
  <si>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</si>
  <si>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</si>
  <si>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</si>
  <si>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</si>
  <si>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</si>
  <si>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</si>
  <si>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</si>
  <si>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</si>
  <si>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</si>
  <si>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</si>
  <si>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</si>
  <si>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</si>
  <si>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</si>
  <si>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</si>
  <si>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</si>
  <si>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</si>
  <si>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</si>
  <si>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</si>
  <si>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</si>
  <si>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</si>
  <si>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</si>
  <si>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</si>
  <si>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</si>
  <si>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</si>
  <si>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</si>
  <si>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</si>
  <si>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</si>
  <si>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</si>
  <si>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</si>
  <si>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</si>
  <si>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</si>
  <si>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</si>
  <si>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</si>
  <si>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</si>
  <si>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</si>
  <si>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</si>
  <si>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</si>
  <si>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</si>
  <si>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</si>
  <si>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</si>
  <si>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</si>
  <si>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</si>
  <si>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</si>
  <si>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</si>
  <si>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</si>
  <si>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</si>
  <si>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</si>
  <si>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</si>
  <si>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</si>
  <si>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</si>
  <si>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</si>
  <si>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</si>
  <si>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</si>
  <si>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</si>
  <si>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</si>
  <si>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</si>
  <si>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</si>
  <si>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</si>
  <si>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</si>
  <si>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</si>
  <si>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</si>
  <si>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</si>
  <si>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</si>
  <si>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</si>
  <si>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</si>
  <si>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</si>
  <si>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</si>
  <si>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</si>
  <si>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</si>
  <si>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</si>
  <si>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</si>
  <si>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</si>
  <si>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</si>
  <si>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</si>
  <si>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</si>
  <si>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</si>
  <si>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</si>
  <si>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</si>
  <si>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</si>
  <si>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</si>
  <si>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</si>
  <si>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</si>
  <si>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</si>
  <si>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</si>
  <si>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</si>
  <si>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</si>
  <si>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</si>
  <si>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</si>
  <si>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</si>
  <si>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</si>
  <si>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</si>
  <si>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</si>
  <si>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</si>
  <si>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</si>
  <si>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</si>
  <si>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</si>
  <si>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</si>
  <si>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</si>
  <si>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</si>
  <si>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</si>
  <si>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</si>
  <si>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</si>
  <si>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</si>
  <si>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</si>
  <si>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</si>
  <si>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</si>
  <si>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</si>
  <si>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</si>
  <si>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</si>
  <si>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</si>
  <si>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</si>
  <si>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</si>
  <si>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</si>
  <si>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</si>
  <si>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</si>
  <si>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</si>
  <si>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</si>
  <si>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</si>
  <si>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</si>
  <si>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</si>
  <si>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</si>
  <si>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</si>
  <si>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</si>
  <si>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</si>
  <si>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</si>
  <si>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</si>
  <si>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</si>
  <si>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</si>
  <si>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</si>
  <si>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</si>
  <si>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</si>
  <si>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</si>
  <si>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</si>
  <si>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</si>
  <si>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</si>
  <si>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</si>
  <si>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</si>
  <si>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</si>
  <si>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</si>
  <si>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</si>
  <si>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</si>
  <si>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</si>
  <si>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</si>
  <si>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</si>
  <si>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</si>
  <si>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</si>
  <si>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</si>
  <si>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</si>
  <si>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</si>
  <si>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</si>
  <si>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</si>
  <si>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</si>
  <si>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</si>
  <si>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</si>
  <si>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</si>
  <si>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</si>
  <si>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</si>
  <si>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</si>
  <si>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</si>
  <si>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</si>
  <si>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</si>
  <si>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</si>
  <si>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</si>
  <si>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</si>
  <si>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</si>
  <si>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</si>
  <si>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</si>
  <si>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</si>
  <si>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</si>
  <si>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</si>
  <si>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</si>
  <si>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</si>
  <si>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</si>
  <si>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</si>
  <si>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</si>
  <si>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</si>
  <si>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</si>
  <si>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</si>
  <si>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</si>
  <si>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</si>
  <si>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</si>
  <si>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</si>
  <si>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</si>
  <si>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</si>
  <si>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</si>
  <si>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</si>
  <si>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</si>
  <si>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</si>
  <si>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</si>
  <si>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</si>
  <si>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</si>
  <si>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</si>
  <si>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</si>
  <si>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</si>
  <si>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</si>
  <si>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</si>
  <si>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</si>
  <si>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</si>
  <si>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</si>
  <si>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</si>
  <si>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</si>
  <si>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</si>
  <si>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</si>
  <si>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</si>
  <si>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</si>
  <si>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</si>
  <si>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</si>
  <si>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</si>
  <si>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</si>
  <si>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</si>
  <si>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</si>
  <si>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</si>
  <si>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</si>
  <si>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</si>
  <si>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</si>
  <si>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</si>
  <si>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</si>
  <si>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</si>
  <si>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</si>
  <si>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</si>
  <si>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</si>
  <si>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</si>
  <si>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</si>
  <si>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</si>
  <si>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</si>
  <si>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</si>
  <si>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</si>
  <si>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</si>
  <si>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</si>
  <si>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</si>
  <si>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</si>
  <si>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</si>
  <si>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</si>
  <si>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</si>
  <si>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</si>
  <si>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</si>
  <si>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</si>
  <si>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</si>
  <si>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</si>
  <si>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</si>
  <si>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</si>
  <si>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</si>
  <si>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</si>
  <si>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</si>
  <si>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</si>
  <si>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</si>
  <si>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</si>
  <si>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</si>
  <si>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</si>
  <si>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</si>
  <si>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</si>
  <si>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</si>
  <si>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</si>
  <si>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</si>
  <si>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</si>
  <si>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</si>
  <si>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</si>
  <si>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</si>
  <si>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</si>
  <si>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</si>
  <si>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</si>
  <si>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</si>
  <si>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</si>
  <si>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</si>
  <si>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</si>
  <si>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</si>
  <si>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</si>
  <si>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</si>
  <si>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</si>
  <si>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</si>
  <si>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</si>
  <si>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</si>
  <si>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</si>
  <si>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</si>
  <si>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</si>
  <si>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</si>
  <si>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</si>
  <si>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</si>
  <si>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</si>
  <si>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</si>
  <si>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</si>
  <si>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</si>
  <si>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</si>
  <si>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</si>
  <si>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</si>
  <si>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</si>
  <si>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</si>
  <si>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</si>
  <si>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</si>
  <si>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</si>
  <si>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</si>
  <si>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</si>
  <si>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</si>
  <si>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</si>
  <si>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</si>
  <si>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</si>
  <si>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</si>
  <si>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</si>
  <si>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</si>
  <si>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</si>
  <si>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</si>
  <si>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</si>
  <si>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</si>
  <si>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</si>
  <si>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</si>
  <si>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</si>
  <si>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</si>
  <si>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</si>
  <si>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</si>
  <si>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</si>
  <si>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</si>
  <si>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</si>
  <si>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</si>
  <si>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</si>
  <si>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</si>
  <si>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</si>
  <si>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</si>
  <si>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</si>
  <si>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</si>
  <si>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</si>
  <si>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</si>
  <si>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</si>
  <si>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</si>
  <si>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</si>
  <si>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</si>
  <si>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</si>
  <si>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</si>
  <si>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</si>
  <si>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</si>
  <si>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</si>
  <si>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</si>
  <si>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</si>
  <si>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</si>
  <si>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</si>
  <si>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</si>
  <si>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</si>
  <si>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</si>
  <si>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</si>
  <si>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</si>
  <si>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</si>
  <si>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</si>
  <si>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</si>
  <si>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</si>
  <si>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</si>
  <si>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</si>
  <si>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</si>
  <si>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</si>
  <si>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</si>
  <si>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</si>
  <si>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</si>
  <si>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</si>
  <si>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</si>
  <si>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</si>
  <si>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</si>
  <si>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</si>
  <si>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</si>
  <si>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</si>
  <si>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</si>
  <si>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</si>
  <si>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</si>
  <si>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</si>
  <si>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</si>
  <si>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</si>
  <si>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</si>
  <si>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</si>
  <si>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</si>
  <si>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</si>
  <si>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</si>
  <si>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</si>
  <si>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</si>
  <si>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</si>
  <si>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</si>
  <si>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</si>
  <si>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</si>
  <si>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</si>
  <si>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</si>
  <si>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</si>
  <si>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</si>
  <si>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</si>
  <si>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</si>
  <si>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</si>
  <si>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</si>
  <si>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</si>
  <si>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</si>
  <si>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</si>
  <si>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</si>
  <si>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</si>
  <si>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</si>
  <si>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</si>
  <si>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</si>
  <si>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</si>
  <si>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</si>
  <si>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</si>
  <si>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</si>
  <si>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</si>
  <si>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</si>
  <si>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</si>
  <si>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</si>
  <si>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</si>
  <si>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</si>
  <si>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</si>
  <si>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</si>
  <si>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</si>
  <si>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</si>
  <si>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</si>
  <si>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</si>
  <si>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</si>
  <si>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</si>
  <si>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</si>
  <si>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</si>
  <si>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</si>
  <si>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</si>
  <si>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</si>
  <si>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</si>
  <si>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</si>
  <si>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</si>
  <si>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</si>
  <si>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</si>
  <si>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</si>
  <si>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</si>
  <si>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</si>
  <si>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</si>
  <si>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</si>
  <si>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</si>
  <si>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</si>
  <si>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</si>
  <si>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</si>
  <si>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</si>
  <si>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</si>
  <si>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</si>
  <si>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</si>
  <si>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</si>
  <si>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</si>
  <si>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</si>
  <si>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</si>
  <si>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</si>
  <si>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</si>
  <si>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</si>
  <si>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</si>
  <si>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</si>
  <si>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</si>
  <si>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</si>
  <si>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</si>
  <si>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</si>
  <si>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</si>
  <si>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</si>
  <si>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</si>
  <si>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</si>
  <si>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</si>
  <si>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</si>
  <si>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</si>
  <si>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</si>
  <si>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</si>
  <si>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</si>
  <si>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</si>
  <si>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</si>
  <si>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</si>
  <si>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</si>
  <si>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</si>
  <si>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</si>
  <si>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</si>
  <si>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</si>
  <si>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</si>
  <si>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</si>
  <si>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</si>
  <si>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</si>
  <si>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</si>
  <si>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</si>
  <si>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</si>
  <si>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</si>
  <si>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</si>
  <si>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</si>
  <si>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</si>
  <si>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</si>
  <si>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</si>
  <si>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</si>
  <si>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</si>
  <si>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</si>
  <si>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</si>
  <si>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</si>
  <si>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</si>
  <si>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</si>
  <si>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</si>
  <si>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</si>
  <si>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</si>
  <si>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</si>
  <si>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</si>
  <si>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</si>
  <si>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</si>
  <si>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</si>
  <si>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</si>
  <si>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</si>
  <si>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</si>
  <si>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</si>
  <si>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</si>
  <si>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</si>
  <si>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</si>
  <si>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</si>
  <si>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</si>
  <si>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</si>
  <si>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</si>
  <si>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</si>
  <si>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</si>
  <si>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</si>
  <si>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</si>
  <si>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</si>
  <si>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</si>
  <si>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</si>
  <si>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</si>
  <si>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</si>
  <si>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</si>
  <si>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</si>
  <si>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</si>
  <si>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</si>
  <si>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</si>
  <si>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</si>
  <si>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</si>
  <si>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</si>
  <si>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</si>
  <si>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</si>
  <si>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</si>
  <si>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</si>
  <si>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</si>
  <si>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</si>
  <si>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</si>
  <si>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</si>
  <si>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</si>
  <si>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</si>
  <si>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</si>
  <si>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</si>
  <si>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</si>
  <si>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</si>
  <si>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</si>
  <si>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</si>
  <si>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</si>
  <si>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</si>
  <si>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</si>
  <si>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</si>
  <si>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</si>
  <si>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</si>
  <si>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</si>
  <si>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</si>
  <si>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</si>
  <si>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</si>
  <si>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</si>
  <si>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</si>
  <si>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</si>
  <si>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</si>
  <si>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</si>
  <si>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</si>
  <si>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</si>
  <si>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</si>
  <si>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</si>
  <si>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</si>
  <si>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</si>
  <si>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</si>
  <si>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</si>
  <si>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</si>
  <si>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</si>
  <si>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</si>
  <si>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</si>
  <si>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</si>
  <si>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</si>
  <si>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</si>
  <si>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</si>
  <si>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</si>
  <si>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</si>
  <si>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</si>
  <si>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</si>
  <si>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</si>
  <si>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</si>
  <si>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</si>
  <si>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</si>
  <si>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</si>
  <si>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</si>
  <si>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</si>
  <si>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</si>
  <si>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</si>
  <si>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</si>
  <si>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</si>
  <si>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</si>
  <si>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</si>
  <si>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</si>
  <si>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</si>
  <si>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</si>
  <si>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</si>
  <si>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</si>
  <si>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</si>
  <si>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</si>
  <si>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</si>
  <si>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</si>
  <si>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</si>
  <si>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</si>
  <si>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</si>
  <si>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</si>
  <si>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</si>
  <si>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</si>
  <si>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</si>
  <si>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</si>
  <si>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</si>
  <si>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</si>
  <si>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</si>
  <si>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</si>
  <si>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</si>
  <si>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</si>
  <si>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</si>
  <si>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</si>
  <si>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</si>
  <si>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</si>
  <si>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</si>
  <si>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</si>
  <si>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</si>
  <si>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</si>
  <si>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</si>
  <si>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</si>
  <si>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</si>
  <si>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</si>
  <si>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</si>
  <si>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</si>
  <si>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</si>
  <si>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</si>
  <si>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</si>
  <si>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</si>
  <si>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</si>
  <si>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</si>
  <si>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</si>
  <si>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</si>
  <si>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</si>
  <si>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</si>
  <si>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</si>
  <si>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</si>
  <si>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</si>
  <si>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</si>
  <si>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</si>
  <si>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</si>
  <si>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</si>
  <si>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</si>
  <si>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</si>
  <si>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</si>
  <si>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</si>
  <si>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</si>
  <si>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</si>
  <si>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</si>
  <si>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</si>
  <si>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</si>
  <si>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</si>
  <si>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</si>
  <si>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</si>
  <si>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</si>
  <si>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</si>
  <si>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</si>
  <si>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</si>
  <si>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</si>
  <si>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</si>
  <si>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</si>
  <si>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</si>
  <si>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</si>
  <si>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</si>
  <si>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</si>
  <si>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</si>
  <si>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</si>
  <si>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</si>
  <si>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</si>
  <si>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</si>
  <si>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</si>
  <si>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</si>
  <si>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</si>
  <si>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</si>
  <si>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</si>
  <si>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</si>
  <si>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</si>
  <si>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</si>
  <si>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</si>
  <si>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</si>
  <si>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</si>
  <si>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</si>
  <si>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</si>
  <si>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</si>
  <si>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</si>
  <si>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</si>
  <si>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</si>
  <si>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</si>
  <si>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</si>
  <si>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</si>
  <si>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</si>
  <si>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</si>
  <si>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</si>
  <si>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</si>
  <si>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</si>
  <si>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</si>
  <si>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</si>
  <si>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</si>
  <si>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</si>
  <si>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</si>
  <si>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</si>
  <si>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</si>
  <si>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</si>
  <si>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</si>
  <si>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</si>
  <si>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</si>
  <si>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</si>
  <si>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</si>
  <si>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</si>
  <si>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</si>
  <si>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</si>
  <si>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</si>
  <si>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</si>
  <si>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</si>
  <si>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</si>
  <si>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</si>
  <si>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</si>
  <si>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</si>
  <si>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</si>
  <si>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</si>
  <si>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</si>
  <si>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</si>
  <si>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</si>
  <si>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</si>
  <si>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</si>
  <si>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</si>
  <si>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</si>
  <si>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</si>
  <si>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</si>
  <si>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</si>
  <si>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</si>
  <si>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</si>
  <si>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</si>
  <si>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</si>
  <si>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</si>
  <si>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</si>
  <si>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</si>
  <si>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</si>
  <si>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</si>
  <si>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</si>
  <si>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</si>
  <si>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</si>
  <si>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</si>
  <si>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</si>
  <si>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</si>
  <si>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</si>
  <si>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</si>
  <si>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</si>
  <si>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</si>
  <si>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</si>
  <si>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</si>
  <si>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</si>
  <si>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</si>
  <si>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</si>
  <si>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</si>
  <si>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</si>
  <si>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</si>
  <si>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</si>
  <si>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</si>
  <si>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</si>
  <si>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</si>
  <si>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</si>
  <si>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</si>
  <si>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</si>
  <si>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</si>
  <si>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</si>
  <si>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</si>
  <si>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</si>
  <si>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</si>
  <si>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</si>
  <si>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</si>
  <si>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</si>
  <si>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</si>
  <si>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</si>
  <si>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</si>
  <si>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</si>
  <si>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</si>
  <si>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</si>
  <si>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</si>
  <si>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</si>
  <si>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</si>
  <si>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</si>
  <si>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</si>
  <si>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</si>
  <si>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</si>
  <si>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</si>
  <si>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</si>
  <si>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</si>
  <si>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</si>
  <si>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</si>
  <si>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</si>
  <si>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</si>
  <si>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</si>
  <si>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</si>
  <si>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</si>
  <si>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</si>
  <si>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</si>
  <si>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</si>
  <si>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</si>
  <si>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</si>
  <si>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</si>
  <si>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</si>
  <si>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</si>
  <si>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</si>
  <si>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</si>
  <si>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</si>
  <si>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</si>
  <si>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</si>
  <si>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</si>
  <si>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</si>
  <si>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</si>
  <si>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</si>
  <si>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</si>
  <si>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</si>
  <si>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</si>
  <si>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</si>
  <si>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</si>
  <si>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</si>
  <si>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</si>
  <si>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</si>
  <si>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</si>
  <si>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</si>
  <si>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</si>
  <si>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</si>
  <si>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</si>
  <si>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</si>
  <si>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</si>
  <si>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</si>
  <si>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</si>
  <si>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</si>
  <si>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</si>
  <si>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</si>
  <si>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</si>
  <si>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</si>
  <si>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</si>
  <si>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</si>
  <si>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</si>
  <si>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</si>
  <si>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</si>
  <si>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</si>
  <si>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</si>
  <si>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</si>
  <si>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</si>
  <si>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</si>
  <si>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</si>
  <si>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</si>
  <si>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</si>
  <si>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</si>
  <si>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</si>
  <si>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</si>
  <si>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</si>
  <si>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</si>
  <si>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</si>
  <si>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</si>
  <si>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</si>
  <si>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</si>
  <si>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</si>
  <si>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</si>
  <si>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</si>
  <si>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</si>
  <si>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</si>
  <si>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</si>
  <si>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</si>
  <si>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</si>
  <si>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</si>
  <si>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</si>
  <si>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</si>
  <si>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</si>
  <si>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</si>
  <si>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</si>
  <si>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</si>
  <si>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</si>
  <si>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</si>
  <si>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</si>
  <si>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</si>
  <si>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</si>
  <si>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</si>
  <si>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</si>
  <si>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</si>
  <si>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</si>
  <si>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</si>
  <si>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</si>
  <si>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</si>
  <si>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</si>
  <si>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</si>
  <si>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</si>
  <si>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</si>
  <si>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</si>
  <si>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</si>
  <si>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</si>
  <si>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</si>
  <si>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</si>
  <si>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</si>
  <si>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</si>
  <si>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</si>
  <si>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</si>
  <si>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</si>
  <si>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</si>
  <si>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</si>
  <si>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</si>
  <si>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</si>
  <si>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</si>
  <si>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</si>
  <si>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</si>
  <si>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</si>
  <si>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</si>
  <si>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</si>
  <si>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</si>
  <si>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</si>
  <si>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</si>
  <si>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</si>
  <si>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</si>
  <si>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</si>
  <si>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</si>
  <si>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</si>
  <si>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</si>
  <si>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</si>
  <si>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</si>
  <si>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</si>
  <si>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</si>
  <si>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</si>
  <si>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</si>
  <si>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</si>
  <si>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</si>
  <si>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</si>
  <si>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</si>
  <si>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</si>
  <si>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</si>
  <si>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</si>
  <si>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</si>
  <si>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</si>
  <si>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</si>
  <si>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</si>
  <si>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</si>
  <si>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</si>
  <si>
    <t>e09abcfb16b8d148</t>
  </si>
  <si>
    <t>28_09_2026_AO_Diur.gpx</t>
  </si>
  <si>
    <t>e09abcfb16b8d148ee331ec53c480d3b7cbf22398c7bb29410be479d22da54cd</t>
  </si>
  <si>
    <t>28/09/2026</t>
  </si>
  <si>
    <t>28/09/2026 09:35:20</t>
  </si>
  <si>
    <t>28/09/2026 16:32:29</t>
  </si>
  <si>
    <t>Inicio GPS tardío: 01:05:20 después de las 08:30.; Fin GPS dentro de la tolerancia del horario programado.; 6 hueco(s) GPS &gt;= 10 min.</t>
  </si>
  <si>
    <t>6.225351, -75.599309</t>
  </si>
  <si>
    <t>6.223378, -75.595094</t>
  </si>
  <si>
    <t>9b16b42bb88697bf</t>
  </si>
  <si>
    <t>28_09_2026_AR_Diur.gpx</t>
  </si>
  <si>
    <t>9b16b42bb88697bfee1cfa01facf792fbe7fac95664b452176df52802a9f43da</t>
  </si>
  <si>
    <t>28/09/2026 08:48:50</t>
  </si>
  <si>
    <t>28/09/2026 16:33:03</t>
  </si>
  <si>
    <t>Inicio GPS tardío: 00:18:50 después de las 08:30.; Fin GPS dentro de la tolerancia del horario programado.; 4 hueco(s) GPS &gt;= 10 min.</t>
  </si>
  <si>
    <t>6.225617, -75.599421</t>
  </si>
  <si>
    <t>6.247649, -75.614938</t>
  </si>
  <si>
    <t>201ca3d0893d110b</t>
  </si>
  <si>
    <t>28_09_2026_HC_Diur.gpx</t>
  </si>
  <si>
    <t>201ca3d0893d110b69b3ff18f2455d01b453f9da146f32173b2d611789a14525</t>
  </si>
  <si>
    <t>28/09/2026 08:57:38</t>
  </si>
  <si>
    <t>28/09/2026 15:05:18</t>
  </si>
  <si>
    <t>Inicio GPS tardío: 00:27:38 después de las 08:30.; Fin GPS anticipado: 01:24:42 antes de las 16:30.</t>
  </si>
  <si>
    <t>6.225656, -75.599446</t>
  </si>
  <si>
    <t>6.285821, -75.584148</t>
  </si>
  <si>
    <t>55d70ad7975d0363</t>
  </si>
  <si>
    <t>28_09_2026_JA_Diur.gpx</t>
  </si>
  <si>
    <t>55d70ad7975d0363b44b368c702afb05fde4141435e3ab8b9e9eed35819b91f0</t>
  </si>
  <si>
    <t>28/09/2026 08:33:03</t>
  </si>
  <si>
    <t>28/09/2026 15:40:15</t>
  </si>
  <si>
    <t>Inicio GPS dentro de la tolerancia del horario programado.; Fin GPS anticipado: 00:49:45 antes de las 16:30.; 3 hueco(s) GPS &gt;= 10 min.</t>
  </si>
  <si>
    <t>6.225779, -75.599106</t>
  </si>
  <si>
    <t>6.245380, -75.571899</t>
  </si>
  <si>
    <t>96393fa30f5e8f00</t>
  </si>
  <si>
    <t>28_09_2026_JO_Diur.gpx</t>
  </si>
  <si>
    <t>96393fa30f5e8f00c86b506ef386a507b49d49562446d05be83d39d7b68277fd</t>
  </si>
  <si>
    <t>28/09/2026 09:18:49</t>
  </si>
  <si>
    <t>28/09/2026 16:26:00</t>
  </si>
  <si>
    <t>Inicio GPS tardío: 00:48:50 después de las 08:30.; Fin GPS dentro de la tolerancia del horario programado.; 8 hueco(s) GPS &gt;= 10 min.</t>
  </si>
  <si>
    <t>6.225461, -75.599212</t>
  </si>
  <si>
    <t>6.259254, -75.620910</t>
  </si>
  <si>
    <t>188c643cbefd7248</t>
  </si>
  <si>
    <t>28_09_2026_JZ_Diur.gpx</t>
  </si>
  <si>
    <t>188c643cbefd724868fbdfe05dd0bc08d588b11553ad07272605920ba2b04e47</t>
  </si>
  <si>
    <t>28/09/2026 08:21:27</t>
  </si>
  <si>
    <t>28/09/2026 16:37:25</t>
  </si>
  <si>
    <t>6.226722, -75.599289</t>
  </si>
  <si>
    <t>6.278847, -75.569133</t>
  </si>
  <si>
    <t>13a4011fb745e888</t>
  </si>
  <si>
    <t>28_09_2026_YL_Diur.gpx</t>
  </si>
  <si>
    <t>13a4011fb745e888f0c90c875d605ef3d7d1b4e4dc61732c958344172ffe8a1a</t>
  </si>
  <si>
    <t>28/09/2026 13:32:17</t>
  </si>
  <si>
    <t>28/09/2026 17:26:42</t>
  </si>
  <si>
    <t>Inicio GPS tardío: 05:02:17 después de las 08:30.; Fin GPS posterior: 00:56:42 después de las 16:30.</t>
  </si>
  <si>
    <t>6.259445, -75.599486</t>
  </si>
  <si>
    <t>6.258664, -75.616157</t>
  </si>
  <si>
    <t>b78760f0aa2ccf3b</t>
  </si>
  <si>
    <t>28_09_2026_DR_Diur.gpx</t>
  </si>
  <si>
    <t>b78760f0aa2ccf3b65363a2914f113ad8ced9b3fa9159b6541a9cfd3f072c103</t>
  </si>
  <si>
    <t>28/09/2026 09:14:07</t>
  </si>
  <si>
    <t>28/09/2026 16:17:38</t>
  </si>
  <si>
    <t>Inicio GPS tardío: 00:44:07 después de las 08:30.; Fin GPS dentro de la tolerancia del horario programado.; 2 hueco(s) GPS &gt;= 10 min.</t>
  </si>
  <si>
    <t>6.230128, -75.602008</t>
  </si>
  <si>
    <t>6.212384, -75.585820</t>
  </si>
  <si>
    <t>c95621971b404441</t>
  </si>
  <si>
    <t>28_09_2026_DV_Noct.gpx</t>
  </si>
  <si>
    <t>c95621971b404441dd1fb0c5f53f5eb3d09ba6b64da8ef77098bbd7ec5dbc0ec</t>
  </si>
  <si>
    <t>28/09/2026 17:36:42</t>
  </si>
  <si>
    <t>29/09/2026 00:10:58</t>
  </si>
  <si>
    <t>Inicio GPS anterior al horario: 00:23:18 antes de las 18:00.; Fin GPS dentro de la tolerancia del horario programado.</t>
  </si>
  <si>
    <t>6.227602, -75.599126</t>
  </si>
  <si>
    <t>6.272692, -75.601998</t>
  </si>
  <si>
    <t>4be13dd5ceb8b546</t>
  </si>
  <si>
    <t>28_09_2026_IQ_Noct.gpx</t>
  </si>
  <si>
    <t>4be13dd5ceb8b5461403faccc3fb970a8cb5c50a328069f17bf11d7009dfb820</t>
  </si>
  <si>
    <t>28/09/2026 16:58:01</t>
  </si>
  <si>
    <t>28/09/2026 23:54:55</t>
  </si>
  <si>
    <t>Inicio GPS anterior al horario: 01:01:59 antes de las 18:00.; Fin GPS dentro de la tolerancia del horario programado.; 3 hueco(s) GPS &gt;= 10 min.</t>
  </si>
  <si>
    <t>6.225432, -75.598767</t>
  </si>
  <si>
    <t>6.262243, -75.563856</t>
  </si>
  <si>
    <t>a02f732692cccbda</t>
  </si>
  <si>
    <t>28_09_2026_JHP_Noct.gpx</t>
  </si>
  <si>
    <t>a02f732692cccbdaa15ef541e635e3c20df3040343ad705250374d77e232d106</t>
  </si>
  <si>
    <t>28/09/2026 17:05:56</t>
  </si>
  <si>
    <t>29/09/2026 00:04:24</t>
  </si>
  <si>
    <t>Inicio GPS anterior al horario: 00:54:04 antes de las 18:00.; Fin GPS dentro de la tolerancia del horario programado.</t>
  </si>
  <si>
    <t>6.225661, -75.598487</t>
  </si>
  <si>
    <t>6.290383, -75.546595</t>
  </si>
  <si>
    <t>cbba0bb5622a2f00</t>
  </si>
  <si>
    <t>28_09_2026_JP_Noct.gpx</t>
  </si>
  <si>
    <t>cbba0bb5622a2f00356bd5d651455b9c7356c8f23b1af9ea04da9f48db91325e</t>
  </si>
  <si>
    <t>28/09/2026 17:19:11</t>
  </si>
  <si>
    <t>28/09/2026 22:27:09</t>
  </si>
  <si>
    <t>Inicio GPS anterior al horario: 00:40:49 antes de las 18:00.; Fin GPS anticipado: 01:32:51 antes de las 00:00.</t>
  </si>
  <si>
    <t>6.225658, -75.599368</t>
  </si>
  <si>
    <t>6.251833, -75.551855</t>
  </si>
  <si>
    <t>6776b68fc161c06e</t>
  </si>
  <si>
    <t>28_09_2026_LA_Noct.gpx</t>
  </si>
  <si>
    <t>6776b68fc161c06e663a6ea647c849f1691b6835e7daa54696ba7b34b6a6cb20</t>
  </si>
  <si>
    <t>28/09/2026 17:27:43</t>
  </si>
  <si>
    <t>29/09/2026 00:09:48</t>
  </si>
  <si>
    <t>Inicio GPS anterior al horario: 00:32:16 antes de las 18:00.; Fin GPS dentro de la tolerancia del horario programado.; 1 hueco(s) GPS &gt;= 10 min.</t>
  </si>
  <si>
    <t>6.226752, -75.599197</t>
  </si>
  <si>
    <t>6.268515, -75.599338</t>
  </si>
  <si>
    <t>Se inicio tarde ya que el tecnologo estaba entregando las actividades del dia</t>
  </si>
  <si>
    <t>OBSERVACIONES TECNICAS</t>
  </si>
  <si>
    <t>29fa25cdffae7211</t>
  </si>
  <si>
    <t>29_09_2026_AO_Diur.gpx</t>
  </si>
  <si>
    <t>29fa25cdffae7211db43cb658e22bb6b29565cdb8f8aeac561b57387d599ab8d</t>
  </si>
  <si>
    <t>29/09/2026</t>
  </si>
  <si>
    <t>29/09/2026 09:48:28</t>
  </si>
  <si>
    <t>29/09/2026 15:59:10</t>
  </si>
  <si>
    <t>Inicio GPS tardío: 01:18:29 después de las 08:30.; Fin GPS anticipado: 00:30:50 antes de las 16:30.; 4 hueco(s) GPS &gt;= 10 min.</t>
  </si>
  <si>
    <t>6.255719, -75.613168</t>
  </si>
  <si>
    <t>6.231463, -75.596321</t>
  </si>
  <si>
    <t>8246689c2d78bfb4</t>
  </si>
  <si>
    <t>29_09_2026_AR_Diur.gpx</t>
  </si>
  <si>
    <t>8246689c2d78bfb488b4224bc0c39a533018b048796fe1c7ebc8136d968deead</t>
  </si>
  <si>
    <t>29/09/2026 08:14:04</t>
  </si>
  <si>
    <t>29/09/2026 16:31:01</t>
  </si>
  <si>
    <t>Inicio GPS anterior al horario: 00:15:56 antes de las 08:30.; Fin GPS dentro de la tolerancia del horario programado.; 1 hueco(s) GPS &gt;= 10 min.</t>
  </si>
  <si>
    <t>6.225755, -75.599535</t>
  </si>
  <si>
    <t>6.247738, -75.614967</t>
  </si>
  <si>
    <t>b7b4f0a8ec1e9555</t>
  </si>
  <si>
    <t>29_09_2026_DR_Diur.gpx</t>
  </si>
  <si>
    <t>b7b4f0a8ec1e95559d87b25d5ecfbbd2dae166d2a196661c7996bda877bea030</t>
  </si>
  <si>
    <t>29/09/2026 08:39:58</t>
  </si>
  <si>
    <t>29/09/2026 15:49:06</t>
  </si>
  <si>
    <t>Inicio GPS dentro de la tolerancia del horario programado.; Fin GPS anticipado: 00:40:54 antes de las 16:30.; 3 hueco(s) GPS &gt;= 10 min.</t>
  </si>
  <si>
    <t>6.238225, -75.603070</t>
  </si>
  <si>
    <t>6.238777, -75.603745</t>
  </si>
  <si>
    <t>6135921608f0259e</t>
  </si>
  <si>
    <t>29_09_2026_HC_Diur.gpx</t>
  </si>
  <si>
    <t>6135921608f0259e1b8e5dd0e3361a6431ffa2ed98247402f9b2788fe48f7322</t>
  </si>
  <si>
    <t>29/09/2026 08:34:41</t>
  </si>
  <si>
    <t>29/09/2026 13:50:30</t>
  </si>
  <si>
    <t>Inicio GPS dentro de la tolerancia del horario programado.; Fin GPS anticipado: 02:39:30 antes de las 16:30.</t>
  </si>
  <si>
    <t>6.225921, -75.599410</t>
  </si>
  <si>
    <t>6.308389, -75.571086</t>
  </si>
  <si>
    <t>ffafebbe09c9bb93</t>
  </si>
  <si>
    <t>29_09_2026_JA_Diur.gpx</t>
  </si>
  <si>
    <t>ffafebbe09c9bb93ab06e67ccba4ac6173312addace65c02ca5cf189d111c167</t>
  </si>
  <si>
    <t>29/09/2026 08:43:26</t>
  </si>
  <si>
    <t>29/09/2026 13:16:49</t>
  </si>
  <si>
    <t>Inicio GPS dentro de la tolerancia del horario programado.; Fin GPS anticipado: 03:13:11 antes de las 16:30.; 1 hueco(s) GPS &gt;= 10 min.</t>
  </si>
  <si>
    <t>6.225841, -75.599694</t>
  </si>
  <si>
    <t>6.237045, -75.558818</t>
  </si>
  <si>
    <t>4f51a1dba469d9e1</t>
  </si>
  <si>
    <t>29_09_2026_JO_Diur.gpx</t>
  </si>
  <si>
    <t>4f51a1dba469d9e153f7bc32313f4969f48841444036759aa969f6c3e11758d5</t>
  </si>
  <si>
    <t>29/09/2026 09:24:53</t>
  </si>
  <si>
    <t>29/09/2026 16:14:09</t>
  </si>
  <si>
    <t>Inicio GPS tardío: 00:54:53 después de las 08:30.; Fin GPS anticipado: 00:15:51 antes de las 16:30.; 9 hueco(s) GPS &gt;= 10 min.</t>
  </si>
  <si>
    <t>6.225662, -75.599446</t>
  </si>
  <si>
    <t>6.246903, -75.554122</t>
  </si>
  <si>
    <t>59add364d9fa99e5</t>
  </si>
  <si>
    <t>29_09_2026_JZ_Diur.gpx</t>
  </si>
  <si>
    <t>59add364d9fa99e541a18ce4bd75f3485f24c81306df5fefbff91051cfc82f29</t>
  </si>
  <si>
    <t>29/09/2026 08:28:06</t>
  </si>
  <si>
    <t>29/09/2026 16:34:47</t>
  </si>
  <si>
    <t>6.226627, -75.599292</t>
  </si>
  <si>
    <t>6.278881, -75.569232</t>
  </si>
  <si>
    <t>0525223656604059</t>
  </si>
  <si>
    <t>29_09_2026_SJ_Diur.gpx</t>
  </si>
  <si>
    <t>05252236566040590deacac32ef84237f7b86802a50cdc698a93ced643febae6</t>
  </si>
  <si>
    <t>29/09/2026 08:39:43</t>
  </si>
  <si>
    <t>29/09/2026 15:59:39</t>
  </si>
  <si>
    <t>Inicio GPS dentro de la tolerancia del horario programado.; Fin GPS anticipado: 00:30:21 antes de las 16:30.; 1 permanencia(s) GPS detectada(s); requiere contexto.</t>
  </si>
  <si>
    <t>6.225829, -75.599388</t>
  </si>
  <si>
    <t>6.307830, -75.577472</t>
  </si>
  <si>
    <t>988c5ffb82e294ff</t>
  </si>
  <si>
    <t>29_09_2026_YL_Diur.gpx</t>
  </si>
  <si>
    <t>988c5ffb82e294ff30c17167c870986dc69e3d36a41699f7d2fa0d03f34d837b</t>
  </si>
  <si>
    <t>29/09/2026 08:46:19</t>
  </si>
  <si>
    <t>29/09/2026 15:17:02</t>
  </si>
  <si>
    <t>Inicio GPS tardío: 00:16:19 después de las 08:30.; Fin GPS anticipado: 01:12:58 antes de las 16:30.</t>
  </si>
  <si>
    <t>6.225785, -75.598634</t>
  </si>
  <si>
    <t>6.260023, -75.621120</t>
  </si>
  <si>
    <t>El tecnico estaba en cita medica entre 2:30 pm y 3:30 pm</t>
  </si>
  <si>
    <t>637012304ec244fd</t>
  </si>
  <si>
    <t>29_09_2026_DV_Noct.gpx</t>
  </si>
  <si>
    <t>637012304ec244fd23288c482baf6e70e02bcdbeb8b0014da77cb0884f675547</t>
  </si>
  <si>
    <t>29/09/2026 17:36:43</t>
  </si>
  <si>
    <t>30/09/2026 00:20:12</t>
  </si>
  <si>
    <t>Inicio GPS anterior al horario: 00:23:17 antes de las 18:00.; Fin GPS posterior: 00:20:12 después de las 00:00.; 1 hueco(s) GPS &gt;= 10 min.; 1 permanencia(s) GPS detectada(s); requiere contexto.</t>
  </si>
  <si>
    <t>6.226605, -75.599282</t>
  </si>
  <si>
    <t>6.272650, -75.601763</t>
  </si>
  <si>
    <t>5c8a35e773a8f9df</t>
  </si>
  <si>
    <t>29_09_2026_IQ_Noct.gpx</t>
  </si>
  <si>
    <t>5c8a35e773a8f9dfdea08493b318733f313254ae45acd01f23a7ee33e08b031c</t>
  </si>
  <si>
    <t>29/09/2026 16:49:08</t>
  </si>
  <si>
    <t>29/09/2026 23:51:48</t>
  </si>
  <si>
    <t>Inicio GPS anterior al horario: 01:10:52 antes de las 18:00.; Fin GPS dentro de la tolerancia del horario programado.; 7 hueco(s) GPS &gt;= 10 min.</t>
  </si>
  <si>
    <t>6.225573, -75.599452</t>
  </si>
  <si>
    <t>6.276114, -75.572663</t>
  </si>
  <si>
    <t>21e599f20e901e72</t>
  </si>
  <si>
    <t>29_09_2026_JHP_Noct.gpx</t>
  </si>
  <si>
    <t>21e599f20e901e720df8171920522b92965acbf1f29ec998126f75dcd44163e3</t>
  </si>
  <si>
    <t>29/09/2026 17:32:26</t>
  </si>
  <si>
    <t>29/09/2026 23:56:47</t>
  </si>
  <si>
    <t>Inicio GPS anterior al horario: 00:27:34 antes de las 18:00.; Fin GPS dentro de la tolerancia del horario programado.; 1 permanencia(s) GPS detectada(s); requiere contexto.</t>
  </si>
  <si>
    <t>6.226820, -75.599361</t>
  </si>
  <si>
    <t>6.290393, -75.546638</t>
  </si>
  <si>
    <t>0b0ef25ae6d19c0c</t>
  </si>
  <si>
    <t>29_09_2026_JP_Noct.gpx</t>
  </si>
  <si>
    <t>0b0ef25ae6d19c0c9456df6f1c08e465455052ac96234850ba3c019433ba550a</t>
  </si>
  <si>
    <t>29/09/2026 16:53:28</t>
  </si>
  <si>
    <t>29/09/2026 21:23:58</t>
  </si>
  <si>
    <t>Inicio GPS anterior al horario: 01:06:32 antes de las 18:00.; Fin GPS anticipado: 02:36:02 antes de las 00:00.; 1 hueco(s) GPS &gt;= 10 min.</t>
  </si>
  <si>
    <t>6.225657, -75.599422</t>
  </si>
  <si>
    <t>6.251825, -75.551900</t>
  </si>
  <si>
    <t>8a0f842ca0f96d9a</t>
  </si>
  <si>
    <t>29_09_2026_LA_Noct.gpx</t>
  </si>
  <si>
    <t>8a0f842ca0f96d9ae5bc5d3abc20ae11bf395a5017ee3dada2d79f364386aa9a</t>
  </si>
  <si>
    <t>29/09/2026 17:37:44</t>
  </si>
  <si>
    <t>30/09/2026 00:05:23</t>
  </si>
  <si>
    <t>Inicio GPS anterior al horario: 00:22:15 antes de las 18:00.; Fin GPS dentro de la tolerancia del horario programado.; 5 hueco(s) GPS &gt;= 10 min.</t>
  </si>
  <si>
    <t>6.227305, -75.599290</t>
  </si>
  <si>
    <t>6.268510, -75.599528</t>
  </si>
  <si>
    <t>6d4db840ac5e8c70</t>
  </si>
  <si>
    <t>30_09_2026_AO_Diur.gpx</t>
  </si>
  <si>
    <t>6d4db840ac5e8c70c58d6f077f271a9185021c031435d4d1960784206f2518ee</t>
  </si>
  <si>
    <t>30/09/2026</t>
  </si>
  <si>
    <t>30/09/2026 09:44:16</t>
  </si>
  <si>
    <t>30/09/2026 16:31:58</t>
  </si>
  <si>
    <t>Inicio GPS tardío: 01:14:16 después de las 08:30.; Fin GPS dentro de la tolerancia del horario programado.; 4 hueco(s) GPS &gt;= 10 min.</t>
  </si>
  <si>
    <t>6.221738, -75.593904</t>
  </si>
  <si>
    <t>6.245557, -75.583619</t>
  </si>
  <si>
    <t>764dc906fa83482e</t>
  </si>
  <si>
    <t>30_09_2026_AR_Diur.gpx</t>
  </si>
  <si>
    <t>764dc906fa83482ece90d4753dd8013fc7fc1662193a2e3f3e8186f56a5faa7f</t>
  </si>
  <si>
    <t>30/09/2026 08:16:32</t>
  </si>
  <si>
    <t>30/09/2026 18:00:58</t>
  </si>
  <si>
    <t>Inicio GPS dentro de la tolerancia del horario programado.; Fin GPS posterior: 01:30:58 después de las 16:30.; 5 hueco(s) GPS &gt;= 10 min.</t>
  </si>
  <si>
    <t>6.225666, -75.599403</t>
  </si>
  <si>
    <t>6.247758, -75.614985</t>
  </si>
  <si>
    <t>ad3e89aec19d71c5</t>
  </si>
  <si>
    <t>30_09_2026_DR_Diur.gpx</t>
  </si>
  <si>
    <t>ad3e89aec19d71c5d90e94d81bbe93682fc666acef829563760091be63de0ef3</t>
  </si>
  <si>
    <t>30/09/2026 08:39:29</t>
  </si>
  <si>
    <t>30/09/2026 16:31:55</t>
  </si>
  <si>
    <t>6.225550, -75.599417</t>
  </si>
  <si>
    <t>6.237958, -75.577249</t>
  </si>
  <si>
    <t>45dfc1f89a7dde74</t>
  </si>
  <si>
    <t>30_09_2026_HC_Diur.gpx</t>
  </si>
  <si>
    <t>45dfc1f89a7dde74a4415fb0e04641b88b2c76d8686c46f58268c64e067358f3</t>
  </si>
  <si>
    <t>30/09/2026 08:47:31</t>
  </si>
  <si>
    <t>30/09/2026 14:10:55</t>
  </si>
  <si>
    <t>Inicio GPS tardío: 00:17:31 después de las 08:30.; Fin GPS anticipado: 02:19:05 antes de las 16:30.; 1 permanencia(s) GPS detectada(s); requiere contexto.</t>
  </si>
  <si>
    <t>6.225625, -75.599011</t>
  </si>
  <si>
    <t>6.297761, -75.572980</t>
  </si>
  <si>
    <t>81b6406bb181788e</t>
  </si>
  <si>
    <t>30_09_2026_JA_Diur.gpx</t>
  </si>
  <si>
    <t>81b6406bb181788eb2b977a7e337b7fe1276e5e1b20bdb6aae5deca28aa1d7a3</t>
  </si>
  <si>
    <t>30/09/2026 08:34:34</t>
  </si>
  <si>
    <t>30/09/2026 11:56:39</t>
  </si>
  <si>
    <t>Inicio GPS dentro de la tolerancia del horario programado.; Fin GPS anticipado: 04:33:21 antes de las 16:30.; 1 hueco(s) GPS &gt;= 10 min.; 1 permanencia(s) GPS detectada(s); requiere contexto.</t>
  </si>
  <si>
    <t>6.224020, -75.601588</t>
  </si>
  <si>
    <t>6.241441, -75.559990</t>
  </si>
  <si>
    <t>5dddf97e3fd340a8</t>
  </si>
  <si>
    <t>30_09_2026_JO_Diur.gpx</t>
  </si>
  <si>
    <t>5dddf97e3fd340a86d473b626223cd317e35621f6dd5d8003f064828d682f918</t>
  </si>
  <si>
    <t>30/09/2026 08:36:36</t>
  </si>
  <si>
    <t>30/09/2026 16:28:53</t>
  </si>
  <si>
    <t>6.225662, -75.599354</t>
  </si>
  <si>
    <t>6.259229, -75.620970</t>
  </si>
  <si>
    <t>dde41d6e25042436</t>
  </si>
  <si>
    <t>30_09_2026_SJ_Diur.gpx</t>
  </si>
  <si>
    <t>dde41d6e250424368b9ac4dcff46f2b8c9029f30e3bfcd0b95c93daa45d9f3f3</t>
  </si>
  <si>
    <t>30/09/2026 08:34:27</t>
  </si>
  <si>
    <t>30/09/2026 16:24:18</t>
  </si>
  <si>
    <t>6.225575, -75.599417</t>
  </si>
  <si>
    <t>6.305221, -75.581879</t>
  </si>
  <si>
    <t>cd9924f35ffea61b</t>
  </si>
  <si>
    <t>30_09_2026_YL_Diur.gpx</t>
  </si>
  <si>
    <t>cd9924f35ffea61bcb0a084ae07eef5fa73b252e6417504c98b88d43d9e6cabd</t>
  </si>
  <si>
    <t>30/09/2026 08:40:36</t>
  </si>
  <si>
    <t>30/09/2026 16:05:03</t>
  </si>
  <si>
    <t>Inicio GPS dentro de la tolerancia del horario programado.; Fin GPS anticipado: 00:24:57 antes de las 16:30.; 5 hueco(s) GPS &gt;= 10 min.</t>
  </si>
  <si>
    <t>6.225478, -75.598914</t>
  </si>
  <si>
    <t>6.258690, -75.616228</t>
  </si>
  <si>
    <t>eb8524d06b9e5987</t>
  </si>
  <si>
    <t>eb8524d06b9e59872d4e7dd2f448bf165c8d0b8d7d2c28cdeeec7a68372a3829</t>
  </si>
  <si>
    <t>30/09/2026 08:42:19</t>
  </si>
  <si>
    <t>30/09/2026 16:37:02</t>
  </si>
  <si>
    <t>6.230354, -75.596052</t>
  </si>
  <si>
    <t>6.279095, -75.569126</t>
  </si>
  <si>
    <t>30_09_2026_JZ_Diur.gpx</t>
  </si>
  <si>
    <t>fee34950d931678f</t>
  </si>
  <si>
    <t>30_09_2026_DV_Noct.gpx</t>
  </si>
  <si>
    <t>fee34950d931678f0623a4acba5d69bab63a804529a0077727f9af12d01052e8</t>
  </si>
  <si>
    <t>30/09/2026 17:47:46</t>
  </si>
  <si>
    <t>01/10/2026 00:34:24</t>
  </si>
  <si>
    <t>Inicio GPS dentro de la tolerancia del horario programado.; Fin GPS posterior: 00:34:24 después de las 00:00.; 1 permanencia(s) GPS detectada(s); requiere contexto.</t>
  </si>
  <si>
    <t>6.228812, -75.597750</t>
  </si>
  <si>
    <t>6.272695, -75.602036</t>
  </si>
  <si>
    <t>ea68dcf2ddbc20ee</t>
  </si>
  <si>
    <t>30_09_2026_IQ_Noct.gpx</t>
  </si>
  <si>
    <t>ea68dcf2ddbc20ee9c4204fd85de82fad42c5536486aefc4bfd9cd996b6b30f1</t>
  </si>
  <si>
    <t>30/09/2026 16:48:36</t>
  </si>
  <si>
    <t>30/09/2026 23:55:18</t>
  </si>
  <si>
    <t>Inicio GPS anterior al horario: 01:11:24 antes de las 18:00.; Fin GPS dentro de la tolerancia del horario programado.; 5 hueco(s) GPS &gt;= 10 min.</t>
  </si>
  <si>
    <t>6.225570, -75.599332</t>
  </si>
  <si>
    <t>6.294171, -75.582820</t>
  </si>
  <si>
    <t>0aee5c24d8a08ec5</t>
  </si>
  <si>
    <t>30_09_2026_JHP_Noct.gpx</t>
  </si>
  <si>
    <t>0aee5c24d8a08ec5091ca828c3c5c9837fa8451b6df055fb02a2d7e02aa6f0dd</t>
  </si>
  <si>
    <t>30/09/2026 17:07:26</t>
  </si>
  <si>
    <t>01/10/2026 00:17:21</t>
  </si>
  <si>
    <t>Inicio GPS anterior al horario: 00:52:34 antes de las 18:00.; Fin GPS posterior: 00:17:21 después de las 00:00.</t>
  </si>
  <si>
    <t>6.226824, -75.599195</t>
  </si>
  <si>
    <t>6.290427, -75.546575</t>
  </si>
  <si>
    <t>de7d5603252942ad</t>
  </si>
  <si>
    <t>30_09_2026_JP_Noct.gpx</t>
  </si>
  <si>
    <t>de7d5603252942ada85328fb515221939c4a53af79be17ec17d8a3588bf56727</t>
  </si>
  <si>
    <t>30/09/2026 17:19:50</t>
  </si>
  <si>
    <t>30/09/2026 21:25:10</t>
  </si>
  <si>
    <t>Inicio GPS anterior al horario: 00:40:10 antes de las 18:00.; Fin GPS anticipado: 02:34:50 antes de las 00:00.</t>
  </si>
  <si>
    <t>6.228055, -75.599642</t>
  </si>
  <si>
    <t>6.251797, -75.551833</t>
  </si>
  <si>
    <t>1c0870d922c26ec1</t>
  </si>
  <si>
    <t>30_09_2026_LA_Noct.gpx</t>
  </si>
  <si>
    <t>1c0870d922c26ec19a7f22e1fd36ad2453230e4aff5e321c253e8992f45fb09e</t>
  </si>
  <si>
    <t>30/09/2026 17:38:58</t>
  </si>
  <si>
    <t>01/10/2026 00:00:10</t>
  </si>
  <si>
    <t>Inicio GPS anterior al horario: 00:21:02 antes de las 18:00.; Fin GPS dentro de la tolerancia del horario programado.; 3 hueco(s) GPS &gt;= 10 min.</t>
  </si>
  <si>
    <t>6.226787, -75.599262</t>
  </si>
  <si>
    <t>6.260170, -75.590198</t>
  </si>
  <si>
    <t>c32a8abfac3f0cbb</t>
  </si>
  <si>
    <t>01_10_2026_AO_Diur.gpx</t>
  </si>
  <si>
    <t>c32a8abfac3f0cbb861425af46f181a8243c374ba042a5af797b025cd293a190</t>
  </si>
  <si>
    <t>01/10/2026</t>
  </si>
  <si>
    <t>2026-10</t>
  </si>
  <si>
    <t>01/10/2026 09:34:03</t>
  </si>
  <si>
    <t>01/10/2026 17:04:27</t>
  </si>
  <si>
    <t>Inicio GPS tardío: 01:04:03 después de las 08:30.; Fin GPS posterior: 00:34:27 después de las 16:30.; 4 hueco(s) GPS &gt;= 10 min.; 1 permanencia(s) GPS detectada(s); requiere contexto.</t>
  </si>
  <si>
    <t>6.203297, -75.600991</t>
  </si>
  <si>
    <t>6.225552, -75.599130</t>
  </si>
  <si>
    <t>b5f0bf45945924ee</t>
  </si>
  <si>
    <t>01_10_2026_AR_Diur.gpx</t>
  </si>
  <si>
    <t>b5f0bf45945924eeed233dd1f781269a583139dfbff864997ef171ca82b7896b</t>
  </si>
  <si>
    <t>01/10/2026 09:04:46</t>
  </si>
  <si>
    <t>01/10/2026 16:17:14</t>
  </si>
  <si>
    <t>Inicio GPS tardío: 00:34:46 después de las 08:30.; Fin GPS dentro de la tolerancia del horario programado.; 2 hueco(s) GPS &gt;= 10 min.</t>
  </si>
  <si>
    <t>6.225631, -75.599385</t>
  </si>
  <si>
    <t>6.247747, -75.615037</t>
  </si>
  <si>
    <t>2bb4c020051e3381</t>
  </si>
  <si>
    <t>01_10_2026_DR_Diur.gpx</t>
  </si>
  <si>
    <t>2bb4c020051e3381d275fc2a1d744b82a2702f2085e6535d9c2e769ecb922275</t>
  </si>
  <si>
    <t>01/10/2026 09:28:38</t>
  </si>
  <si>
    <t>01/10/2026 16:29:24</t>
  </si>
  <si>
    <t>Inicio GPS tardío: 00:58:38 después de las 08:30.; Fin GPS dentro de la tolerancia del horario programado.; 2 hueco(s) GPS &gt;= 10 min.</t>
  </si>
  <si>
    <t>6.226977, -75.601635</t>
  </si>
  <si>
    <t>6.263678, -75.597012</t>
  </si>
  <si>
    <t>430141200c1e47c7</t>
  </si>
  <si>
    <t>01_10_2026_HC_Diur.gpx</t>
  </si>
  <si>
    <t>430141200c1e47c7c45b965db8507d1dc65af95a444f37a289e7c99051bdfd86</t>
  </si>
  <si>
    <t>01/10/2026 09:15:08</t>
  </si>
  <si>
    <t>01/10/2026 14:31:11</t>
  </si>
  <si>
    <t>Inicio GPS tardío: 00:45:08 después de las 08:30.; Fin GPS anticipado: 01:58:49 antes de las 16:30.</t>
  </si>
  <si>
    <t>6.225890, -75.599391</t>
  </si>
  <si>
    <t>6.304655, -75.569093</t>
  </si>
  <si>
    <t>2cab6e52e20f06ed</t>
  </si>
  <si>
    <t>01_10_2026_JA_Diur.gpx</t>
  </si>
  <si>
    <t>2cab6e52e20f06ed01b2a1f47f66b9b682689ef160a4003d79b00764edcf56b5</t>
  </si>
  <si>
    <t>01/10/2026 09:02:45</t>
  </si>
  <si>
    <t>01/10/2026 12:54:27</t>
  </si>
  <si>
    <t>Inicio GPS tardío: 00:32:45 después de las 08:30.; Fin GPS anticipado: 03:35:33 antes de las 16:30.</t>
  </si>
  <si>
    <t>6.225504, -75.599470</t>
  </si>
  <si>
    <t>6.236640, -75.559618</t>
  </si>
  <si>
    <t>ec846357b19abfae</t>
  </si>
  <si>
    <t>01_10_2026_JO_Diur.gpx</t>
  </si>
  <si>
    <t>ec846357b19abfae921d6e88f05a8363dccb7f3c0a29c20007544526b3411bfa</t>
  </si>
  <si>
    <t>01/10/2026 09:13:21</t>
  </si>
  <si>
    <t>01/10/2026 16:31:02</t>
  </si>
  <si>
    <t>Inicio GPS tardío: 00:43:21 después de las 08:30.; Fin GPS dentro de la tolerancia del horario programado.; 12 hueco(s) GPS &gt;= 10 min.; 1 permanencia(s) GPS detectada(s); requiere contexto.</t>
  </si>
  <si>
    <t>6.225577, -75.599403</t>
  </si>
  <si>
    <t>6.257788, -75.614191</t>
  </si>
  <si>
    <t>fad2dc235b63c1ec</t>
  </si>
  <si>
    <t>01_10_2026_JZ_Diur.gpx</t>
  </si>
  <si>
    <t>fad2dc235b63c1ec507431018e59133443622367dbb99a4b4cd6552a0418a62a</t>
  </si>
  <si>
    <t>01/10/2026 09:17:31</t>
  </si>
  <si>
    <t>01/10/2026 16:37:14</t>
  </si>
  <si>
    <t>Inicio GPS tardío: 00:47:31 después de las 08:30.; Fin GPS dentro de la tolerancia del horario programado.</t>
  </si>
  <si>
    <t>6.226567, -75.599173</t>
  </si>
  <si>
    <t>6.280118, -75.572308</t>
  </si>
  <si>
    <t>5f25d1d423ead8c0</t>
  </si>
  <si>
    <t>01_10_2026_SJ_Diur.gpx</t>
  </si>
  <si>
    <t>5f25d1d423ead8c030453c8cfba94b35fb6ffe31a1e151caddd65bd0591b36bd</t>
  </si>
  <si>
    <t>01/10/2026 08:59:51</t>
  </si>
  <si>
    <t>01/10/2026 16:28:22</t>
  </si>
  <si>
    <t>Inicio GPS tardío: 00:29:51 después de las 08:30.; Fin GPS dentro de la tolerancia del horario programado.</t>
  </si>
  <si>
    <t>6.225674, -75.599473</t>
  </si>
  <si>
    <t>6.304127, -75.581996</t>
  </si>
  <si>
    <t>c02bd79f578567ea</t>
  </si>
  <si>
    <t>01_10_2026_YL_Diur.gpx</t>
  </si>
  <si>
    <t>c02bd79f578567ea711c8aa642d38225310391b00b5e467caf67751bc3512d13</t>
  </si>
  <si>
    <t>01/10/2026 08:51:05</t>
  </si>
  <si>
    <t>01/10/2026 16:01:33</t>
  </si>
  <si>
    <t>Inicio GPS tardío: 00:21:05 después de las 08:30.; Fin GPS anticipado: 00:28:27 antes de las 16:30.; 1 hueco(s) GPS &gt;= 10 min.</t>
  </si>
  <si>
    <t>6.225526, -75.599444</t>
  </si>
  <si>
    <t>6.258196, -75.615996</t>
  </si>
  <si>
    <t>Se inició tarde el recorrido debido a capacitación de SSTT</t>
  </si>
  <si>
    <t>45ce0489dbd41294</t>
  </si>
  <si>
    <t>01_10_2026_DV_Noct.gpx</t>
  </si>
  <si>
    <t>45ce0489dbd4129473f5975af56c55383dc7002ca63aba9025b55d4533bddca4</t>
  </si>
  <si>
    <t>01/10/2026 16:47:18</t>
  </si>
  <si>
    <t>02/10/2026 00:18:12</t>
  </si>
  <si>
    <t>Inicio GPS anterior al horario: 01:12:42 antes de las 18:00.; Fin GPS posterior: 00:18:12 después de las 00:00.; 1 permanencia(s) GPS detectada(s); requiere contexto.</t>
  </si>
  <si>
    <t>6.225959, -75.599347</t>
  </si>
  <si>
    <t>6.272609, -75.602417</t>
  </si>
  <si>
    <t>a5865019b3da8b06</t>
  </si>
  <si>
    <t>01_10_2026_IQ_Noct.gpx</t>
  </si>
  <si>
    <t>a5865019b3da8b06bbf3725788ca0b1e1b459e8829b7b75c2f501a71f63920cd</t>
  </si>
  <si>
    <t>01/10/2026 16:59:31</t>
  </si>
  <si>
    <t>01/10/2026 23:42:28</t>
  </si>
  <si>
    <t>Inicio GPS anterior al horario: 01:00:29 antes de las 18:00.; Fin GPS anticipado: 00:17:32 antes de las 00:00.; 2 hueco(s) GPS &gt;= 10 min.</t>
  </si>
  <si>
    <t>6.225705, -75.599190</t>
  </si>
  <si>
    <t>6.295184, -75.554970</t>
  </si>
  <si>
    <t>73a450d8d2a5a73a</t>
  </si>
  <si>
    <t>01_10_2026_JHP_Noct.gpx</t>
  </si>
  <si>
    <t>73a450d8d2a5a73a8f4c1838150a60b678ab53372292019b0b1ad7afd20d62cb</t>
  </si>
  <si>
    <t>01/10/2026 17:33:15</t>
  </si>
  <si>
    <t>02/10/2026 01:02:42</t>
  </si>
  <si>
    <t>Inicio GPS anterior al horario: 00:26:45 antes de las 18:00.; Fin GPS posterior: 01:02:42 después de las 00:00.</t>
  </si>
  <si>
    <t>6.226865, -75.599376</t>
  </si>
  <si>
    <t>6.290404, -75.546580</t>
  </si>
  <si>
    <t>8c3b221084febd16</t>
  </si>
  <si>
    <t>01_10_2026_JP_Noct.gpx</t>
  </si>
  <si>
    <t>8c3b221084febd168ca23c8424974201e3351d7364ae431c34ddfd64c834b201</t>
  </si>
  <si>
    <t>01/10/2026 17:14:19</t>
  </si>
  <si>
    <t>01/10/2026 20:54:30</t>
  </si>
  <si>
    <t>Inicio GPS anterior al horario: 00:45:41 antes de las 18:00.; Fin GPS anticipado: 03:05:30 antes de las 00:00.; 1 hueco(s) GPS &gt;= 10 min.</t>
  </si>
  <si>
    <t>6.226025, -75.599370</t>
  </si>
  <si>
    <t>6.251767, -75.551830</t>
  </si>
  <si>
    <t>37c8b9ed40881b86</t>
  </si>
  <si>
    <t>01_10_2026_LA_Noct.gpx</t>
  </si>
  <si>
    <t>37c8b9ed40881b86418f46dfa5ab38c65bdea4f2b6480b215a3e55958cdd5ab4</t>
  </si>
  <si>
    <t>01/10/2026 17:31:45</t>
  </si>
  <si>
    <t>02/10/2026 00:21:08</t>
  </si>
  <si>
    <t>Inicio GPS anterior al horario: 00:28:15 antes de las 18:00.; Fin GPS posterior: 00:21:09 después de las 00:00.; 3 hueco(s) GPS &gt;= 10 min.; 1 permanencia(s) GPS detectada(s); requiere contexto.</t>
  </si>
  <si>
    <t>6.226470, -75.599548</t>
  </si>
  <si>
    <t>6.268432, -75.599477</t>
  </si>
  <si>
    <t>e5c067b0adfdcccc</t>
  </si>
  <si>
    <t>02_10_2026_AO_Diur.gpx</t>
  </si>
  <si>
    <t>e5c067b0adfdcccc03a89f1b777e4ecf77fcad228fe742b0da1269343dba242c</t>
  </si>
  <si>
    <t>02/10/2026</t>
  </si>
  <si>
    <t>02/10/2026 08:49:50</t>
  </si>
  <si>
    <t>02/10/2026 15:51:59</t>
  </si>
  <si>
    <t>Inicio GPS tardío: 00:19:50 después de las 08:30.; Fin GPS dentro de la tolerancia del horario programado.; 6 hueco(s) GPS &gt;= 10 min.</t>
  </si>
  <si>
    <t>6.221775, -75.593822</t>
  </si>
  <si>
    <t>6.221704, -75.593849</t>
  </si>
  <si>
    <t>1fb547a5b199ab38</t>
  </si>
  <si>
    <t>02_10_2026_AR_Diur.gpx</t>
  </si>
  <si>
    <t>1fb547a5b199ab383b471c1a3414961935a0b73b9afaeb490558211a78b19af7</t>
  </si>
  <si>
    <t>02/10/2026 08:06:50</t>
  </si>
  <si>
    <t>02/10/2026 16:02:21</t>
  </si>
  <si>
    <t>Inicio GPS anterior al horario: 00:23:10 antes de las 08:30.; Fin GPS dentro de la tolerancia del horario programado.; 3 hueco(s) GPS &gt;= 10 min.</t>
  </si>
  <si>
    <t>6.225841, -75.599310</t>
  </si>
  <si>
    <t>6.247778, -75.615000</t>
  </si>
  <si>
    <t>1a8aa5e7c41e821f</t>
  </si>
  <si>
    <t>02_10_2026_DR_Diur.gpx</t>
  </si>
  <si>
    <t>1a8aa5e7c41e821f08ca18f7e2b630416a65588da3ab2f5e5531cd6d3419b39c</t>
  </si>
  <si>
    <t>02/10/2026 08:54:39</t>
  </si>
  <si>
    <t>02/10/2026 15:16:52</t>
  </si>
  <si>
    <t>Inicio GPS tardío: 00:24:39 después de las 08:30.; Fin GPS anticipado: 00:43:08 antes de las 16:00.; 2 hueco(s) GPS &gt;= 10 min.</t>
  </si>
  <si>
    <t>6.226750, -75.601354</t>
  </si>
  <si>
    <t>6.251145, -75.602318</t>
  </si>
  <si>
    <t>eaea6d23da7b761c</t>
  </si>
  <si>
    <t>02_10_2026_HC_Diur.gpx</t>
  </si>
  <si>
    <t>eaea6d23da7b761c93962f169c114dc776e68c38465b4524c692dffadf90b804</t>
  </si>
  <si>
    <t>02/10/2026 09:12:25</t>
  </si>
  <si>
    <t>02/10/2026 13:41:43</t>
  </si>
  <si>
    <t>Inicio GPS tardío: 00:42:25 después de las 08:30.; Fin GPS anticipado: 02:18:17 antes de las 16:00.</t>
  </si>
  <si>
    <t>6.235251, -75.600564</t>
  </si>
  <si>
    <t>6.300592, -75.568960</t>
  </si>
  <si>
    <t>450cd602cedefc95</t>
  </si>
  <si>
    <t>02_10_2026_JO_Diur.gpx</t>
  </si>
  <si>
    <t>450cd602cedefc955e88d5935b628fd86f72d8273af3a2383be0b8e68e96f3ba</t>
  </si>
  <si>
    <t>02/10/2026 08:34:28</t>
  </si>
  <si>
    <t>02/10/2026 16:30:02</t>
  </si>
  <si>
    <t>Inicio GPS dentro de la tolerancia del horario programado.; Fin GPS posterior: 00:30:03 después de las 16:00.; 14 hueco(s) GPS &gt;= 10 min.</t>
  </si>
  <si>
    <t>6.225649, -75.599414</t>
  </si>
  <si>
    <t>6.246883, -75.554149</t>
  </si>
  <si>
    <t>8d66aba6155abfac</t>
  </si>
  <si>
    <t>02_10_2026_JZ_Diur.gpx</t>
  </si>
  <si>
    <t>8d66aba6155abfac0f7f421c56fbf1c269005edcec7f07a0c08829addf944dc7</t>
  </si>
  <si>
    <t>02/10/2026 08:32:36</t>
  </si>
  <si>
    <t>02/10/2026 15:46:25</t>
  </si>
  <si>
    <t>6.226870, -75.599140</t>
  </si>
  <si>
    <t>6.279449, -75.569809</t>
  </si>
  <si>
    <t>f6583665c5fdff79</t>
  </si>
  <si>
    <t>02_10_2026_SJ_Diur.gpx</t>
  </si>
  <si>
    <t>f6583665c5fdff79953483fa8c69d84a4f390f02c803e8ef5531ec1b197c96aa</t>
  </si>
  <si>
    <t>02/10/2026 08:42:19</t>
  </si>
  <si>
    <t>02/10/2026 14:49:05</t>
  </si>
  <si>
    <t>Inicio GPS dentro de la tolerancia del horario programado.; Fin GPS anticipado: 01:10:55 antes de las 16:00.; 1 hueco(s) GPS &gt;= 10 min.; 1 permanencia(s) GPS detectada(s); requiere contexto.</t>
  </si>
  <si>
    <t>6.225736, -75.599547</t>
  </si>
  <si>
    <t>6.307043, -75.555595</t>
  </si>
  <si>
    <t>2b423a0781dbdc93</t>
  </si>
  <si>
    <t>02_10_2026_YL_Diur.gpx</t>
  </si>
  <si>
    <t>2b423a0781dbdc9330dde4d6c8c1d8a58b4ca0cd462834d806b34cbe67e5b297</t>
  </si>
  <si>
    <t>02/10/2026 09:01:50</t>
  </si>
  <si>
    <t>02/10/2026 16:10:59</t>
  </si>
  <si>
    <t>Inicio GPS tardío: 00:31:50 después de las 08:30.; Fin GPS dentro de la tolerancia del horario programado.; 1 hueco(s) GPS &gt;= 10 min.</t>
  </si>
  <si>
    <t>6.225786, -75.599468</t>
  </si>
  <si>
    <t>6.231911, -75.603090</t>
  </si>
  <si>
    <t>51d9638b067a72fa</t>
  </si>
  <si>
    <t>03_10_2026_AR_Diur.gpx</t>
  </si>
  <si>
    <t>51d9638b067a72fa00b8bb8a8cb87d763f5758f150b6134dd0d05982afe6e868</t>
  </si>
  <si>
    <t>03/10/2026</t>
  </si>
  <si>
    <t>03/10/2026 08:49:53</t>
  </si>
  <si>
    <t>03/10/2026 15:33:48</t>
  </si>
  <si>
    <t>Inicio GPS tardío: 00:19:53 después de las 08:30.; Fin GPS anticipado: 00:26:12 antes de las 16:00.; 2 hueco(s) GPS &gt;= 10 min.</t>
  </si>
  <si>
    <t>6.247840, -75.615064</t>
  </si>
  <si>
    <t>6.228840, -75.578445</t>
  </si>
  <si>
    <t>bae4d1b308f77ad1</t>
  </si>
  <si>
    <t>03_10_2026_DR_Diur.gpx</t>
  </si>
  <si>
    <t>bae4d1b308f77ad17d97ef89e12c741bab5ce7c4794f651c3f70de38ac088c2b</t>
  </si>
  <si>
    <t>03/10/2026 09:21:53</t>
  </si>
  <si>
    <t>03/10/2026 15:27:22</t>
  </si>
  <si>
    <t>Inicio GPS tardío: 00:51:53 después de las 08:30.; Fin GPS anticipado: 00:32:38 antes de las 16:00.; 1 hueco(s) GPS &gt;= 10 min.</t>
  </si>
  <si>
    <t>6.250462, -75.601304</t>
  </si>
  <si>
    <t>6.243284, -75.602464</t>
  </si>
  <si>
    <t>ffbfada35b7216ea</t>
  </si>
  <si>
    <t>02_10_2026_JA_Diur.gpx</t>
  </si>
  <si>
    <t>ffbfada35b7216ea0139a296d196af87bf355f035c0d44112ba213ddccd84b31</t>
  </si>
  <si>
    <t>02/10/2026 08:16:08</t>
  </si>
  <si>
    <t>02/10/2026 14:17:08</t>
  </si>
  <si>
    <t>Inicio GPS dentro de la tolerancia del horario programado.; Fin GPS anticipado: 01:42:52 antes de las 16:00.; 3 hueco(s) GPS &gt;= 10 min.</t>
  </si>
  <si>
    <t>6.224999, -75.598747</t>
  </si>
  <si>
    <t>6.236920, -75.558722</t>
  </si>
  <si>
    <t>9583f15f3181f0af</t>
  </si>
  <si>
    <t>02_10_2026_DV_Noct.gpx</t>
  </si>
  <si>
    <t>9583f15f3181f0af433fd34630f02de464c82edacf317940228d7bc4b6b47c01</t>
  </si>
  <si>
    <t>02/10/2026 17:50:56</t>
  </si>
  <si>
    <t>03/10/2026 00:28:36</t>
  </si>
  <si>
    <t>Inicio GPS dentro de la tolerancia del horario programado.; Fin GPS posterior: 00:28:36 después de las 00:00.; 1 permanencia(s) GPS detectada(s); requiere contexto.</t>
  </si>
  <si>
    <t>6.272703, -75.602028</t>
  </si>
  <si>
    <t>6.272627, -75.602096</t>
  </si>
  <si>
    <t>b1dfd6c070766387</t>
  </si>
  <si>
    <t>02_10_2026_IQ_Noct.gpx</t>
  </si>
  <si>
    <t>b1dfd6c070766387e0bc6bac40161cec3f5705a570a1e0d67fbc70cce7c63165</t>
  </si>
  <si>
    <t>02/10/2026 17:49:44</t>
  </si>
  <si>
    <t>02/10/2026 23:59:25</t>
  </si>
  <si>
    <t>Inicio GPS dentro de la tolerancia del horario programado.; Fin GPS dentro de la tolerancia del horario programado.; 7 hueco(s) GPS &gt;= 10 min.</t>
  </si>
  <si>
    <t>6.189618, -75.580875</t>
  </si>
  <si>
    <t>6.249399, -75.591261</t>
  </si>
  <si>
    <t>9fb2a764ec483630</t>
  </si>
  <si>
    <t>02_10_2026_JHP_Noct.gpx</t>
  </si>
  <si>
    <t>9fb2a764ec483630db706c8ee3b0e2b3f16cf636c23997f2f1e1407fe9e825f1</t>
  </si>
  <si>
    <t>02/10/2026 19:06:45</t>
  </si>
  <si>
    <t>02/10/2026 23:57:57</t>
  </si>
  <si>
    <t>Inicio GPS tardío: 01:06:45 después de las 18:00.; Fin GPS dentro de la tolerancia del horario programado.</t>
  </si>
  <si>
    <t>6.290650, -75.546369</t>
  </si>
  <si>
    <t>6.290511, -75.546474</t>
  </si>
  <si>
    <t>425b7f4c3c65e05e</t>
  </si>
  <si>
    <t>02_10_2026_JP_Noct.gpx</t>
  </si>
  <si>
    <t>425b7f4c3c65e05ec21b32e5d863adee507d24715a1222e37b5f58f0bf889305</t>
  </si>
  <si>
    <t>02/10/2026 17:46:12</t>
  </si>
  <si>
    <t>02/10/2026 22:38:59</t>
  </si>
  <si>
    <t>Inicio GPS dentro de la tolerancia del horario programado.; Fin GPS anticipado: 01:21:01 antes de las 00:00.</t>
  </si>
  <si>
    <t>6.307070, -75.565537</t>
  </si>
  <si>
    <t>6.251880, -75.551852</t>
  </si>
  <si>
    <t>97f6d7b9866ae2b1</t>
  </si>
  <si>
    <t>02_10_2026_LA_Noct.gpx</t>
  </si>
  <si>
    <t>97f6d7b9866ae2b124b7d2f70fd44cba77593474c62bbb60b3aee77f5e30b90d</t>
  </si>
  <si>
    <t>02/10/2026 17:46:52</t>
  </si>
  <si>
    <t>03/10/2026 00:02:12</t>
  </si>
  <si>
    <t>6.267468, -75.597285</t>
  </si>
  <si>
    <t>6.268222, -75.598875</t>
  </si>
  <si>
    <t>dd33041de754b4fd</t>
  </si>
  <si>
    <t>03_10_2026_IQ_Noct.gpx</t>
  </si>
  <si>
    <t>dd33041de754b4fddd894b7dc2edf40cf50bcc3a504304b42cbc6bf042961285</t>
  </si>
  <si>
    <t>03/10/2026 17:18:24</t>
  </si>
  <si>
    <t>03/10/2026 23:56:24</t>
  </si>
  <si>
    <t>Inicio GPS anterior al horario: 00:41:36 antes de las 18:00.; Fin GPS dentro de la tolerancia del horario programado.; 2 hueco(s) GPS &gt;= 10 min.; Sábado nocturno: verificar técnico asignado.</t>
  </si>
  <si>
    <t>6.272210, -75.541080</t>
  </si>
  <si>
    <t>6.270882, -75.575442</t>
  </si>
  <si>
    <t>b28d738ca79ea138</t>
  </si>
  <si>
    <t>b28d738ca79ea1384ed93f00208ff4ed8e0389b2055ef109b8de74e8019c447f</t>
  </si>
  <si>
    <t>05/10/2026 08:51:33</t>
  </si>
  <si>
    <t>05/10/2026 16:05:54</t>
  </si>
  <si>
    <t>6.225809, -75.599311</t>
  </si>
  <si>
    <t>6.222975, -75.597691</t>
  </si>
  <si>
    <t>000db4b112a7fdff</t>
  </si>
  <si>
    <t>05_10_2026_AO_Diur.gpx</t>
  </si>
  <si>
    <t>000db4b112a7fdffe9bf860d9a5794fffc8afc25d59170c94c76329de0417480</t>
  </si>
  <si>
    <t>05/10/2026</t>
  </si>
  <si>
    <t>05/10/2026 09:05:36</t>
  </si>
  <si>
    <t>05/10/2026 16:20:08</t>
  </si>
  <si>
    <t>Inicio GPS tardío: 00:35:36 después de las 08:30.; Fin GPS dentro de la tolerancia del horario programado.; 4 hueco(s) GPS &gt;= 10 min.; 1 permanencia(s) GPS detectada(s); requiere contexto.</t>
  </si>
  <si>
    <t>6.203281, -75.600700</t>
  </si>
  <si>
    <t>6.203347, -75.600768</t>
  </si>
  <si>
    <t>3ce30b3ee2243db8</t>
  </si>
  <si>
    <t>05_10_2026_AR_Diur.gpx</t>
  </si>
  <si>
    <t>3ce30b3ee2243db8a9afc2db935fcd600ca24052e84710da81615106895bc156</t>
  </si>
  <si>
    <t>05/10/2026 07:57:47</t>
  </si>
  <si>
    <t>05/10/2026 17:14:43</t>
  </si>
  <si>
    <t>Inicio GPS anterior al horario: 00:32:13 antes de las 08:30.; Fin GPS posterior: 00:44:43 después de las 16:30.</t>
  </si>
  <si>
    <t>6.225678, -75.598975</t>
  </si>
  <si>
    <t>6.247758, -75.615007</t>
  </si>
  <si>
    <t>f5804608a96f6f19</t>
  </si>
  <si>
    <t>05_10_2026_DR_Diur.gpx</t>
  </si>
  <si>
    <t>f5804608a96f6f19bdfe7619d22f7da015a8ef974ecd661382f590bcd7fe0897</t>
  </si>
  <si>
    <t>05/10/2026 08:34:09</t>
  </si>
  <si>
    <t>05/10/2026 16:26:54</t>
  </si>
  <si>
    <t>Inicio GPS dentro de la tolerancia del horario programado.; Fin GPS dentro de la tolerancia del horario programado.; 2 hueco(s) GPS &gt;= 10 min.; 1 permanencia(s) GPS detectada(s); requiere contexto.</t>
  </si>
  <si>
    <t>6.229238, -75.602113</t>
  </si>
  <si>
    <t>6.239096, -75.582787</t>
  </si>
  <si>
    <t>75d0d14eff0c25a9</t>
  </si>
  <si>
    <t>05_10_2026_JHP_Diur.gpx</t>
  </si>
  <si>
    <t>75d0d14eff0c25a95d1bac9ccdcdfc1f3386de9c41d85de2acd509c4800ab9ea</t>
  </si>
  <si>
    <t>05/10/2026 08:37:21</t>
  </si>
  <si>
    <t>05/10/2026 16:02:09</t>
  </si>
  <si>
    <t>Inicio GPS dentro de la tolerancia del horario programado.; Fin GPS anticipado: 00:27:51 antes de las 16:30.</t>
  </si>
  <si>
    <t>6.225529, -75.599313</t>
  </si>
  <si>
    <t>6.272840, -75.574475</t>
  </si>
  <si>
    <t>a842fdce5f791451</t>
  </si>
  <si>
    <t>05_10_2026_JP_Diur.gpx</t>
  </si>
  <si>
    <t>a842fdce5f79145196f200f0242864f78c8bed23fc0c04eabaa13bcbadabef90</t>
  </si>
  <si>
    <t>05/10/2026 08:45:36</t>
  </si>
  <si>
    <t>05/10/2026 16:14:13</t>
  </si>
  <si>
    <t>Inicio GPS tardío: 00:15:36 después de las 08:30.; Fin GPS anticipado: 00:15:47 antes de las 16:30.</t>
  </si>
  <si>
    <t>6.225475, -75.599275</t>
  </si>
  <si>
    <t>6.251798, -75.551810</t>
  </si>
  <si>
    <t>dfa6c7b0c5a9ff1e</t>
  </si>
  <si>
    <t>05_10_2026_JZ_Diur.gpx</t>
  </si>
  <si>
    <t>dfa6c7b0c5a9ff1e9f448f6d3e237806262a1281348f6e2d0f5a1fcaacb4ae40</t>
  </si>
  <si>
    <t>05/10/2026 08:22:44</t>
  </si>
  <si>
    <t>05/10/2026 15:59:12</t>
  </si>
  <si>
    <t>Inicio GPS dentro de la tolerancia del horario programado.; Fin GPS anticipado: 00:30:48 antes de las 16:30.</t>
  </si>
  <si>
    <t>6.226452, -75.599304</t>
  </si>
  <si>
    <t>6.225353, -75.599345</t>
  </si>
  <si>
    <t>c8abba0914ab8c6e</t>
  </si>
  <si>
    <t>05_10_2026_YL_Diur.gpx</t>
  </si>
  <si>
    <t>c8abba0914ab8c6e1398f1c9df726d9dd065b8280584e7531684b3f24afc4094</t>
  </si>
  <si>
    <t>05/10/2026 08:26:30</t>
  </si>
  <si>
    <t>05/10/2026 17:41:58</t>
  </si>
  <si>
    <t>Inicio GPS dentro de la tolerancia del horario programado.; Fin GPS posterior: 01:11:58 después de las 16:30.</t>
  </si>
  <si>
    <t>6.225649, -75.599081</t>
  </si>
  <si>
    <t>6.258226, -75.615801</t>
  </si>
  <si>
    <t>544ee836374c4210</t>
  </si>
  <si>
    <t>05_10_2026_DV_Noct.gpx</t>
  </si>
  <si>
    <t>544ee836374c421028e5d9072846c2e5603c5c594e9b97dce803978994ec659d</t>
  </si>
  <si>
    <t>05/10/2026 17:17:32</t>
  </si>
  <si>
    <t>06/10/2026 00:12:19</t>
  </si>
  <si>
    <t>Inicio GPS anterior al horario: 00:42:28 antes de las 18:00.; Fin GPS dentro de la tolerancia del horario programado.</t>
  </si>
  <si>
    <t>6.229133, -75.602098</t>
  </si>
  <si>
    <t>6.272695, -75.602114</t>
  </si>
  <si>
    <t>3588b755c3ee0762</t>
  </si>
  <si>
    <t>05_10_2026_JA_Noct.gpx</t>
  </si>
  <si>
    <t>3588b755c3ee07620b6bbd579191210cc4fab2486e24b93e18bab46751c13fa4</t>
  </si>
  <si>
    <t>05/10/2026 16:14:50</t>
  </si>
  <si>
    <t>05/10/2026 22:48:01</t>
  </si>
  <si>
    <t>Inicio GPS anterior al horario: 01:45:10 antes de las 18:00.; Fin GPS anticipado: 01:11:59 antes de las 00:00.</t>
  </si>
  <si>
    <t>6.225731, -75.599151</t>
  </si>
  <si>
    <t>6.236581, -75.558187</t>
  </si>
  <si>
    <t>97fcac0a51fc46fe</t>
  </si>
  <si>
    <t>05_10_2026_JO_Noct.gpx</t>
  </si>
  <si>
    <t>97fcac0a51fc46fef5ea8ec86a96485df8d130e1a73c4a4b2fb2042f70ab223b</t>
  </si>
  <si>
    <t>05/10/2026 17:30:22</t>
  </si>
  <si>
    <t>05/10/2026 23:57:22</t>
  </si>
  <si>
    <t>Inicio GPS anterior al horario: 00:29:37 antes de las 18:00.; Fin GPS dentro de la tolerancia del horario programado.; 9 hueco(s) GPS &gt;= 10 min.</t>
  </si>
  <si>
    <t>6.225822, -75.599324</t>
  </si>
  <si>
    <t>6.259269, -75.620922</t>
  </si>
  <si>
    <t>8cd9ba2cb65fe97a</t>
  </si>
  <si>
    <t>05_10_2026_LA_Noct.gpx</t>
  </si>
  <si>
    <t>8cd9ba2cb65fe97a4748ade9a9c7c5125418a4daf8cb24f1d30e6bfba3142b4b</t>
  </si>
  <si>
    <t>05/10/2026 17:06:12</t>
  </si>
  <si>
    <t>05/10/2026 23:58:30</t>
  </si>
  <si>
    <t>Inicio GPS anterior al horario: 00:53:47 antes de las 18:00.; Fin GPS dentro de la tolerancia del horario programado.; 2 hueco(s) GPS &gt;= 10 min.</t>
  </si>
  <si>
    <t>6.241267, -75.586453</t>
  </si>
  <si>
    <t>6.256800, -75.580860</t>
  </si>
  <si>
    <t>d5cc161d9ce54fe5</t>
  </si>
  <si>
    <t>05_10_2026_SJ_Noct.gpx</t>
  </si>
  <si>
    <t>d5cc161d9ce54fe525ba7823212b60a76cccd5b55b9ac1b7316d3eee04b0933d</t>
  </si>
  <si>
    <t>05/10/2026 17:33:11</t>
  </si>
  <si>
    <t>05/10/2026 23:10:08</t>
  </si>
  <si>
    <t>Inicio GPS anterior al horario: 00:26:49 antes de las 18:00.; Fin GPS anticipado: 00:49:52 antes de las 00:00.; 1 permanencia(s) GPS detectada(s); requiere contexto.</t>
  </si>
  <si>
    <t>6.225800, -75.599363</t>
  </si>
  <si>
    <t>6.276571, -75.573235</t>
  </si>
  <si>
    <t>05_10_2026_HC_Diur.gpx</t>
  </si>
  <si>
    <t>Inicio GPS tardío: 00:21:33 después de las 08:30.; Fin GPS anticipado: 00:24:06 antes de las 16:30.; 1 permanencia(s) GPS detectada(s); requiere contexto.</t>
  </si>
  <si>
    <t>9cf18de374d275c4</t>
  </si>
  <si>
    <t>06_10_2026_AO_Diur.gpx</t>
  </si>
  <si>
    <t>9cf18de374d275c451d68cc2f62f8cc81c70f00a9ffd7272e17df44adb170ebe</t>
  </si>
  <si>
    <t>06/10/2026</t>
  </si>
  <si>
    <t>06/10/2026 09:00:59</t>
  </si>
  <si>
    <t>06/10/2026 16:33:37</t>
  </si>
  <si>
    <t>Inicio GPS tardío: 00:31:00 después de las 08:30.; Fin GPS dentro de la tolerancia del horario programado.; 4 hueco(s) GPS &gt;= 10 min.</t>
  </si>
  <si>
    <t>6.203244, -75.600826</t>
  </si>
  <si>
    <t>6.237179, -75.569824</t>
  </si>
  <si>
    <t>436b63e4bfdeab19</t>
  </si>
  <si>
    <t>06_10_2026_AR_Diur.gpx</t>
  </si>
  <si>
    <t>436b63e4bfdeab19c0dbf1d9c309ed00cfab5f8ffbd58105b36edf9d1b690095</t>
  </si>
  <si>
    <t>06/10/2026 08:12:00</t>
  </si>
  <si>
    <t>06/10/2026 16:21:38</t>
  </si>
  <si>
    <t>Inicio GPS anterior al horario: 00:18:00 antes de las 08:30.; Fin GPS dentro de la tolerancia del horario programado.; 1 permanencia(s) GPS detectada(s); requiere contexto.</t>
  </si>
  <si>
    <t>6.225562, -75.599151</t>
  </si>
  <si>
    <t>6.225658, -75.599071</t>
  </si>
  <si>
    <t>9d2efded79ea7d5e</t>
  </si>
  <si>
    <t>06_10_2026_DR_Diur.gpx</t>
  </si>
  <si>
    <t>9d2efded79ea7d5e1e9829c914a62b23ea606f38fb13051df790893616c456a1</t>
  </si>
  <si>
    <t>06/10/2026 08:26:25</t>
  </si>
  <si>
    <t>06/10/2026 16:30:56</t>
  </si>
  <si>
    <t>6.233598, -75.602124</t>
  </si>
  <si>
    <t>6.238812, -75.603425</t>
  </si>
  <si>
    <t>18e919bb77859506</t>
  </si>
  <si>
    <t>06_10_2026_HC_Diur.gpx</t>
  </si>
  <si>
    <t>18e919bb77859506cc0ec2d1dc2ac65612bf7c2ff3eae19a7487f3a0c3ba9873</t>
  </si>
  <si>
    <t>06/10/2026 08:25:08</t>
  </si>
  <si>
    <t>06/10/2026 13:53:00</t>
  </si>
  <si>
    <t>Inicio GPS dentro de la tolerancia del horario programado.; Fin GPS anticipado: 02:37:00 antes de las 16:30.; 1 hueco(s) GPS &gt;= 10 min.; 1 permanencia(s) GPS detectada(s); requiere contexto.</t>
  </si>
  <si>
    <t>6.225747, -75.599438</t>
  </si>
  <si>
    <t>6.235405, -75.603436</t>
  </si>
  <si>
    <t>803a78c382942ba8</t>
  </si>
  <si>
    <t>06_10_2026_IQ_Diur.gpx</t>
  </si>
  <si>
    <t>803a78c382942ba81434716a35c53bb8d95f5f51c1aa094e4fdc6d14d431889f</t>
  </si>
  <si>
    <t>06/10/2026 08:37:19</t>
  </si>
  <si>
    <t>06/10/2026 16:26:50</t>
  </si>
  <si>
    <t>Inicio GPS dentro de la tolerancia del horario programado.; Fin GPS dentro de la tolerancia del horario programado.; 9 hueco(s) GPS &gt;= 10 min.</t>
  </si>
  <si>
    <t>6.245427, -75.601678</t>
  </si>
  <si>
    <t>6.267248, -75.553902</t>
  </si>
  <si>
    <t>6840b2f8f77e43c2</t>
  </si>
  <si>
    <t>06_10_2026_JHP_Diur.gpx</t>
  </si>
  <si>
    <t>6840b2f8f77e43c22549afdf58137918bbae8cb0bd3768b19e1f2966d215b92d</t>
  </si>
  <si>
    <t>06/10/2026 08:28:34</t>
  </si>
  <si>
    <t>06/10/2026 16:19:30</t>
  </si>
  <si>
    <t>Inicio GPS dentro de la tolerancia del horario programado.; Fin GPS dentro de la tolerancia del horario programado.; 1 permanencia(s) GPS detectada(s); requiere contexto.</t>
  </si>
  <si>
    <t>6.272806, -75.574393</t>
  </si>
  <si>
    <t>6.272813, -75.574410</t>
  </si>
  <si>
    <t>06/10/2026 08:20:00</t>
  </si>
  <si>
    <t>6.225547, -75.599412</t>
  </si>
  <si>
    <t>06/10/2026 16:56:17</t>
  </si>
  <si>
    <t>6.251738, -75.551792</t>
  </si>
  <si>
    <t>5e4daeb415a7a104</t>
  </si>
  <si>
    <t>06_10_2026_JZ_Diur.gpx</t>
  </si>
  <si>
    <t>5e4daeb415a7a10429f52383f2475d615f1f9e6e8221f682fd5e235c8cb50c90</t>
  </si>
  <si>
    <t>06/10/2026 08:14:00</t>
  </si>
  <si>
    <t>06/10/2026 16:31:24</t>
  </si>
  <si>
    <t>Inicio GPS anterior al horario: 00:16:00 antes de las 08:30.; Fin GPS dentro de la tolerancia del horario programado.</t>
  </si>
  <si>
    <t>6.226333, -75.599212</t>
  </si>
  <si>
    <t>6.280109, -75.572559</t>
  </si>
  <si>
    <t>4b22fdd5b64f5ffc</t>
  </si>
  <si>
    <t>06_10_2026_YL_Diur.gpx</t>
  </si>
  <si>
    <t>4b22fdd5b64f5ffc54fa3c98f4a15bcf72f5967d0725de582fc141a008c5cee3</t>
  </si>
  <si>
    <t>06/10/2026 08:11:48</t>
  </si>
  <si>
    <t>06/10/2026 16:31:00</t>
  </si>
  <si>
    <t>Inicio GPS anterior al horario: 00:18:12 antes de las 08:30.; Fin GPS dentro de la tolerancia del horario programado.; 1 permanencia(s) GPS detectada(s); requiere contexto.</t>
  </si>
  <si>
    <t>6.225634, -75.599228</t>
  </si>
  <si>
    <t>6.258506, -75.616108</t>
  </si>
  <si>
    <t>d78f4ad8f367eb27</t>
  </si>
  <si>
    <t>06_10_2026_JP_Diur1.gpx + 06_10_2026_JP_Diur2.gpx</t>
  </si>
  <si>
    <t>d78f4ad8f367eb27be96d70e129f641290c33c716e14b6f17852864b0db7d2ee</t>
  </si>
  <si>
    <t>Recorrido unificado: 2 tramos (06_10_2026_JP_Diur1.gpx + 06_10_2026_JP_Diur2.gpx).; Inicio GPS dentro de la tolerancia del horario programado.; Fin GPS posterior: 00:26:17 después de las 16:30.; 1 hueco(s) GPS &gt;= 10 min.</t>
  </si>
  <si>
    <t>b91107a35565abff</t>
  </si>
  <si>
    <t>06_10_2026_DV_Noct.gpx</t>
  </si>
  <si>
    <t>b91107a35565abff4946074d3e646fdcc58c5d37c123da567febf3382e9c8f97</t>
  </si>
  <si>
    <t>06/10/2026 17:10:20</t>
  </si>
  <si>
    <t>07/10/2026 00:21:40</t>
  </si>
  <si>
    <t>Inicio GPS anterior al horario: 00:49:40 antes de las 18:00.; Fin GPS posterior: 00:21:40 después de las 00:00.; 1 permanencia(s) GPS detectada(s); requiere contexto.</t>
  </si>
  <si>
    <t>6.228431, -75.599153</t>
  </si>
  <si>
    <t>6.272858, -75.602092</t>
  </si>
  <si>
    <t>179db2a9ece79893</t>
  </si>
  <si>
    <t>06_10_2026_JA_Noct.gpx</t>
  </si>
  <si>
    <t>179db2a9ece7989345dd5c5812a19f0a1422faebac8cc465d443d2c2ebd364ca</t>
  </si>
  <si>
    <t>06/10/2026 16:36:29</t>
  </si>
  <si>
    <t>06/10/2026 23:04:41</t>
  </si>
  <si>
    <t>Inicio GPS anterior al horario: 01:23:31 antes de las 18:00.; Fin GPS anticipado: 00:55:19 antes de las 00:00.</t>
  </si>
  <si>
    <t>6.225775, -75.598817</t>
  </si>
  <si>
    <t>6.237004, -75.558804</t>
  </si>
  <si>
    <t>80cf2bf436a95fcb</t>
  </si>
  <si>
    <t>06_10_2026_JO_Noct.gpx</t>
  </si>
  <si>
    <t>80cf2bf436a95fcb4fbfb1b9daf376ef83b75c6f49bb79ae65319acec2dd0cf5</t>
  </si>
  <si>
    <t>06/10/2026 17:33:10</t>
  </si>
  <si>
    <t>06/10/2026 23:47:29</t>
  </si>
  <si>
    <t>Inicio GPS anterior al horario: 00:26:50 antes de las 18:00.; Fin GPS dentro de la tolerancia del horario programado.; 13 hueco(s) GPS &gt;= 10 min.</t>
  </si>
  <si>
    <t>6.225728, -75.599418</t>
  </si>
  <si>
    <t>6.255521, -75.620493</t>
  </si>
  <si>
    <t>be4c98fbe5532b22</t>
  </si>
  <si>
    <t>06_10_2026_LA_Noct.gpx</t>
  </si>
  <si>
    <t>be4c98fbe5532b22d8d26f83e9130bf9f576d06b0df34995446733de79f8fc7b</t>
  </si>
  <si>
    <t>06/10/2026 17:22:31</t>
  </si>
  <si>
    <t>07/10/2026 00:03:27</t>
  </si>
  <si>
    <t>Inicio GPS anterior al horario: 00:37:28 antes de las 18:00.; Fin GPS dentro de la tolerancia del horario programado.; 3 hueco(s) GPS &gt;= 10 min.</t>
  </si>
  <si>
    <t>6.227088, -75.599095</t>
  </si>
  <si>
    <t>6.268485, -75.599273</t>
  </si>
  <si>
    <t>a07b0fde3fde23e4</t>
  </si>
  <si>
    <t>06_10_2026_SJ_Noct.gpx</t>
  </si>
  <si>
    <t>a07b0fde3fde23e4f74a8a33bac2e339b0d95f36d4367b4a007109506e849233</t>
  </si>
  <si>
    <t>06/10/2026 17:29:35</t>
  </si>
  <si>
    <t>06/10/2026 23:28:07</t>
  </si>
  <si>
    <t>Inicio GPS anterior al horario: 00:30:25 antes de las 18:00.; Fin GPS anticipado: 00:31:53 antes de las 00:00.</t>
  </si>
  <si>
    <t>6.225821, -75.599392</t>
  </si>
  <si>
    <t>6.308009, -75.576628</t>
  </si>
  <si>
    <t>0f5907be229eb822</t>
  </si>
  <si>
    <t>07_10_2026_AO_Diur.gpx</t>
  </si>
  <si>
    <t>0f5907be229eb8225544bc1907a6ebe23bf7956461aeb7ecd85388f406aeae55</t>
  </si>
  <si>
    <t>07/10/2026</t>
  </si>
  <si>
    <t>07/10/2026 09:12:26</t>
  </si>
  <si>
    <t>07/10/2026 15:00:53</t>
  </si>
  <si>
    <t>Inicio GPS tardío: 00:42:27 después de las 08:30.; Fin GPS anticipado: 01:29:06 antes de las 16:30.; 4 hueco(s) GPS &gt;= 10 min.</t>
  </si>
  <si>
    <t>6.203339, -75.601052</t>
  </si>
  <si>
    <t>6.221813, -75.593834</t>
  </si>
  <si>
    <t>fc38733f90ae00de</t>
  </si>
  <si>
    <t>07_10_2026_AR_Diur.gpx</t>
  </si>
  <si>
    <t>fc38733f90ae00de1bd544340507d34b69708eead63dd43f1474dde053dfd350</t>
  </si>
  <si>
    <t>07/10/2026 08:32:49</t>
  </si>
  <si>
    <t>07/10/2026 16:19:52</t>
  </si>
  <si>
    <t>6.225203, -75.599356</t>
  </si>
  <si>
    <t>6.225819, -75.599132</t>
  </si>
  <si>
    <t>9e183893710cff8d</t>
  </si>
  <si>
    <t>07_10_2026_HC_DIur.gpx</t>
  </si>
  <si>
    <t>9e183893710cff8d292adc65ec93c624f8f7b05289dfb25cb424499e26065ae7</t>
  </si>
  <si>
    <t>07/10/2026 08:38:52</t>
  </si>
  <si>
    <t>07/10/2026 14:10:16</t>
  </si>
  <si>
    <t>Inicio GPS dentro de la tolerancia del horario programado.; Fin GPS anticipado: 02:19:44 antes de las 16:30.</t>
  </si>
  <si>
    <t>6.225820, -75.599392</t>
  </si>
  <si>
    <t>6.223946, -75.606025</t>
  </si>
  <si>
    <t>f7579a464938748c</t>
  </si>
  <si>
    <t>07_10_2026_IQ_Diur.gpx</t>
  </si>
  <si>
    <t>f7579a464938748c6e5feb63be8b55ffa582d2c3f53fed20299568af44aa6dd8</t>
  </si>
  <si>
    <t>07/10/2026 08:26:28</t>
  </si>
  <si>
    <t>07/10/2026 16:35:47</t>
  </si>
  <si>
    <t>6.255573, -75.571351</t>
  </si>
  <si>
    <t>4d1493d1b84ac9ed</t>
  </si>
  <si>
    <t>07_10_2026_JHP_Diur.gpx</t>
  </si>
  <si>
    <t>4d1493d1b84ac9ed32a0f91d1c475f9372f775cfdebcaacc8780a8a56fbd679a</t>
  </si>
  <si>
    <t>07/10/2026 08:25:21</t>
  </si>
  <si>
    <t>07/10/2026 16:14:02</t>
  </si>
  <si>
    <t>Inicio GPS dentro de la tolerancia del horario programado.; Fin GPS anticipado: 00:15:58 antes de las 16:30.</t>
  </si>
  <si>
    <t>6.225735, -75.599179</t>
  </si>
  <si>
    <t>6.272866, -75.574490</t>
  </si>
  <si>
    <t>ac00ea68f1c55973</t>
  </si>
  <si>
    <t>07_10_2026_JP_Diur.gpx</t>
  </si>
  <si>
    <t>ac00ea68f1c559737d4a9e2e7537a550ffa36e5cfe35e2459ca85e85ff76ecb7</t>
  </si>
  <si>
    <t>07/10/2026 08:35:22</t>
  </si>
  <si>
    <t>07/10/2026 17:23:16</t>
  </si>
  <si>
    <t>Inicio GPS dentro de la tolerancia del horario programado.; Fin GPS posterior: 00:53:16 después de las 16:30.; 1 hueco(s) GPS &gt;= 10 min.; 1 permanencia(s) GPS detectada(s); requiere contexto.</t>
  </si>
  <si>
    <t>6.225700, -75.599428</t>
  </si>
  <si>
    <t>6.251817, -75.551798</t>
  </si>
  <si>
    <t>24c444cc1d518cec</t>
  </si>
  <si>
    <t>07_10_2026_JZ_Diur.gpx</t>
  </si>
  <si>
    <t>24c444cc1d518cec0c87a4916461e457d39a5f82d965cbe4c761f1fb625cd0f6</t>
  </si>
  <si>
    <t>07/10/2026 08:14:49</t>
  </si>
  <si>
    <t>07/10/2026 12:48:58</t>
  </si>
  <si>
    <t>Inicio GPS anterior al horario: 00:15:11 antes de las 08:30.; Fin GPS anticipado: 03:41:02 antes de las 16:30.</t>
  </si>
  <si>
    <t>6.226574, -75.599252</t>
  </si>
  <si>
    <t>6.215536, -75.577033</t>
  </si>
  <si>
    <t>00c9fb665004f982</t>
  </si>
  <si>
    <t>07_10_2026_YL_Diur.gpx</t>
  </si>
  <si>
    <t>00c9fb665004f982dbe52088a3fe3a69a128d8c50219092f05d1c34e729b09ce</t>
  </si>
  <si>
    <t>07/10/2026 08:35:43</t>
  </si>
  <si>
    <t>07/10/2026 16:32:35</t>
  </si>
  <si>
    <t>Inicio GPS dentro de la tolerancia del horario programado.; Fin GPS dentro de la tolerancia del horario programado.; 1 hueco(s) GPS &gt;= 10 min.; 1 permanencia(s) GPS detectada(s); requiere contexto.</t>
  </si>
  <si>
    <t>6.225557, -75.599400</t>
  </si>
  <si>
    <t>6.258886, -75.616542</t>
  </si>
  <si>
    <t>07/10/2026 08:37:03</t>
  </si>
  <si>
    <t>07/10/2026 15:44:18</t>
  </si>
  <si>
    <t>6.231818, -75.602150</t>
  </si>
  <si>
    <t>6.248960, -75.587493</t>
  </si>
  <si>
    <t>c12d71e34cfb305e</t>
  </si>
  <si>
    <t>07_10_2026_DR_Diur.gpx</t>
  </si>
  <si>
    <t>c12d71e34cfb305ebb77ffcd08c464db2e205cb3a25740c422559fb8e36232bf</t>
  </si>
  <si>
    <t>Inicio GPS dentro de la tolerancia del horario programado.; Fin GPS anticipado: 00:45:42 antes de las 16:30.; 2 hueco(s) GPS &gt;= 10 min.</t>
  </si>
  <si>
    <t>26c59dfa43178de8</t>
  </si>
  <si>
    <t>07_10_2026_DV_Noct.gpx</t>
  </si>
  <si>
    <t>26c59dfa43178de80a5740c6e699fee664ffd705f5ccb4bba07deb94f074c6fa</t>
  </si>
  <si>
    <t>07/10/2026 17:52:38</t>
  </si>
  <si>
    <t>08/10/2026 00:11:16</t>
  </si>
  <si>
    <t>6.226424, -75.599276</t>
  </si>
  <si>
    <t>6.272736, -75.601936</t>
  </si>
  <si>
    <t>1c0a8c43cef0976b</t>
  </si>
  <si>
    <t>07_10_2026_JA_Noct.gpx</t>
  </si>
  <si>
    <t>1c0a8c43cef0976b96ae993f0d83a4de9341b0ac20a4e125237cce88171557c8</t>
  </si>
  <si>
    <t>07/10/2026 17:31:54</t>
  </si>
  <si>
    <t>07/10/2026 22:40:14</t>
  </si>
  <si>
    <t>Inicio GPS anterior al horario: 00:28:06 antes de las 18:00.; Fin GPS anticipado: 01:19:46 antes de las 00:00.</t>
  </si>
  <si>
    <t>6.225981, -75.599293</t>
  </si>
  <si>
    <t>6.237067, -75.558881</t>
  </si>
  <si>
    <t>27aafab07b2358fd</t>
  </si>
  <si>
    <t>07_10_2026_JO_Noct.gpx</t>
  </si>
  <si>
    <t>27aafab07b2358fd2fcbb33f05de148573521c3cfa346e152b33e07598448aad</t>
  </si>
  <si>
    <t>07/10/2026 17:51:14</t>
  </si>
  <si>
    <t>07/10/2026 23:56:48</t>
  </si>
  <si>
    <t>6.225701, -75.599422</t>
  </si>
  <si>
    <t>6.259250, -75.620927</t>
  </si>
  <si>
    <t>f6d90172af129486</t>
  </si>
  <si>
    <t>07_10_2026_LA_Noct.gpx</t>
  </si>
  <si>
    <t>f6d90172af1294868651e1f9c406d44c0b005f291ed84d40141d5aefb8989ef3</t>
  </si>
  <si>
    <t>07/10/2026 17:36:19</t>
  </si>
  <si>
    <t>08/10/2026 00:04:48</t>
  </si>
  <si>
    <t>Inicio GPS anterior al horario: 00:23:41 antes de las 18:00.; Fin GPS dentro de la tolerancia del horario programado.; 1 hueco(s) GPS &gt;= 10 min.</t>
  </si>
  <si>
    <t>6.229012, -75.602048</t>
  </si>
  <si>
    <t>6.268433, -75.599273</t>
  </si>
  <si>
    <t>efaae6553d3e8b43</t>
  </si>
  <si>
    <t>07_10_2026_SJ_Noct.gpx</t>
  </si>
  <si>
    <t>efaae6553d3e8b43f68e2be9ef22fb87c79f386798c14a3f415b2d21b39e4027</t>
  </si>
  <si>
    <t>07/10/2026 17:46:04</t>
  </si>
  <si>
    <t>07/10/2026 23:02:11</t>
  </si>
  <si>
    <t>Inicio GPS dentro de la tolerancia del horario programado.; Fin GPS anticipado: 00:57:49 antes de las 00:00.</t>
  </si>
  <si>
    <t>6.233283, -75.582739</t>
  </si>
  <si>
    <t>6.308959, -75.582460</t>
  </si>
  <si>
    <t>08/10/2026</t>
  </si>
  <si>
    <t>08/10/2026 08:48:26</t>
  </si>
  <si>
    <t>08/10/2026 15:02:54</t>
  </si>
  <si>
    <t>6.203267, -75.600633</t>
  </si>
  <si>
    <t>6.221692, -75.593850</t>
  </si>
  <si>
    <t>590c443e9c66a229</t>
  </si>
  <si>
    <t>08_10_2026_AR_Diur.gpx</t>
  </si>
  <si>
    <t>590c443e9c66a2298264890ceac5572cfb45df810d0375c8aeb4b3e583cc6f0f</t>
  </si>
  <si>
    <t>08/10/2026 08:02:52</t>
  </si>
  <si>
    <t>08/10/2026 16:16:26</t>
  </si>
  <si>
    <t>Inicio GPS anterior al horario: 00:27:08 antes de las 08:30.; Fin GPS dentro de la tolerancia del horario programado.</t>
  </si>
  <si>
    <t>6.225623, -75.598982</t>
  </si>
  <si>
    <t>6.225378, -75.599234</t>
  </si>
  <si>
    <t>b1508af2adf005ea</t>
  </si>
  <si>
    <t>08_10_2026_DR_Diur.gpx</t>
  </si>
  <si>
    <t>b1508af2adf005ea0397de3cd5ae5a1c6dfecf3beb5abb9b21f62dfe3221f4ed</t>
  </si>
  <si>
    <t>08/10/2026 08:56:21</t>
  </si>
  <si>
    <t>08/10/2026 16:13:31</t>
  </si>
  <si>
    <t>Inicio GPS tardío: 00:26:21 después de las 08:30.; Fin GPS anticipado: 00:16:29 antes de las 16:30.; 1 hueco(s) GPS &gt;= 10 min.</t>
  </si>
  <si>
    <t>6.253106, -75.609551</t>
  </si>
  <si>
    <t>6.239077, -75.595442</t>
  </si>
  <si>
    <t>527a2627c2fd5878</t>
  </si>
  <si>
    <t>08_10_2026_HC_Diur.gpx</t>
  </si>
  <si>
    <t>527a2627c2fd5878e7cad623c710f044c447fcd5f102cee280fdc05b91e32dcf</t>
  </si>
  <si>
    <t>08/10/2026 08:13:25</t>
  </si>
  <si>
    <t>08/10/2026 13:54:36</t>
  </si>
  <si>
    <t>Inicio GPS anterior al horario: 00:16:35 antes de las 08:30.; Fin GPS anticipado: 02:35:24 antes de las 16:30.; 1 hueco(s) GPS &gt;= 10 min.</t>
  </si>
  <si>
    <t>6.225842, -75.599387</t>
  </si>
  <si>
    <t>6.233981, -75.606674</t>
  </si>
  <si>
    <t>4afd83cf55f5a5ab</t>
  </si>
  <si>
    <t>08_10_2026_IQ_Diur.gpx</t>
  </si>
  <si>
    <t>4afd83cf55f5a5ab366ee51362d723e2b9f16e517cf46e6187055cbbad5d521f</t>
  </si>
  <si>
    <t>08/10/2026 08:10:29</t>
  </si>
  <si>
    <t>08/10/2026 16:30:37</t>
  </si>
  <si>
    <t>Inicio GPS anterior al horario: 00:19:31 antes de las 08:30.; Fin GPS dentro de la tolerancia del horario programado.; 5 hueco(s) GPS &gt;= 10 min.</t>
  </si>
  <si>
    <t>6.238151, -75.547310</t>
  </si>
  <si>
    <t>4ab34065028f9e81</t>
  </si>
  <si>
    <t>08_10_2026_JHP_Diur.gpx</t>
  </si>
  <si>
    <t>4ab34065028f9e81d3bfe3b2fcbde33d2a62bb6b57932033f557e9e8a8cc9238</t>
  </si>
  <si>
    <t>08/10/2026 08:20:48</t>
  </si>
  <si>
    <t>08/10/2026 15:58:19</t>
  </si>
  <si>
    <t>Inicio GPS dentro de la tolerancia del horario programado.; Fin GPS anticipado: 00:31:41 antes de las 16:30.</t>
  </si>
  <si>
    <t>6.272743, -75.574470</t>
  </si>
  <si>
    <t>6.272839, -75.574418</t>
  </si>
  <si>
    <t>0c5e16ef8882f5bd</t>
  </si>
  <si>
    <t>08_10_2026_JP_Diur.gpx</t>
  </si>
  <si>
    <t>0c5e16ef8882f5bd2780eb8e4404fa50ef22b35c9f00e3c7d067a97cdb04e7aa</t>
  </si>
  <si>
    <t>08/10/2026 08:14:08</t>
  </si>
  <si>
    <t>08/10/2026 17:21:44</t>
  </si>
  <si>
    <t>Inicio GPS anterior al horario: 00:15:52 antes de las 08:30.; Fin GPS posterior: 00:51:44 después de las 16:30.; 1 hueco(s) GPS &gt;= 10 min.</t>
  </si>
  <si>
    <t>6.225590, -75.599425</t>
  </si>
  <si>
    <t>6.310872, -75.565312</t>
  </si>
  <si>
    <t>a4d7b38fe3acb415</t>
  </si>
  <si>
    <t>08_10_2026_JZ_Diur.gpx</t>
  </si>
  <si>
    <t>a4d7b38fe3acb415ac5969e32c852c8c5ead8a597a1cf16b3184841ef77123b2</t>
  </si>
  <si>
    <t>08/10/2026 08:20:19</t>
  </si>
  <si>
    <t>08/10/2026 16:16:45</t>
  </si>
  <si>
    <t>6.226574, -75.599341</t>
  </si>
  <si>
    <t>6.279683, -75.572063</t>
  </si>
  <si>
    <t>808a595e6ac309a9</t>
  </si>
  <si>
    <t>08_10_2026_YL_Diur.gpx</t>
  </si>
  <si>
    <t>808a595e6ac309a972a17e31ceed8e4adb85b67ed14f49a55817f12da88b5812</t>
  </si>
  <si>
    <t>08/10/2026 08:20:23</t>
  </si>
  <si>
    <t>08/10/2026 16:32:00</t>
  </si>
  <si>
    <t>6.225651, -75.599123</t>
  </si>
  <si>
    <t>6.191036, -75.583236</t>
  </si>
  <si>
    <t>2bfb5545f66db420</t>
  </si>
  <si>
    <t>08_10_2026_AO_Diur1.gpx + 08_10_2026_AO_Diur2.gpx</t>
  </si>
  <si>
    <t>2bfb5545f66db4207db196d45748bf7faddad47e8cf23a76aec954be2faa7c71</t>
  </si>
  <si>
    <t>Recorrido unificado: 2 tramos (08_10_2026_AO_Diur1.gpx + 08_10_2026_AO_Diur2.gpx).; Inicio GPS tardío: 00:18:26 después de las 08:30.; Fin GPS anticipado: 01:27:05 antes de las 16:30.; 5 hueco(s) GPS &gt;= 10 min.; 1 permanencia(s) GPS detectada(s); requiere contexto.</t>
  </si>
  <si>
    <t>c2d7af7422527a2d</t>
  </si>
  <si>
    <t>08_10_2026_DV_Noct.gpx</t>
  </si>
  <si>
    <t>c2d7af7422527a2d539f47c7323944474da227da53c44ea202de1f2391fcd71b</t>
  </si>
  <si>
    <t>08/10/2026 17:30:31</t>
  </si>
  <si>
    <t>09/10/2026 00:14:58</t>
  </si>
  <si>
    <t>Inicio GPS anterior al horario: 00:29:29 antes de las 18:00.; Fin GPS dentro de la tolerancia del horario programado.; 1 permanencia(s) GPS detectada(s); requiere contexto.</t>
  </si>
  <si>
    <t>6.226374, -75.599348</t>
  </si>
  <si>
    <t>6.272647, -75.601989</t>
  </si>
  <si>
    <t>16b4a0e62704ebe4</t>
  </si>
  <si>
    <t>08_10_2026_JA_Noct.gpx</t>
  </si>
  <si>
    <t>16b4a0e62704ebe4f47aa786934b4851863c265be4edfbd3e482feb72f0c005e</t>
  </si>
  <si>
    <t>08/10/2026 17:37:28</t>
  </si>
  <si>
    <t>08/10/2026 22:41:38</t>
  </si>
  <si>
    <t>Inicio GPS anterior al horario: 00:22:32 antes de las 18:00.; Fin GPS anticipado: 01:18:22 antes de las 00:00.</t>
  </si>
  <si>
    <t>6.226029, -75.599327</t>
  </si>
  <si>
    <t>6.237062, -75.558768</t>
  </si>
  <si>
    <t>860ab6dbd2ee19fb</t>
  </si>
  <si>
    <t>08_10_2026_JO_Noct.gpx</t>
  </si>
  <si>
    <t>860ab6dbd2ee19fb38115cd28dfcf7dca27f81d2a6b8420cf0777d4e061471a3</t>
  </si>
  <si>
    <t>08/10/2026 17:42:48</t>
  </si>
  <si>
    <t>08/10/2026 23:56:40</t>
  </si>
  <si>
    <t>Inicio GPS anterior al horario: 00:17:12 antes de las 18:00.; Fin GPS dentro de la tolerancia del horario programado.; 11 hueco(s) GPS &gt;= 10 min.</t>
  </si>
  <si>
    <t>6.225644, -75.599370</t>
  </si>
  <si>
    <t>6.255499, -75.620519</t>
  </si>
  <si>
    <t>1811fc9217948d2b</t>
  </si>
  <si>
    <t>08_10_2026_LA_Noct.gpx</t>
  </si>
  <si>
    <t>1811fc9217948d2bdad42b2eb790ad3e8f10ed603234244ff27969aa6eb923a9</t>
  </si>
  <si>
    <t>Inicio GPS anterior al horario: 72:53:47 antes de las 18:00.; Fin GPS anticipado: 72:01:29 antes de las 00:00.; 2 hueco(s) GPS &gt;= 10 min.</t>
  </si>
  <si>
    <t>bddcdd831d8754ec</t>
  </si>
  <si>
    <t>08_10_2026_SJ_Noct.gpx</t>
  </si>
  <si>
    <t>bddcdd831d8754ec57ec3cfa4f0f91ec65c39e479137bbf17ef90862ce987f40</t>
  </si>
  <si>
    <t>08/10/2026 17:41:23</t>
  </si>
  <si>
    <t>08/10/2026 23:58:35</t>
  </si>
  <si>
    <t>Inicio GPS anterior al horario: 00:18:37 antes de las 18:00.; Fin GPS dentro de la tolerancia del horario programado.</t>
  </si>
  <si>
    <t>6.225624, -75.599417</t>
  </si>
  <si>
    <t>6.295303, -75.582172</t>
  </si>
  <si>
    <t>09389234b1ec7d6c</t>
  </si>
  <si>
    <t>09_10_2026_AO_Diur.gpx</t>
  </si>
  <si>
    <t>09389234b1ec7d6ced9ae730b99ef70c32703e6da1a22ecb463addd8561de68e</t>
  </si>
  <si>
    <t>09/10/2026</t>
  </si>
  <si>
    <t>09/10/2026 08:37:31</t>
  </si>
  <si>
    <t>09/10/2026 15:04:36</t>
  </si>
  <si>
    <t>Inicio GPS dentro de la tolerancia del horario programado.; Fin GPS anticipado: 00:55:24 antes de las 16:00.; 2 hueco(s) GPS &gt;= 10 min.</t>
  </si>
  <si>
    <t>6.203452, -75.600986</t>
  </si>
  <si>
    <t>6.202893, -75.569177</t>
  </si>
  <si>
    <t>2fba0594909c0a76</t>
  </si>
  <si>
    <t>09_10_2026_AR_Diur.gpx</t>
  </si>
  <si>
    <t>2fba0594909c0a76dd048ed5ab4b3c0aa7f8c58d63fb642550bad8182b7ed9c0</t>
  </si>
  <si>
    <t>09/10/2026 08:23:28</t>
  </si>
  <si>
    <t>09/10/2026 15:52:19</t>
  </si>
  <si>
    <t>6.225671, -75.599407</t>
  </si>
  <si>
    <t>6.252252, -75.607341</t>
  </si>
  <si>
    <t>2f6b2fae8f42312c</t>
  </si>
  <si>
    <t>09_10_2026_HC_Diur.gpx</t>
  </si>
  <si>
    <t>2f6b2fae8f42312c288e049b6ec3ddc4cc9633a3d1a876d857083525e1fa65f3</t>
  </si>
  <si>
    <t>09/10/2026 08:39:35</t>
  </si>
  <si>
    <t>09/10/2026 13:13:06</t>
  </si>
  <si>
    <t>Inicio GPS dentro de la tolerancia del horario programado.; Fin GPS anticipado: 02:46:54 antes de las 16:00.; 1 permanencia(s) GPS detectada(s); requiere contexto.</t>
  </si>
  <si>
    <t>6.225833, -75.599429</t>
  </si>
  <si>
    <t>6.296168, -75.585224</t>
  </si>
  <si>
    <t>d676ab6efc0d3ba5</t>
  </si>
  <si>
    <t>09_10_2026_IQ_Diur.gpx</t>
  </si>
  <si>
    <t>d676ab6efc0d3ba523aba64c780a862bbea156db117e3cabf30e76ab4b36e839</t>
  </si>
  <si>
    <t>09/10/2026 08:06:08</t>
  </si>
  <si>
    <t>09/10/2026 16:02:08</t>
  </si>
  <si>
    <t>Inicio GPS anterior al horario: 00:23:52 antes de las 08:30.; Fin GPS dentro de la tolerancia del horario programado.; 4 hueco(s) GPS &gt;= 10 min.</t>
  </si>
  <si>
    <t>6.280985, -75.545736</t>
  </si>
  <si>
    <t>359b42f4e07bedbe</t>
  </si>
  <si>
    <t>09_10_2026_JHP_Diur.gpx</t>
  </si>
  <si>
    <t>359b42f4e07bedbea1c90460e714b345e0f28ada4c64411d5b510a99a21ee9e5</t>
  </si>
  <si>
    <t>09/10/2026 07:58:04</t>
  </si>
  <si>
    <t>09/10/2026 12:42:03</t>
  </si>
  <si>
    <t>Inicio GPS anterior al horario: 00:31:56 antes de las 08:30.; Fin GPS anticipado: 03:17:57 antes de las 16:00.</t>
  </si>
  <si>
    <t>6.272746, -75.574455</t>
  </si>
  <si>
    <t>6.239404, -75.583635</t>
  </si>
  <si>
    <t>052effd44b9f30f4</t>
  </si>
  <si>
    <t>09_10_2026_JP_Diur.gpx</t>
  </si>
  <si>
    <t>052effd44b9f30f4f188a36daeb60239ef566941210654a2187146f7d26c5f56</t>
  </si>
  <si>
    <t>09/10/2026 08:00:01</t>
  </si>
  <si>
    <t>09/10/2026 16:16:56</t>
  </si>
  <si>
    <t>Inicio GPS anterior al horario: 00:29:59 antes de las 08:30.; Fin GPS posterior: 00:16:56 después de las 16:00.; 2 hueco(s) GPS &gt;= 10 min.</t>
  </si>
  <si>
    <t>6.280113, -75.572572</t>
  </si>
  <si>
    <t>6.251818, -75.551773</t>
  </si>
  <si>
    <t>ad0aba94e3c964d8</t>
  </si>
  <si>
    <t>09_10_2026_JZ_Diur.gpx</t>
  </si>
  <si>
    <t>ad0aba94e3c964d85ce3c98fc60a62a3e2a1ad073fda58788984d6e29d5f20d1</t>
  </si>
  <si>
    <t>09/10/2026 08:12:32</t>
  </si>
  <si>
    <t>09/10/2026 15:42:09</t>
  </si>
  <si>
    <t>Inicio GPS anterior al horario: 00:17:28 antes de las 08:30.; Fin GPS anticipado: 00:17:51 antes de las 16:00.</t>
  </si>
  <si>
    <t>6.226885, -75.599195</t>
  </si>
  <si>
    <t>6.279457, -75.570402</t>
  </si>
  <si>
    <t>bc626f26908fb3df</t>
  </si>
  <si>
    <t>09_10_2026_YL_Diur.gpx</t>
  </si>
  <si>
    <t>bc626f26908fb3dfdc593c6ad495692b6db89a9da27f677e7217148ddeb3c674</t>
  </si>
  <si>
    <t>09/10/2026 08:33:44</t>
  </si>
  <si>
    <t>09/10/2026 16:03:24</t>
  </si>
  <si>
    <t>6.225966, -75.598782</t>
  </si>
  <si>
    <t>6.284467, -75.573380</t>
  </si>
  <si>
    <t>56cede1607155507</t>
  </si>
  <si>
    <t>09_10_2026_DR_Diur.gpx</t>
  </si>
  <si>
    <t>56cede16071555072206280bcb907a8c85519519779389efae9a659c1b82a3b5</t>
  </si>
  <si>
    <t>09/10/2026 08:28:28</t>
  </si>
  <si>
    <t>09/10/2026 15:17:50</t>
  </si>
  <si>
    <t>Inicio GPS dentro de la tolerancia del horario programado.; Fin GPS anticipado: 00:42:10 antes de las 16:00.; 3 hueco(s) GPS &gt;= 10 min.</t>
  </si>
  <si>
    <t>6.226796, -75.601369</t>
  </si>
  <si>
    <t>6.248041, -75.605261</t>
  </si>
  <si>
    <t>d26dca0de20163ca</t>
  </si>
  <si>
    <t>09_10_2026_DV_Noct.gpx</t>
  </si>
  <si>
    <t>d26dca0de20163cae767730e26f9c2bb51c0f0553de3e617246bb9f805932f3a</t>
  </si>
  <si>
    <t>09/10/2026 17:54:44</t>
  </si>
  <si>
    <t>10/10/2026 00:15:52</t>
  </si>
  <si>
    <t>Inicio GPS dentro de la tolerancia del horario programado.; Fin GPS posterior: 00:15:52 después de las 00:00.; 1 permanencia(s) GPS detectada(s); requiere contexto.</t>
  </si>
  <si>
    <t>6.270269, -75.601672</t>
  </si>
  <si>
    <t>6.272616, -75.602027</t>
  </si>
  <si>
    <t>da6b11e56a00da62</t>
  </si>
  <si>
    <t>09_10_2026_JA_Noct.gpx</t>
  </si>
  <si>
    <t>da6b11e56a00da622aa44021a4898e07cb85fb4b0b2adfc8493d24d70e3af8e2</t>
  </si>
  <si>
    <t>09/10/2026 18:23:22</t>
  </si>
  <si>
    <t>09/10/2026 20:53:56</t>
  </si>
  <si>
    <t>Inicio GPS tardío: 00:23:22 después de las 18:00.; Fin GPS anticipado: 03:06:04 antes de las 00:00.</t>
  </si>
  <si>
    <t>6.237800, -75.559727</t>
  </si>
  <si>
    <t>6.239370, -75.561121</t>
  </si>
  <si>
    <t>e070bde016e7b08f</t>
  </si>
  <si>
    <t>09_10_2026_JO_Noct.gpx</t>
  </si>
  <si>
    <t>e070bde016e7b08faa2f793faa252dad9ff39e5bdd0a1fc1991d9a6b8c91d530</t>
  </si>
  <si>
    <t>09/10/2026 18:08:14</t>
  </si>
  <si>
    <t>09/10/2026 23:59:18</t>
  </si>
  <si>
    <t>6.257081, -75.614457</t>
  </si>
  <si>
    <t>6.257280, -75.606199</t>
  </si>
  <si>
    <t>68b9f873d4dde1f9</t>
  </si>
  <si>
    <t>09_10_2026_LA_Noct.gpx</t>
  </si>
  <si>
    <t>68b9f873d4dde1f91618e944dcc316bcf8a322dc9aa245fa6e132a759b2ab1a3</t>
  </si>
  <si>
    <t>09/10/2026 18:02:45</t>
  </si>
  <si>
    <t>10/10/2026 00:02:11</t>
  </si>
  <si>
    <t>6.268047, -75.598333</t>
  </si>
  <si>
    <t>6.279743, -75.570715</t>
  </si>
  <si>
    <t>d80e33247c4b11c6</t>
  </si>
  <si>
    <t>09_10_2026_SJ_Noct.gpx</t>
  </si>
  <si>
    <t>d80e33247c4b11c6f4dd636d9c4ca5b8b37283fa2dff8b76f7dcf69c93783806</t>
  </si>
  <si>
    <t>09/10/2026 18:33:51</t>
  </si>
  <si>
    <t>09/10/2026 23:36:36</t>
  </si>
  <si>
    <t>Inicio GPS tardío: 00:33:51 después de las 18:00.; Fin GPS anticipado: 00:23:24 antes de las 00:00.</t>
  </si>
  <si>
    <t>6.306987, -75.576482</t>
  </si>
  <si>
    <t>6.306895, -75.582076</t>
  </si>
  <si>
    <t>400430859be5782e</t>
  </si>
  <si>
    <t>10_10_2026_DR_Noct.gpx</t>
  </si>
  <si>
    <t>400430859be5782eaca28ada188c2d963fb3896923359d2bf4b74d70d5c7b7be</t>
  </si>
  <si>
    <t>10/10/2026</t>
  </si>
  <si>
    <t>10/10/2026 18:45:32</t>
  </si>
  <si>
    <t>10/10/2026 23:49:21</t>
  </si>
  <si>
    <t>Inicio GPS tardío: 00:45:32 después de las 18:00.; Fin GPS dentro de la tolerancia del horario programado.; Sábado nocturno: verificar técnico asignado.</t>
  </si>
  <si>
    <t>6.246300, -75.613915</t>
  </si>
  <si>
    <t>6.247823, -75.615000</t>
  </si>
  <si>
    <t>32e547769a4f863b</t>
  </si>
  <si>
    <t>13_10_2026_AO_Diur.gpx</t>
  </si>
  <si>
    <t>32e547769a4f863b990fe51e644ca211980e2fed5aed80b38494b4bd58f61652</t>
  </si>
  <si>
    <t>13/10/2026</t>
  </si>
  <si>
    <t>13/10/2026 09:02:09</t>
  </si>
  <si>
    <t>13/10/2026 16:32:57</t>
  </si>
  <si>
    <t>Inicio GPS tardío: 00:32:09 después de las 08:30.; Fin GPS dentro de la tolerancia del horario programado.; 5 hueco(s) GPS &gt;= 10 min.</t>
  </si>
  <si>
    <t>6.203257, -75.600813</t>
  </si>
  <si>
    <t>6.204751, -75.581158</t>
  </si>
  <si>
    <t>4c113e365ed584be</t>
  </si>
  <si>
    <t>13_10_2026_AR_Diur.gpx</t>
  </si>
  <si>
    <t>4c113e365ed584be67b281c5555d584969289b11e501104ee4eaec08dae07c0c</t>
  </si>
  <si>
    <t>13/10/2026 08:28:59</t>
  </si>
  <si>
    <t>13/10/2026 16:36:26</t>
  </si>
  <si>
    <t>6.225394, -75.599215</t>
  </si>
  <si>
    <t>6.226732, -75.601241</t>
  </si>
  <si>
    <t>d9458e3c79778789</t>
  </si>
  <si>
    <t>13_10_2026_HC_Diur.gpx</t>
  </si>
  <si>
    <t>d9458e3c79778789981820cc0ab68d9f9dd77fee9561f198acd5597c896a366d</t>
  </si>
  <si>
    <t>13/10/2026 09:08:32</t>
  </si>
  <si>
    <t>13/10/2026 14:01:05</t>
  </si>
  <si>
    <t>Inicio GPS tardío: 00:38:32 después de las 08:30.; Fin GPS anticipado: 02:28:55 antes de las 16:30.; 1 permanencia(s) GPS detectada(s); requiere contexto.</t>
  </si>
  <si>
    <t>6.226195, -75.597046</t>
  </si>
  <si>
    <t>6.235937, -75.603783</t>
  </si>
  <si>
    <t>acf7769218f2342a</t>
  </si>
  <si>
    <t>13_10_2026_IQ_Diur.gpx</t>
  </si>
  <si>
    <t>acf7769218f2342a0901b65aa6e11fdc4a4334c169589c3eb736c85faa00c745</t>
  </si>
  <si>
    <t>13/10/2026 08:06:13</t>
  </si>
  <si>
    <t>13/10/2026 16:44:50</t>
  </si>
  <si>
    <t>Inicio GPS anterior al horario: 00:23:47 antes de las 08:30.; Fin GPS dentro de la tolerancia del horario programado.; 5 hueco(s) GPS &gt;= 10 min.; 1 permanencia(s) GPS detectada(s); requiere contexto.</t>
  </si>
  <si>
    <t>6.225930, -75.598502</t>
  </si>
  <si>
    <t>6.281515, -75.539471</t>
  </si>
  <si>
    <t>d5519d83e868c51d</t>
  </si>
  <si>
    <t>13_10_2026_JHP_Diur.gpx</t>
  </si>
  <si>
    <t>d5519d83e868c51de6bf17a2cac181c2f911fde732926be37cca2226bbe7ed3e</t>
  </si>
  <si>
    <t>13/10/2026 08:51:42</t>
  </si>
  <si>
    <t>13/10/2026 16:13:33</t>
  </si>
  <si>
    <t>Inicio GPS tardío: 00:21:42 después de las 08:30.; Fin GPS anticipado: 00:16:27 antes de las 16:30.</t>
  </si>
  <si>
    <t>6.225459, -75.598751</t>
  </si>
  <si>
    <t>6.225272, -75.599227</t>
  </si>
  <si>
    <t>bc525d9e6702a32a</t>
  </si>
  <si>
    <t>13_10_2026_JP_Diur.gpx</t>
  </si>
  <si>
    <t>bc525d9e6702a32a29e38faad9470f934d74b200588fee414267c8900755dd28</t>
  </si>
  <si>
    <t>13/10/2026 08:24:32</t>
  </si>
  <si>
    <t>13/10/2026 16:36:08</t>
  </si>
  <si>
    <t>6.225572, -75.599403</t>
  </si>
  <si>
    <t>6.251805, -75.551830</t>
  </si>
  <si>
    <t>bfece59965bbaeca</t>
  </si>
  <si>
    <t>13_10_2026_JZ_Diur.gpx</t>
  </si>
  <si>
    <t>bfece59965bbaeca99cdb11f6a15677811a26c22d8d743bf3ecd987a24084232</t>
  </si>
  <si>
    <t>13/10/2026 08:28:38</t>
  </si>
  <si>
    <t>13/10/2026 16:21:10</t>
  </si>
  <si>
    <t>6.226652, -75.598451</t>
  </si>
  <si>
    <t>6.278758, -75.569270</t>
  </si>
  <si>
    <t>dff8ea550e66bd33</t>
  </si>
  <si>
    <t>13_10_2026_YL_Diur.gpx</t>
  </si>
  <si>
    <t>dff8ea550e66bd3300bcb1bcf04c7f5daffd26c714bb52c19d6d2280db81c53e</t>
  </si>
  <si>
    <t>13/10/2026 08:27:42</t>
  </si>
  <si>
    <t>13/10/2026 16:32:03</t>
  </si>
  <si>
    <t>6.225090, -75.600031</t>
  </si>
  <si>
    <t>6.259476, -75.616858</t>
  </si>
  <si>
    <t>38277553e2aa48b3</t>
  </si>
  <si>
    <t>13_10_2026_DV_Noct.gpx</t>
  </si>
  <si>
    <t>38277553e2aa48b3b5192d5ffbfc84ae8ac7e51e06e978a6ef6df9d0b695439e</t>
  </si>
  <si>
    <t>13/10/2026 17:03:48</t>
  </si>
  <si>
    <t>14/10/2026 00:17:42</t>
  </si>
  <si>
    <t>Inicio GPS anterior al horario: 00:56:12 antes de las 18:00.; Fin GPS posterior: 00:17:42 después de las 00:00.; 1 permanencia(s) GPS detectada(s); requiere contexto.</t>
  </si>
  <si>
    <t>6.225995, -75.599416</t>
  </si>
  <si>
    <t>6.272586, -75.602054</t>
  </si>
  <si>
    <t>c7cc5df5a7914f2f</t>
  </si>
  <si>
    <t>13_10_2026_JA_Noct.gpx</t>
  </si>
  <si>
    <t>c7cc5df5a7914f2fcc883b2fd19059b55109a50e9775c18b17b6a96a76a5b4ea</t>
  </si>
  <si>
    <t>13/10/2026 16:28:35</t>
  </si>
  <si>
    <t>13/10/2026 22:11:04</t>
  </si>
  <si>
    <t>Inicio GPS anterior al horario: 01:31:25 antes de las 18:00.; Fin GPS anticipado: 01:48:56 antes de las 00:00.; 1 hueco(s) GPS &gt;= 10 min.</t>
  </si>
  <si>
    <t>6.225694, -75.598934</t>
  </si>
  <si>
    <t>6.237057, -75.558852</t>
  </si>
  <si>
    <t>c73c871c5c9d50a8</t>
  </si>
  <si>
    <t>13_10_2026_JO_Noct.gpx</t>
  </si>
  <si>
    <t>c73c871c5c9d50a87537491c35b545ad41741cd23f9558f4bb0327c0d4a85c03</t>
  </si>
  <si>
    <t>13/10/2026 18:04:56</t>
  </si>
  <si>
    <t>13/10/2026 23:51:26</t>
  </si>
  <si>
    <t>6.259285, -75.620910</t>
  </si>
  <si>
    <t>6.245555, -75.596427</t>
  </si>
  <si>
    <t>716d46e114e8e645</t>
  </si>
  <si>
    <t>13_10_2026_LA_Noct.gpx</t>
  </si>
  <si>
    <t>716d46e114e8e645e58d1dfa267483305deed064d322a310bf2ba0e2035b6ab2</t>
  </si>
  <si>
    <t>13/10/2026 17:18:50</t>
  </si>
  <si>
    <t>14/10/2026 00:01:56</t>
  </si>
  <si>
    <t>Inicio GPS anterior al horario: 00:41:09 antes de las 18:00.; Fin GPS dentro de la tolerancia del horario programado.; 3 hueco(s) GPS &gt;= 10 min.</t>
  </si>
  <si>
    <t>6.226548, -75.599262</t>
  </si>
  <si>
    <t>6.268820, -75.598403</t>
  </si>
  <si>
    <t>306a8e5e61d25a57</t>
  </si>
  <si>
    <t>13_10_2026_SJ_Noct.gpx</t>
  </si>
  <si>
    <t>306a8e5e61d25a573aa22bb5ff4ad0e256bc665512010477337e45dddce319f6</t>
  </si>
  <si>
    <t>13/10/2026 16:51:59</t>
  </si>
  <si>
    <t>13/10/2026 23:32:37</t>
  </si>
  <si>
    <t>Inicio GPS anterior al horario: 01:08:01 antes de las 18:00.; Fin GPS anticipado: 00:27:23 antes de las 00:00.</t>
  </si>
  <si>
    <t>6.228515, -75.598761</t>
  </si>
  <si>
    <t>6.306554, -75.576627</t>
  </si>
  <si>
    <t>8b7ce80fd10e1d3d</t>
  </si>
  <si>
    <t>14_10_2026_AO_Diur.gpx</t>
  </si>
  <si>
    <t>8b7ce80fd10e1d3d00c2d142cf1f7ab64e35b72658e4fe22a09b265b6f438b9e</t>
  </si>
  <si>
    <t>14/10/2026</t>
  </si>
  <si>
    <t>14/10/2026 08:56:18</t>
  </si>
  <si>
    <t>14/10/2026 16:51:50</t>
  </si>
  <si>
    <t>Inicio GPS tardío: 00:26:19 después de las 08:30.; Fin GPS posterior: 00:21:50 después de las 16:30.; 3 hueco(s) GPS &gt;= 10 min.; 1 permanencia(s) GPS detectada(s); requiere contexto.</t>
  </si>
  <si>
    <t>6.203227, -75.600756</t>
  </si>
  <si>
    <t>6.221865, -75.593827</t>
  </si>
  <si>
    <t>ffe5a9ed2891bbb4</t>
  </si>
  <si>
    <t>14_10_2026_AR_Diur.gpx</t>
  </si>
  <si>
    <t>ffe5a9ed2891bbb4c423992bf33168d6c5306b5804481a2ab13b050ed22d8325</t>
  </si>
  <si>
    <t>14/10/2026 08:13:30</t>
  </si>
  <si>
    <t>14/10/2026 17:39:45</t>
  </si>
  <si>
    <t>Inicio GPS anterior al horario: 00:16:30 antes de las 08:30.; Fin GPS posterior: 01:09:45 después de las 16:30.; 1 permanencia(s) GPS detectada(s); requiere contexto.</t>
  </si>
  <si>
    <t>6.225186, -75.599266</t>
  </si>
  <si>
    <t>6.247490, -75.615098</t>
  </si>
  <si>
    <t>88ae4a0bae4df545</t>
  </si>
  <si>
    <t>14_10_2026_DR_Diur.gpx</t>
  </si>
  <si>
    <t>88ae4a0bae4df54529d65dd2203e5abec6b30ab8f9345ba784c5ee5038670af4</t>
  </si>
  <si>
    <t>14/10/2026 08:37:22</t>
  </si>
  <si>
    <t>14/10/2026 16:21:41</t>
  </si>
  <si>
    <t>6.229101, -75.602048</t>
  </si>
  <si>
    <t>6.248697, -75.583498</t>
  </si>
  <si>
    <t>6d1cf52be27bce27</t>
  </si>
  <si>
    <t>14_10_2026_HC_Diur.gpx</t>
  </si>
  <si>
    <t>6d1cf52be27bce273e978163adb63d2ae5e1fd5885b55006deeb4649e22ac3d6</t>
  </si>
  <si>
    <t>14/10/2026 08:31:34</t>
  </si>
  <si>
    <t>14/10/2026 13:03:02</t>
  </si>
  <si>
    <t>Inicio GPS dentro de la tolerancia del horario programado.; Fin GPS anticipado: 03:26:58 antes de las 16:30.; 2 hueco(s) GPS &gt;= 10 min.; 1 permanencia(s) GPS detectada(s); requiere contexto.</t>
  </si>
  <si>
    <t>6.225642, -75.599112</t>
  </si>
  <si>
    <t>6.234715, -75.608236</t>
  </si>
  <si>
    <t>64509d321ef041bd</t>
  </si>
  <si>
    <t>14_10_2026_IQ_Diur.gpx</t>
  </si>
  <si>
    <t>64509d321ef041bde5da73f8c00e745c319e9fc405d1d03c584268f520093b2a</t>
  </si>
  <si>
    <t>14/10/2026 08:37:14</t>
  </si>
  <si>
    <t>14/10/2026 16:31:09</t>
  </si>
  <si>
    <t>6.225337, -75.599443</t>
  </si>
  <si>
    <t>6.250016, -75.556476</t>
  </si>
  <si>
    <t>f7d2441bb7475185</t>
  </si>
  <si>
    <t>14_10_2026_JHP_Diur.gpx</t>
  </si>
  <si>
    <t>f7d2441bb747518540529e28bca6efcb8bad3498ad8fdf4e5d3332896c719f8f</t>
  </si>
  <si>
    <t>14/10/2026 08:03:30</t>
  </si>
  <si>
    <t>14/10/2026 16:26:44</t>
  </si>
  <si>
    <t>Inicio GPS anterior al horario: 00:26:30 antes de las 08:30.; Fin GPS dentro de la tolerancia del horario programado.</t>
  </si>
  <si>
    <t>6.276895, -75.573033</t>
  </si>
  <si>
    <t>6.290654, -75.546259</t>
  </si>
  <si>
    <t>be7ef1cc7334a2cc</t>
  </si>
  <si>
    <t>14_10_2026_JP_Diur.gpx</t>
  </si>
  <si>
    <t>be7ef1cc7334a2cc001a50dc73afc51d329fbc4bf1a63fea64fa157b96de5863</t>
  </si>
  <si>
    <t>14/10/2026 08:29:59</t>
  </si>
  <si>
    <t>14/10/2026 17:07:32</t>
  </si>
  <si>
    <t>Inicio GPS dentro de la tolerancia del horario programado.; Fin GPS posterior: 00:37:32 después de las 16:30.; 2 hueco(s) GPS &gt;= 10 min.; 1 permanencia(s) GPS detectada(s); requiere contexto.</t>
  </si>
  <si>
    <t>6.225562, -75.599443</t>
  </si>
  <si>
    <t>6.251810, -75.551732</t>
  </si>
  <si>
    <t>8c543afda4b1ee42</t>
  </si>
  <si>
    <t>14_10_2026_JZ_Diur.gpx</t>
  </si>
  <si>
    <t>8c543afda4b1ee428c5e76172848f955062013ba9b88f800c4436d1222c12ae6</t>
  </si>
  <si>
    <t>14/10/2026 08:09:09</t>
  </si>
  <si>
    <t>14/10/2026 16:15:58</t>
  </si>
  <si>
    <t>Inicio GPS anterior al horario: 00:20:51 antes de las 08:30.; Fin GPS dentro de la tolerancia del horario programado.</t>
  </si>
  <si>
    <t>6.226667, -75.599209</t>
  </si>
  <si>
    <t>6.278609, -75.569281</t>
  </si>
  <si>
    <t>489a0fe801d49162</t>
  </si>
  <si>
    <t>14_10_2026_YL_Diur.gpx</t>
  </si>
  <si>
    <t>489a0fe801d49162410c678dd97aa168e1317a5ea6523061438649a3b0eca451</t>
  </si>
  <si>
    <t>14/10/2026 07:48:49</t>
  </si>
  <si>
    <t>14/10/2026 16:04:09</t>
  </si>
  <si>
    <t>Inicio GPS anterior al horario: 00:41:11 antes de las 08:30.; Fin GPS anticipado: 00:25:51 antes de las 16:30.; 4 hueco(s) GPS &gt;= 10 min.</t>
  </si>
  <si>
    <t>6.225636, -75.599136</t>
  </si>
  <si>
    <t>6.258233, -75.615764</t>
  </si>
  <si>
    <t>b9dcdc6b6293e815</t>
  </si>
  <si>
    <t>14_10_2026_DV_Noct.gpx</t>
  </si>
  <si>
    <t>b9dcdc6b6293e815883717ccbc59028d7b5215de3453006aca57554ee068132e</t>
  </si>
  <si>
    <t>14/10/2026 16:59:35</t>
  </si>
  <si>
    <t>15/10/2026 00:34:59</t>
  </si>
  <si>
    <t>Inicio GPS anterior al horario: 01:00:25 antes de las 18:00.; Fin GPS posterior: 00:34:59 después de las 00:00.; 1 permanencia(s) GPS detectada(s); requiere contexto.</t>
  </si>
  <si>
    <t>6.226742, -75.599953</t>
  </si>
  <si>
    <t>6.272717, -75.601748</t>
  </si>
  <si>
    <t>7ec49c8214a931c3</t>
  </si>
  <si>
    <t>14_10_2026_JA_Noct.gpx</t>
  </si>
  <si>
    <t>7ec49c8214a931c3be75085012d7e103f1fbd1c5f3c8771d97660ec9f51d1a1f</t>
  </si>
  <si>
    <t>14/10/2026 16:47:52</t>
  </si>
  <si>
    <t>14/10/2026 23:02:17</t>
  </si>
  <si>
    <t>Inicio GPS anterior al horario: 01:12:08 antes de las 18:00.; Fin GPS anticipado: 00:57:43 antes de las 00:00.; 1 hueco(s) GPS &gt;= 10 min.; 1 permanencia(s) GPS detectada(s); requiere contexto.</t>
  </si>
  <si>
    <t>6.225691, -75.599361</t>
  </si>
  <si>
    <t>6.237171, -75.558699</t>
  </si>
  <si>
    <t>2090423d82dc1cf0</t>
  </si>
  <si>
    <t>14_10_2026_JO_Noct.gpx</t>
  </si>
  <si>
    <t>2090423d82dc1cf03c36b79438baa95510dbea133ff7760546a23cdfe72ed0a9</t>
  </si>
  <si>
    <t>14/10/2026 18:10:21</t>
  </si>
  <si>
    <t>14/10/2026 22:48:24</t>
  </si>
  <si>
    <t>Inicio GPS dentro de la tolerancia del horario programado.; Fin GPS anticipado: 01:11:35 antes de las 00:00.; 11 hueco(s) GPS &gt;= 10 min.; 1 permanencia(s) GPS detectada(s); requiere contexto.</t>
  </si>
  <si>
    <t>6.259245, -75.621056</t>
  </si>
  <si>
    <t>6.269903, -75.653419</t>
  </si>
  <si>
    <t>6a051dfc98ca7b3a</t>
  </si>
  <si>
    <t>14_10_2026_LA_Noct.gpx</t>
  </si>
  <si>
    <t>6a051dfc98ca7b3a7bd711f6bf60a79a6a172902c331d5e644f28b2a4bfdb2bf</t>
  </si>
  <si>
    <t>14/10/2026 17:22:38</t>
  </si>
  <si>
    <t>15/10/2026 00:02:26</t>
  </si>
  <si>
    <t>Inicio GPS anterior al horario: 00:37:22 antes de las 18:00.; Fin GPS dentro de la tolerancia del horario programado.; 4 hueco(s) GPS &gt;= 10 min.</t>
  </si>
  <si>
    <t>6.260127, -75.597472</t>
  </si>
  <si>
    <t>6.273610, -75.593003</t>
  </si>
  <si>
    <t>8ec31d91e6fc1c86</t>
  </si>
  <si>
    <t>14_10_2026_SJ_Noct.gpx</t>
  </si>
  <si>
    <t>8ec31d91e6fc1c862c2a075d1ffcadede8b79a57bdd87a6af7602c6ab600fa74</t>
  </si>
  <si>
    <t>14/10/2026 17:11:45</t>
  </si>
  <si>
    <t>15/10/2026 00:08:22</t>
  </si>
  <si>
    <t>Inicio GPS anterior al horario: 00:48:15 antes de las 18:00.; Fin GPS dentro de la tolerancia del horario programado.; 1 hueco(s) GPS &gt;= 10 min.</t>
  </si>
  <si>
    <t>6.225633, -75.599464</t>
  </si>
  <si>
    <t>6.304074, -75.582063</t>
  </si>
  <si>
    <t>Presenta daño en la motocicleta, el tecnico hace el reporte a SST</t>
  </si>
  <si>
    <t>fc4d4f420452569e</t>
  </si>
  <si>
    <t>15_10_2026_AO_Diur.gpx</t>
  </si>
  <si>
    <t>fc4d4f420452569e41574436c0dec5d57e246a6a5716b6bec0749990104342f3</t>
  </si>
  <si>
    <t>15/10/2026</t>
  </si>
  <si>
    <t>15/10/2026 09:03:58</t>
  </si>
  <si>
    <t>15/10/2026 16:36:21</t>
  </si>
  <si>
    <t>Inicio GPS tardío: 00:33:58 después de las 08:30.; Fin GPS dentro de la tolerancia del horario programado.; 1 hueco(s) GPS &gt;= 10 min.</t>
  </si>
  <si>
    <t>6.203253, -75.600691</t>
  </si>
  <si>
    <t>6.230093, -75.599961</t>
  </si>
  <si>
    <t>a6bf47115fa091b5</t>
  </si>
  <si>
    <t>15_10_2026_AR_Diur.gpx</t>
  </si>
  <si>
    <t>a6bf47115fa091b5933f92eaf7aafd3df028660dc22f0bc5a83df9dc189446ef</t>
  </si>
  <si>
    <t>15/10/2026 08:03:37</t>
  </si>
  <si>
    <t>15/10/2026 16:54:11</t>
  </si>
  <si>
    <t>Inicio GPS anterior al horario: 00:26:23 antes de las 08:30.; Fin GPS posterior: 00:24:11 después de las 16:30.; 1 permanencia(s) GPS detectada(s); requiere contexto.</t>
  </si>
  <si>
    <t>6.225396, -75.599065</t>
  </si>
  <si>
    <t>6.247533, -75.614945</t>
  </si>
  <si>
    <t>7655e6052a0a5ede</t>
  </si>
  <si>
    <t>15_10_2026_HC_Diur.gpx</t>
  </si>
  <si>
    <t>7655e6052a0a5ede460859a31be94ccebd047828dcbd9b7c3f059c3b7685104d</t>
  </si>
  <si>
    <t>15/10/2026 08:21:19</t>
  </si>
  <si>
    <t>15/10/2026 14:11:34</t>
  </si>
  <si>
    <t>Inicio GPS dentro de la tolerancia del horario programado.; Fin GPS anticipado: 02:18:26 antes de las 16:30.; 1 hueco(s) GPS &gt;= 10 min.</t>
  </si>
  <si>
    <t>6.225870, -75.599430</t>
  </si>
  <si>
    <t>6.304631, -75.577947</t>
  </si>
  <si>
    <t>ef45c1c66bcabad8</t>
  </si>
  <si>
    <t>15_10_2026_IQ_Diur.gpx</t>
  </si>
  <si>
    <t>ef45c1c66bcabad82c768d0d579ad8a3ef63f817abd4061bf5994c75cc9cd5f7</t>
  </si>
  <si>
    <t>15/10/2026 08:28:23</t>
  </si>
  <si>
    <t>15/10/2026 16:33:10</t>
  </si>
  <si>
    <t>6.244765, -75.570938</t>
  </si>
  <si>
    <t>6.243089, -75.548853</t>
  </si>
  <si>
    <t>96084586681ba3af</t>
  </si>
  <si>
    <t>15_10_2026_JHP_Diur.gpx</t>
  </si>
  <si>
    <t>96084586681ba3aff069d9f83463bdfc1d1f2e43a890d7656d6014a6e8557e06</t>
  </si>
  <si>
    <t>15/10/2026 08:07:14</t>
  </si>
  <si>
    <t>15/10/2026 16:13:07</t>
  </si>
  <si>
    <t>Inicio GPS anterior al horario: 00:22:46 antes de las 08:30.; Fin GPS anticipado: 00:16:53 antes de las 16:30.</t>
  </si>
  <si>
    <t>6.272866, -75.574478</t>
  </si>
  <si>
    <t>6.272870, -75.574525</t>
  </si>
  <si>
    <t>146963c33a5f42de</t>
  </si>
  <si>
    <t>15_10_2026_JP_Diur.gpx</t>
  </si>
  <si>
    <t>146963c33a5f42de81af675ef15449ca6d5cde49fe26b7cbfa632412887d083e</t>
  </si>
  <si>
    <t>15/10/2026 08:31:26</t>
  </si>
  <si>
    <t>15/10/2026 12:39:14</t>
  </si>
  <si>
    <t>Inicio GPS dentro de la tolerancia del horario programado.; Fin GPS anticipado: 03:50:46 antes de las 16:30.; 1 hueco(s) GPS &gt;= 10 min.</t>
  </si>
  <si>
    <t>6.225523, -75.598997</t>
  </si>
  <si>
    <t>6.251848, -75.551895</t>
  </si>
  <si>
    <t>bbdfea9601347182</t>
  </si>
  <si>
    <t>15_10_2026_JZ_Diur.gpx</t>
  </si>
  <si>
    <t>bbdfea9601347182401cdbb59b104c2a898f2e0e3967ef3c7c12d8a3c0e1eea9</t>
  </si>
  <si>
    <t>15/10/2026 12:10:49</t>
  </si>
  <si>
    <t>15/10/2026 16:23:48</t>
  </si>
  <si>
    <t>Inicio GPS tardío: 03:40:49 después de las 08:30.; Fin GPS dentro de la tolerancia del horario programado.</t>
  </si>
  <si>
    <t>6.257584, -75.561883</t>
  </si>
  <si>
    <t>6.278348, -75.569460</t>
  </si>
  <si>
    <t>1be9f84d3523cfc0</t>
  </si>
  <si>
    <t>15_10_2026_YL_Diur.gpx</t>
  </si>
  <si>
    <t>1be9f84d3523cfc0a9fe805410531891200c0cf4c5692506fbab0ebcbf5e133f</t>
  </si>
  <si>
    <t>15/10/2026 08:54:57</t>
  </si>
  <si>
    <t>15/10/2026 16:35:09</t>
  </si>
  <si>
    <t>Inicio GPS tardío: 00:24:57 después de las 08:30.; Fin GPS dentro de la tolerancia del horario programado.; 1 hueco(s) GPS &gt;= 10 min.; 1 permanencia(s) GPS detectada(s); requiere contexto.</t>
  </si>
  <si>
    <t>6.225550, -75.599145</t>
  </si>
  <si>
    <t>6.258654, -75.616274</t>
  </si>
  <si>
    <t>0b39ab11a81c59c9</t>
  </si>
  <si>
    <t>15_10_2026_DR_Diur.gpx</t>
  </si>
  <si>
    <t>0b39ab11a81c59c9607a46375883355629dbaf816eda64d44ed1d7a4b87187bf</t>
  </si>
  <si>
    <t>15/10/2026 08:23:05</t>
  </si>
  <si>
    <t>15/10/2026 16:21:27</t>
  </si>
  <si>
    <t>6.233731, -75.602238</t>
  </si>
  <si>
    <t>6.247455, -75.578223</t>
  </si>
  <si>
    <t>eb34b7b8af8e9044</t>
  </si>
  <si>
    <t>15_10_2026_DV_Noct.gpx</t>
  </si>
  <si>
    <t>eb34b7b8af8e904464913c097384766186baa0e85b40d49ef5e2528081c3d7f8</t>
  </si>
  <si>
    <t>15/10/2026 17:08:22</t>
  </si>
  <si>
    <t>16/10/2026 00:09:48</t>
  </si>
  <si>
    <t>Inicio GPS anterior al horario: 00:51:38 antes de las 18:00.; Fin GPS dentro de la tolerancia del horario programado.; 1 permanencia(s) GPS detectada(s); requiere contexto.</t>
  </si>
  <si>
    <t>6.231068, -75.601835</t>
  </si>
  <si>
    <t>6.272533, -75.601931</t>
  </si>
  <si>
    <t>167151d2247dc5e4</t>
  </si>
  <si>
    <t>15_10_2026_JA_Noct.gpx</t>
  </si>
  <si>
    <t>167151d2247dc5e442e8bf88091f05a51cec8b09cf58456b6c0ce3df1d8d05e8</t>
  </si>
  <si>
    <t>15/10/2026 16:37:19</t>
  </si>
  <si>
    <t>15/10/2026 21:04:52</t>
  </si>
  <si>
    <t>Inicio GPS anterior al horario: 01:22:41 antes de las 18:00.; Fin GPS anticipado: 02:55:08 antes de las 00:00.</t>
  </si>
  <si>
    <t>6.225831, -75.599080</t>
  </si>
  <si>
    <t>6.236915, -75.558754</t>
  </si>
  <si>
    <t>15/10/2026 23:52:53</t>
  </si>
  <si>
    <t>6.259223, -75.620935</t>
  </si>
  <si>
    <t>89ca1c12a53072a4</t>
  </si>
  <si>
    <t>15_10_2026_LA_Noct.gpx</t>
  </si>
  <si>
    <t>89ca1c12a53072a4adb61143c9654995ac9b86a84cfd8b843f79e1962da0d318</t>
  </si>
  <si>
    <t>15/10/2026 17:07:44</t>
  </si>
  <si>
    <t>16/10/2026 00:03:50</t>
  </si>
  <si>
    <t>Inicio GPS anterior al horario: 00:52:15 antes de las 18:00.; Fin GPS dentro de la tolerancia del horario programado.; 2 hueco(s) GPS &gt;= 10 min.; 1 permanencia(s) GPS detectada(s); requiere contexto.</t>
  </si>
  <si>
    <t>6.226657, -75.599265</t>
  </si>
  <si>
    <t>6.268452, -75.599155</t>
  </si>
  <si>
    <t>084d33977dc47ca5</t>
  </si>
  <si>
    <t>15_10_2026_SJ_Noct.gpx</t>
  </si>
  <si>
    <t>084d33977dc47ca5c2950c7e49f75adb3afde090f824ed835864cb98262222c6</t>
  </si>
  <si>
    <t>15/10/2026 18:26:04</t>
  </si>
  <si>
    <t>15/10/2026 23:47:09</t>
  </si>
  <si>
    <t>Inicio GPS tardío: 00:26:04 después de las 18:00.; Fin GPS dentro de la tolerancia del horario programado.</t>
  </si>
  <si>
    <t>6.222780, -75.598580</t>
  </si>
  <si>
    <t>6.305086, -75.581832</t>
  </si>
  <si>
    <t>f855d1ec6c717787</t>
  </si>
  <si>
    <t>15_10_2026_JO_Noct.gpx</t>
  </si>
  <si>
    <t>f855d1ec6c7177870098c1a2eafb03d551db5067eca67f11d9705d793461248c</t>
  </si>
  <si>
    <t>15/10/2026 18:06:00</t>
  </si>
  <si>
    <t>6.238250, -75.602973</t>
  </si>
  <si>
    <t>63a08f884acccff8</t>
  </si>
  <si>
    <t>16_10_2026_AR_Diur.gpx</t>
  </si>
  <si>
    <t>63a08f884acccff82dc1cf38a3f5cbfd64d78f5f9dc47a4045f5d0b37b98662c</t>
  </si>
  <si>
    <t>16/10/2026</t>
  </si>
  <si>
    <t>16/10/2026 08:38:18</t>
  </si>
  <si>
    <t>16/10/2026 16:13:17</t>
  </si>
  <si>
    <t>6.225667, -75.599477</t>
  </si>
  <si>
    <t>6.228534, -75.577227</t>
  </si>
  <si>
    <t>2a96fa77753f7397</t>
  </si>
  <si>
    <t>16_10_2026_HC_Diur.gpx</t>
  </si>
  <si>
    <t>2a96fa77753f7397ac62e100b34fd859f1048c407d064988f8b5739d73385859</t>
  </si>
  <si>
    <t>16/10/2026 08:28:02</t>
  </si>
  <si>
    <t>16/10/2026 13:47:10</t>
  </si>
  <si>
    <t>Inicio GPS dentro de la tolerancia del horario programado.; Fin GPS anticipado: 02:12:50 antes de las 16:00.; 2 hueco(s) GPS &gt;= 10 min.</t>
  </si>
  <si>
    <t>6.225815, -75.599409</t>
  </si>
  <si>
    <t>6.290298, -75.558482</t>
  </si>
  <si>
    <t>6f5e4ab8829a2de0</t>
  </si>
  <si>
    <t>16_10_2026_JHP_Diur.gpx</t>
  </si>
  <si>
    <t>6f5e4ab8829a2de012b8871a4da8b122c39fae37e26edfc560afb3749c5b9be2</t>
  </si>
  <si>
    <t>16/10/2026 08:05:40</t>
  </si>
  <si>
    <t>16/10/2026 15:54:01</t>
  </si>
  <si>
    <t>Inicio GPS anterior al horario: 00:24:20 antes de las 08:30.; Fin GPS dentro de la tolerancia del horario programado.</t>
  </si>
  <si>
    <t>6.272756, -75.574512</t>
  </si>
  <si>
    <t>6.272789, -75.574416</t>
  </si>
  <si>
    <t>177a38854fe516fc</t>
  </si>
  <si>
    <t>16_10_2026_JP_Diur.gpx</t>
  </si>
  <si>
    <t>177a38854fe516fcf5f13d5ef86dd3fa1afa46189dc4525c0ccbb4dcac5baa8b</t>
  </si>
  <si>
    <t>16/10/2026 07:28:54</t>
  </si>
  <si>
    <t>16/10/2026 14:39:40</t>
  </si>
  <si>
    <t>Inicio GPS anterior al horario: 01:01:06 antes de las 08:30.; Fin GPS anticipado: 01:20:20 antes de las 16:00.</t>
  </si>
  <si>
    <t>6.253973, -75.588213</t>
  </si>
  <si>
    <t>6.251860, -75.551798</t>
  </si>
  <si>
    <t>5af2585f97579082</t>
  </si>
  <si>
    <t>16_10_2026_JZ_Diur.gpx</t>
  </si>
  <si>
    <t>5af2585f975790826052d08a4d4417429b51098e86e8f45b84dbd5721dd94261</t>
  </si>
  <si>
    <t>16/10/2026 08:17:52</t>
  </si>
  <si>
    <t>16/10/2026 15:58:25</t>
  </si>
  <si>
    <t>6.226635, -75.599202</t>
  </si>
  <si>
    <t>6.248627, -75.565271</t>
  </si>
  <si>
    <t>c4058691c0592d43</t>
  </si>
  <si>
    <t>17_10_2026_AR_Diur.gpx</t>
  </si>
  <si>
    <t>c4058691c0592d43d96214182456c8c9c41b88acb7745edcc49ada941f18453b</t>
  </si>
  <si>
    <t>17/10/2026</t>
  </si>
  <si>
    <t>17/10/2026 08:41:07</t>
  </si>
  <si>
    <t>17/10/2026 15:47:11</t>
  </si>
  <si>
    <t>6.247571, -75.614759</t>
  </si>
  <si>
    <t>6.246129, -75.609533</t>
  </si>
  <si>
    <t>22f6e4de52031af7</t>
  </si>
  <si>
    <t>16_10_2026_YL_Diur.gpx</t>
  </si>
  <si>
    <t>22f6e4de52031af7b8fb1e0615805d8b09d771dd35cda74617771c58e7bbcfd0</t>
  </si>
  <si>
    <t>16/10/2026 09:08:57</t>
  </si>
  <si>
    <t>16/10/2026 16:33:50</t>
  </si>
  <si>
    <t>Inicio GPS tardío: 00:38:57 después de las 08:30.; Fin GPS posterior: 00:33:50 después de las 16:00.; 1 hueco(s) GPS &gt;= 10 min.; 1 permanencia(s) GPS detectada(s); requiere contexto.</t>
  </si>
  <si>
    <t>6.225578, -75.599353</t>
  </si>
  <si>
    <t>6.258547, -75.616319</t>
  </si>
  <si>
    <t>7c074dbd9e384ac2</t>
  </si>
  <si>
    <t>16_10_2026_DR_Noct.gpx</t>
  </si>
  <si>
    <t>7c074dbd9e384ac2704dcdb53850e149f544807397a5646b4de4a20a68665fd1</t>
  </si>
  <si>
    <t>16/10/2026 18:33:45</t>
  </si>
  <si>
    <t>16/10/2026 23:21:03</t>
  </si>
  <si>
    <t>Inicio GPS tardío: 00:33:45 después de las 18:00.; Fin GPS anticipado: 00:38:57 antes de las 00:00.</t>
  </si>
  <si>
    <t>6.253186, -75.609389</t>
  </si>
  <si>
    <t>6.245612, -75.616992</t>
  </si>
  <si>
    <t>6f92dbbc23f7c69c</t>
  </si>
  <si>
    <t>16_10_2026_DV_Noct.gpx</t>
  </si>
  <si>
    <t>6f92dbbc23f7c69c6755e4b69b42369fe402dcf27036a58c3a5aa72586329d8a</t>
  </si>
  <si>
    <t>16/10/2026 17:45:31</t>
  </si>
  <si>
    <t>17/10/2026 00:09:12</t>
  </si>
  <si>
    <t>6.272485, -75.602200</t>
  </si>
  <si>
    <t>6.273327, -75.602161</t>
  </si>
  <si>
    <t>21f0c25e11476e13</t>
  </si>
  <si>
    <t>16_10_2026_IQ_Noct.gpx</t>
  </si>
  <si>
    <t>21f0c25e11476e13ffdb71147d0dffbd71108a40e47be43f503225d0fc174850</t>
  </si>
  <si>
    <t>16/10/2026 16:12:39</t>
  </si>
  <si>
    <t>16/10/2026 23:53:36</t>
  </si>
  <si>
    <t>Inicio GPS anterior al horario: 01:47:21 antes de las 18:00.; Fin GPS dentro de la tolerancia del horario programado.; 3 hueco(s) GPS &gt;= 10 min.</t>
  </si>
  <si>
    <t>6.274655, -75.540585</t>
  </si>
  <si>
    <t>6.252734, -75.556586</t>
  </si>
  <si>
    <t>438543b52fd9adbe</t>
  </si>
  <si>
    <t>16_10_2026_JA_Noct.gpx</t>
  </si>
  <si>
    <t>438543b52fd9adbe1580bd49cb5fe4a808fc432af83bd0c976f25ebccbfb161a</t>
  </si>
  <si>
    <t>16/10/2026 17:55:44</t>
  </si>
  <si>
    <t>16/10/2026 22:56:50</t>
  </si>
  <si>
    <t>Inicio GPS dentro de la tolerancia del horario programado.; Fin GPS anticipado: 01:03:10 antes de las 00:00.; 2 hueco(s) GPS &gt;= 10 min.; 1 permanencia(s) GPS detectada(s); requiere contexto.</t>
  </si>
  <si>
    <t>6.238265, -75.560160</t>
  </si>
  <si>
    <t>6.237090, -75.558795</t>
  </si>
  <si>
    <t>3a7a54da018aa3d8</t>
  </si>
  <si>
    <t>16_10_2026_JO_Noct.gpx</t>
  </si>
  <si>
    <t>3a7a54da018aa3d89116d4fe2e48e4fcd307d0cd9499396df427e651a6839750</t>
  </si>
  <si>
    <t>16/10/2026 18:13:38</t>
  </si>
  <si>
    <t>16/10/2026 23:53:06</t>
  </si>
  <si>
    <t>6.246878, -75.554066</t>
  </si>
  <si>
    <t>6.255427, -75.620604</t>
  </si>
  <si>
    <t>eb33a0ccdae538c5</t>
  </si>
  <si>
    <t>16_10_2026_LA_Noct.gpx</t>
  </si>
  <si>
    <t>eb33a0ccdae538c572e4bb01770f3dfc4d3e72d8f0428a65a3305a5df572e66d</t>
  </si>
  <si>
    <t>16/10/2026 17:49:23</t>
  </si>
  <si>
    <t>17/10/2026 00:23:46</t>
  </si>
  <si>
    <t>Inicio GPS dentro de la tolerancia del horario programado.; Fin GPS posterior: 00:23:47 después de las 00:00.; 1 hueco(s) GPS &gt;= 10 min.; 1 permanencia(s) GPS detectada(s); requiere contexto.</t>
  </si>
  <si>
    <t>6.267497, -75.598057</t>
  </si>
  <si>
    <t>6.279607, -75.570877</t>
  </si>
  <si>
    <t>020ac8ab1766c678</t>
  </si>
  <si>
    <t>16_10_2026_SJ_Noct.gpx</t>
  </si>
  <si>
    <t>020ac8ab1766c678a13dad4711a2861157e196dea630c0b76b610e97b90dd14e</t>
  </si>
  <si>
    <t>16/10/2026 18:09:24</t>
  </si>
  <si>
    <t>17/10/2026 00:18:04</t>
  </si>
  <si>
    <t>Inicio GPS dentro de la tolerancia del horario programado.; Fin GPS posterior: 00:18:04 después de las 00:00.</t>
  </si>
  <si>
    <t>6.306048, -75.581989</t>
  </si>
  <si>
    <t>6.306526, -75.581994</t>
  </si>
  <si>
    <t>5956d5b459e20741</t>
  </si>
  <si>
    <t>17_10_2026_JP_Noct.gpx</t>
  </si>
  <si>
    <t>5956d5b459e207417071618d368df2958d1d67c26020166a18cc9938ac7f6d66</t>
  </si>
  <si>
    <t>17/10/2026 18:06:54</t>
  </si>
  <si>
    <t>17/10/2026 23:28:39</t>
  </si>
  <si>
    <t>Inicio GPS dentro de la tolerancia del horario programado.; Fin GPS anticipado: 00:31:21 antes de las 00:00.; Sábado nocturno: verificar técnico asignado.</t>
  </si>
  <si>
    <t>6.251703, -75.551667</t>
  </si>
  <si>
    <t>6.310818, -75.566105</t>
  </si>
  <si>
    <t>a37c97e017d9bdd3</t>
  </si>
  <si>
    <t>19_10_2026_AO_Diur.gpx</t>
  </si>
  <si>
    <t>a37c97e017d9bdd3a3bc49947dc0f839a766f654e031a9401b1f762f137b4d44</t>
  </si>
  <si>
    <t>19/10/2026</t>
  </si>
  <si>
    <t>19/10/2026 08:54:44</t>
  </si>
  <si>
    <t>19/10/2026 16:31:50</t>
  </si>
  <si>
    <t>Inicio GPS tardío: 00:24:44 después de las 08:30.; Fin GPS dentro de la tolerancia del horario programado.; 1 permanencia(s) GPS detectada(s); requiere contexto.</t>
  </si>
  <si>
    <t>6.203423, -75.600455</t>
  </si>
  <si>
    <t>6.225669, -75.599111</t>
  </si>
  <si>
    <t>206e17caac91c772</t>
  </si>
  <si>
    <t>19_10_2026_AR_Diur.gpx</t>
  </si>
  <si>
    <t>206e17caac91c772f4b0264a04e5e36d696e48b901e5caac2c94acdaac4c93a1</t>
  </si>
  <si>
    <t>19/10/2026 08:40:23</t>
  </si>
  <si>
    <t>19/10/2026 16:33:35</t>
  </si>
  <si>
    <t>6.225639, -75.599331</t>
  </si>
  <si>
    <t>6.225685, -75.599348</t>
  </si>
  <si>
    <t>6c0c90c68aeeb583</t>
  </si>
  <si>
    <t>19_10_2026_HC_Diur.gpx</t>
  </si>
  <si>
    <t>6c0c90c68aeeb5832d831770358950e28210ab8469f559232f503fc9043e0764</t>
  </si>
  <si>
    <t>19/10/2026 08:47:23</t>
  </si>
  <si>
    <t>19/10/2026 18:45:43</t>
  </si>
  <si>
    <t>Inicio GPS tardío: 00:17:23 después de las 08:30.; Fin GPS posterior: 02:15:43 después de las 16:30.; 3 hueco(s) GPS &gt;= 10 min.; 1 permanencia(s) GPS detectada(s); requiere contexto.</t>
  </si>
  <si>
    <t>6.225630, -75.599422</t>
  </si>
  <si>
    <t>6.310233, -75.578072</t>
  </si>
  <si>
    <t>8a9002ee96de3999</t>
  </si>
  <si>
    <t>19_10_2026_JHP_Diur.gpx</t>
  </si>
  <si>
    <t>8a9002ee96de3999b0c2ebfc8bdcf992ff69f0a0c8ad2428991e9350de0cf57d</t>
  </si>
  <si>
    <t>19/10/2026 08:25:44</t>
  </si>
  <si>
    <t>19/10/2026 16:22:51</t>
  </si>
  <si>
    <t>6.225702, -75.599575</t>
  </si>
  <si>
    <t>6.290496, -75.546455</t>
  </si>
  <si>
    <t>db5bc8a0935fd218</t>
  </si>
  <si>
    <t>19_10_2026_JZ_Diur.gpx</t>
  </si>
  <si>
    <t>db5bc8a0935fd21811342322e937a9ced70020f8d90192cb108d8c52f0b2c5fd</t>
  </si>
  <si>
    <t>19/10/2026 08:39:18</t>
  </si>
  <si>
    <t>19/10/2026 14:00:30</t>
  </si>
  <si>
    <t>Inicio GPS dentro de la tolerancia del horario programado.; Fin GPS anticipado: 02:29:30 antes de las 16:30.; 1 permanencia(s) GPS detectada(s); requiere contexto.</t>
  </si>
  <si>
    <t>6.226946, -75.599124</t>
  </si>
  <si>
    <t>6.282292, -75.563463</t>
  </si>
  <si>
    <t>94dd49ec46fbb5c3</t>
  </si>
  <si>
    <t>19_10_2026_DR_Noct.gpx</t>
  </si>
  <si>
    <t>94dd49ec46fbb5c3b3819020e15be24041fa3f8a3b45868baf3f55035d07ac99</t>
  </si>
  <si>
    <t>19/10/2026 18:13:05</t>
  </si>
  <si>
    <t>19/10/2026 23:57:32</t>
  </si>
  <si>
    <t>6.259172, -75.600714</t>
  </si>
  <si>
    <t>6.247829, -75.615062</t>
  </si>
  <si>
    <t>f15385f877711fc4</t>
  </si>
  <si>
    <t>19_10_2026_DV_Noct.gpx</t>
  </si>
  <si>
    <t>f15385f877711fc4244872e44d807b3e46d2e940dba3239989670c83942f8d74</t>
  </si>
  <si>
    <t>19/10/2026 16:42:35</t>
  </si>
  <si>
    <t>20/10/2026 00:24:01</t>
  </si>
  <si>
    <t>Inicio GPS anterior al horario: 01:17:25 antes de las 18:00.; Fin GPS posterior: 00:24:01 después de las 00:00.; 1 permanencia(s) GPS detectada(s); requiere contexto.</t>
  </si>
  <si>
    <t>6.227892, -75.599327</t>
  </si>
  <si>
    <t>6.272698, -75.602052</t>
  </si>
  <si>
    <t>c93969b3eb2ce2fc</t>
  </si>
  <si>
    <t>19_10_2026_IQ_Noct.gpx</t>
  </si>
  <si>
    <t>c93969b3eb2ce2fc8cba6461776bf38728d936fbfaa9df12966046888982c98a</t>
  </si>
  <si>
    <t>19/10/2026 17:10:14</t>
  </si>
  <si>
    <t>19/10/2026 23:47:14</t>
  </si>
  <si>
    <t>Inicio GPS anterior al horario: 00:49:46 antes de las 18:00.; Fin GPS dentro de la tolerancia del horario programado.; 6 hueco(s) GPS &gt;= 10 min.</t>
  </si>
  <si>
    <t>6.228041, -75.596376</t>
  </si>
  <si>
    <t>6.272547, -75.540334</t>
  </si>
  <si>
    <t>d98aea1761399aac</t>
  </si>
  <si>
    <t>19_10_2026_JA_Noct.gpx</t>
  </si>
  <si>
    <t>d98aea1761399aace84d9ff09ac83c7056ebe96b4081003b66ee016b94129fb5</t>
  </si>
  <si>
    <t>19/10/2026 16:34:59</t>
  </si>
  <si>
    <t>19/10/2026 22:15:50</t>
  </si>
  <si>
    <t>Inicio GPS anterior al horario: 01:25:01 antes de las 18:00.; Fin GPS anticipado: 01:44:10 antes de las 00:00.; 1 hueco(s) GPS &gt;= 10 min.</t>
  </si>
  <si>
    <t>6.225938, -75.599412</t>
  </si>
  <si>
    <t>6.236962, -75.558886</t>
  </si>
  <si>
    <t>22bcbddd91965fc2</t>
  </si>
  <si>
    <t>19_10_2026_JO_Noct.gpx</t>
  </si>
  <si>
    <t>22bcbddd91965fc2669666fa8c990b466418ab992288e22493bfcf5a3c299e1c</t>
  </si>
  <si>
    <t>19/10/2026 16:59:11</t>
  </si>
  <si>
    <t>19/10/2026 23:52:40</t>
  </si>
  <si>
    <t>Inicio GPS anterior al horario: 01:00:49 antes de las 18:00.; Fin GPS dentro de la tolerancia del horario programado.; 13 hueco(s) GPS &gt;= 10 min.</t>
  </si>
  <si>
    <t>6.225730, -75.599359</t>
  </si>
  <si>
    <t>6.259324, -75.620675</t>
  </si>
  <si>
    <t>41cb733f7bfec6ab</t>
  </si>
  <si>
    <t>19_10_2026_JP_Noct.gpx</t>
  </si>
  <si>
    <t>41cb733f7bfec6ab745d7c97848ffbdc11d20b2736d6462960e2c5841bfe3c69</t>
  </si>
  <si>
    <t>19/10/2026 16:54:43</t>
  </si>
  <si>
    <t>20/10/2026 00:00:32</t>
  </si>
  <si>
    <t>Inicio GPS anterior al horario: 01:05:17 antes de las 18:00.; Fin GPS dentro de la tolerancia del horario programado.; 1 permanencia(s) GPS detectada(s); requiere contexto.</t>
  </si>
  <si>
    <t>6.225638, -75.599412</t>
  </si>
  <si>
    <t>6.251882, -75.551742</t>
  </si>
  <si>
    <t>619080a2d6cd6bc4</t>
  </si>
  <si>
    <t>19_10_2026_LA_Noct.gpx</t>
  </si>
  <si>
    <t>619080a2d6cd6bc470a919bac9bd6136c2446550ac402d435e16e46a9d03353d</t>
  </si>
  <si>
    <t>19/10/2026 17:08:54</t>
  </si>
  <si>
    <t>20/10/2026 00:04:28</t>
  </si>
  <si>
    <t>Inicio GPS anterior al horario: 00:51:05 antes de las 18:00.; Fin GPS dentro de la tolerancia del horario programado.; 4 hueco(s) GPS &gt;= 10 min.</t>
  </si>
  <si>
    <t>6.225610, -75.599925</t>
  </si>
  <si>
    <t>6.268615, -75.599490</t>
  </si>
  <si>
    <t>74da49ed217785c0</t>
  </si>
  <si>
    <t>19_10_2026_SJ_Noct.gpx</t>
  </si>
  <si>
    <t>74da49ed217785c013f7644b1b71bec3581e6ffc8e50ea470766bc794ff8bb36</t>
  </si>
  <si>
    <t>19/10/2026 18:25:25</t>
  </si>
  <si>
    <t>19/10/2026 23:09:42</t>
  </si>
  <si>
    <t>Inicio GPS tardío: 00:25:25 después de las 18:00.; Fin GPS anticipado: 00:50:18 antes de las 00:00.; 1 hueco(s) GPS &gt;= 10 min.</t>
  </si>
  <si>
    <t>6.222809, -75.598542</t>
  </si>
  <si>
    <t>6.305238, -75.577175</t>
  </si>
  <si>
    <t>1633ed32c2015c26</t>
  </si>
  <si>
    <t>19_10_2026_YL_Noct.gpx</t>
  </si>
  <si>
    <t>1633ed32c2015c267691176aca62a36315b860e859163992d42f95147e771b9b</t>
  </si>
  <si>
    <t>19/10/2026 18:30:18</t>
  </si>
  <si>
    <t>20/10/2026 00:01:27</t>
  </si>
  <si>
    <t>Inicio GPS tardío: 00:30:18 después de las 18:00.; Fin GPS dentro de la tolerancia del horario programado.; 1 hueco(s) GPS &gt;= 10 min.</t>
  </si>
  <si>
    <t>6.258216, -75.622232</t>
  </si>
  <si>
    <t>6.258461, -75.615835</t>
  </si>
  <si>
    <t>98478583703aad5d</t>
  </si>
  <si>
    <t>20_10_2026_AO_Diur.gpx</t>
  </si>
  <si>
    <t>98478583703aad5d6173f9bf117caeca9153eecd0356d37ae278ff0b8d3af577</t>
  </si>
  <si>
    <t>20/10/2026</t>
  </si>
  <si>
    <t>20/10/2026 07:51:03</t>
  </si>
  <si>
    <t>20/10/2026 16:27:00</t>
  </si>
  <si>
    <t>Inicio GPS anterior al horario: 00:38:57 antes de las 08:30.; Fin GPS dentro de la tolerancia del horario programado.; 3 hueco(s) GPS &gt;= 10 min.</t>
  </si>
  <si>
    <t>6.225719, -75.599437</t>
  </si>
  <si>
    <t>6.250304, -75.599764</t>
  </si>
  <si>
    <t>4c5568c0a9bb6c48</t>
  </si>
  <si>
    <t>20_10_2026_AR_Diur.gpx</t>
  </si>
  <si>
    <t>4c5568c0a9bb6c48f3d33c5b7670402d2ec0830f9cf06f35caa1cd4e527e8fb0</t>
  </si>
  <si>
    <t>15576b773796bb55</t>
  </si>
  <si>
    <t>20_10_2026_JHP_Diur.gpx</t>
  </si>
  <si>
    <t>15576b773796bb559d0a5747576c159745ac8bc6dacb8488fe82581ed6277195</t>
  </si>
  <si>
    <t>20/10/2026 07:37:52</t>
  </si>
  <si>
    <t>20/10/2026 16:27:20</t>
  </si>
  <si>
    <t>Inicio GPS anterior al horario: 00:52:08 antes de las 08:30.; Fin GPS dentro de la tolerancia del horario programado.; 1 hueco(s) GPS &gt;= 10 min.</t>
  </si>
  <si>
    <t>6.290575, -75.546309</t>
  </si>
  <si>
    <t>6.272812, -75.574382</t>
  </si>
  <si>
    <t>1b823eb540dccc7a</t>
  </si>
  <si>
    <t>20_10_2026_JZ_Diur.gpx</t>
  </si>
  <si>
    <t>1b823eb540dccc7afc8c0ae4ba9f7f8e4e3a16879c9b4b70d65222e273324a6b</t>
  </si>
  <si>
    <t>20/10/2026 08:22:19</t>
  </si>
  <si>
    <t>20/10/2026 16:37:39</t>
  </si>
  <si>
    <t>6.226664, -75.599210</t>
  </si>
  <si>
    <t>6.279660, -75.572286</t>
  </si>
  <si>
    <t>248defe511bdd3a1</t>
  </si>
  <si>
    <t>20_10_2026_DR_Noct.gpx</t>
  </si>
  <si>
    <t>248defe511bdd3a183e9adfa4f3c67d3bab23bbe6ec53e9b785dc2e0190128f5</t>
  </si>
  <si>
    <t>20/10/2026 18:05:11</t>
  </si>
  <si>
    <t>20/10/2026 21:38:00</t>
  </si>
  <si>
    <t>Inicio GPS dentro de la tolerancia del horario programado.; Fin GPS anticipado: 02:22:00 antes de las 00:00.</t>
  </si>
  <si>
    <t>6.247880, -75.615136</t>
  </si>
  <si>
    <t>6.208443, -75.591437</t>
  </si>
  <si>
    <t>6186a84439c8c69e</t>
  </si>
  <si>
    <t>20_10_2026_DV_Noct.gpx</t>
  </si>
  <si>
    <t>6186a84439c8c69e87695b3306c3a5e49fad2496c68c685d3c0e4d18aebe3629</t>
  </si>
  <si>
    <t>20/10/2026 17:05:54</t>
  </si>
  <si>
    <t>21/10/2026 00:44:59</t>
  </si>
  <si>
    <t>Inicio GPS anterior al horario: 00:54:06 antes de las 18:00.; Fin GPS posterior: 00:44:59 después de las 00:00.; 1 permanencia(s) GPS detectada(s); requiere contexto.</t>
  </si>
  <si>
    <t>6.239574, -75.576549</t>
  </si>
  <si>
    <t>6.272927, -75.601972</t>
  </si>
  <si>
    <t>1dc7d2f2b70fdd9a</t>
  </si>
  <si>
    <t>20_10_2026_IQ_Noct.gpx</t>
  </si>
  <si>
    <t>1dc7d2f2b70fdd9ac192b3f4efce97c653f2bd7a7acbd1e4ea4c123679bf72a3</t>
  </si>
  <si>
    <t>20/10/2026 16:40:35</t>
  </si>
  <si>
    <t>20/10/2026 23:44:12</t>
  </si>
  <si>
    <t>Inicio GPS anterior al horario: 01:19:25 antes de las 18:00.; Fin GPS anticipado: 00:15:48 antes de las 00:00.; 2 hueco(s) GPS &gt;= 10 min.</t>
  </si>
  <si>
    <t>6.225198, -75.599368</t>
  </si>
  <si>
    <t>6.278241, -75.538991</t>
  </si>
  <si>
    <t>9646c9a0277f38cd</t>
  </si>
  <si>
    <t>20_10_2026_JA_Noct.gpx</t>
  </si>
  <si>
    <t>9646c9a0277f38cda05b5c2cb6b50afbb272619036d65e710bb50ef9db426ece</t>
  </si>
  <si>
    <t>20/10/2026 16:38:49</t>
  </si>
  <si>
    <t>20/10/2026 22:15:29</t>
  </si>
  <si>
    <t>Inicio GPS anterior al horario: 01:21:11 antes de las 18:00.; Fin GPS anticipado: 01:44:31 antes de las 00:00.; 1 hueco(s) GPS &gt;= 10 min.</t>
  </si>
  <si>
    <t>6.225693, -75.599403</t>
  </si>
  <si>
    <t>6.236988, -75.558809</t>
  </si>
  <si>
    <t>7463b2c261c779a8</t>
  </si>
  <si>
    <t>20_10_2026_JO_Noct.gpx</t>
  </si>
  <si>
    <t>7463b2c261c779a890604e0cf64c70b53d6d7eb4266ad70f23594592286f37b0</t>
  </si>
  <si>
    <t>20/10/2026 18:09:58</t>
  </si>
  <si>
    <t>20/10/2026 23:49:19</t>
  </si>
  <si>
    <t>6.249794, -75.584761</t>
  </si>
  <si>
    <t>6.259491, -75.620589</t>
  </si>
  <si>
    <t>6d4cf9b91d3518f2</t>
  </si>
  <si>
    <t>20_10_2026_JP_Noct.gpx</t>
  </si>
  <si>
    <t>6d4cf9b91d3518f2235f7c7a23c161c17018fd1a0bdac1ffa0596eb1afdb63aa</t>
  </si>
  <si>
    <t>20/10/2026 18:35:22</t>
  </si>
  <si>
    <t>21/10/2026 00:01:47</t>
  </si>
  <si>
    <t>Inicio GPS tardío: 00:35:22 después de las 18:00.; Fin GPS dentro de la tolerancia del horario programado.; 1 permanencia(s) GPS detectada(s); requiere contexto.</t>
  </si>
  <si>
    <t>6.251730, -75.551740</t>
  </si>
  <si>
    <t>6.251750, -75.551732</t>
  </si>
  <si>
    <t>4946238f323fadef</t>
  </si>
  <si>
    <t>20_10_2026_LA_Noct.gpx</t>
  </si>
  <si>
    <t>4946238f323fadef5e5cbf466d229d2af710f4da3467c785fb950af880e0edf1</t>
  </si>
  <si>
    <t>20/10/2026 16:49:03</t>
  </si>
  <si>
    <t>21/10/2026 00:03:44</t>
  </si>
  <si>
    <t>Inicio GPS anterior al horario: 01:10:56 antes de las 18:00.; Fin GPS dentro de la tolerancia del horario programado.; 3 hueco(s) GPS &gt;= 10 min.</t>
  </si>
  <si>
    <t>6.226665, -75.599373</t>
  </si>
  <si>
    <t>6.268590, -75.599512</t>
  </si>
  <si>
    <t>8a1c26c83158132e</t>
  </si>
  <si>
    <t>20_10_2026_SJ_Noct.gpx</t>
  </si>
  <si>
    <t>8a1c26c83158132e1c7334ba2530189881a1cf0173724ffd3b7294dfce14195f</t>
  </si>
  <si>
    <t>20/10/2026 18:07:16</t>
  </si>
  <si>
    <t>20/10/2026 22:34:45</t>
  </si>
  <si>
    <t>Inicio GPS dentro de la tolerancia del horario programado.; Fin GPS anticipado: 01:25:15 antes de las 00:00.</t>
  </si>
  <si>
    <t>6.222747, -75.598646</t>
  </si>
  <si>
    <t>6.240515, -75.552285</t>
  </si>
  <si>
    <t>6f7473bcb6f540eb</t>
  </si>
  <si>
    <t>20_10_2026_YL_Noct.gpx</t>
  </si>
  <si>
    <t>6f7473bcb6f540eb20d21327f9459be15d21fa1d28472d9f86901dd5fabfe278</t>
  </si>
  <si>
    <t>20/10/2026 17:58:05</t>
  </si>
  <si>
    <t>20/10/2026 17:58:29</t>
  </si>
  <si>
    <t>Inicio GPS dentro de la tolerancia del horario programado.; Fin GPS anticipado: 06:01:31 antes de las 00:00.</t>
  </si>
  <si>
    <t>6.258146, -75.615331</t>
  </si>
  <si>
    <t>6.258648, -75.615716</t>
  </si>
  <si>
    <t>Fuertes lluvias en la Noche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</si>
</sst>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46" fontId="2" fillId="0" borderId="1" xfId="0" applyNumberFormat="1" applyFont="1" applyBorder="1" applyAlignment="1">
      <alignment horizontal="center"/>
    </xf>
    <xf numFmtId="46" fontId="2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43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62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6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16">
      <pivotArea outline="0" collapsedLevelsAreSubtotals="1" fieldPosition="0"/>
    </format>
    <format dxfId="15">
      <pivotArea field="6" type="button" dataOnly="0" labelOnly="1" outline="0" axis="axisRow" fieldPosition="0"/>
    </format>
    <format dxfId="14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3">
      <pivotArea dataOnly="0" labelOnly="1" grandRow="1" outline="0" fieldPosition="0"/>
    </format>
    <format dxfId="12">
      <pivotArea dataOnly="0" labelOnly="1" grandCol="1" outline="0" fieldPosition="0"/>
    </format>
    <format dxfId="11">
      <pivotArea outline="0" collapsedLevelsAreSubtotals="1" fieldPosition="0"/>
    </format>
    <format dxfId="10">
      <pivotArea field="6" type="button" dataOnly="0" labelOnly="1" outline="0" axis="axisRow" fieldPosition="0"/>
    </format>
    <format dxfId="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8">
      <pivotArea dataOnly="0" labelOnly="1" grandRow="1" outline="0" fieldPosition="0"/>
    </format>
    <format dxfId="7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28">
      <pivotArea outline="0" collapsedLevelsAreSubtotals="1" fieldPosition="0"/>
    </format>
    <format dxfId="27">
      <pivotArea field="6" type="button" dataOnly="0" labelOnly="1" outline="0" axis="axisRow" fieldPosition="0"/>
    </format>
    <format dxfId="2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5">
      <pivotArea dataOnly="0" labelOnly="1" grandRow="1" outline="0" fieldPosition="0"/>
    </format>
    <format dxfId="24">
      <pivotArea dataOnly="0" labelOnly="1" fieldPosition="0">
        <references count="1">
          <reference field="17" count="0"/>
        </references>
      </pivotArea>
    </format>
    <format dxfId="23">
      <pivotArea dataOnly="0" labelOnly="1" grandCol="1" outline="0" fieldPosition="0"/>
    </format>
    <format dxfId="22">
      <pivotArea outline="0" collapsedLevelsAreSubtotals="1" fieldPosition="0"/>
    </format>
    <format dxfId="21">
      <pivotArea field="6" type="button" dataOnly="0" labelOnly="1" outline="0" axis="axisRow" fieldPosition="0"/>
    </format>
    <format dxfId="2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9">
      <pivotArea dataOnly="0" labelOnly="1" grandRow="1" outline="0" fieldPosition="0"/>
    </format>
    <format dxfId="18">
      <pivotArea dataOnly="0" labelOnly="1" fieldPosition="0">
        <references count="1">
          <reference field="17" count="0"/>
        </references>
      </pivotArea>
    </format>
    <format dxfId="17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grandCol="1" outline="0" fieldPosition="0"/>
    </format>
    <format dxfId="33">
      <pivotArea outline="0" collapsedLevelsAreSubtotals="1" fieldPosition="0"/>
    </format>
    <format dxfId="32">
      <pivotArea field="6" type="button" dataOnly="0" labelOnly="1" outline="0" axis="axisRow" fieldPosition="0"/>
    </format>
    <format dxfId="31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0">
      <pivotArea dataOnly="0" labelOnly="1" grandRow="1" outline="0" fieldPosition="0"/>
    </format>
    <format dxfId="29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2" totalsRowShown="0" headerRowDxfId="72" dataDxfId="71">
  <autoFilter ref="A1:AF1048562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94"/>
  <sheetViews>
    <sheetView tabSelected="1" topLeftCell="AF1" zoomScale="80" zoomScaleNormal="80" workbookViewId="0">
      <pane ySplit="1" topLeftCell="A467" activePane="bottomLeft" state="frozen"/>
      <selection pane="bottomLeft" activeCell="AN437" sqref="AN437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2392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1556</v>
      </c>
      <c r="B178" s="9" t="s">
        <v>1557</v>
      </c>
      <c r="C178" s="9" t="s">
        <v>1558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1559</v>
      </c>
      <c r="L178" s="9" t="s">
        <v>117</v>
      </c>
      <c r="M178" s="10">
        <v>2.465277777777778E-3</v>
      </c>
      <c r="N178" s="9" t="s">
        <v>65</v>
      </c>
      <c r="O178" s="9" t="s">
        <v>1560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1561</v>
      </c>
      <c r="AH178" s="9">
        <v>6.2685789999999999</v>
      </c>
      <c r="AI178" s="9">
        <v>-75.597361000000006</v>
      </c>
      <c r="AJ178" s="9" t="s">
        <v>1562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1563</v>
      </c>
      <c r="B179" s="9" t="s">
        <v>1564</v>
      </c>
      <c r="C179" s="9" t="s">
        <v>1565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1566</v>
      </c>
      <c r="L179" s="9" t="s">
        <v>117</v>
      </c>
      <c r="M179" s="10">
        <v>1.6932870370370369E-2</v>
      </c>
      <c r="N179" s="9" t="s">
        <v>127</v>
      </c>
      <c r="O179" s="9" t="s">
        <v>1567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1568</v>
      </c>
      <c r="AG179" s="9" t="s">
        <v>1569</v>
      </c>
      <c r="AH179" s="9">
        <v>10.979990000000001</v>
      </c>
      <c r="AI179" s="9">
        <v>-74.803664999999995</v>
      </c>
      <c r="AJ179" s="9" t="s">
        <v>1570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1595</v>
      </c>
    </row>
    <row r="180" spans="1:40" ht="15" x14ac:dyDescent="0.25">
      <c r="A180" s="9" t="s">
        <v>1571</v>
      </c>
      <c r="B180" s="9" t="s">
        <v>1572</v>
      </c>
      <c r="C180" s="9" t="s">
        <v>1573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1574</v>
      </c>
      <c r="L180" s="9" t="s">
        <v>117</v>
      </c>
      <c r="M180" s="10">
        <v>3.709490740740741E-2</v>
      </c>
      <c r="N180" s="9" t="s">
        <v>127</v>
      </c>
      <c r="O180" s="9" t="s">
        <v>1575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1576</v>
      </c>
      <c r="AG180" s="9" t="s">
        <v>1577</v>
      </c>
      <c r="AH180" s="9">
        <v>6.2265810000000004</v>
      </c>
      <c r="AI180" s="9">
        <v>-75.599300999999997</v>
      </c>
      <c r="AJ180" s="9" t="s">
        <v>1578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1579</v>
      </c>
      <c r="B181" s="9" t="s">
        <v>1580</v>
      </c>
      <c r="C181" s="9" t="s">
        <v>1581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1582</v>
      </c>
      <c r="L181" s="9" t="s">
        <v>117</v>
      </c>
      <c r="M181" s="10">
        <v>2.2615740740740738E-2</v>
      </c>
      <c r="N181" s="9" t="s">
        <v>127</v>
      </c>
      <c r="O181" s="9" t="s">
        <v>1583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1584</v>
      </c>
      <c r="AG181" s="9" t="s">
        <v>1585</v>
      </c>
      <c r="AH181" s="9">
        <v>6.2268949999999998</v>
      </c>
      <c r="AI181" s="9">
        <v>-75.599648000000002</v>
      </c>
      <c r="AJ181" s="9" t="s">
        <v>1586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1587</v>
      </c>
      <c r="B182" s="9" t="s">
        <v>1588</v>
      </c>
      <c r="C182" s="9" t="s">
        <v>1589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1590</v>
      </c>
      <c r="L182" s="9" t="s">
        <v>117</v>
      </c>
      <c r="M182" s="10">
        <v>3.274662037037037E-2</v>
      </c>
      <c r="N182" s="9" t="s">
        <v>127</v>
      </c>
      <c r="O182" s="9" t="s">
        <v>1591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1592</v>
      </c>
      <c r="AG182" s="9" t="s">
        <v>1593</v>
      </c>
      <c r="AH182" s="9">
        <v>6.2266620000000001</v>
      </c>
      <c r="AI182" s="9">
        <v>-75.599261999999996</v>
      </c>
      <c r="AJ182" s="9" t="s">
        <v>1594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1596</v>
      </c>
      <c r="B183" s="9" t="s">
        <v>1597</v>
      </c>
      <c r="C183" s="9" t="s">
        <v>1598</v>
      </c>
      <c r="D183" s="9" t="s">
        <v>1599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1600</v>
      </c>
      <c r="L183" s="9" t="s">
        <v>42</v>
      </c>
      <c r="M183" s="10">
        <v>3.636782407407408E-3</v>
      </c>
      <c r="N183" s="9" t="s">
        <v>65</v>
      </c>
      <c r="O183" s="9" t="s">
        <v>1601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1602</v>
      </c>
      <c r="AG183" s="9" t="s">
        <v>1603</v>
      </c>
      <c r="AH183" s="9">
        <v>6.2256109999999998</v>
      </c>
      <c r="AI183" s="9">
        <v>-75.599078000000006</v>
      </c>
      <c r="AJ183" s="9" t="s">
        <v>1604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1605</v>
      </c>
      <c r="B184" s="9" t="s">
        <v>1606</v>
      </c>
      <c r="C184" s="9" t="s">
        <v>1607</v>
      </c>
      <c r="D184" s="9" t="s">
        <v>1599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1608</v>
      </c>
      <c r="L184" s="9" t="s">
        <v>42</v>
      </c>
      <c r="M184" s="10">
        <v>2.7777777777777778E-4</v>
      </c>
      <c r="N184" s="9" t="s">
        <v>65</v>
      </c>
      <c r="O184" s="9" t="s">
        <v>1609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1610</v>
      </c>
      <c r="AH184" s="9">
        <v>6.2256970000000003</v>
      </c>
      <c r="AI184" s="9">
        <v>-75.599435999999997</v>
      </c>
      <c r="AJ184" s="9" t="s">
        <v>1611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1612</v>
      </c>
      <c r="B185" s="9" t="s">
        <v>1613</v>
      </c>
      <c r="C185" s="9" t="s">
        <v>1614</v>
      </c>
      <c r="D185" s="9" t="s">
        <v>1599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1615</v>
      </c>
      <c r="L185" s="9" t="s">
        <v>42</v>
      </c>
      <c r="M185" s="10">
        <v>5.5324074074074078E-3</v>
      </c>
      <c r="N185" s="9" t="s">
        <v>65</v>
      </c>
      <c r="O185" s="9" t="s">
        <v>1616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1617</v>
      </c>
      <c r="AG185" s="9" t="s">
        <v>1618</v>
      </c>
      <c r="AH185" s="9">
        <v>6.2308159999999999</v>
      </c>
      <c r="AI185" s="9">
        <v>-75.601883999999998</v>
      </c>
      <c r="AJ185" s="9" t="s">
        <v>1619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1620</v>
      </c>
      <c r="B186" s="9" t="s">
        <v>1621</v>
      </c>
      <c r="C186" s="9" t="s">
        <v>1622</v>
      </c>
      <c r="D186" s="9" t="s">
        <v>1599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1623</v>
      </c>
      <c r="L186" s="9" t="s">
        <v>42</v>
      </c>
      <c r="M186" s="10">
        <v>9.6874999999999999E-3</v>
      </c>
      <c r="N186" s="9" t="s">
        <v>65</v>
      </c>
      <c r="O186" s="9" t="s">
        <v>1624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1625</v>
      </c>
      <c r="AG186" s="9" t="s">
        <v>1626</v>
      </c>
      <c r="AH186" s="9">
        <v>6.2256850000000004</v>
      </c>
      <c r="AI186" s="9">
        <v>-75.599091000000001</v>
      </c>
      <c r="AJ186" s="9" t="s">
        <v>1627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1628</v>
      </c>
      <c r="B187" s="9" t="s">
        <v>1629</v>
      </c>
      <c r="C187" s="9" t="s">
        <v>1630</v>
      </c>
      <c r="D187" s="9" t="s">
        <v>1599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1631</v>
      </c>
      <c r="L187" s="9" t="s">
        <v>42</v>
      </c>
      <c r="M187" s="10">
        <v>1.143086805555556E-2</v>
      </c>
      <c r="N187" s="9" t="s">
        <v>43</v>
      </c>
      <c r="O187" s="9" t="s">
        <v>1632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1633</v>
      </c>
      <c r="AG187" s="9" t="s">
        <v>1634</v>
      </c>
      <c r="AH187" s="9">
        <v>6.2256049999999998</v>
      </c>
      <c r="AI187" s="9">
        <v>-75.599091000000001</v>
      </c>
      <c r="AJ187" s="9" t="s">
        <v>1635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1636</v>
      </c>
      <c r="B188" s="9" t="s">
        <v>1637</v>
      </c>
      <c r="C188" s="9" t="s">
        <v>1638</v>
      </c>
      <c r="D188" s="9" t="s">
        <v>1599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1639</v>
      </c>
      <c r="L188" s="9" t="s">
        <v>42</v>
      </c>
      <c r="M188" s="10">
        <v>1.320601851851852E-2</v>
      </c>
      <c r="N188" s="9" t="s">
        <v>127</v>
      </c>
      <c r="O188" s="9" t="s">
        <v>1640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1641</v>
      </c>
      <c r="AG188" s="9" t="s">
        <v>1642</v>
      </c>
      <c r="AH188" s="9">
        <v>6.2266909999999998</v>
      </c>
      <c r="AI188" s="9">
        <v>-75.599233999999996</v>
      </c>
      <c r="AJ188" s="9" t="s">
        <v>1643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1669</v>
      </c>
    </row>
    <row r="189" spans="1:40" ht="15" x14ac:dyDescent="0.25">
      <c r="A189" s="9" t="s">
        <v>1644</v>
      </c>
      <c r="B189" s="9" t="s">
        <v>1645</v>
      </c>
      <c r="C189" s="9" t="s">
        <v>1646</v>
      </c>
      <c r="D189" s="9" t="s">
        <v>1599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1647</v>
      </c>
      <c r="L189" s="9" t="s">
        <v>42</v>
      </c>
      <c r="M189" s="10">
        <v>7.3032407407407404E-3</v>
      </c>
      <c r="N189" s="9" t="s">
        <v>65</v>
      </c>
      <c r="O189" s="9" t="s">
        <v>1648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1649</v>
      </c>
      <c r="AG189" s="9" t="s">
        <v>1650</v>
      </c>
      <c r="AH189" s="9">
        <v>6.225759</v>
      </c>
      <c r="AI189" s="9">
        <v>-75.599410000000006</v>
      </c>
      <c r="AJ189" s="9" t="s">
        <v>1651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1652</v>
      </c>
      <c r="B190" s="9" t="s">
        <v>1653</v>
      </c>
      <c r="C190" s="9" t="s">
        <v>1654</v>
      </c>
      <c r="D190" s="9" t="s">
        <v>1599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1655</v>
      </c>
      <c r="L190" s="9" t="s">
        <v>42</v>
      </c>
      <c r="M190" s="10">
        <v>1.196759259259259E-2</v>
      </c>
      <c r="N190" s="9" t="s">
        <v>43</v>
      </c>
      <c r="O190" s="9" t="s">
        <v>1656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1657</v>
      </c>
      <c r="AG190" s="9" t="s">
        <v>1658</v>
      </c>
      <c r="AH190" s="9">
        <v>6.2256499999999999</v>
      </c>
      <c r="AI190" s="9">
        <v>-75.599074000000002</v>
      </c>
      <c r="AJ190" s="9" t="s">
        <v>1659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1660</v>
      </c>
      <c r="B191" s="9" t="s">
        <v>1661</v>
      </c>
      <c r="C191" s="9" t="s">
        <v>1662</v>
      </c>
      <c r="D191" s="9" t="s">
        <v>1663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1664</v>
      </c>
      <c r="L191" s="9" t="s">
        <v>42</v>
      </c>
      <c r="M191" s="10">
        <v>4.0578703703703707E-2</v>
      </c>
      <c r="N191" s="9" t="s">
        <v>43</v>
      </c>
      <c r="O191" s="9" t="s">
        <v>1665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1666</v>
      </c>
      <c r="AG191" s="9" t="s">
        <v>1667</v>
      </c>
      <c r="AH191" s="9">
        <v>6.2526510000000002</v>
      </c>
      <c r="AI191" s="9">
        <v>-75.609696999999997</v>
      </c>
      <c r="AJ191" s="9" t="s">
        <v>1668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1670</v>
      </c>
      <c r="B192" s="9" t="s">
        <v>1671</v>
      </c>
      <c r="C192" s="9" t="s">
        <v>1672</v>
      </c>
      <c r="D192" s="9" t="s">
        <v>1599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1673</v>
      </c>
      <c r="L192" s="9" t="s">
        <v>117</v>
      </c>
      <c r="M192" s="10">
        <v>0.01</v>
      </c>
      <c r="N192" s="9" t="s">
        <v>65</v>
      </c>
      <c r="O192" s="9" t="s">
        <v>1674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1675</v>
      </c>
      <c r="AG192" s="9" t="s">
        <v>1676</v>
      </c>
      <c r="AH192" s="9">
        <v>6.2701349999999998</v>
      </c>
      <c r="AI192" s="9">
        <v>-75.601358000000005</v>
      </c>
      <c r="AJ192" s="9" t="s">
        <v>1677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1678</v>
      </c>
      <c r="B193" s="9" t="s">
        <v>1679</v>
      </c>
      <c r="C193" s="9" t="s">
        <v>1680</v>
      </c>
      <c r="D193" s="9" t="s">
        <v>1599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1681</v>
      </c>
      <c r="L193" s="9" t="s">
        <v>117</v>
      </c>
      <c r="M193" s="10">
        <v>0.18044956018518521</v>
      </c>
      <c r="N193" s="9" t="s">
        <v>43</v>
      </c>
      <c r="O193" s="9" t="s">
        <v>1682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1683</v>
      </c>
      <c r="AG193" s="9" t="s">
        <v>1684</v>
      </c>
      <c r="AH193" s="9">
        <v>6.2513550000000002</v>
      </c>
      <c r="AI193" s="9">
        <v>-75.607427999999999</v>
      </c>
      <c r="AJ193" s="9" t="s">
        <v>1685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1725</v>
      </c>
    </row>
    <row r="194" spans="1:40" ht="15" x14ac:dyDescent="0.25">
      <c r="A194" s="9" t="s">
        <v>1686</v>
      </c>
      <c r="B194" s="9" t="s">
        <v>1687</v>
      </c>
      <c r="C194" s="9" t="s">
        <v>1688</v>
      </c>
      <c r="D194" s="9" t="s">
        <v>1599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1689</v>
      </c>
      <c r="L194" s="9" t="s">
        <v>117</v>
      </c>
      <c r="M194" s="10">
        <v>1.8518518518518519E-3</v>
      </c>
      <c r="N194" s="9" t="s">
        <v>65</v>
      </c>
      <c r="O194" s="9" t="s">
        <v>1690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1691</v>
      </c>
      <c r="AG194" s="9" t="s">
        <v>1692</v>
      </c>
      <c r="AH194" s="9">
        <v>6.2719529999999999</v>
      </c>
      <c r="AI194" s="9">
        <v>-75.540672999999998</v>
      </c>
      <c r="AJ194" s="9" t="s">
        <v>1693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1694</v>
      </c>
      <c r="B195" s="9" t="s">
        <v>1695</v>
      </c>
      <c r="C195" s="9" t="s">
        <v>1696</v>
      </c>
      <c r="D195" s="9" t="s">
        <v>1599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1697</v>
      </c>
      <c r="L195" s="9" t="s">
        <v>117</v>
      </c>
      <c r="M195" s="10">
        <v>1.9467592592592588E-2</v>
      </c>
      <c r="N195" s="9" t="s">
        <v>127</v>
      </c>
      <c r="O195" s="9" t="s">
        <v>1698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1699</v>
      </c>
      <c r="AG195" s="9" t="s">
        <v>1700</v>
      </c>
      <c r="AH195" s="9">
        <v>6.2903630000000001</v>
      </c>
      <c r="AI195" s="9">
        <v>-75.546538999999996</v>
      </c>
      <c r="AJ195" s="9" t="s">
        <v>1701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1702</v>
      </c>
      <c r="B196" s="9" t="s">
        <v>1703</v>
      </c>
      <c r="C196" s="9" t="s">
        <v>1704</v>
      </c>
      <c r="D196" s="9" t="s">
        <v>1599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1705</v>
      </c>
      <c r="L196" s="9" t="s">
        <v>117</v>
      </c>
      <c r="M196" s="10">
        <v>1.1458333333333329E-3</v>
      </c>
      <c r="N196" s="9" t="s">
        <v>65</v>
      </c>
      <c r="O196" s="9" t="s">
        <v>1706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1707</v>
      </c>
      <c r="AH196" s="9">
        <v>6.2524670000000002</v>
      </c>
      <c r="AI196" s="9">
        <v>-75.551827000000003</v>
      </c>
      <c r="AJ196" s="9" t="s">
        <v>1708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1709</v>
      </c>
      <c r="B197" s="9" t="s">
        <v>1710</v>
      </c>
      <c r="C197" s="9" t="s">
        <v>1711</v>
      </c>
      <c r="D197" s="9" t="s">
        <v>1599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1712</v>
      </c>
      <c r="L197" s="9" t="s">
        <v>117</v>
      </c>
      <c r="M197" s="10">
        <v>2.2600856481481479E-2</v>
      </c>
      <c r="N197" s="9" t="s">
        <v>127</v>
      </c>
      <c r="O197" s="9" t="s">
        <v>1713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1714</v>
      </c>
      <c r="AG197" s="9" t="s">
        <v>1715</v>
      </c>
      <c r="AH197" s="9">
        <v>6.2689079999999997</v>
      </c>
      <c r="AI197" s="9">
        <v>-75.598983000000004</v>
      </c>
      <c r="AJ197" s="9" t="s">
        <v>1716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1717</v>
      </c>
      <c r="B198" s="9" t="s">
        <v>1718</v>
      </c>
      <c r="C198" s="9" t="s">
        <v>1719</v>
      </c>
      <c r="D198" s="9" t="s">
        <v>1663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1720</v>
      </c>
      <c r="L198" s="9" t="s">
        <v>117</v>
      </c>
      <c r="M198" s="10">
        <v>1.621527777777778E-2</v>
      </c>
      <c r="N198" s="9" t="s">
        <v>43</v>
      </c>
      <c r="O198" s="9" t="s">
        <v>1721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1722</v>
      </c>
      <c r="AG198" s="9" t="s">
        <v>1723</v>
      </c>
      <c r="AH198" s="9">
        <v>6.2477510000000001</v>
      </c>
      <c r="AI198" s="9">
        <v>-75.614997000000002</v>
      </c>
      <c r="AJ198" s="9" t="s">
        <v>1724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1726</v>
      </c>
      <c r="B199" s="9" t="s">
        <v>1727</v>
      </c>
      <c r="C199" s="9" t="s">
        <v>1728</v>
      </c>
      <c r="D199" s="9" t="s">
        <v>1729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1730</v>
      </c>
      <c r="L199" s="9" t="s">
        <v>42</v>
      </c>
      <c r="M199" s="10">
        <v>3.4527638888888892E-2</v>
      </c>
      <c r="N199" s="9" t="s">
        <v>43</v>
      </c>
      <c r="O199" s="9" t="s">
        <v>1731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1732</v>
      </c>
      <c r="AG199" s="9" t="s">
        <v>1733</v>
      </c>
      <c r="AH199" s="9">
        <v>6.2158550000000004</v>
      </c>
      <c r="AI199" s="9">
        <v>-75.597796000000002</v>
      </c>
      <c r="AJ199" s="9" t="s">
        <v>1734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1735</v>
      </c>
      <c r="B200" s="9" t="s">
        <v>1736</v>
      </c>
      <c r="C200" s="9" t="s">
        <v>1737</v>
      </c>
      <c r="D200" s="9" t="s">
        <v>1729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1738</v>
      </c>
      <c r="L200" s="9" t="s">
        <v>42</v>
      </c>
      <c r="M200" s="10">
        <v>4.0509259259259258E-4</v>
      </c>
      <c r="N200" s="9" t="s">
        <v>65</v>
      </c>
      <c r="O200" s="9" t="s">
        <v>1739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1740</v>
      </c>
      <c r="AG200" s="9" t="s">
        <v>1741</v>
      </c>
      <c r="AH200" s="9">
        <v>6.2255570000000002</v>
      </c>
      <c r="AI200" s="9">
        <v>-75.599429000000001</v>
      </c>
      <c r="AJ200" s="9" t="s">
        <v>1742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1743</v>
      </c>
      <c r="B201" s="9" t="s">
        <v>1744</v>
      </c>
      <c r="C201" s="9" t="s">
        <v>1745</v>
      </c>
      <c r="D201" s="9" t="s">
        <v>1729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1746</v>
      </c>
      <c r="L201" s="9" t="s">
        <v>42</v>
      </c>
      <c r="M201" s="10">
        <v>3.3101851851851851E-3</v>
      </c>
      <c r="N201" s="9" t="s">
        <v>65</v>
      </c>
      <c r="O201" s="9" t="s">
        <v>1747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1748</v>
      </c>
      <c r="AG201" s="9" t="s">
        <v>1749</v>
      </c>
      <c r="AH201" s="9">
        <v>6.2297859999999998</v>
      </c>
      <c r="AI201" s="9">
        <v>-75.602255999999997</v>
      </c>
      <c r="AJ201" s="9" t="s">
        <v>1750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1751</v>
      </c>
      <c r="B202" s="9" t="s">
        <v>1752</v>
      </c>
      <c r="C202" s="9" t="s">
        <v>1753</v>
      </c>
      <c r="D202" s="9" t="s">
        <v>1729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1754</v>
      </c>
      <c r="L202" s="9" t="s">
        <v>42</v>
      </c>
      <c r="M202" s="10">
        <v>6.6319444444444446E-3</v>
      </c>
      <c r="N202" s="9" t="s">
        <v>65</v>
      </c>
      <c r="O202" s="9" t="s">
        <v>1755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1756</v>
      </c>
      <c r="AG202" s="9" t="s">
        <v>1757</v>
      </c>
      <c r="AH202" s="9">
        <v>6.2257049999999996</v>
      </c>
      <c r="AI202" s="9">
        <v>-75.599132999999995</v>
      </c>
      <c r="AJ202" s="9" t="s">
        <v>1758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1759</v>
      </c>
      <c r="B203" s="9" t="s">
        <v>1760</v>
      </c>
      <c r="C203" s="9" t="s">
        <v>1761</v>
      </c>
      <c r="D203" s="9" t="s">
        <v>1729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1762</v>
      </c>
      <c r="L203" s="9" t="s">
        <v>42</v>
      </c>
      <c r="M203" s="10">
        <v>4.8148148148148152E-3</v>
      </c>
      <c r="N203" s="9" t="s">
        <v>65</v>
      </c>
      <c r="O203" s="9" t="s">
        <v>1763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1764</v>
      </c>
      <c r="AG203" s="9" t="s">
        <v>1765</v>
      </c>
      <c r="AH203" s="9">
        <v>6.2258690000000003</v>
      </c>
      <c r="AI203" s="9">
        <v>-75.599106000000006</v>
      </c>
      <c r="AJ203" s="9" t="s">
        <v>1766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1767</v>
      </c>
      <c r="B204" s="9" t="s">
        <v>1768</v>
      </c>
      <c r="C204" s="9" t="s">
        <v>1769</v>
      </c>
      <c r="D204" s="9" t="s">
        <v>1729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1770</v>
      </c>
      <c r="L204" s="9" t="s">
        <v>42</v>
      </c>
      <c r="M204" s="10">
        <v>5.1966435185185188E-3</v>
      </c>
      <c r="N204" s="9" t="s">
        <v>65</v>
      </c>
      <c r="O204" s="9" t="s">
        <v>1771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1772</v>
      </c>
      <c r="AH204" s="9">
        <v>6.2256030000000004</v>
      </c>
      <c r="AI204" s="9">
        <v>-75.599496000000002</v>
      </c>
      <c r="AJ204" s="9" t="s">
        <v>1773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1774</v>
      </c>
      <c r="B205" s="9" t="s">
        <v>1775</v>
      </c>
      <c r="C205" s="9" t="s">
        <v>1776</v>
      </c>
      <c r="D205" s="9" t="s">
        <v>1729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1777</v>
      </c>
      <c r="L205" s="9" t="s">
        <v>42</v>
      </c>
      <c r="M205" s="10">
        <v>4.0162037037037041E-3</v>
      </c>
      <c r="N205" s="9" t="s">
        <v>65</v>
      </c>
      <c r="O205" s="9" t="s">
        <v>1778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1779</v>
      </c>
      <c r="AH205" s="9">
        <v>6.2266450000000004</v>
      </c>
      <c r="AI205" s="9">
        <v>-75.599253000000004</v>
      </c>
      <c r="AJ205" s="9" t="s">
        <v>1780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1781</v>
      </c>
      <c r="B206" s="9" t="s">
        <v>1782</v>
      </c>
      <c r="C206" s="9" t="s">
        <v>1783</v>
      </c>
      <c r="D206" s="9" t="s">
        <v>1729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1784</v>
      </c>
      <c r="L206" s="9" t="s">
        <v>42</v>
      </c>
      <c r="M206" s="10">
        <v>2.673611111111111E-3</v>
      </c>
      <c r="N206" s="9" t="s">
        <v>65</v>
      </c>
      <c r="O206" s="9" t="s">
        <v>1785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1786</v>
      </c>
      <c r="AG206" s="9" t="s">
        <v>1787</v>
      </c>
      <c r="AH206" s="9">
        <v>6.2255330000000004</v>
      </c>
      <c r="AI206" s="9">
        <v>-75.599530000000001</v>
      </c>
      <c r="AJ206" s="9" t="s">
        <v>1788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1789</v>
      </c>
      <c r="B207" s="9" t="s">
        <v>1790</v>
      </c>
      <c r="C207" s="9" t="s">
        <v>1791</v>
      </c>
      <c r="D207" s="9" t="s">
        <v>1729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1792</v>
      </c>
      <c r="L207" s="9" t="s">
        <v>42</v>
      </c>
      <c r="M207" s="10">
        <v>1.6203703703703699E-2</v>
      </c>
      <c r="N207" s="9" t="s">
        <v>43</v>
      </c>
      <c r="O207" s="9" t="s">
        <v>1793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1794</v>
      </c>
      <c r="AG207" s="9" t="s">
        <v>1795</v>
      </c>
      <c r="AH207" s="9">
        <v>6.2255409999999998</v>
      </c>
      <c r="AI207" s="9">
        <v>-75.599001000000001</v>
      </c>
      <c r="AJ207" s="9" t="s">
        <v>1796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1797</v>
      </c>
      <c r="B208" s="9" t="s">
        <v>1798</v>
      </c>
      <c r="C208" s="9" t="s">
        <v>1799</v>
      </c>
      <c r="D208" s="9" t="s">
        <v>1729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1800</v>
      </c>
      <c r="L208" s="9" t="s">
        <v>117</v>
      </c>
      <c r="M208" s="10">
        <v>4.884259259259259E-2</v>
      </c>
      <c r="N208" s="9" t="s">
        <v>127</v>
      </c>
      <c r="O208" s="9" t="s">
        <v>1801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1802</v>
      </c>
      <c r="AG208" s="9" t="s">
        <v>1803</v>
      </c>
      <c r="AH208" s="9">
        <v>6.2303579999999998</v>
      </c>
      <c r="AI208" s="9">
        <v>-75.596035999999998</v>
      </c>
      <c r="AJ208" s="9" t="s">
        <v>1804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1805</v>
      </c>
      <c r="B209" s="9" t="s">
        <v>1806</v>
      </c>
      <c r="C209" s="9" t="s">
        <v>1807</v>
      </c>
      <c r="D209" s="9" t="s">
        <v>1729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1808</v>
      </c>
      <c r="L209" s="9" t="s">
        <v>117</v>
      </c>
      <c r="M209" s="10">
        <v>3.2418981481481479E-2</v>
      </c>
      <c r="N209" s="9" t="s">
        <v>127</v>
      </c>
      <c r="O209" s="9" t="s">
        <v>1809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1810</v>
      </c>
      <c r="AG209" s="9" t="s">
        <v>1811</v>
      </c>
      <c r="AH209" s="9">
        <v>6.2267989999999998</v>
      </c>
      <c r="AI209" s="9">
        <v>-75.599269000000007</v>
      </c>
      <c r="AJ209" s="9" t="s">
        <v>1812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1813</v>
      </c>
      <c r="B210" s="9" t="s">
        <v>1814</v>
      </c>
      <c r="C210" s="9" t="s">
        <v>1815</v>
      </c>
      <c r="D210" s="9" t="s">
        <v>1729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1816</v>
      </c>
      <c r="L210" s="9" t="s">
        <v>117</v>
      </c>
      <c r="M210" s="10">
        <v>2.90162037037037E-2</v>
      </c>
      <c r="N210" s="9" t="s">
        <v>127</v>
      </c>
      <c r="O210" s="9" t="s">
        <v>1817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1818</v>
      </c>
      <c r="AG210" s="9" t="s">
        <v>1819</v>
      </c>
      <c r="AH210" s="9">
        <v>6.2270529999999997</v>
      </c>
      <c r="AI210" s="9">
        <v>-75.599639999999994</v>
      </c>
      <c r="AJ210" s="9" t="s">
        <v>1820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1821</v>
      </c>
      <c r="B211" s="9" t="s">
        <v>1827</v>
      </c>
      <c r="C211" s="9" t="s">
        <v>1822</v>
      </c>
      <c r="D211" s="9" t="s">
        <v>1729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1823</v>
      </c>
      <c r="L211" s="9" t="s">
        <v>117</v>
      </c>
      <c r="M211" s="10">
        <v>3.7970972222222232E-2</v>
      </c>
      <c r="N211" s="9" t="s">
        <v>127</v>
      </c>
      <c r="O211" s="9" t="s">
        <v>1824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1828</v>
      </c>
      <c r="AG211" s="9" t="s">
        <v>1825</v>
      </c>
      <c r="AH211" s="9">
        <v>6.226718</v>
      </c>
      <c r="AI211" s="9">
        <v>-75.599287000000004</v>
      </c>
      <c r="AJ211" s="9" t="s">
        <v>1826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1829</v>
      </c>
      <c r="B212" s="9" t="s">
        <v>1830</v>
      </c>
      <c r="C212" s="9" t="s">
        <v>1831</v>
      </c>
      <c r="D212" s="9" t="s">
        <v>1729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1832</v>
      </c>
      <c r="L212" s="9" t="s">
        <v>117</v>
      </c>
      <c r="M212" s="10">
        <v>4.6585648148148147E-2</v>
      </c>
      <c r="N212" s="9" t="s">
        <v>127</v>
      </c>
      <c r="O212" s="9" t="s">
        <v>1833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1834</v>
      </c>
      <c r="AG212" s="9" t="s">
        <v>1693</v>
      </c>
      <c r="AH212" s="9">
        <v>6.2644299999999999</v>
      </c>
      <c r="AI212" s="9">
        <v>-75.570660000000004</v>
      </c>
      <c r="AJ212" s="9" t="s">
        <v>1835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1836</v>
      </c>
      <c r="B213" s="9" t="s">
        <v>1837</v>
      </c>
      <c r="C213" s="9" t="s">
        <v>1838</v>
      </c>
      <c r="D213" s="9" t="s">
        <v>1839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1840</v>
      </c>
      <c r="L213" s="9" t="s">
        <v>42</v>
      </c>
      <c r="M213" s="10">
        <v>2.036958333333333E-2</v>
      </c>
      <c r="N213" s="9" t="s">
        <v>43</v>
      </c>
      <c r="O213" s="9" t="s">
        <v>1841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1842</v>
      </c>
      <c r="AG213" s="9" t="s">
        <v>1843</v>
      </c>
      <c r="AH213" s="9">
        <v>6.2028169999999996</v>
      </c>
      <c r="AI213" s="9">
        <v>-75.600998000000004</v>
      </c>
      <c r="AJ213" s="9" t="s">
        <v>1844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1845</v>
      </c>
      <c r="B214" s="9" t="s">
        <v>1846</v>
      </c>
      <c r="C214" s="9" t="s">
        <v>1847</v>
      </c>
      <c r="D214" s="9" t="s">
        <v>1839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1848</v>
      </c>
      <c r="L214" s="9" t="s">
        <v>42</v>
      </c>
      <c r="M214" s="10">
        <v>1.877314814814815E-2</v>
      </c>
      <c r="N214" s="9" t="s">
        <v>127</v>
      </c>
      <c r="O214" s="9" t="s">
        <v>1849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1850</v>
      </c>
      <c r="AG214" s="9" t="s">
        <v>1851</v>
      </c>
      <c r="AH214" s="9">
        <v>6.2258339999999999</v>
      </c>
      <c r="AI214" s="9">
        <v>-75.599424999999997</v>
      </c>
      <c r="AJ214" s="9" t="s">
        <v>1852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1853</v>
      </c>
      <c r="B215" s="9" t="s">
        <v>1854</v>
      </c>
      <c r="C215" s="9" t="s">
        <v>1855</v>
      </c>
      <c r="D215" s="9" t="s">
        <v>1839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1856</v>
      </c>
      <c r="L215" s="9" t="s">
        <v>42</v>
      </c>
      <c r="M215" s="10">
        <v>1.678240740740741E-3</v>
      </c>
      <c r="N215" s="9" t="s">
        <v>65</v>
      </c>
      <c r="O215" s="9" t="s">
        <v>1857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1858</v>
      </c>
      <c r="AH215" s="9">
        <v>6.2356889999999998</v>
      </c>
      <c r="AI215" s="9">
        <v>-75.602202000000005</v>
      </c>
      <c r="AJ215" s="9" t="s">
        <v>1859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1860</v>
      </c>
      <c r="B216" s="9" t="s">
        <v>1861</v>
      </c>
      <c r="C216" s="9" t="s">
        <v>1862</v>
      </c>
      <c r="D216" s="9" t="s">
        <v>1839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1863</v>
      </c>
      <c r="L216" s="9" t="s">
        <v>42</v>
      </c>
      <c r="M216" s="10">
        <v>5.5439814814814813E-3</v>
      </c>
      <c r="N216" s="9" t="s">
        <v>65</v>
      </c>
      <c r="O216" s="9" t="s">
        <v>1864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1865</v>
      </c>
      <c r="AG216" s="9" t="s">
        <v>1866</v>
      </c>
      <c r="AH216" s="9">
        <v>6.2257230000000003</v>
      </c>
      <c r="AI216" s="9">
        <v>-75.599262999999993</v>
      </c>
      <c r="AJ216" s="9" t="s">
        <v>1867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1868</v>
      </c>
      <c r="B217" s="9" t="s">
        <v>1869</v>
      </c>
      <c r="C217" s="9" t="s">
        <v>1870</v>
      </c>
      <c r="D217" s="9" t="s">
        <v>1839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1871</v>
      </c>
      <c r="L217" s="9" t="s">
        <v>42</v>
      </c>
      <c r="M217" s="10">
        <v>2.5462962962962969E-3</v>
      </c>
      <c r="N217" s="9" t="s">
        <v>65</v>
      </c>
      <c r="O217" s="9" t="s">
        <v>1872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1873</v>
      </c>
      <c r="AG217" s="9" t="s">
        <v>1874</v>
      </c>
      <c r="AH217" s="9">
        <v>6.2256580000000001</v>
      </c>
      <c r="AI217" s="9">
        <v>-75.599198000000001</v>
      </c>
      <c r="AJ217" s="9" t="s">
        <v>1875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1876</v>
      </c>
      <c r="B218" s="9" t="s">
        <v>1877</v>
      </c>
      <c r="C218" s="9" t="s">
        <v>1878</v>
      </c>
      <c r="D218" s="9" t="s">
        <v>1839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1879</v>
      </c>
      <c r="L218" s="9" t="s">
        <v>42</v>
      </c>
      <c r="M218" s="10">
        <v>6.3894212962962967E-3</v>
      </c>
      <c r="N218" s="9" t="s">
        <v>65</v>
      </c>
      <c r="O218" s="9" t="s">
        <v>1880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1881</v>
      </c>
      <c r="AG218" s="9" t="s">
        <v>1882</v>
      </c>
      <c r="AH218" s="9">
        <v>6.2254569999999996</v>
      </c>
      <c r="AI218" s="9">
        <v>-75.599380999999994</v>
      </c>
      <c r="AJ218" s="9" t="s">
        <v>1883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1884</v>
      </c>
      <c r="B219" s="9" t="s">
        <v>1885</v>
      </c>
      <c r="C219" s="9" t="s">
        <v>1886</v>
      </c>
      <c r="D219" s="9" t="s">
        <v>1839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1887</v>
      </c>
      <c r="L219" s="9" t="s">
        <v>42</v>
      </c>
      <c r="M219" s="10">
        <v>6.134259259259259E-4</v>
      </c>
      <c r="N219" s="9" t="s">
        <v>65</v>
      </c>
      <c r="O219" s="9" t="s">
        <v>1888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1889</v>
      </c>
      <c r="AH219" s="9">
        <v>6.2265069999999998</v>
      </c>
      <c r="AI219" s="9">
        <v>-75.599345</v>
      </c>
      <c r="AJ219" s="9" t="s">
        <v>1890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1891</v>
      </c>
      <c r="B220" s="9" t="s">
        <v>1892</v>
      </c>
      <c r="C220" s="9" t="s">
        <v>1893</v>
      </c>
      <c r="D220" s="9" t="s">
        <v>1839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1894</v>
      </c>
      <c r="L220" s="9" t="s">
        <v>42</v>
      </c>
      <c r="M220" s="10">
        <v>4.9537037037037041E-3</v>
      </c>
      <c r="N220" s="9" t="s">
        <v>65</v>
      </c>
      <c r="O220" s="9" t="s">
        <v>1895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1896</v>
      </c>
      <c r="AH220" s="9">
        <v>6.2257030000000002</v>
      </c>
      <c r="AI220" s="9">
        <v>-75.599446999999998</v>
      </c>
      <c r="AJ220" s="9" t="s">
        <v>1897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1898</v>
      </c>
      <c r="B221" s="9" t="s">
        <v>1899</v>
      </c>
      <c r="C221" s="9" t="s">
        <v>1900</v>
      </c>
      <c r="D221" s="9" t="s">
        <v>1839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1901</v>
      </c>
      <c r="L221" s="9" t="s">
        <v>42</v>
      </c>
      <c r="M221" s="10">
        <v>1.631944444444445E-3</v>
      </c>
      <c r="N221" s="9" t="s">
        <v>65</v>
      </c>
      <c r="O221" s="9" t="s">
        <v>1902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1903</v>
      </c>
      <c r="AH221" s="9">
        <v>6.2257569999999998</v>
      </c>
      <c r="AI221" s="9">
        <v>-75.599180000000004</v>
      </c>
      <c r="AJ221" s="9" t="s">
        <v>1904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1905</v>
      </c>
      <c r="B222" s="9" t="s">
        <v>1906</v>
      </c>
      <c r="C222" s="9" t="s">
        <v>1907</v>
      </c>
      <c r="D222" s="9" t="s">
        <v>1839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1908</v>
      </c>
      <c r="L222" s="9" t="s">
        <v>117</v>
      </c>
      <c r="M222" s="10">
        <v>6.5277777777777782E-2</v>
      </c>
      <c r="N222" s="9" t="s">
        <v>127</v>
      </c>
      <c r="O222" s="9" t="s">
        <v>1909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1910</v>
      </c>
      <c r="AG222" s="9" t="s">
        <v>1911</v>
      </c>
      <c r="AH222" s="9">
        <v>6.2255820000000002</v>
      </c>
      <c r="AI222" s="9">
        <v>-75.599125000000001</v>
      </c>
      <c r="AJ222" s="9" t="s">
        <v>1912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1913</v>
      </c>
      <c r="B223" s="9" t="s">
        <v>1914</v>
      </c>
      <c r="C223" s="9" t="s">
        <v>1915</v>
      </c>
      <c r="D223" s="9" t="s">
        <v>1839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1916</v>
      </c>
      <c r="L223" s="9" t="s">
        <v>117</v>
      </c>
      <c r="M223" s="10">
        <v>2.6932870370370371E-2</v>
      </c>
      <c r="N223" s="9" t="s">
        <v>127</v>
      </c>
      <c r="O223" s="9" t="s">
        <v>1917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1918</v>
      </c>
      <c r="AG223" s="9" t="s">
        <v>1919</v>
      </c>
      <c r="AH223" s="9">
        <v>6.2266890000000004</v>
      </c>
      <c r="AI223" s="9">
        <v>-75.599311999999998</v>
      </c>
      <c r="AJ223" s="9" t="s">
        <v>1920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1921</v>
      </c>
      <c r="B224" s="9" t="s">
        <v>1922</v>
      </c>
      <c r="C224" s="9" t="s">
        <v>1923</v>
      </c>
      <c r="D224" s="9" t="s">
        <v>1839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1924</v>
      </c>
      <c r="L224" s="9" t="s">
        <v>117</v>
      </c>
      <c r="M224" s="10">
        <v>1.134259259259259E-2</v>
      </c>
      <c r="N224" s="9" t="s">
        <v>127</v>
      </c>
      <c r="O224" s="9" t="s">
        <v>1925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1926</v>
      </c>
      <c r="AG224" s="9" t="s">
        <v>1927</v>
      </c>
      <c r="AH224" s="9">
        <v>6.2269449999999997</v>
      </c>
      <c r="AI224" s="9">
        <v>-75.599697000000006</v>
      </c>
      <c r="AJ224" s="9" t="s">
        <v>1928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1935</v>
      </c>
      <c r="B225" s="9" t="s">
        <v>1936</v>
      </c>
      <c r="C225" s="9" t="s">
        <v>1937</v>
      </c>
      <c r="D225" s="9" t="s">
        <v>1839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1938</v>
      </c>
      <c r="L225" s="9" t="s">
        <v>117</v>
      </c>
      <c r="M225" s="10">
        <v>4.4861111111111109E-2</v>
      </c>
      <c r="N225" s="9" t="s">
        <v>127</v>
      </c>
      <c r="O225" s="9" t="s">
        <v>1939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1940</v>
      </c>
      <c r="AG225" s="9" t="s">
        <v>1941</v>
      </c>
      <c r="AH225" s="9">
        <v>6.2630429999999997</v>
      </c>
      <c r="AI225" s="9">
        <v>-75.595581999999993</v>
      </c>
      <c r="AJ225" s="9" t="s">
        <v>1942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1929</v>
      </c>
      <c r="B226" s="9" t="s">
        <v>1943</v>
      </c>
      <c r="C226" s="9" t="s">
        <v>1930</v>
      </c>
      <c r="D226" s="9" t="s">
        <v>1839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1931</v>
      </c>
      <c r="L226" s="9" t="s">
        <v>117</v>
      </c>
      <c r="M226" s="10">
        <v>4.0795046296296288E-2</v>
      </c>
      <c r="N226" s="9" t="s">
        <v>127</v>
      </c>
      <c r="O226" s="9" t="s">
        <v>1932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1944</v>
      </c>
      <c r="AG226" s="9" t="s">
        <v>1933</v>
      </c>
      <c r="AH226" s="9">
        <v>6.2266199999999996</v>
      </c>
      <c r="AI226" s="9">
        <v>-75.598614999999995</v>
      </c>
      <c r="AJ226" s="9" t="s">
        <v>1934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1945</v>
      </c>
      <c r="B227" s="9" t="s">
        <v>1946</v>
      </c>
      <c r="C227" s="9" t="s">
        <v>1947</v>
      </c>
      <c r="D227" s="9" t="s">
        <v>1948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1949</v>
      </c>
      <c r="L227" s="9" t="s">
        <v>42</v>
      </c>
      <c r="M227" s="10">
        <v>3.2673252314814813E-2</v>
      </c>
      <c r="N227" s="9" t="s">
        <v>43</v>
      </c>
      <c r="O227" s="9" t="s">
        <v>1950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1951</v>
      </c>
      <c r="AG227" s="9" t="s">
        <v>1952</v>
      </c>
      <c r="AH227" s="9">
        <v>6.203335</v>
      </c>
      <c r="AI227" s="9">
        <v>-75.600755000000007</v>
      </c>
      <c r="AJ227" s="9" t="s">
        <v>1953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1954</v>
      </c>
      <c r="B228" s="9" t="s">
        <v>1955</v>
      </c>
      <c r="C228" s="9" t="s">
        <v>1956</v>
      </c>
      <c r="D228" s="9" t="s">
        <v>1948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1957</v>
      </c>
      <c r="L228" s="9" t="s">
        <v>42</v>
      </c>
      <c r="M228" s="10">
        <v>9.5370370370370366E-3</v>
      </c>
      <c r="N228" s="9" t="s">
        <v>65</v>
      </c>
      <c r="O228" s="9" t="s">
        <v>1958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1959</v>
      </c>
      <c r="AG228" s="9" t="s">
        <v>1960</v>
      </c>
      <c r="AH228" s="9">
        <v>6.2257470000000001</v>
      </c>
      <c r="AI228" s="9">
        <v>-75.599410000000006</v>
      </c>
      <c r="AJ228" s="9" t="s">
        <v>1961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1962</v>
      </c>
      <c r="B229" s="9" t="s">
        <v>1963</v>
      </c>
      <c r="C229" s="9" t="s">
        <v>1964</v>
      </c>
      <c r="D229" s="9" t="s">
        <v>1948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1965</v>
      </c>
      <c r="L229" s="9" t="s">
        <v>42</v>
      </c>
      <c r="M229" s="10">
        <v>1.518518518518519E-2</v>
      </c>
      <c r="N229" s="9" t="s">
        <v>43</v>
      </c>
      <c r="O229" s="9" t="s">
        <v>1966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1967</v>
      </c>
      <c r="AG229" s="9" t="s">
        <v>1968</v>
      </c>
      <c r="AH229" s="9">
        <v>6.2329119999999998</v>
      </c>
      <c r="AI229" s="9">
        <v>-75.602197000000004</v>
      </c>
      <c r="AJ229" s="9" t="s">
        <v>1969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1970</v>
      </c>
      <c r="B230" s="9" t="s">
        <v>1971</v>
      </c>
      <c r="C230" s="9" t="s">
        <v>1972</v>
      </c>
      <c r="D230" s="9" t="s">
        <v>1948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1973</v>
      </c>
      <c r="L230" s="9" t="s">
        <v>42</v>
      </c>
      <c r="M230" s="10">
        <v>6.9444444444444441E-3</v>
      </c>
      <c r="N230" s="9" t="s">
        <v>65</v>
      </c>
      <c r="O230" s="9" t="s">
        <v>1974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1975</v>
      </c>
      <c r="AG230" s="9" t="s">
        <v>1976</v>
      </c>
      <c r="AH230" s="9">
        <v>6.2256619999999998</v>
      </c>
      <c r="AI230" s="9">
        <v>-75.599078000000006</v>
      </c>
      <c r="AJ230" s="9" t="s">
        <v>1977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1989</v>
      </c>
      <c r="B231" s="9" t="s">
        <v>1990</v>
      </c>
      <c r="C231" s="9" t="s">
        <v>1991</v>
      </c>
      <c r="D231" s="9" t="s">
        <v>1948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1992</v>
      </c>
      <c r="L231" s="9" t="s">
        <v>42</v>
      </c>
      <c r="M231" s="10">
        <v>1.0986909722222221E-2</v>
      </c>
      <c r="N231" s="9" t="s">
        <v>43</v>
      </c>
      <c r="O231" s="9" t="s">
        <v>1993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1994</v>
      </c>
      <c r="AG231" s="9" t="s">
        <v>1995</v>
      </c>
      <c r="AH231" s="9">
        <v>6.225619</v>
      </c>
      <c r="AI231" s="9">
        <v>-75.599349000000004</v>
      </c>
      <c r="AJ231" s="9" t="s">
        <v>1996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1997</v>
      </c>
      <c r="B232" s="9" t="s">
        <v>1998</v>
      </c>
      <c r="C232" s="9" t="s">
        <v>1999</v>
      </c>
      <c r="D232" s="9" t="s">
        <v>1948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2000</v>
      </c>
      <c r="L232" s="9" t="s">
        <v>42</v>
      </c>
      <c r="M232" s="10">
        <v>1.773148148148148E-2</v>
      </c>
      <c r="N232" s="9" t="s">
        <v>127</v>
      </c>
      <c r="O232" s="9" t="s">
        <v>2001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2002</v>
      </c>
      <c r="AG232" s="9" t="s">
        <v>2003</v>
      </c>
      <c r="AH232" s="9">
        <v>6.2265730000000001</v>
      </c>
      <c r="AI232" s="9">
        <v>-75.599305000000001</v>
      </c>
      <c r="AJ232" s="9" t="s">
        <v>2004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2005</v>
      </c>
      <c r="B233" s="9" t="s">
        <v>2006</v>
      </c>
      <c r="C233" s="9" t="s">
        <v>2007</v>
      </c>
      <c r="D233" s="9" t="s">
        <v>1948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2008</v>
      </c>
      <c r="L233" s="9" t="s">
        <v>42</v>
      </c>
      <c r="M233" s="10">
        <v>6.2962962962962964E-3</v>
      </c>
      <c r="N233" s="9" t="s">
        <v>65</v>
      </c>
      <c r="O233" s="9" t="s">
        <v>2009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2010</v>
      </c>
      <c r="AG233" s="9" t="s">
        <v>2011</v>
      </c>
      <c r="AH233" s="9">
        <v>6.2256629999999999</v>
      </c>
      <c r="AI233" s="9">
        <v>-75.599389000000002</v>
      </c>
      <c r="AJ233" s="9" t="s">
        <v>2012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2013</v>
      </c>
      <c r="B234" s="9" t="s">
        <v>2014</v>
      </c>
      <c r="C234" s="9" t="s">
        <v>2015</v>
      </c>
      <c r="D234" s="9" t="s">
        <v>1948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2016</v>
      </c>
      <c r="L234" s="9" t="s">
        <v>42</v>
      </c>
      <c r="M234" s="10">
        <v>1.34375E-2</v>
      </c>
      <c r="N234" s="9" t="s">
        <v>43</v>
      </c>
      <c r="O234" s="9" t="s">
        <v>2017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2018</v>
      </c>
      <c r="AG234" s="9" t="s">
        <v>2019</v>
      </c>
      <c r="AH234" s="9">
        <v>6.2255799999999999</v>
      </c>
      <c r="AI234" s="9">
        <v>-75.599298000000005</v>
      </c>
      <c r="AJ234" s="9" t="s">
        <v>2020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1984</v>
      </c>
      <c r="B235" s="9" t="s">
        <v>1979</v>
      </c>
      <c r="C235" s="9" t="s">
        <v>1986</v>
      </c>
      <c r="D235" s="9" t="s">
        <v>1948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1987</v>
      </c>
      <c r="L235" s="9" t="s">
        <v>42</v>
      </c>
      <c r="M235" s="10">
        <v>1.4548611111111109E-2</v>
      </c>
      <c r="N235" s="9" t="s">
        <v>43</v>
      </c>
      <c r="O235" s="9" t="s">
        <v>1988</v>
      </c>
      <c r="P235" s="9" t="s">
        <v>45</v>
      </c>
      <c r="Q235" s="9"/>
      <c r="R235" s="9" t="s">
        <v>1983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1983</v>
      </c>
      <c r="AF235" s="9" t="s">
        <v>2021</v>
      </c>
      <c r="AG235" s="9" t="s">
        <v>2022</v>
      </c>
      <c r="AH235" s="9">
        <v>6.2257340000000001</v>
      </c>
      <c r="AI235" s="9">
        <v>-75.599446999999998</v>
      </c>
      <c r="AJ235" s="9" t="s">
        <v>2023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1978</v>
      </c>
      <c r="B236" s="9" t="s">
        <v>1985</v>
      </c>
      <c r="C236" s="9" t="s">
        <v>1980</v>
      </c>
      <c r="D236" s="9" t="s">
        <v>1948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1981</v>
      </c>
      <c r="L236" s="9" t="s">
        <v>42</v>
      </c>
      <c r="N236" s="9" t="s">
        <v>1983</v>
      </c>
      <c r="O236" s="9" t="s">
        <v>1982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1983</v>
      </c>
      <c r="AF236" s="9" t="s">
        <v>2024</v>
      </c>
      <c r="AG236" s="9" t="s">
        <v>2025</v>
      </c>
      <c r="AH236" s="9">
        <v>6.236402</v>
      </c>
      <c r="AI236" s="9">
        <v>-75.560053999999994</v>
      </c>
      <c r="AJ236" s="9" t="s">
        <v>2026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2027</v>
      </c>
      <c r="B237" s="9" t="s">
        <v>2028</v>
      </c>
      <c r="C237" s="9" t="s">
        <v>2029</v>
      </c>
      <c r="D237" s="9" t="s">
        <v>1948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2030</v>
      </c>
      <c r="L237" s="9" t="s">
        <v>117</v>
      </c>
      <c r="M237" s="10">
        <v>6.3888888888888893E-3</v>
      </c>
      <c r="N237" s="9" t="s">
        <v>65</v>
      </c>
      <c r="O237" s="9" t="s">
        <v>2031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2032</v>
      </c>
      <c r="AG237" s="9" t="s">
        <v>2033</v>
      </c>
      <c r="AH237" s="9">
        <v>6.2267890000000001</v>
      </c>
      <c r="AI237" s="9">
        <v>-75.599344000000002</v>
      </c>
      <c r="AJ237" s="9" t="s">
        <v>2034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2035</v>
      </c>
      <c r="B238" s="9" t="s">
        <v>2036</v>
      </c>
      <c r="C238" s="9" t="s">
        <v>2037</v>
      </c>
      <c r="D238" s="9" t="s">
        <v>1948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2038</v>
      </c>
      <c r="L238" s="9" t="s">
        <v>117</v>
      </c>
      <c r="M238" s="10">
        <v>1.712962962962963E-2</v>
      </c>
      <c r="N238" s="9" t="s">
        <v>127</v>
      </c>
      <c r="O238" s="9" t="s">
        <v>2039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2040</v>
      </c>
      <c r="AG238" s="9" t="s">
        <v>2041</v>
      </c>
      <c r="AH238" s="9">
        <v>6.2139949999999997</v>
      </c>
      <c r="AI238" s="9">
        <v>-75.596642000000003</v>
      </c>
      <c r="AJ238" s="9" t="s">
        <v>2042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2043</v>
      </c>
      <c r="B239" s="9" t="s">
        <v>2044</v>
      </c>
      <c r="C239" s="9" t="s">
        <v>2045</v>
      </c>
      <c r="D239" s="9" t="s">
        <v>1948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2046</v>
      </c>
      <c r="L239" s="9" t="s">
        <v>117</v>
      </c>
      <c r="M239" s="10">
        <v>2.0358796296296292E-2</v>
      </c>
      <c r="N239" s="9" t="s">
        <v>127</v>
      </c>
      <c r="O239" s="9" t="s">
        <v>2047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2048</v>
      </c>
      <c r="AG239" s="9" t="s">
        <v>2049</v>
      </c>
      <c r="AH239" s="9">
        <v>6.2269769999999998</v>
      </c>
      <c r="AI239" s="9">
        <v>-75.599621999999997</v>
      </c>
      <c r="AJ239" s="9" t="s">
        <v>2050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2051</v>
      </c>
      <c r="B240" s="9" t="s">
        <v>2052</v>
      </c>
      <c r="C240" s="9" t="s">
        <v>2053</v>
      </c>
      <c r="D240" s="9" t="s">
        <v>1948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2054</v>
      </c>
      <c r="L240" s="9" t="s">
        <v>117</v>
      </c>
      <c r="M240" s="10">
        <v>1.295013888888889E-2</v>
      </c>
      <c r="N240" s="9" t="s">
        <v>127</v>
      </c>
      <c r="O240" s="9" t="s">
        <v>2055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2056</v>
      </c>
      <c r="AG240" s="9" t="s">
        <v>2057</v>
      </c>
      <c r="AH240" s="9">
        <v>6.2267679999999999</v>
      </c>
      <c r="AI240" s="9">
        <v>-75.599311999999998</v>
      </c>
      <c r="AJ240" s="9" t="s">
        <v>2058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2059</v>
      </c>
      <c r="B241" s="32" t="s">
        <v>2060</v>
      </c>
      <c r="C241" s="32" t="s">
        <v>2061</v>
      </c>
      <c r="D241" s="32" t="s">
        <v>2062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2063</v>
      </c>
      <c r="L241" s="32" t="s">
        <v>42</v>
      </c>
      <c r="M241" s="33">
        <v>2.8965428240740741E-2</v>
      </c>
      <c r="N241" s="32" t="s">
        <v>43</v>
      </c>
      <c r="O241" s="32" t="s">
        <v>2064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2065</v>
      </c>
      <c r="AG241" s="32" t="s">
        <v>2066</v>
      </c>
      <c r="AH241" s="32">
        <v>6.2161540000000004</v>
      </c>
      <c r="AI241" s="32">
        <v>-75.597554000000002</v>
      </c>
      <c r="AJ241" s="32" t="s">
        <v>2067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2068</v>
      </c>
      <c r="B242" s="32" t="s">
        <v>2069</v>
      </c>
      <c r="C242" s="32" t="s">
        <v>2070</v>
      </c>
      <c r="D242" s="32" t="s">
        <v>2062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2071</v>
      </c>
      <c r="L242" s="32" t="s">
        <v>42</v>
      </c>
      <c r="M242" s="33">
        <v>1.087962962962963E-2</v>
      </c>
      <c r="N242" s="32" t="s">
        <v>127</v>
      </c>
      <c r="O242" s="32" t="s">
        <v>2072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2073</v>
      </c>
      <c r="AG242" s="32" t="s">
        <v>2074</v>
      </c>
      <c r="AH242" s="32">
        <v>6.2257819999999997</v>
      </c>
      <c r="AI242" s="32">
        <v>-75.599367999999998</v>
      </c>
      <c r="AJ242" s="32" t="s">
        <v>2075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2076</v>
      </c>
      <c r="B243" s="32" t="s">
        <v>2077</v>
      </c>
      <c r="C243" s="32" t="s">
        <v>2078</v>
      </c>
      <c r="D243" s="32" t="s">
        <v>2062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2079</v>
      </c>
      <c r="L243" s="32" t="s">
        <v>42</v>
      </c>
      <c r="M243" s="33">
        <v>1.8749999999999999E-3</v>
      </c>
      <c r="N243" s="32" t="s">
        <v>65</v>
      </c>
      <c r="O243" s="32" t="s">
        <v>2080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2081</v>
      </c>
      <c r="AG243" s="32" t="s">
        <v>2082</v>
      </c>
      <c r="AH243" s="32">
        <v>6.238194</v>
      </c>
      <c r="AI243" s="32">
        <v>-75.603009999999998</v>
      </c>
      <c r="AJ243" s="32" t="s">
        <v>2083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2084</v>
      </c>
      <c r="B244" s="32" t="s">
        <v>2085</v>
      </c>
      <c r="C244" s="32" t="s">
        <v>2086</v>
      </c>
      <c r="D244" s="32" t="s">
        <v>2062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2087</v>
      </c>
      <c r="L244" s="32" t="s">
        <v>42</v>
      </c>
      <c r="M244" s="33">
        <v>3.2523148148148148E-2</v>
      </c>
      <c r="N244" s="32" t="s">
        <v>43</v>
      </c>
      <c r="O244" s="32" t="s">
        <v>2088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2089</v>
      </c>
      <c r="AG244" s="32" t="s">
        <v>2090</v>
      </c>
      <c r="AH244" s="32">
        <v>6.2256629999999999</v>
      </c>
      <c r="AI244" s="32">
        <v>-75.599553</v>
      </c>
      <c r="AJ244" s="32" t="s">
        <v>2091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2092</v>
      </c>
      <c r="B245" s="32" t="s">
        <v>2093</v>
      </c>
      <c r="C245" s="32" t="s">
        <v>2094</v>
      </c>
      <c r="D245" s="32" t="s">
        <v>2062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2095</v>
      </c>
      <c r="L245" s="32" t="s">
        <v>42</v>
      </c>
      <c r="M245" s="33">
        <v>1.556712962962963E-2</v>
      </c>
      <c r="N245" s="32" t="s">
        <v>43</v>
      </c>
      <c r="O245" s="32" t="s">
        <v>2096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2097</v>
      </c>
      <c r="AG245" s="32" t="s">
        <v>2098</v>
      </c>
      <c r="AH245" s="32">
        <v>6.2255140000000004</v>
      </c>
      <c r="AI245" s="32">
        <v>-75.599446999999998</v>
      </c>
      <c r="AJ245" s="32" t="s">
        <v>2099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2100</v>
      </c>
      <c r="B246" s="32" t="s">
        <v>2101</v>
      </c>
      <c r="C246" s="32" t="s">
        <v>2102</v>
      </c>
      <c r="D246" s="32" t="s">
        <v>2062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2103</v>
      </c>
      <c r="L246" s="32" t="s">
        <v>42</v>
      </c>
      <c r="M246" s="33">
        <v>1.6657268518518519E-2</v>
      </c>
      <c r="N246" s="32" t="s">
        <v>43</v>
      </c>
      <c r="O246" s="32" t="s">
        <v>2104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2105</v>
      </c>
      <c r="AG246" s="32" t="s">
        <v>2106</v>
      </c>
      <c r="AH246" s="32">
        <v>6.2256130000000001</v>
      </c>
      <c r="AI246" s="32">
        <v>-75.599412000000001</v>
      </c>
      <c r="AJ246" s="32" t="s">
        <v>2107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2108</v>
      </c>
      <c r="B247" s="32" t="s">
        <v>2109</v>
      </c>
      <c r="C247" s="32" t="s">
        <v>2110</v>
      </c>
      <c r="D247" s="32" t="s">
        <v>2062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2111</v>
      </c>
      <c r="L247" s="32" t="s">
        <v>42</v>
      </c>
      <c r="M247" s="33">
        <v>2.604166666666667E-3</v>
      </c>
      <c r="N247" s="32" t="s">
        <v>65</v>
      </c>
      <c r="O247" s="32" t="s">
        <v>2112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2113</v>
      </c>
      <c r="AH247" s="32">
        <v>6.2266630000000003</v>
      </c>
      <c r="AI247" s="32">
        <v>-75.599202000000005</v>
      </c>
      <c r="AJ247" s="32" t="s">
        <v>2114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2115</v>
      </c>
      <c r="B248" s="32" t="s">
        <v>2116</v>
      </c>
      <c r="C248" s="32" t="s">
        <v>2117</v>
      </c>
      <c r="D248" s="32" t="s">
        <v>2062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2118</v>
      </c>
      <c r="L248" s="32" t="s">
        <v>42</v>
      </c>
      <c r="M248" s="33">
        <v>1.6631944444444449E-2</v>
      </c>
      <c r="N248" s="32" t="s">
        <v>43</v>
      </c>
      <c r="O248" s="32" t="s">
        <v>2119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2120</v>
      </c>
      <c r="AG248" s="32" t="s">
        <v>2121</v>
      </c>
      <c r="AH248" s="32">
        <v>6.2255609999999999</v>
      </c>
      <c r="AI248" s="32">
        <v>-75.599341999999993</v>
      </c>
      <c r="AJ248" s="32" t="s">
        <v>2122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2123</v>
      </c>
      <c r="B249" s="32" t="s">
        <v>2124</v>
      </c>
      <c r="C249" s="32" t="s">
        <v>2125</v>
      </c>
      <c r="D249" s="32" t="s">
        <v>2062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2126</v>
      </c>
      <c r="L249" s="32" t="s">
        <v>42</v>
      </c>
      <c r="M249" s="33">
        <v>4.7453703703703698E-4</v>
      </c>
      <c r="N249" s="32" t="s">
        <v>65</v>
      </c>
      <c r="O249" s="32" t="s">
        <v>2127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2128</v>
      </c>
      <c r="AH249" s="32">
        <v>6.2255859999999998</v>
      </c>
      <c r="AI249" s="32">
        <v>-75.599144999999993</v>
      </c>
      <c r="AJ249" s="32" t="s">
        <v>2129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2130</v>
      </c>
      <c r="B250" s="9" t="s">
        <v>2131</v>
      </c>
      <c r="C250" s="9" t="s">
        <v>2132</v>
      </c>
      <c r="D250" s="9" t="s">
        <v>2062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2133</v>
      </c>
      <c r="L250" s="9" t="s">
        <v>117</v>
      </c>
      <c r="M250" s="10">
        <v>1.0347222222222219E-2</v>
      </c>
      <c r="N250" s="9" t="s">
        <v>65</v>
      </c>
      <c r="O250" s="9" t="s">
        <v>2134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2135</v>
      </c>
      <c r="AG250" s="9" t="s">
        <v>2136</v>
      </c>
      <c r="AH250" s="9">
        <v>6.2267749999999999</v>
      </c>
      <c r="AI250" s="9">
        <v>-75.599356999999998</v>
      </c>
      <c r="AJ250" s="9" t="s">
        <v>2137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2138</v>
      </c>
      <c r="B251" s="9" t="s">
        <v>2139</v>
      </c>
      <c r="C251" s="9" t="s">
        <v>2140</v>
      </c>
      <c r="D251" s="9" t="s">
        <v>2062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2141</v>
      </c>
      <c r="L251" s="9" t="s">
        <v>117</v>
      </c>
      <c r="M251" s="10">
        <v>5.2465277777777777E-2</v>
      </c>
      <c r="N251" s="9" t="s">
        <v>127</v>
      </c>
      <c r="O251" s="9" t="s">
        <v>2142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2143</v>
      </c>
      <c r="AG251" s="9" t="s">
        <v>2144</v>
      </c>
      <c r="AH251" s="9">
        <v>6.2288670000000002</v>
      </c>
      <c r="AI251" s="9">
        <v>-75.596225000000004</v>
      </c>
      <c r="AJ251" s="9" t="s">
        <v>2145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2146</v>
      </c>
      <c r="B252" s="9" t="s">
        <v>2147</v>
      </c>
      <c r="C252" s="9" t="s">
        <v>2148</v>
      </c>
      <c r="D252" s="9" t="s">
        <v>2062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2149</v>
      </c>
      <c r="L252" s="9" t="s">
        <v>117</v>
      </c>
      <c r="M252" s="10">
        <v>1.113425925925926E-2</v>
      </c>
      <c r="N252" s="9" t="s">
        <v>127</v>
      </c>
      <c r="O252" s="9" t="s">
        <v>2150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2151</v>
      </c>
      <c r="AG252" s="9" t="s">
        <v>2152</v>
      </c>
      <c r="AH252" s="9">
        <v>6.2268879999999998</v>
      </c>
      <c r="AI252" s="9">
        <v>-75.599710000000002</v>
      </c>
      <c r="AJ252" s="9" t="s">
        <v>2153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2154</v>
      </c>
      <c r="B253" s="9" t="s">
        <v>2155</v>
      </c>
      <c r="C253" s="9" t="s">
        <v>2156</v>
      </c>
      <c r="D253" s="9" t="s">
        <v>2062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2157</v>
      </c>
      <c r="L253" s="9" t="s">
        <v>117</v>
      </c>
      <c r="M253" s="10">
        <v>2.298483796296296E-2</v>
      </c>
      <c r="N253" s="9" t="s">
        <v>127</v>
      </c>
      <c r="O253" s="9" t="s">
        <v>2158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2159</v>
      </c>
      <c r="AG253" s="9" t="s">
        <v>2160</v>
      </c>
      <c r="AH253" s="9">
        <v>6.2267729999999997</v>
      </c>
      <c r="AI253" s="9">
        <v>-75.599312999999995</v>
      </c>
      <c r="AJ253" s="9" t="s">
        <v>2161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2162</v>
      </c>
      <c r="B254" s="9" t="s">
        <v>2163</v>
      </c>
      <c r="C254" s="9" t="s">
        <v>2164</v>
      </c>
      <c r="D254" s="9" t="s">
        <v>2165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2166</v>
      </c>
      <c r="L254" s="9" t="s">
        <v>42</v>
      </c>
      <c r="M254" s="10">
        <v>3.3004652777777782E-2</v>
      </c>
      <c r="N254" s="9" t="s">
        <v>43</v>
      </c>
      <c r="O254" s="9" t="s">
        <v>2167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2168</v>
      </c>
      <c r="AG254" s="9" t="s">
        <v>2169</v>
      </c>
      <c r="AH254" s="9">
        <v>6.2206780000000004</v>
      </c>
      <c r="AI254" s="9">
        <v>-75.593289999999996</v>
      </c>
      <c r="AJ254" s="9" t="s">
        <v>2170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2171</v>
      </c>
      <c r="B255" s="9" t="s">
        <v>2172</v>
      </c>
      <c r="C255" s="9" t="s">
        <v>2173</v>
      </c>
      <c r="D255" s="9" t="s">
        <v>2165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2174</v>
      </c>
      <c r="L255" s="9" t="s">
        <v>42</v>
      </c>
      <c r="M255" s="10">
        <v>8.726851851851852E-3</v>
      </c>
      <c r="N255" s="9" t="s">
        <v>65</v>
      </c>
      <c r="O255" s="9" t="s">
        <v>2175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2176</v>
      </c>
      <c r="AH255" s="9">
        <v>6.2255929999999999</v>
      </c>
      <c r="AI255" s="9">
        <v>-75.599537999999995</v>
      </c>
      <c r="AJ255" s="9" t="s">
        <v>2177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2178</v>
      </c>
      <c r="B256" s="9" t="s">
        <v>2179</v>
      </c>
      <c r="C256" s="9" t="s">
        <v>2180</v>
      </c>
      <c r="D256" s="9" t="s">
        <v>2165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2181</v>
      </c>
      <c r="L256" s="9" t="s">
        <v>42</v>
      </c>
      <c r="M256" s="10">
        <v>7.5115740740740742E-3</v>
      </c>
      <c r="N256" s="9" t="s">
        <v>65</v>
      </c>
      <c r="O256" s="9" t="s">
        <v>2182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2183</v>
      </c>
      <c r="AG256" s="9" t="s">
        <v>2184</v>
      </c>
      <c r="AH256" s="9">
        <v>6.2380380000000004</v>
      </c>
      <c r="AI256" s="9">
        <v>-75.602919</v>
      </c>
      <c r="AJ256" s="9" t="s">
        <v>2185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2186</v>
      </c>
      <c r="B257" s="9" t="s">
        <v>2187</v>
      </c>
      <c r="C257" s="9" t="s">
        <v>2188</v>
      </c>
      <c r="D257" s="9" t="s">
        <v>2165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2189</v>
      </c>
      <c r="L257" s="9" t="s">
        <v>42</v>
      </c>
      <c r="M257" s="10">
        <v>1.6203703703703701E-4</v>
      </c>
      <c r="N257" s="9" t="s">
        <v>65</v>
      </c>
      <c r="O257" s="9" t="s">
        <v>2190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2191</v>
      </c>
      <c r="AG257" s="9" t="s">
        <v>2192</v>
      </c>
      <c r="AH257" s="9">
        <v>6.2258060000000004</v>
      </c>
      <c r="AI257" s="9">
        <v>-75.599374999999995</v>
      </c>
      <c r="AJ257" s="9" t="s">
        <v>2193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2194</v>
      </c>
      <c r="B258" s="9" t="s">
        <v>2195</v>
      </c>
      <c r="C258" s="9" t="s">
        <v>2196</v>
      </c>
      <c r="D258" s="9" t="s">
        <v>2165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2197</v>
      </c>
      <c r="L258" s="9" t="s">
        <v>42</v>
      </c>
      <c r="M258" s="10">
        <v>4.6296296296296298E-4</v>
      </c>
      <c r="N258" s="9" t="s">
        <v>65</v>
      </c>
      <c r="O258" s="9" t="s">
        <v>2198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2199</v>
      </c>
      <c r="AG258" s="9" t="s">
        <v>2200</v>
      </c>
      <c r="AH258" s="9">
        <v>6.2256450000000001</v>
      </c>
      <c r="AI258" s="9">
        <v>-75.599041999999997</v>
      </c>
      <c r="AJ258" s="9" t="s">
        <v>2201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2202</v>
      </c>
      <c r="B259" s="9" t="s">
        <v>2203</v>
      </c>
      <c r="C259" s="9" t="s">
        <v>2204</v>
      </c>
      <c r="D259" s="9" t="s">
        <v>2165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2205</v>
      </c>
      <c r="L259" s="9" t="s">
        <v>42</v>
      </c>
      <c r="M259" s="10">
        <v>6.847222222222222E-4</v>
      </c>
      <c r="N259" s="9" t="s">
        <v>65</v>
      </c>
      <c r="O259" s="9" t="s">
        <v>2206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2207</v>
      </c>
      <c r="AH259" s="9">
        <v>6.2258399999999998</v>
      </c>
      <c r="AI259" s="9">
        <v>-75.599376000000007</v>
      </c>
      <c r="AJ259" s="9" t="s">
        <v>2208</v>
      </c>
      <c r="AK259" s="9">
        <v>6.2593139999999998</v>
      </c>
      <c r="AL259" s="9">
        <v>-75.620379999999997</v>
      </c>
      <c r="AM259" s="26">
        <f t="shared" ref="AM259:AM322" si="4">IF(N259="INICIO TARDÍO",M259,0)+IF(R259="TERMINÓ ANTES",Q259,0)</f>
        <v>0</v>
      </c>
      <c r="AN259" s="9"/>
    </row>
    <row r="260" spans="1:40" ht="15" x14ac:dyDescent="0.25">
      <c r="A260" s="9" t="s">
        <v>2209</v>
      </c>
      <c r="B260" s="9" t="s">
        <v>2210</v>
      </c>
      <c r="C260" s="9" t="s">
        <v>2211</v>
      </c>
      <c r="D260" s="9" t="s">
        <v>2165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2212</v>
      </c>
      <c r="L260" s="9" t="s">
        <v>42</v>
      </c>
      <c r="M260" s="10">
        <v>1.125E-2</v>
      </c>
      <c r="N260" s="9" t="s">
        <v>127</v>
      </c>
      <c r="O260" s="9" t="s">
        <v>2213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2214</v>
      </c>
      <c r="AG260" s="9" t="s">
        <v>2215</v>
      </c>
      <c r="AH260" s="9">
        <v>6.2266320000000004</v>
      </c>
      <c r="AI260" s="9">
        <v>-75.599344000000002</v>
      </c>
      <c r="AJ260" s="9" t="s">
        <v>2216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2217</v>
      </c>
      <c r="B261" s="9" t="s">
        <v>2218</v>
      </c>
      <c r="C261" s="9" t="s">
        <v>2219</v>
      </c>
      <c r="D261" s="9" t="s">
        <v>2165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2220</v>
      </c>
      <c r="L261" s="9" t="s">
        <v>42</v>
      </c>
      <c r="M261" s="10">
        <v>2.743055555555555E-3</v>
      </c>
      <c r="N261" s="9" t="s">
        <v>65</v>
      </c>
      <c r="O261" s="9" t="s">
        <v>2221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2222</v>
      </c>
      <c r="AG261" s="9" t="s">
        <v>2223</v>
      </c>
      <c r="AH261" s="9">
        <v>6.2256200000000002</v>
      </c>
      <c r="AI261" s="9">
        <v>-75.599405000000004</v>
      </c>
      <c r="AJ261" s="9" t="s">
        <v>2224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2225</v>
      </c>
      <c r="B262" s="9" t="s">
        <v>2226</v>
      </c>
      <c r="C262" s="9" t="s">
        <v>2227</v>
      </c>
      <c r="D262" s="9" t="s">
        <v>2165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2228</v>
      </c>
      <c r="L262" s="9" t="s">
        <v>42</v>
      </c>
      <c r="M262" s="10">
        <v>3.636574074074074E-2</v>
      </c>
      <c r="N262" s="9" t="s">
        <v>43</v>
      </c>
      <c r="O262" s="9" t="s">
        <v>2229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2230</v>
      </c>
      <c r="AG262" s="9" t="s">
        <v>2231</v>
      </c>
      <c r="AH262" s="9">
        <v>6.2589810000000003</v>
      </c>
      <c r="AI262" s="9">
        <v>-75.620634999999993</v>
      </c>
      <c r="AJ262" s="9" t="s">
        <v>2232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2233</v>
      </c>
      <c r="B263" s="9" t="s">
        <v>2234</v>
      </c>
      <c r="C263" s="9" t="s">
        <v>2235</v>
      </c>
      <c r="D263" s="9" t="s">
        <v>2236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2237</v>
      </c>
      <c r="L263" s="9" t="s">
        <v>42</v>
      </c>
      <c r="M263" s="10">
        <v>3.4942129629629629E-2</v>
      </c>
      <c r="N263" s="9" t="s">
        <v>43</v>
      </c>
      <c r="O263" s="9" t="s">
        <v>2238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2239</v>
      </c>
      <c r="AG263" s="9" t="s">
        <v>2240</v>
      </c>
      <c r="AH263" s="9">
        <v>6.2477929999999997</v>
      </c>
      <c r="AI263" s="9">
        <v>-75.615009999999998</v>
      </c>
      <c r="AJ263" s="9" t="s">
        <v>2241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2242</v>
      </c>
      <c r="B264" s="9" t="s">
        <v>2243</v>
      </c>
      <c r="C264" s="9" t="s">
        <v>2244</v>
      </c>
      <c r="D264" s="9" t="s">
        <v>2165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2245</v>
      </c>
      <c r="L264" s="9" t="s">
        <v>117</v>
      </c>
      <c r="M264" s="10">
        <v>1.0937499999999999E-2</v>
      </c>
      <c r="N264" s="9" t="s">
        <v>127</v>
      </c>
      <c r="O264" s="9" t="s">
        <v>2246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2247</v>
      </c>
      <c r="AG264" s="9" t="s">
        <v>2248</v>
      </c>
      <c r="AH264" s="9">
        <v>6.2703319999999998</v>
      </c>
      <c r="AI264" s="9">
        <v>-75.601577000000006</v>
      </c>
      <c r="AJ264" s="9" t="s">
        <v>2249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2250</v>
      </c>
      <c r="B265" s="9" t="s">
        <v>2251</v>
      </c>
      <c r="C265" s="9" t="s">
        <v>2252</v>
      </c>
      <c r="D265" s="9" t="s">
        <v>2165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2253</v>
      </c>
      <c r="L265" s="9" t="s">
        <v>117</v>
      </c>
      <c r="M265" s="10">
        <v>4.2245370370370371E-3</v>
      </c>
      <c r="N265" s="9" t="s">
        <v>65</v>
      </c>
      <c r="O265" s="9" t="s">
        <v>2254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2145</v>
      </c>
      <c r="AH265" s="9">
        <v>6.2948950000000004</v>
      </c>
      <c r="AI265" s="9">
        <v>-75.543943999999996</v>
      </c>
      <c r="AJ265" s="9" t="s">
        <v>2255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2256</v>
      </c>
      <c r="B266" s="9" t="s">
        <v>2257</v>
      </c>
      <c r="C266" s="9" t="s">
        <v>2258</v>
      </c>
      <c r="D266" s="9" t="s">
        <v>2165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2259</v>
      </c>
      <c r="L266" s="9" t="s">
        <v>117</v>
      </c>
      <c r="M266" s="10">
        <v>2.0995370370370369E-2</v>
      </c>
      <c r="N266" s="9" t="s">
        <v>127</v>
      </c>
      <c r="O266" s="9" t="s">
        <v>2260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2261</v>
      </c>
      <c r="AG266" s="9" t="s">
        <v>2262</v>
      </c>
      <c r="AH266" s="9">
        <v>6.2903560000000001</v>
      </c>
      <c r="AI266" s="9">
        <v>-75.546459999999996</v>
      </c>
      <c r="AJ266" s="9" t="s">
        <v>2263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2264</v>
      </c>
      <c r="B267" s="9" t="s">
        <v>2265</v>
      </c>
      <c r="C267" s="9" t="s">
        <v>2266</v>
      </c>
      <c r="D267" s="9" t="s">
        <v>2165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2267</v>
      </c>
      <c r="L267" s="9" t="s">
        <v>117</v>
      </c>
      <c r="M267" s="10">
        <v>6.3657407407407413E-4</v>
      </c>
      <c r="N267" s="9" t="s">
        <v>65</v>
      </c>
      <c r="O267" s="9" t="s">
        <v>2268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2269</v>
      </c>
      <c r="AG267" s="9" t="s">
        <v>2270</v>
      </c>
      <c r="AH267" s="9">
        <v>6.2504369999999998</v>
      </c>
      <c r="AI267" s="9">
        <v>-75.552269999999993</v>
      </c>
      <c r="AJ267" s="9" t="s">
        <v>2271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2272</v>
      </c>
      <c r="B268" s="9" t="s">
        <v>2273</v>
      </c>
      <c r="C268" s="9" t="s">
        <v>2274</v>
      </c>
      <c r="D268" s="9" t="s">
        <v>2165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2275</v>
      </c>
      <c r="L268" s="9" t="s">
        <v>117</v>
      </c>
      <c r="M268" s="10">
        <v>4.7679513888888893E-3</v>
      </c>
      <c r="N268" s="9" t="s">
        <v>65</v>
      </c>
      <c r="O268" s="9" t="s">
        <v>2276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2277</v>
      </c>
      <c r="AH268" s="9">
        <v>6.2294980000000004</v>
      </c>
      <c r="AI268" s="9">
        <v>-75.573103000000003</v>
      </c>
      <c r="AJ268" s="9" t="s">
        <v>2278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2279</v>
      </c>
      <c r="B269" s="9" t="s">
        <v>2280</v>
      </c>
      <c r="C269" s="9" t="s">
        <v>2281</v>
      </c>
      <c r="D269" s="9" t="s">
        <v>2236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2282</v>
      </c>
      <c r="L269" s="9" t="s">
        <v>117</v>
      </c>
      <c r="M269" s="10">
        <v>4.9768518518518521E-3</v>
      </c>
      <c r="N269" s="9" t="s">
        <v>65</v>
      </c>
      <c r="O269" s="9" t="s">
        <v>2283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2284</v>
      </c>
      <c r="AG269" s="9" t="s">
        <v>2285</v>
      </c>
      <c r="AH269" s="9">
        <v>6.3081019999999999</v>
      </c>
      <c r="AI269" s="9">
        <v>-75.582305000000005</v>
      </c>
      <c r="AJ269" s="9" t="s">
        <v>2286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ht="15" x14ac:dyDescent="0.25">
      <c r="A270" s="9" t="s">
        <v>2287</v>
      </c>
      <c r="B270" s="9" t="s">
        <v>2288</v>
      </c>
      <c r="C270" s="9" t="s">
        <v>2289</v>
      </c>
      <c r="D270" s="9" t="s">
        <v>2290</v>
      </c>
      <c r="E270" s="9" t="s">
        <v>36</v>
      </c>
      <c r="F270" s="9" t="s">
        <v>508</v>
      </c>
      <c r="G270" s="9" t="s">
        <v>38</v>
      </c>
      <c r="H270" s="9" t="s">
        <v>39</v>
      </c>
      <c r="I270" s="9" t="s">
        <v>40</v>
      </c>
      <c r="J270" s="9">
        <v>7087</v>
      </c>
      <c r="K270" s="9" t="s">
        <v>2291</v>
      </c>
      <c r="L270" s="9" t="s">
        <v>42</v>
      </c>
      <c r="M270" s="10">
        <v>4.5371481481481478E-2</v>
      </c>
      <c r="N270" s="9" t="s">
        <v>43</v>
      </c>
      <c r="O270" s="9" t="s">
        <v>2292</v>
      </c>
      <c r="P270" s="9" t="s">
        <v>45</v>
      </c>
      <c r="Q270" s="10">
        <v>1.73037037037037E-3</v>
      </c>
      <c r="R270" s="9" t="s">
        <v>46</v>
      </c>
      <c r="S270" s="10">
        <v>0.28969222222222218</v>
      </c>
      <c r="T270" s="9">
        <v>44.883000000000003</v>
      </c>
      <c r="U270" s="9">
        <v>23.7</v>
      </c>
      <c r="V270" s="10">
        <v>7.8912175925925948E-2</v>
      </c>
      <c r="W270" s="10">
        <v>3.4039629629629628E-2</v>
      </c>
      <c r="X270" s="10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6</v>
      </c>
      <c r="AE270" s="9" t="s">
        <v>47</v>
      </c>
      <c r="AF270" s="9" t="s">
        <v>2293</v>
      </c>
      <c r="AG270" s="9" t="s">
        <v>2294</v>
      </c>
      <c r="AH270" s="9">
        <v>6.2253509999999999</v>
      </c>
      <c r="AI270" s="9">
        <v>-75.599309000000005</v>
      </c>
      <c r="AJ270" s="9" t="s">
        <v>2295</v>
      </c>
      <c r="AK270" s="9">
        <v>6.2233780000000003</v>
      </c>
      <c r="AL270" s="9">
        <v>-75.595094000000003</v>
      </c>
      <c r="AM270" s="26">
        <f t="shared" si="4"/>
        <v>4.5371481481481478E-2</v>
      </c>
      <c r="AN270" s="9" t="s">
        <v>2391</v>
      </c>
    </row>
    <row r="271" spans="1:40" ht="15" x14ac:dyDescent="0.25">
      <c r="A271" s="9" t="s">
        <v>2296</v>
      </c>
      <c r="B271" s="9" t="s">
        <v>2297</v>
      </c>
      <c r="C271" s="9" t="s">
        <v>2298</v>
      </c>
      <c r="D271" s="9" t="s">
        <v>2290</v>
      </c>
      <c r="E271" s="9" t="s">
        <v>36</v>
      </c>
      <c r="F271" s="9" t="s">
        <v>508</v>
      </c>
      <c r="G271" s="9" t="s">
        <v>52</v>
      </c>
      <c r="H271" s="9" t="s">
        <v>53</v>
      </c>
      <c r="I271" s="9" t="s">
        <v>40</v>
      </c>
      <c r="J271" s="9">
        <v>1490</v>
      </c>
      <c r="K271" s="9" t="s">
        <v>2299</v>
      </c>
      <c r="L271" s="9" t="s">
        <v>42</v>
      </c>
      <c r="M271" s="10">
        <v>1.30787037037037E-2</v>
      </c>
      <c r="N271" s="9" t="s">
        <v>43</v>
      </c>
      <c r="O271" s="9" t="s">
        <v>2300</v>
      </c>
      <c r="P271" s="9" t="s">
        <v>45</v>
      </c>
      <c r="Q271" s="10">
        <v>2.1180555555555562E-3</v>
      </c>
      <c r="R271" s="9" t="s">
        <v>46</v>
      </c>
      <c r="S271" s="10">
        <v>0.32237268518518519</v>
      </c>
      <c r="T271" s="9">
        <v>18.555</v>
      </c>
      <c r="U271" s="9">
        <v>3.4</v>
      </c>
      <c r="V271" s="10">
        <v>0.22714120370370369</v>
      </c>
      <c r="W271" s="10">
        <v>0.1910648148148148</v>
      </c>
      <c r="X271" s="10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4</v>
      </c>
      <c r="AE271" s="9" t="s">
        <v>47</v>
      </c>
      <c r="AF271" s="9" t="s">
        <v>2301</v>
      </c>
      <c r="AG271" s="9" t="s">
        <v>2302</v>
      </c>
      <c r="AH271" s="9">
        <v>6.2256169999999997</v>
      </c>
      <c r="AI271" s="9">
        <v>-75.599421000000007</v>
      </c>
      <c r="AJ271" s="9" t="s">
        <v>2303</v>
      </c>
      <c r="AK271" s="9">
        <v>6.247649</v>
      </c>
      <c r="AL271" s="9">
        <v>-75.614937999999995</v>
      </c>
      <c r="AM271" s="26">
        <f t="shared" si="4"/>
        <v>1.30787037037037E-2</v>
      </c>
      <c r="AN271" s="9"/>
    </row>
    <row r="272" spans="1:40" ht="15" x14ac:dyDescent="0.25">
      <c r="A272" s="9" t="s">
        <v>2304</v>
      </c>
      <c r="B272" s="9" t="s">
        <v>2305</v>
      </c>
      <c r="C272" s="9" t="s">
        <v>2306</v>
      </c>
      <c r="D272" s="9" t="s">
        <v>2290</v>
      </c>
      <c r="E272" s="9" t="s">
        <v>36</v>
      </c>
      <c r="F272" s="9" t="s">
        <v>508</v>
      </c>
      <c r="G272" s="9" t="s">
        <v>62</v>
      </c>
      <c r="H272" s="9" t="s">
        <v>63</v>
      </c>
      <c r="I272" s="9" t="s">
        <v>40</v>
      </c>
      <c r="J272" s="9">
        <v>2468</v>
      </c>
      <c r="K272" s="9" t="s">
        <v>2307</v>
      </c>
      <c r="L272" s="9" t="s">
        <v>42</v>
      </c>
      <c r="M272" s="10">
        <v>1.9189814814814819E-2</v>
      </c>
      <c r="N272" s="9" t="s">
        <v>43</v>
      </c>
      <c r="O272" s="9" t="s">
        <v>2308</v>
      </c>
      <c r="P272" s="9" t="s">
        <v>45</v>
      </c>
      <c r="Q272" s="10">
        <v>5.8819444444444452E-2</v>
      </c>
      <c r="R272" s="9" t="s">
        <v>56</v>
      </c>
      <c r="S272" s="10">
        <v>0.25532407407407409</v>
      </c>
      <c r="T272" s="9">
        <v>33.131999999999998</v>
      </c>
      <c r="U272" s="9">
        <v>9.4499999999999993</v>
      </c>
      <c r="V272" s="10">
        <v>0.146087962962963</v>
      </c>
      <c r="W272" s="10">
        <v>9.3599537037037037E-2</v>
      </c>
      <c r="X272" s="10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 t="s">
        <v>57</v>
      </c>
      <c r="AF272" s="9" t="s">
        <v>2309</v>
      </c>
      <c r="AG272" s="9" t="s">
        <v>2310</v>
      </c>
      <c r="AH272" s="9">
        <v>6.2256559999999999</v>
      </c>
      <c r="AI272" s="9">
        <v>-75.599446</v>
      </c>
      <c r="AJ272" s="9" t="s">
        <v>2311</v>
      </c>
      <c r="AK272" s="9">
        <v>6.2858210000000003</v>
      </c>
      <c r="AL272" s="9">
        <v>-75.584147999999999</v>
      </c>
      <c r="AM272" s="26">
        <f t="shared" si="4"/>
        <v>7.8009259259259278E-2</v>
      </c>
      <c r="AN272" s="9"/>
    </row>
    <row r="273" spans="1:40" ht="15" x14ac:dyDescent="0.25">
      <c r="A273" s="9" t="s">
        <v>2312</v>
      </c>
      <c r="B273" s="9" t="s">
        <v>2313</v>
      </c>
      <c r="C273" s="9" t="s">
        <v>2314</v>
      </c>
      <c r="D273" s="9" t="s">
        <v>2290</v>
      </c>
      <c r="E273" s="9" t="s">
        <v>36</v>
      </c>
      <c r="F273" s="9" t="s">
        <v>508</v>
      </c>
      <c r="G273" s="9" t="s">
        <v>72</v>
      </c>
      <c r="H273" s="9" t="s">
        <v>73</v>
      </c>
      <c r="I273" s="9" t="s">
        <v>40</v>
      </c>
      <c r="J273" s="9">
        <v>4221</v>
      </c>
      <c r="K273" s="9" t="s">
        <v>2315</v>
      </c>
      <c r="L273" s="9" t="s">
        <v>42</v>
      </c>
      <c r="M273" s="10">
        <v>2.1180555555555562E-3</v>
      </c>
      <c r="N273" s="9" t="s">
        <v>65</v>
      </c>
      <c r="O273" s="9" t="s">
        <v>2316</v>
      </c>
      <c r="P273" s="9" t="s">
        <v>45</v>
      </c>
      <c r="Q273" s="10">
        <v>3.4548611111111113E-2</v>
      </c>
      <c r="R273" s="9" t="s">
        <v>56</v>
      </c>
      <c r="S273" s="10">
        <v>0.29666666666666669</v>
      </c>
      <c r="T273" s="9">
        <v>59.094999999999999</v>
      </c>
      <c r="U273" s="9">
        <v>9.26</v>
      </c>
      <c r="V273" s="10">
        <v>0.2658564814814815</v>
      </c>
      <c r="W273" s="10">
        <v>0.19457175925925929</v>
      </c>
      <c r="X273" s="10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3</v>
      </c>
      <c r="AE273" s="9" t="s">
        <v>67</v>
      </c>
      <c r="AF273" s="9" t="s">
        <v>2317</v>
      </c>
      <c r="AG273" s="9" t="s">
        <v>2318</v>
      </c>
      <c r="AH273" s="9">
        <v>6.2257790000000002</v>
      </c>
      <c r="AI273" s="9">
        <v>-75.599106000000006</v>
      </c>
      <c r="AJ273" s="9" t="s">
        <v>2319</v>
      </c>
      <c r="AK273" s="9">
        <v>6.2453799999999999</v>
      </c>
      <c r="AL273" s="9">
        <v>-75.571899000000002</v>
      </c>
      <c r="AM273" s="26">
        <f t="shared" si="4"/>
        <v>3.4548611111111113E-2</v>
      </c>
      <c r="AN273" s="9"/>
    </row>
    <row r="274" spans="1:40" ht="15" x14ac:dyDescent="0.25">
      <c r="A274" s="9" t="s">
        <v>2320</v>
      </c>
      <c r="B274" s="9" t="s">
        <v>2321</v>
      </c>
      <c r="C274" s="9" t="s">
        <v>2322</v>
      </c>
      <c r="D274" s="9" t="s">
        <v>2290</v>
      </c>
      <c r="E274" s="9" t="s">
        <v>36</v>
      </c>
      <c r="F274" s="9" t="s">
        <v>508</v>
      </c>
      <c r="G274" s="9" t="s">
        <v>80</v>
      </c>
      <c r="H274" s="9" t="s">
        <v>81</v>
      </c>
      <c r="I274" s="9" t="s">
        <v>40</v>
      </c>
      <c r="J274" s="9">
        <v>4687</v>
      </c>
      <c r="K274" s="9" t="s">
        <v>2323</v>
      </c>
      <c r="L274" s="9" t="s">
        <v>42</v>
      </c>
      <c r="M274" s="10">
        <v>3.3910428240740739E-2</v>
      </c>
      <c r="N274" s="9" t="s">
        <v>43</v>
      </c>
      <c r="O274" s="9" t="s">
        <v>2324</v>
      </c>
      <c r="P274" s="9" t="s">
        <v>45</v>
      </c>
      <c r="Q274" s="10">
        <v>2.775601851851852E-3</v>
      </c>
      <c r="R274" s="9" t="s">
        <v>46</v>
      </c>
      <c r="S274" s="10">
        <v>0.29664730324074068</v>
      </c>
      <c r="T274" s="9">
        <v>25.309000000000001</v>
      </c>
      <c r="U274" s="9">
        <v>18.96</v>
      </c>
      <c r="V274" s="10">
        <v>5.561807870370359E-2</v>
      </c>
      <c r="W274" s="10">
        <v>3.7625763888888893E-2</v>
      </c>
      <c r="X274" s="10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8</v>
      </c>
      <c r="AE274" s="9" t="s">
        <v>47</v>
      </c>
      <c r="AF274" s="9" t="s">
        <v>2325</v>
      </c>
      <c r="AG274" s="9" t="s">
        <v>2326</v>
      </c>
      <c r="AH274" s="9">
        <v>6.2254610000000001</v>
      </c>
      <c r="AI274" s="9">
        <v>-75.599211999999994</v>
      </c>
      <c r="AJ274" s="9" t="s">
        <v>2327</v>
      </c>
      <c r="AK274" s="9">
        <v>6.2592540000000003</v>
      </c>
      <c r="AL274" s="9">
        <v>-75.620909999999995</v>
      </c>
      <c r="AM274" s="26">
        <f t="shared" si="4"/>
        <v>3.3910428240740739E-2</v>
      </c>
      <c r="AN274" s="9"/>
    </row>
    <row r="275" spans="1:40" ht="15" x14ac:dyDescent="0.25">
      <c r="A275" s="9" t="s">
        <v>2328</v>
      </c>
      <c r="B275" s="9" t="s">
        <v>2329</v>
      </c>
      <c r="C275" s="9" t="s">
        <v>2330</v>
      </c>
      <c r="D275" s="9" t="s">
        <v>2290</v>
      </c>
      <c r="E275" s="9" t="s">
        <v>36</v>
      </c>
      <c r="F275" s="9" t="s">
        <v>508</v>
      </c>
      <c r="G275" s="9" t="s">
        <v>89</v>
      </c>
      <c r="H275" s="9" t="s">
        <v>90</v>
      </c>
      <c r="I275" s="9" t="s">
        <v>40</v>
      </c>
      <c r="J275" s="9">
        <v>5151</v>
      </c>
      <c r="K275" s="9" t="s">
        <v>2331</v>
      </c>
      <c r="L275" s="9" t="s">
        <v>42</v>
      </c>
      <c r="M275" s="10">
        <v>5.9375000000000001E-3</v>
      </c>
      <c r="N275" s="9" t="s">
        <v>65</v>
      </c>
      <c r="O275" s="9" t="s">
        <v>2332</v>
      </c>
      <c r="P275" s="9" t="s">
        <v>45</v>
      </c>
      <c r="Q275" s="10">
        <v>5.1504629629629626E-3</v>
      </c>
      <c r="R275" s="9" t="s">
        <v>46</v>
      </c>
      <c r="S275" s="10">
        <v>0.34442129629629631</v>
      </c>
      <c r="T275" s="9">
        <v>75.736000000000004</v>
      </c>
      <c r="U275" s="9">
        <v>11.16</v>
      </c>
      <c r="V275" s="10">
        <v>0.28280092592592587</v>
      </c>
      <c r="W275" s="10">
        <v>0.16743055555555561</v>
      </c>
      <c r="X275" s="10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2</v>
      </c>
      <c r="AE275" s="9" t="s">
        <v>84</v>
      </c>
      <c r="AF275" s="9" t="s">
        <v>1384</v>
      </c>
      <c r="AG275" s="9" t="s">
        <v>2333</v>
      </c>
      <c r="AH275" s="9">
        <v>6.2267219999999996</v>
      </c>
      <c r="AI275" s="9">
        <v>-75.599288999999999</v>
      </c>
      <c r="AJ275" s="9" t="s">
        <v>2334</v>
      </c>
      <c r="AK275" s="9">
        <v>6.2788469999999998</v>
      </c>
      <c r="AL275" s="9">
        <v>-75.569132999999994</v>
      </c>
      <c r="AM275" s="26">
        <f t="shared" si="4"/>
        <v>0</v>
      </c>
      <c r="AN275" s="9"/>
    </row>
    <row r="276" spans="1:40" ht="15" x14ac:dyDescent="0.25">
      <c r="A276" s="9" t="s">
        <v>2335</v>
      </c>
      <c r="B276" s="9" t="s">
        <v>2336</v>
      </c>
      <c r="C276" s="9" t="s">
        <v>2337</v>
      </c>
      <c r="D276" s="9" t="s">
        <v>2290</v>
      </c>
      <c r="E276" s="9" t="s">
        <v>36</v>
      </c>
      <c r="F276" s="9" t="s">
        <v>508</v>
      </c>
      <c r="G276" s="9" t="s">
        <v>105</v>
      </c>
      <c r="H276" s="9" t="s">
        <v>106</v>
      </c>
      <c r="I276" s="9" t="s">
        <v>40</v>
      </c>
      <c r="J276" s="9">
        <v>413</v>
      </c>
      <c r="K276" s="9" t="s">
        <v>2338</v>
      </c>
      <c r="L276" s="9" t="s">
        <v>42</v>
      </c>
      <c r="M276" s="10">
        <v>0.2099189814814815</v>
      </c>
      <c r="N276" s="9" t="s">
        <v>43</v>
      </c>
      <c r="O276" s="9" t="s">
        <v>2339</v>
      </c>
      <c r="P276" s="9" t="s">
        <v>45</v>
      </c>
      <c r="Q276" s="10">
        <v>3.9375E-2</v>
      </c>
      <c r="R276" s="9" t="s">
        <v>129</v>
      </c>
      <c r="S276" s="10">
        <v>0.16278935185185189</v>
      </c>
      <c r="T276" s="9">
        <v>4.6319999999999997</v>
      </c>
      <c r="U276" s="9">
        <v>6.81</v>
      </c>
      <c r="V276" s="10">
        <v>2.8344907407407409E-2</v>
      </c>
      <c r="W276" s="10">
        <v>1.9201388888888889E-2</v>
      </c>
      <c r="X276" s="10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 t="s">
        <v>130</v>
      </c>
      <c r="AF276" s="9" t="s">
        <v>2340</v>
      </c>
      <c r="AG276" s="9" t="s">
        <v>2341</v>
      </c>
      <c r="AH276" s="9">
        <v>6.2594450000000004</v>
      </c>
      <c r="AI276" s="9">
        <v>-75.599485999999999</v>
      </c>
      <c r="AJ276" s="9" t="s">
        <v>2342</v>
      </c>
      <c r="AK276" s="9">
        <v>6.2586639999999996</v>
      </c>
      <c r="AL276" s="9">
        <v>-75.616157000000001</v>
      </c>
      <c r="AM276" s="26">
        <f t="shared" si="4"/>
        <v>0.2099189814814815</v>
      </c>
      <c r="AN276" s="9"/>
    </row>
    <row r="277" spans="1:40" ht="15" x14ac:dyDescent="0.25">
      <c r="A277" s="9" t="s">
        <v>2343</v>
      </c>
      <c r="B277" s="9" t="s">
        <v>2344</v>
      </c>
      <c r="C277" s="9" t="s">
        <v>2345</v>
      </c>
      <c r="D277" s="9" t="s">
        <v>2290</v>
      </c>
      <c r="E277" s="9" t="s">
        <v>36</v>
      </c>
      <c r="F277" s="9" t="s">
        <v>508</v>
      </c>
      <c r="G277" s="9" t="s">
        <v>113</v>
      </c>
      <c r="H277" s="9" t="s">
        <v>114</v>
      </c>
      <c r="I277" s="9" t="s">
        <v>40</v>
      </c>
      <c r="J277" s="9">
        <v>3416</v>
      </c>
      <c r="K277" s="9" t="s">
        <v>2346</v>
      </c>
      <c r="L277" s="9" t="s">
        <v>42</v>
      </c>
      <c r="M277" s="10">
        <v>3.063657407407407E-2</v>
      </c>
      <c r="N277" s="9" t="s">
        <v>43</v>
      </c>
      <c r="O277" s="9" t="s">
        <v>2347</v>
      </c>
      <c r="P277" s="9" t="s">
        <v>45</v>
      </c>
      <c r="Q277" s="10">
        <v>8.5879629629629622E-3</v>
      </c>
      <c r="R277" s="9" t="s">
        <v>46</v>
      </c>
      <c r="S277" s="10">
        <v>0.29410879629629633</v>
      </c>
      <c r="T277" s="9">
        <v>43.97</v>
      </c>
      <c r="U277" s="9">
        <v>7.07</v>
      </c>
      <c r="V277" s="10">
        <v>0.2590972222222222</v>
      </c>
      <c r="W277" s="10">
        <v>0.18869212962962961</v>
      </c>
      <c r="X277" s="10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2</v>
      </c>
      <c r="AE277" s="9" t="s">
        <v>47</v>
      </c>
      <c r="AF277" s="9" t="s">
        <v>2348</v>
      </c>
      <c r="AG277" s="9" t="s">
        <v>2349</v>
      </c>
      <c r="AH277" s="9">
        <v>6.2301279999999997</v>
      </c>
      <c r="AI277" s="9">
        <v>-75.602007999999998</v>
      </c>
      <c r="AJ277" s="9" t="s">
        <v>2350</v>
      </c>
      <c r="AK277" s="9">
        <v>6.2123840000000001</v>
      </c>
      <c r="AL277" s="9">
        <v>-75.585819999999998</v>
      </c>
      <c r="AM277" s="26">
        <f t="shared" si="4"/>
        <v>3.063657407407407E-2</v>
      </c>
      <c r="AN277" s="9"/>
    </row>
    <row r="278" spans="1:40" ht="15" x14ac:dyDescent="0.25">
      <c r="A278" s="9" t="s">
        <v>2351</v>
      </c>
      <c r="B278" s="9" t="s">
        <v>2352</v>
      </c>
      <c r="C278" s="9" t="s">
        <v>2353</v>
      </c>
      <c r="D278" s="9" t="s">
        <v>2290</v>
      </c>
      <c r="E278" s="9" t="s">
        <v>36</v>
      </c>
      <c r="F278" s="9" t="s">
        <v>508</v>
      </c>
      <c r="G278" s="9" t="s">
        <v>124</v>
      </c>
      <c r="H278" s="9" t="s">
        <v>125</v>
      </c>
      <c r="I278" s="9" t="s">
        <v>115</v>
      </c>
      <c r="J278" s="9">
        <v>6925</v>
      </c>
      <c r="K278" s="9" t="s">
        <v>2354</v>
      </c>
      <c r="L278" s="9" t="s">
        <v>117</v>
      </c>
      <c r="M278" s="10">
        <v>1.6180555555555559E-2</v>
      </c>
      <c r="N278" s="9" t="s">
        <v>127</v>
      </c>
      <c r="O278" s="9" t="s">
        <v>2355</v>
      </c>
      <c r="P278" s="9" t="s">
        <v>119</v>
      </c>
      <c r="Q278" s="10">
        <v>7.6157407407407406E-3</v>
      </c>
      <c r="R278" s="9" t="s">
        <v>46</v>
      </c>
      <c r="S278" s="10">
        <v>0.27379629629629632</v>
      </c>
      <c r="T278" s="9">
        <v>96.064999999999998</v>
      </c>
      <c r="U278" s="9">
        <v>18.920000000000002</v>
      </c>
      <c r="V278" s="10">
        <v>0.21157407407407411</v>
      </c>
      <c r="W278" s="10">
        <v>5.8495370370370371E-2</v>
      </c>
      <c r="X278" s="10">
        <v>0</v>
      </c>
      <c r="Y278" s="9">
        <v>0</v>
      </c>
      <c r="Z278" s="9">
        <v>0</v>
      </c>
      <c r="AA278" s="9">
        <v>0</v>
      </c>
      <c r="AB278" s="9">
        <v>0</v>
      </c>
      <c r="AC278" s="9">
        <v>0</v>
      </c>
      <c r="AD278" s="9">
        <v>0</v>
      </c>
      <c r="AE278" s="9" t="s">
        <v>139</v>
      </c>
      <c r="AF278" s="9" t="s">
        <v>2356</v>
      </c>
      <c r="AG278" s="9" t="s">
        <v>2357</v>
      </c>
      <c r="AH278" s="9">
        <v>6.2276020000000001</v>
      </c>
      <c r="AI278" s="9">
        <v>-75.599125999999998</v>
      </c>
      <c r="AJ278" s="9" t="s">
        <v>2358</v>
      </c>
      <c r="AK278" s="9">
        <v>6.2726920000000002</v>
      </c>
      <c r="AL278" s="9">
        <v>-75.601997999999995</v>
      </c>
      <c r="AM278" s="26">
        <f t="shared" si="4"/>
        <v>0</v>
      </c>
      <c r="AN278" s="9"/>
    </row>
    <row r="279" spans="1:40" ht="15" x14ac:dyDescent="0.25">
      <c r="A279" s="9" t="s">
        <v>2359</v>
      </c>
      <c r="B279" s="9" t="s">
        <v>2360</v>
      </c>
      <c r="C279" s="9" t="s">
        <v>2361</v>
      </c>
      <c r="D279" s="9" t="s">
        <v>2290</v>
      </c>
      <c r="E279" s="9" t="s">
        <v>36</v>
      </c>
      <c r="F279" s="9" t="s">
        <v>508</v>
      </c>
      <c r="G279" s="9" t="s">
        <v>135</v>
      </c>
      <c r="H279" s="9" t="s">
        <v>136</v>
      </c>
      <c r="I279" s="9" t="s">
        <v>115</v>
      </c>
      <c r="J279" s="9">
        <v>2289</v>
      </c>
      <c r="K279" s="9" t="s">
        <v>2362</v>
      </c>
      <c r="L279" s="9" t="s">
        <v>117</v>
      </c>
      <c r="M279" s="10">
        <v>4.3043981481481482E-2</v>
      </c>
      <c r="N279" s="9" t="s">
        <v>127</v>
      </c>
      <c r="O279" s="9" t="s">
        <v>2363</v>
      </c>
      <c r="P279" s="9" t="s">
        <v>119</v>
      </c>
      <c r="Q279" s="10">
        <v>3.530092592592592E-3</v>
      </c>
      <c r="R279" s="9" t="s">
        <v>46</v>
      </c>
      <c r="S279" s="10">
        <v>0.2895138888888889</v>
      </c>
      <c r="T279" s="9">
        <v>48.36</v>
      </c>
      <c r="U279" s="9">
        <v>18.8</v>
      </c>
      <c r="V279" s="10">
        <v>0.10715277777777781</v>
      </c>
      <c r="W279" s="10">
        <v>5.2037037037037027E-2</v>
      </c>
      <c r="X279" s="10">
        <v>0</v>
      </c>
      <c r="Y279" s="9">
        <v>0</v>
      </c>
      <c r="Z279" s="9">
        <v>0</v>
      </c>
      <c r="AA279" s="9">
        <v>0</v>
      </c>
      <c r="AB279" s="9">
        <v>0</v>
      </c>
      <c r="AC279" s="9">
        <v>0</v>
      </c>
      <c r="AD279" s="9">
        <v>3</v>
      </c>
      <c r="AE279" s="9" t="s">
        <v>139</v>
      </c>
      <c r="AF279" s="9" t="s">
        <v>2364</v>
      </c>
      <c r="AG279" s="9" t="s">
        <v>2365</v>
      </c>
      <c r="AH279" s="9">
        <v>6.2254319999999996</v>
      </c>
      <c r="AI279" s="9">
        <v>-75.598766999999995</v>
      </c>
      <c r="AJ279" s="9" t="s">
        <v>2366</v>
      </c>
      <c r="AK279" s="9">
        <v>6.2622429999999998</v>
      </c>
      <c r="AL279" s="9">
        <v>-75.563856000000001</v>
      </c>
      <c r="AM279" s="26">
        <f t="shared" si="4"/>
        <v>0</v>
      </c>
      <c r="AN279" s="9"/>
    </row>
    <row r="280" spans="1:40" ht="15" x14ac:dyDescent="0.25">
      <c r="A280" s="9" t="s">
        <v>2367</v>
      </c>
      <c r="B280" s="9" t="s">
        <v>2368</v>
      </c>
      <c r="C280" s="9" t="s">
        <v>2369</v>
      </c>
      <c r="D280" s="9" t="s">
        <v>2290</v>
      </c>
      <c r="E280" s="9" t="s">
        <v>36</v>
      </c>
      <c r="F280" s="9" t="s">
        <v>508</v>
      </c>
      <c r="G280" s="9" t="s">
        <v>144</v>
      </c>
      <c r="H280" s="9" t="s">
        <v>145</v>
      </c>
      <c r="I280" s="9" t="s">
        <v>115</v>
      </c>
      <c r="J280" s="9">
        <v>6098</v>
      </c>
      <c r="K280" s="9" t="s">
        <v>2370</v>
      </c>
      <c r="L280" s="9" t="s">
        <v>117</v>
      </c>
      <c r="M280" s="10">
        <v>3.7546296296296293E-2</v>
      </c>
      <c r="N280" s="9" t="s">
        <v>127</v>
      </c>
      <c r="O280" s="9" t="s">
        <v>2371</v>
      </c>
      <c r="P280" s="9" t="s">
        <v>119</v>
      </c>
      <c r="Q280" s="10">
        <v>3.0555555555555561E-3</v>
      </c>
      <c r="R280" s="9" t="s">
        <v>46</v>
      </c>
      <c r="S280" s="10">
        <v>0.29060185185185178</v>
      </c>
      <c r="T280" s="9">
        <v>81.367000000000004</v>
      </c>
      <c r="U280" s="9">
        <v>14.72</v>
      </c>
      <c r="V280" s="10">
        <v>0.2303819444444444</v>
      </c>
      <c r="W280" s="10">
        <v>8.7349537037037031E-2</v>
      </c>
      <c r="X280" s="10">
        <v>0</v>
      </c>
      <c r="Y280" s="9">
        <v>0</v>
      </c>
      <c r="Z280" s="9">
        <v>0</v>
      </c>
      <c r="AA280" s="9">
        <v>0</v>
      </c>
      <c r="AB280" s="9">
        <v>0</v>
      </c>
      <c r="AC280" s="9">
        <v>0</v>
      </c>
      <c r="AD280" s="9">
        <v>0</v>
      </c>
      <c r="AE280" s="9" t="s">
        <v>139</v>
      </c>
      <c r="AF280" s="9" t="s">
        <v>2372</v>
      </c>
      <c r="AG280" s="9" t="s">
        <v>2373</v>
      </c>
      <c r="AH280" s="9">
        <v>6.2256609999999997</v>
      </c>
      <c r="AI280" s="9">
        <v>-75.598487000000006</v>
      </c>
      <c r="AJ280" s="9" t="s">
        <v>2374</v>
      </c>
      <c r="AK280" s="9">
        <v>6.2903830000000003</v>
      </c>
      <c r="AL280" s="9">
        <v>-75.546594999999996</v>
      </c>
      <c r="AM280" s="26">
        <f t="shared" si="4"/>
        <v>0</v>
      </c>
      <c r="AN280" s="9"/>
    </row>
    <row r="281" spans="1:40" ht="15" x14ac:dyDescent="0.25">
      <c r="A281" s="9" t="s">
        <v>2375</v>
      </c>
      <c r="B281" s="9" t="s">
        <v>2376</v>
      </c>
      <c r="C281" s="9" t="s">
        <v>2377</v>
      </c>
      <c r="D281" s="9" t="s">
        <v>2290</v>
      </c>
      <c r="E281" s="9" t="s">
        <v>36</v>
      </c>
      <c r="F281" s="9" t="s">
        <v>508</v>
      </c>
      <c r="G281" s="9" t="s">
        <v>152</v>
      </c>
      <c r="H281" s="9" t="s">
        <v>153</v>
      </c>
      <c r="I281" s="9" t="s">
        <v>115</v>
      </c>
      <c r="J281" s="9">
        <v>4145</v>
      </c>
      <c r="K281" s="9" t="s">
        <v>2378</v>
      </c>
      <c r="L281" s="9" t="s">
        <v>117</v>
      </c>
      <c r="M281" s="10">
        <v>2.8344907407407409E-2</v>
      </c>
      <c r="N281" s="9" t="s">
        <v>127</v>
      </c>
      <c r="O281" s="9" t="s">
        <v>2379</v>
      </c>
      <c r="P281" s="9" t="s">
        <v>119</v>
      </c>
      <c r="Q281" s="10">
        <v>6.4479166666666671E-2</v>
      </c>
      <c r="R281" s="9" t="s">
        <v>56</v>
      </c>
      <c r="S281" s="10">
        <v>0.21386574074074069</v>
      </c>
      <c r="T281" s="9">
        <v>54.81</v>
      </c>
      <c r="U281" s="9">
        <v>14.22</v>
      </c>
      <c r="V281" s="10">
        <v>0.16062499999999999</v>
      </c>
      <c r="W281" s="10">
        <v>8.0902777777777782E-2</v>
      </c>
      <c r="X281" s="10">
        <v>0</v>
      </c>
      <c r="Y281" s="9">
        <v>0</v>
      </c>
      <c r="Z281" s="9">
        <v>0</v>
      </c>
      <c r="AA281" s="9">
        <v>0</v>
      </c>
      <c r="AB281" s="9">
        <v>0</v>
      </c>
      <c r="AC281" s="9">
        <v>0</v>
      </c>
      <c r="AD281" s="9">
        <v>0</v>
      </c>
      <c r="AE281" s="9" t="s">
        <v>139</v>
      </c>
      <c r="AF281" s="9" t="s">
        <v>2380</v>
      </c>
      <c r="AG281" s="9" t="s">
        <v>2381</v>
      </c>
      <c r="AH281" s="9">
        <v>6.2256580000000001</v>
      </c>
      <c r="AI281" s="9">
        <v>-75.599367999999998</v>
      </c>
      <c r="AJ281" s="9" t="s">
        <v>2382</v>
      </c>
      <c r="AK281" s="9">
        <v>6.2518330000000004</v>
      </c>
      <c r="AL281" s="9">
        <v>-75.551855000000003</v>
      </c>
      <c r="AM281" s="26">
        <f t="shared" si="4"/>
        <v>6.4479166666666671E-2</v>
      </c>
      <c r="AN281" s="9"/>
    </row>
    <row r="282" spans="1:40" ht="15" x14ac:dyDescent="0.25">
      <c r="A282" s="9" t="s">
        <v>2383</v>
      </c>
      <c r="B282" s="9" t="s">
        <v>2384</v>
      </c>
      <c r="C282" s="9" t="s">
        <v>2385</v>
      </c>
      <c r="D282" s="9" t="s">
        <v>2290</v>
      </c>
      <c r="E282" s="9" t="s">
        <v>36</v>
      </c>
      <c r="F282" s="9" t="s">
        <v>508</v>
      </c>
      <c r="G282" s="9" t="s">
        <v>160</v>
      </c>
      <c r="H282" s="9" t="s">
        <v>161</v>
      </c>
      <c r="I282" s="9" t="s">
        <v>115</v>
      </c>
      <c r="J282" s="9">
        <v>6454</v>
      </c>
      <c r="K282" s="9" t="s">
        <v>2386</v>
      </c>
      <c r="L282" s="9" t="s">
        <v>117</v>
      </c>
      <c r="M282" s="10">
        <v>2.240930555555555E-2</v>
      </c>
      <c r="N282" s="9" t="s">
        <v>127</v>
      </c>
      <c r="O282" s="9" t="s">
        <v>2387</v>
      </c>
      <c r="P282" s="9" t="s">
        <v>119</v>
      </c>
      <c r="Q282" s="10">
        <v>6.815231481481482E-3</v>
      </c>
      <c r="R282" s="9" t="s">
        <v>46</v>
      </c>
      <c r="S282" s="10">
        <v>0.27922453703703698</v>
      </c>
      <c r="T282" s="9">
        <v>43.430999999999997</v>
      </c>
      <c r="U282" s="9">
        <v>8.59</v>
      </c>
      <c r="V282" s="10">
        <v>0.21077543981481489</v>
      </c>
      <c r="W282" s="10">
        <v>0.16869194444444449</v>
      </c>
      <c r="X282" s="10">
        <v>0</v>
      </c>
      <c r="Y282" s="9">
        <v>0</v>
      </c>
      <c r="Z282" s="9">
        <v>0</v>
      </c>
      <c r="AA282" s="9">
        <v>0</v>
      </c>
      <c r="AB282" s="9">
        <v>0</v>
      </c>
      <c r="AC282" s="9">
        <v>0</v>
      </c>
      <c r="AD282" s="9">
        <v>1</v>
      </c>
      <c r="AE282" s="9" t="s">
        <v>139</v>
      </c>
      <c r="AF282" s="9" t="s">
        <v>2388</v>
      </c>
      <c r="AG282" s="9" t="s">
        <v>2389</v>
      </c>
      <c r="AH282" s="9">
        <v>6.2267520000000003</v>
      </c>
      <c r="AI282" s="9">
        <v>-75.599197000000004</v>
      </c>
      <c r="AJ282" s="9" t="s">
        <v>2390</v>
      </c>
      <c r="AK282" s="9">
        <v>6.2685149999999998</v>
      </c>
      <c r="AL282" s="9">
        <v>-75.599338000000003</v>
      </c>
      <c r="AM282" s="26">
        <f t="shared" si="4"/>
        <v>0</v>
      </c>
      <c r="AN282" s="9"/>
    </row>
    <row r="283" spans="1:40" ht="15" x14ac:dyDescent="0.25">
      <c r="A283" s="9" t="s">
        <v>2393</v>
      </c>
      <c r="B283" s="9" t="s">
        <v>2394</v>
      </c>
      <c r="C283" s="9" t="s">
        <v>2395</v>
      </c>
      <c r="D283" s="9" t="s">
        <v>2396</v>
      </c>
      <c r="E283" s="9" t="s">
        <v>36</v>
      </c>
      <c r="F283" s="9" t="s">
        <v>37</v>
      </c>
      <c r="G283" s="9" t="s">
        <v>38</v>
      </c>
      <c r="H283" s="9" t="s">
        <v>39</v>
      </c>
      <c r="I283" s="9" t="s">
        <v>40</v>
      </c>
      <c r="J283" s="9">
        <v>4161</v>
      </c>
      <c r="K283" s="9" t="s">
        <v>2397</v>
      </c>
      <c r="L283" s="9" t="s">
        <v>42</v>
      </c>
      <c r="M283" s="10">
        <v>5.4496655092592598E-2</v>
      </c>
      <c r="N283" s="9" t="s">
        <v>43</v>
      </c>
      <c r="O283" s="9" t="s">
        <v>2398</v>
      </c>
      <c r="P283" s="9" t="s">
        <v>45</v>
      </c>
      <c r="Q283" s="10">
        <v>2.1406736111111109E-2</v>
      </c>
      <c r="R283" s="9" t="s">
        <v>56</v>
      </c>
      <c r="S283" s="10">
        <v>0.25742994212962961</v>
      </c>
      <c r="T283" s="9">
        <v>31.876999999999999</v>
      </c>
      <c r="U283" s="9">
        <v>9.56</v>
      </c>
      <c r="V283" s="10">
        <v>0.1388731828703704</v>
      </c>
      <c r="W283" s="10">
        <v>9.7388356481481475E-2</v>
      </c>
      <c r="X283" s="10">
        <v>0</v>
      </c>
      <c r="Y283" s="9">
        <v>0</v>
      </c>
      <c r="Z283" s="9">
        <v>0</v>
      </c>
      <c r="AA283" s="9">
        <v>0</v>
      </c>
      <c r="AB283" s="9">
        <v>0</v>
      </c>
      <c r="AC283" s="9">
        <v>0</v>
      </c>
      <c r="AD283" s="9">
        <v>4</v>
      </c>
      <c r="AE283" s="9" t="s">
        <v>57</v>
      </c>
      <c r="AF283" s="9" t="s">
        <v>2399</v>
      </c>
      <c r="AG283" s="9" t="s">
        <v>2400</v>
      </c>
      <c r="AH283" s="9">
        <v>6.255719</v>
      </c>
      <c r="AI283" s="9">
        <v>-75.613168000000002</v>
      </c>
      <c r="AJ283" s="9" t="s">
        <v>2401</v>
      </c>
      <c r="AK283" s="9">
        <v>6.2314629999999998</v>
      </c>
      <c r="AL283" s="9">
        <v>-75.596321000000003</v>
      </c>
      <c r="AM283" s="26">
        <f t="shared" si="4"/>
        <v>7.5903391203703707E-2</v>
      </c>
      <c r="AN283" s="9" t="s">
        <v>2465</v>
      </c>
    </row>
    <row r="284" spans="1:40" ht="15" x14ac:dyDescent="0.25">
      <c r="A284" s="9" t="s">
        <v>2402</v>
      </c>
      <c r="B284" s="9" t="s">
        <v>2403</v>
      </c>
      <c r="C284" s="9" t="s">
        <v>2404</v>
      </c>
      <c r="D284" s="9" t="s">
        <v>2396</v>
      </c>
      <c r="E284" s="9" t="s">
        <v>36</v>
      </c>
      <c r="F284" s="9" t="s">
        <v>37</v>
      </c>
      <c r="G284" s="9" t="s">
        <v>52</v>
      </c>
      <c r="H284" s="9" t="s">
        <v>53</v>
      </c>
      <c r="I284" s="9" t="s">
        <v>40</v>
      </c>
      <c r="J284" s="9">
        <v>3063</v>
      </c>
      <c r="K284" s="9" t="s">
        <v>2405</v>
      </c>
      <c r="L284" s="9" t="s">
        <v>42</v>
      </c>
      <c r="M284" s="10">
        <v>1.1064814814814821E-2</v>
      </c>
      <c r="N284" s="9" t="s">
        <v>127</v>
      </c>
      <c r="O284" s="9" t="s">
        <v>2406</v>
      </c>
      <c r="P284" s="9" t="s">
        <v>45</v>
      </c>
      <c r="Q284" s="10">
        <v>7.0601851851851847E-4</v>
      </c>
      <c r="R284" s="9" t="s">
        <v>46</v>
      </c>
      <c r="S284" s="10">
        <v>0.34510416666666671</v>
      </c>
      <c r="T284" s="9">
        <v>37.972999999999999</v>
      </c>
      <c r="U284" s="9">
        <v>7.66</v>
      </c>
      <c r="V284" s="10">
        <v>0.2064583333333333</v>
      </c>
      <c r="W284" s="10">
        <v>0.1340625</v>
      </c>
      <c r="X284" s="10">
        <v>0</v>
      </c>
      <c r="Y284" s="9">
        <v>0</v>
      </c>
      <c r="Z284" s="9">
        <v>0</v>
      </c>
      <c r="AA284" s="9">
        <v>0</v>
      </c>
      <c r="AB284" s="9">
        <v>0</v>
      </c>
      <c r="AC284" s="9">
        <v>0</v>
      </c>
      <c r="AD284" s="9">
        <v>1</v>
      </c>
      <c r="AE284" s="9" t="s">
        <v>139</v>
      </c>
      <c r="AF284" s="9" t="s">
        <v>2407</v>
      </c>
      <c r="AG284" s="9" t="s">
        <v>2408</v>
      </c>
      <c r="AH284" s="9">
        <v>6.2257550000000004</v>
      </c>
      <c r="AI284" s="9">
        <v>-75.599535000000003</v>
      </c>
      <c r="AJ284" s="9" t="s">
        <v>2409</v>
      </c>
      <c r="AK284" s="9">
        <v>6.247738</v>
      </c>
      <c r="AL284" s="9">
        <v>-75.614966999999993</v>
      </c>
      <c r="AM284" s="26">
        <f t="shared" si="4"/>
        <v>0</v>
      </c>
      <c r="AN284" s="9"/>
    </row>
    <row r="285" spans="1:40" ht="15" x14ac:dyDescent="0.25">
      <c r="A285" s="9" t="s">
        <v>2410</v>
      </c>
      <c r="B285" s="9" t="s">
        <v>2411</v>
      </c>
      <c r="C285" s="9" t="s">
        <v>2412</v>
      </c>
      <c r="D285" s="9" t="s">
        <v>2396</v>
      </c>
      <c r="E285" s="9" t="s">
        <v>36</v>
      </c>
      <c r="F285" s="9" t="s">
        <v>37</v>
      </c>
      <c r="G285" s="9" t="s">
        <v>113</v>
      </c>
      <c r="H285" s="9" t="s">
        <v>114</v>
      </c>
      <c r="I285" s="9" t="s">
        <v>40</v>
      </c>
      <c r="J285" s="9">
        <v>2948</v>
      </c>
      <c r="K285" s="9" t="s">
        <v>2413</v>
      </c>
      <c r="L285" s="9" t="s">
        <v>42</v>
      </c>
      <c r="M285" s="10">
        <v>6.9212962962962961E-3</v>
      </c>
      <c r="N285" s="9" t="s">
        <v>65</v>
      </c>
      <c r="O285" s="9" t="s">
        <v>2414</v>
      </c>
      <c r="P285" s="9" t="s">
        <v>45</v>
      </c>
      <c r="Q285" s="10">
        <v>2.840277777777778E-2</v>
      </c>
      <c r="R285" s="9" t="s">
        <v>56</v>
      </c>
      <c r="S285" s="10">
        <v>0.29800925925925931</v>
      </c>
      <c r="T285" s="9">
        <v>39.036999999999999</v>
      </c>
      <c r="U285" s="9">
        <v>5.84</v>
      </c>
      <c r="V285" s="10">
        <v>0.27840277777777778</v>
      </c>
      <c r="W285" s="10">
        <v>0.2053703703703704</v>
      </c>
      <c r="X285" s="10">
        <v>0</v>
      </c>
      <c r="Y285" s="9">
        <v>0</v>
      </c>
      <c r="Z285" s="9">
        <v>0</v>
      </c>
      <c r="AA285" s="9">
        <v>0</v>
      </c>
      <c r="AB285" s="9">
        <v>0</v>
      </c>
      <c r="AC285" s="9">
        <v>0</v>
      </c>
      <c r="AD285" s="9">
        <v>3</v>
      </c>
      <c r="AE285" s="9" t="s">
        <v>67</v>
      </c>
      <c r="AF285" s="9" t="s">
        <v>2415</v>
      </c>
      <c r="AG285" s="9" t="s">
        <v>2416</v>
      </c>
      <c r="AH285" s="9">
        <v>6.2382249999999999</v>
      </c>
      <c r="AI285" s="9">
        <v>-75.603070000000002</v>
      </c>
      <c r="AJ285" s="9" t="s">
        <v>2417</v>
      </c>
      <c r="AK285" s="9">
        <v>6.2387769999999998</v>
      </c>
      <c r="AL285" s="9">
        <v>-75.603745000000004</v>
      </c>
      <c r="AM285" s="26">
        <f t="shared" si="4"/>
        <v>2.840277777777778E-2</v>
      </c>
      <c r="AN285" s="9"/>
    </row>
    <row r="286" spans="1:40" ht="15" x14ac:dyDescent="0.25">
      <c r="A286" s="9" t="s">
        <v>2418</v>
      </c>
      <c r="B286" s="9" t="s">
        <v>2419</v>
      </c>
      <c r="C286" s="9" t="s">
        <v>2420</v>
      </c>
      <c r="D286" s="9" t="s">
        <v>2396</v>
      </c>
      <c r="E286" s="9" t="s">
        <v>36</v>
      </c>
      <c r="F286" s="9" t="s">
        <v>37</v>
      </c>
      <c r="G286" s="9" t="s">
        <v>62</v>
      </c>
      <c r="H286" s="9" t="s">
        <v>63</v>
      </c>
      <c r="I286" s="9" t="s">
        <v>40</v>
      </c>
      <c r="J286" s="9">
        <v>2091</v>
      </c>
      <c r="K286" s="9" t="s">
        <v>2421</v>
      </c>
      <c r="L286" s="9" t="s">
        <v>42</v>
      </c>
      <c r="M286" s="10">
        <v>3.2523148148148151E-3</v>
      </c>
      <c r="N286" s="9" t="s">
        <v>65</v>
      </c>
      <c r="O286" s="9" t="s">
        <v>2422</v>
      </c>
      <c r="P286" s="9" t="s">
        <v>45</v>
      </c>
      <c r="Q286" s="10">
        <v>0.1107638888888889</v>
      </c>
      <c r="R286" s="9" t="s">
        <v>56</v>
      </c>
      <c r="S286" s="10">
        <v>0.2193171296296296</v>
      </c>
      <c r="T286" s="9">
        <v>26.798999999999999</v>
      </c>
      <c r="U286" s="9">
        <v>10.14</v>
      </c>
      <c r="V286" s="10">
        <v>0.1100694444444444</v>
      </c>
      <c r="W286" s="10">
        <v>6.7951388888888895E-2</v>
      </c>
      <c r="X286" s="10">
        <v>0</v>
      </c>
      <c r="Y286" s="9">
        <v>0</v>
      </c>
      <c r="Z286" s="9">
        <v>0</v>
      </c>
      <c r="AA286" s="9">
        <v>0</v>
      </c>
      <c r="AB286" s="9">
        <v>0</v>
      </c>
      <c r="AC286" s="9">
        <v>0</v>
      </c>
      <c r="AD286" s="9">
        <v>0</v>
      </c>
      <c r="AE286" s="9" t="s">
        <v>67</v>
      </c>
      <c r="AF286" s="9" t="s">
        <v>2423</v>
      </c>
      <c r="AG286" s="9" t="s">
        <v>2424</v>
      </c>
      <c r="AH286" s="9">
        <v>6.2259209999999996</v>
      </c>
      <c r="AI286" s="9">
        <v>-75.599410000000006</v>
      </c>
      <c r="AJ286" s="9" t="s">
        <v>2425</v>
      </c>
      <c r="AK286" s="9">
        <v>6.308389</v>
      </c>
      <c r="AL286" s="9">
        <v>-75.571085999999994</v>
      </c>
      <c r="AM286" s="26">
        <f t="shared" si="4"/>
        <v>0.1107638888888889</v>
      </c>
      <c r="AN286" s="9"/>
    </row>
    <row r="287" spans="1:40" ht="15" x14ac:dyDescent="0.25">
      <c r="A287" s="9" t="s">
        <v>2426</v>
      </c>
      <c r="B287" s="9" t="s">
        <v>2427</v>
      </c>
      <c r="C287" s="9" t="s">
        <v>2428</v>
      </c>
      <c r="D287" s="9" t="s">
        <v>2396</v>
      </c>
      <c r="E287" s="9" t="s">
        <v>36</v>
      </c>
      <c r="F287" s="9" t="s">
        <v>37</v>
      </c>
      <c r="G287" s="9" t="s">
        <v>72</v>
      </c>
      <c r="H287" s="9" t="s">
        <v>73</v>
      </c>
      <c r="I287" s="9" t="s">
        <v>40</v>
      </c>
      <c r="J287" s="9">
        <v>1780</v>
      </c>
      <c r="K287" s="9" t="s">
        <v>2429</v>
      </c>
      <c r="L287" s="9" t="s">
        <v>42</v>
      </c>
      <c r="M287" s="10">
        <v>9.3287037037037036E-3</v>
      </c>
      <c r="N287" s="9" t="s">
        <v>65</v>
      </c>
      <c r="O287" s="9" t="s">
        <v>2430</v>
      </c>
      <c r="P287" s="9" t="s">
        <v>45</v>
      </c>
      <c r="Q287" s="10">
        <v>0.13415509259259259</v>
      </c>
      <c r="R287" s="9" t="s">
        <v>56</v>
      </c>
      <c r="S287" s="10">
        <v>0.189849537037037</v>
      </c>
      <c r="T287" s="9">
        <v>23.821999999999999</v>
      </c>
      <c r="U287" s="9">
        <v>8.61</v>
      </c>
      <c r="V287" s="10">
        <v>0.1153356481481481</v>
      </c>
      <c r="W287" s="10">
        <v>7.7442129629629625E-2</v>
      </c>
      <c r="X287" s="10">
        <v>0</v>
      </c>
      <c r="Y287" s="9">
        <v>0</v>
      </c>
      <c r="Z287" s="9">
        <v>0</v>
      </c>
      <c r="AA287" s="9">
        <v>0</v>
      </c>
      <c r="AB287" s="9">
        <v>0</v>
      </c>
      <c r="AC287" s="9">
        <v>0</v>
      </c>
      <c r="AD287" s="9">
        <v>1</v>
      </c>
      <c r="AE287" s="9" t="s">
        <v>67</v>
      </c>
      <c r="AF287" s="9" t="s">
        <v>2431</v>
      </c>
      <c r="AG287" s="9" t="s">
        <v>2432</v>
      </c>
      <c r="AH287" s="9">
        <v>6.225841</v>
      </c>
      <c r="AI287" s="9">
        <v>-75.599694</v>
      </c>
      <c r="AJ287" s="9" t="s">
        <v>2433</v>
      </c>
      <c r="AK287" s="9">
        <v>6.2370450000000002</v>
      </c>
      <c r="AL287" s="9">
        <v>-75.558818000000002</v>
      </c>
      <c r="AM287" s="26">
        <f t="shared" si="4"/>
        <v>0.13415509259259259</v>
      </c>
      <c r="AN287" s="9"/>
    </row>
    <row r="288" spans="1:40" ht="15" x14ac:dyDescent="0.25">
      <c r="A288" s="9" t="s">
        <v>2434</v>
      </c>
      <c r="B288" s="9" t="s">
        <v>2435</v>
      </c>
      <c r="C288" s="9" t="s">
        <v>2436</v>
      </c>
      <c r="D288" s="9" t="s">
        <v>2396</v>
      </c>
      <c r="E288" s="9" t="s">
        <v>36</v>
      </c>
      <c r="F288" s="9" t="s">
        <v>37</v>
      </c>
      <c r="G288" s="9" t="s">
        <v>80</v>
      </c>
      <c r="H288" s="9" t="s">
        <v>81</v>
      </c>
      <c r="I288" s="9" t="s">
        <v>40</v>
      </c>
      <c r="J288" s="9">
        <v>4160</v>
      </c>
      <c r="K288" s="9" t="s">
        <v>2437</v>
      </c>
      <c r="L288" s="9" t="s">
        <v>42</v>
      </c>
      <c r="M288" s="10">
        <v>3.8117581018518518E-2</v>
      </c>
      <c r="N288" s="9" t="s">
        <v>43</v>
      </c>
      <c r="O288" s="9" t="s">
        <v>2438</v>
      </c>
      <c r="P288" s="9" t="s">
        <v>45</v>
      </c>
      <c r="Q288" s="10">
        <v>1.1005474537037039E-2</v>
      </c>
      <c r="R288" s="9" t="s">
        <v>56</v>
      </c>
      <c r="S288" s="10">
        <v>0.2842102777777778</v>
      </c>
      <c r="T288" s="9">
        <v>24.449000000000002</v>
      </c>
      <c r="U288" s="9">
        <v>18.23</v>
      </c>
      <c r="V288" s="10">
        <v>5.587763888888881E-2</v>
      </c>
      <c r="W288" s="10">
        <v>3.2076886574074058E-2</v>
      </c>
      <c r="X288" s="10">
        <v>0</v>
      </c>
      <c r="Y288" s="9">
        <v>0</v>
      </c>
      <c r="Z288" s="9">
        <v>0</v>
      </c>
      <c r="AA288" s="9">
        <v>0</v>
      </c>
      <c r="AB288" s="9">
        <v>0</v>
      </c>
      <c r="AC288" s="9">
        <v>0</v>
      </c>
      <c r="AD288" s="9">
        <v>9</v>
      </c>
      <c r="AE288" s="9" t="s">
        <v>57</v>
      </c>
      <c r="AF288" s="9" t="s">
        <v>2439</v>
      </c>
      <c r="AG288" s="9" t="s">
        <v>2440</v>
      </c>
      <c r="AH288" s="9">
        <v>6.2256619999999998</v>
      </c>
      <c r="AI288" s="9">
        <v>-75.599446</v>
      </c>
      <c r="AJ288" s="9" t="s">
        <v>2441</v>
      </c>
      <c r="AK288" s="9">
        <v>6.2469029999999997</v>
      </c>
      <c r="AL288" s="9">
        <v>-75.554122000000007</v>
      </c>
      <c r="AM288" s="26">
        <f t="shared" si="4"/>
        <v>4.9123055555555559E-2</v>
      </c>
      <c r="AN288" s="9"/>
    </row>
    <row r="289" spans="1:40" ht="15" x14ac:dyDescent="0.25">
      <c r="A289" s="9" t="s">
        <v>2442</v>
      </c>
      <c r="B289" s="9" t="s">
        <v>2443</v>
      </c>
      <c r="C289" s="9" t="s">
        <v>2444</v>
      </c>
      <c r="D289" s="9" t="s">
        <v>2396</v>
      </c>
      <c r="E289" s="9" t="s">
        <v>36</v>
      </c>
      <c r="F289" s="9" t="s">
        <v>37</v>
      </c>
      <c r="G289" s="9" t="s">
        <v>89</v>
      </c>
      <c r="H289" s="9" t="s">
        <v>90</v>
      </c>
      <c r="I289" s="9" t="s">
        <v>40</v>
      </c>
      <c r="J289" s="9">
        <v>3459</v>
      </c>
      <c r="K289" s="9" t="s">
        <v>2445</v>
      </c>
      <c r="L289" s="9" t="s">
        <v>42</v>
      </c>
      <c r="M289" s="10">
        <v>1.3194444444444441E-3</v>
      </c>
      <c r="N289" s="9" t="s">
        <v>65</v>
      </c>
      <c r="O289" s="9" t="s">
        <v>2446</v>
      </c>
      <c r="P289" s="9" t="s">
        <v>45</v>
      </c>
      <c r="Q289" s="10">
        <v>3.3217592592592591E-3</v>
      </c>
      <c r="R289" s="9" t="s">
        <v>46</v>
      </c>
      <c r="S289" s="10">
        <v>0.33797453703703711</v>
      </c>
      <c r="T289" s="9">
        <v>46.457000000000001</v>
      </c>
      <c r="U289" s="9">
        <v>6.24</v>
      </c>
      <c r="V289" s="10">
        <v>0.30996527777777783</v>
      </c>
      <c r="W289" s="10">
        <v>0.22189814814814809</v>
      </c>
      <c r="X289" s="10">
        <v>0</v>
      </c>
      <c r="Y289" s="9">
        <v>0</v>
      </c>
      <c r="Z289" s="9">
        <v>0</v>
      </c>
      <c r="AA289" s="9">
        <v>0</v>
      </c>
      <c r="AB289" s="9">
        <v>0</v>
      </c>
      <c r="AC289" s="9">
        <v>0</v>
      </c>
      <c r="AD289" s="9">
        <v>4</v>
      </c>
      <c r="AE289" s="9" t="s">
        <v>84</v>
      </c>
      <c r="AF289" s="9" t="s">
        <v>1602</v>
      </c>
      <c r="AG289" s="9" t="s">
        <v>2447</v>
      </c>
      <c r="AH289" s="9">
        <v>6.2266269999999997</v>
      </c>
      <c r="AI289" s="9">
        <v>-75.599292000000005</v>
      </c>
      <c r="AJ289" s="9" t="s">
        <v>2448</v>
      </c>
      <c r="AK289" s="9">
        <v>6.2788810000000002</v>
      </c>
      <c r="AL289" s="9">
        <v>-75.569232</v>
      </c>
      <c r="AM289" s="26">
        <f t="shared" si="4"/>
        <v>0</v>
      </c>
      <c r="AN289" s="9"/>
    </row>
    <row r="290" spans="1:40" ht="15" x14ac:dyDescent="0.25">
      <c r="A290" s="9" t="s">
        <v>2449</v>
      </c>
      <c r="B290" s="9" t="s">
        <v>2450</v>
      </c>
      <c r="C290" s="9" t="s">
        <v>2451</v>
      </c>
      <c r="D290" s="9" t="s">
        <v>2396</v>
      </c>
      <c r="E290" s="9" t="s">
        <v>36</v>
      </c>
      <c r="F290" s="9" t="s">
        <v>37</v>
      </c>
      <c r="G290" s="9" t="s">
        <v>97</v>
      </c>
      <c r="H290" s="9" t="s">
        <v>98</v>
      </c>
      <c r="I290" s="9" t="s">
        <v>40</v>
      </c>
      <c r="J290" s="9">
        <v>2458</v>
      </c>
      <c r="K290" s="9" t="s">
        <v>2452</v>
      </c>
      <c r="L290" s="9" t="s">
        <v>42</v>
      </c>
      <c r="M290" s="10">
        <v>6.7476851851851864E-3</v>
      </c>
      <c r="N290" s="9" t="s">
        <v>65</v>
      </c>
      <c r="O290" s="9" t="s">
        <v>2453</v>
      </c>
      <c r="P290" s="9" t="s">
        <v>45</v>
      </c>
      <c r="Q290" s="10">
        <v>2.1076388888888891E-2</v>
      </c>
      <c r="R290" s="9" t="s">
        <v>56</v>
      </c>
      <c r="S290" s="10">
        <v>0.30550925925925931</v>
      </c>
      <c r="T290" s="9">
        <v>31.143000000000001</v>
      </c>
      <c r="U290" s="9">
        <v>9.49</v>
      </c>
      <c r="V290" s="10">
        <v>0.13670138888888889</v>
      </c>
      <c r="W290" s="10">
        <v>8.1828703703703709E-2</v>
      </c>
      <c r="X290" s="10">
        <v>5.5439814814814813E-3</v>
      </c>
      <c r="Y290" s="9">
        <v>0</v>
      </c>
      <c r="Z290" s="9">
        <v>0</v>
      </c>
      <c r="AA290" s="9">
        <v>0</v>
      </c>
      <c r="AB290" s="9">
        <v>0</v>
      </c>
      <c r="AC290" s="9">
        <v>0</v>
      </c>
      <c r="AD290" s="9">
        <v>0</v>
      </c>
      <c r="AE290" s="9" t="s">
        <v>67</v>
      </c>
      <c r="AF290" s="9" t="s">
        <v>2454</v>
      </c>
      <c r="AG290" s="9" t="s">
        <v>2455</v>
      </c>
      <c r="AH290" s="9">
        <v>6.2258290000000001</v>
      </c>
      <c r="AI290" s="9">
        <v>-75.599388000000005</v>
      </c>
      <c r="AJ290" s="9" t="s">
        <v>2456</v>
      </c>
      <c r="AK290" s="9">
        <v>6.30783</v>
      </c>
      <c r="AL290" s="9">
        <v>-75.577472</v>
      </c>
      <c r="AM290" s="26">
        <f t="shared" si="4"/>
        <v>2.1076388888888891E-2</v>
      </c>
      <c r="AN290" s="9"/>
    </row>
    <row r="291" spans="1:40" ht="15" x14ac:dyDescent="0.25">
      <c r="A291" s="9" t="s">
        <v>2457</v>
      </c>
      <c r="B291" s="9" t="s">
        <v>2458</v>
      </c>
      <c r="C291" s="9" t="s">
        <v>2459</v>
      </c>
      <c r="D291" s="9" t="s">
        <v>2396</v>
      </c>
      <c r="E291" s="9" t="s">
        <v>36</v>
      </c>
      <c r="F291" s="9" t="s">
        <v>37</v>
      </c>
      <c r="G291" s="9" t="s">
        <v>105</v>
      </c>
      <c r="H291" s="9" t="s">
        <v>106</v>
      </c>
      <c r="I291" s="9" t="s">
        <v>40</v>
      </c>
      <c r="J291" s="9">
        <v>5114</v>
      </c>
      <c r="K291" s="9" t="s">
        <v>2460</v>
      </c>
      <c r="L291" s="9" t="s">
        <v>42</v>
      </c>
      <c r="M291" s="10">
        <v>1.133101851851852E-2</v>
      </c>
      <c r="N291" s="9" t="s">
        <v>43</v>
      </c>
      <c r="O291" s="9" t="s">
        <v>2461</v>
      </c>
      <c r="P291" s="9" t="s">
        <v>45</v>
      </c>
      <c r="Q291" s="10">
        <v>5.0671296296296298E-2</v>
      </c>
      <c r="R291" s="9" t="s">
        <v>56</v>
      </c>
      <c r="S291" s="10">
        <v>0.27133101851851849</v>
      </c>
      <c r="T291" s="9">
        <v>67.613</v>
      </c>
      <c r="U291" s="9">
        <v>16.8</v>
      </c>
      <c r="V291" s="10">
        <v>0.16769675925925931</v>
      </c>
      <c r="W291" s="10">
        <v>5.5925925925925928E-2</v>
      </c>
      <c r="X291" s="10">
        <v>0</v>
      </c>
      <c r="Y291" s="9">
        <v>0</v>
      </c>
      <c r="Z291" s="9">
        <v>0</v>
      </c>
      <c r="AA291" s="9">
        <v>0</v>
      </c>
      <c r="AB291" s="9">
        <v>0</v>
      </c>
      <c r="AC291" s="9">
        <v>0</v>
      </c>
      <c r="AD291" s="9">
        <v>0</v>
      </c>
      <c r="AE291" s="9" t="s">
        <v>57</v>
      </c>
      <c r="AF291" s="9" t="s">
        <v>2462</v>
      </c>
      <c r="AG291" s="9" t="s">
        <v>2463</v>
      </c>
      <c r="AH291" s="9">
        <v>6.2257850000000001</v>
      </c>
      <c r="AI291" s="9">
        <v>-75.598634000000004</v>
      </c>
      <c r="AJ291" s="9" t="s">
        <v>2464</v>
      </c>
      <c r="AK291" s="9">
        <v>6.2600230000000003</v>
      </c>
      <c r="AL291" s="9">
        <v>-75.621120000000005</v>
      </c>
      <c r="AM291" s="26">
        <f t="shared" si="4"/>
        <v>6.2002314814814816E-2</v>
      </c>
      <c r="AN291" s="9"/>
    </row>
    <row r="292" spans="1:40" ht="15" x14ac:dyDescent="0.25">
      <c r="A292" s="9" t="s">
        <v>2466</v>
      </c>
      <c r="B292" s="9" t="s">
        <v>2467</v>
      </c>
      <c r="C292" s="9" t="s">
        <v>2468</v>
      </c>
      <c r="D292" s="9" t="s">
        <v>2396</v>
      </c>
      <c r="E292" s="9" t="s">
        <v>36</v>
      </c>
      <c r="F292" s="9" t="s">
        <v>37</v>
      </c>
      <c r="G292" s="9" t="s">
        <v>124</v>
      </c>
      <c r="H292" s="9" t="s">
        <v>125</v>
      </c>
      <c r="I292" s="9" t="s">
        <v>115</v>
      </c>
      <c r="J292" s="9">
        <v>3670</v>
      </c>
      <c r="K292" s="9" t="s">
        <v>2469</v>
      </c>
      <c r="L292" s="9" t="s">
        <v>117</v>
      </c>
      <c r="M292" s="10">
        <v>1.6168981481481479E-2</v>
      </c>
      <c r="N292" s="9" t="s">
        <v>127</v>
      </c>
      <c r="O292" s="9" t="s">
        <v>2470</v>
      </c>
      <c r="P292" s="9" t="s">
        <v>119</v>
      </c>
      <c r="Q292" s="10">
        <v>1.402777777777778E-2</v>
      </c>
      <c r="R292" s="9" t="s">
        <v>129</v>
      </c>
      <c r="S292" s="10">
        <v>0.28019675925925919</v>
      </c>
      <c r="T292" s="9">
        <v>47.732999999999997</v>
      </c>
      <c r="U292" s="9">
        <v>9.25</v>
      </c>
      <c r="V292" s="10">
        <v>0.21511574074074069</v>
      </c>
      <c r="W292" s="10">
        <v>0.14226851851851849</v>
      </c>
      <c r="X292" s="10">
        <v>1.1539351851851849E-2</v>
      </c>
      <c r="Y292" s="9">
        <v>1</v>
      </c>
      <c r="Z292" s="9">
        <v>1</v>
      </c>
      <c r="AA292" s="9">
        <v>0</v>
      </c>
      <c r="AB292" s="9">
        <v>0</v>
      </c>
      <c r="AC292" s="9">
        <v>0</v>
      </c>
      <c r="AD292" s="9">
        <v>1</v>
      </c>
      <c r="AE292" s="9" t="s">
        <v>130</v>
      </c>
      <c r="AF292" s="9" t="s">
        <v>2471</v>
      </c>
      <c r="AG292" s="9" t="s">
        <v>2472</v>
      </c>
      <c r="AH292" s="9">
        <v>6.2266050000000002</v>
      </c>
      <c r="AI292" s="9">
        <v>-75.599282000000002</v>
      </c>
      <c r="AJ292" s="9" t="s">
        <v>2473</v>
      </c>
      <c r="AK292" s="9">
        <v>6.2726499999999996</v>
      </c>
      <c r="AL292" s="9">
        <v>-75.601763000000005</v>
      </c>
      <c r="AM292" s="26">
        <f t="shared" si="4"/>
        <v>0</v>
      </c>
      <c r="AN292" s="9"/>
    </row>
    <row r="293" spans="1:40" ht="15" x14ac:dyDescent="0.25">
      <c r="A293" s="9" t="s">
        <v>2474</v>
      </c>
      <c r="B293" s="9" t="s">
        <v>2475</v>
      </c>
      <c r="C293" s="9" t="s">
        <v>2476</v>
      </c>
      <c r="D293" s="9" t="s">
        <v>2396</v>
      </c>
      <c r="E293" s="9" t="s">
        <v>36</v>
      </c>
      <c r="F293" s="9" t="s">
        <v>37</v>
      </c>
      <c r="G293" s="9" t="s">
        <v>135</v>
      </c>
      <c r="H293" s="9" t="s">
        <v>136</v>
      </c>
      <c r="I293" s="9" t="s">
        <v>115</v>
      </c>
      <c r="J293" s="9">
        <v>1820</v>
      </c>
      <c r="K293" s="9" t="s">
        <v>2477</v>
      </c>
      <c r="L293" s="9" t="s">
        <v>117</v>
      </c>
      <c r="M293" s="10">
        <v>4.9212962962962972E-2</v>
      </c>
      <c r="N293" s="9" t="s">
        <v>127</v>
      </c>
      <c r="O293" s="9" t="s">
        <v>2478</v>
      </c>
      <c r="P293" s="9" t="s">
        <v>119</v>
      </c>
      <c r="Q293" s="10">
        <v>5.6944444444444447E-3</v>
      </c>
      <c r="R293" s="9" t="s">
        <v>46</v>
      </c>
      <c r="S293" s="10">
        <v>0.29351851851851851</v>
      </c>
      <c r="T293" s="9">
        <v>29.579000000000001</v>
      </c>
      <c r="U293" s="9">
        <v>13.31</v>
      </c>
      <c r="V293" s="10">
        <v>9.256944444444444E-2</v>
      </c>
      <c r="W293" s="10">
        <v>5.451388888888889E-2</v>
      </c>
      <c r="X293" s="10">
        <v>0</v>
      </c>
      <c r="Y293" s="9">
        <v>0</v>
      </c>
      <c r="Z293" s="9">
        <v>0</v>
      </c>
      <c r="AA293" s="9">
        <v>0</v>
      </c>
      <c r="AB293" s="9">
        <v>0</v>
      </c>
      <c r="AC293" s="9">
        <v>0</v>
      </c>
      <c r="AD293" s="9">
        <v>7</v>
      </c>
      <c r="AE293" s="9" t="s">
        <v>139</v>
      </c>
      <c r="AF293" s="9" t="s">
        <v>2479</v>
      </c>
      <c r="AG293" s="9" t="s">
        <v>2480</v>
      </c>
      <c r="AH293" s="9">
        <v>6.2255729999999998</v>
      </c>
      <c r="AI293" s="9">
        <v>-75.599451999999999</v>
      </c>
      <c r="AJ293" s="9" t="s">
        <v>2481</v>
      </c>
      <c r="AK293" s="9">
        <v>6.2761139999999997</v>
      </c>
      <c r="AL293" s="9">
        <v>-75.572663000000006</v>
      </c>
      <c r="AM293" s="26">
        <f t="shared" si="4"/>
        <v>0</v>
      </c>
      <c r="AN293" s="9"/>
    </row>
    <row r="294" spans="1:40" ht="15" x14ac:dyDescent="0.25">
      <c r="A294" s="9" t="s">
        <v>2482</v>
      </c>
      <c r="B294" s="9" t="s">
        <v>2483</v>
      </c>
      <c r="C294" s="9" t="s">
        <v>2484</v>
      </c>
      <c r="D294" s="9" t="s">
        <v>2396</v>
      </c>
      <c r="E294" s="9" t="s">
        <v>36</v>
      </c>
      <c r="F294" s="9" t="s">
        <v>37</v>
      </c>
      <c r="G294" s="9" t="s">
        <v>144</v>
      </c>
      <c r="H294" s="9" t="s">
        <v>145</v>
      </c>
      <c r="I294" s="9" t="s">
        <v>115</v>
      </c>
      <c r="J294" s="9">
        <v>3767</v>
      </c>
      <c r="K294" s="9" t="s">
        <v>2485</v>
      </c>
      <c r="L294" s="9" t="s">
        <v>117</v>
      </c>
      <c r="M294" s="10">
        <v>1.9143518518518522E-2</v>
      </c>
      <c r="N294" s="9" t="s">
        <v>127</v>
      </c>
      <c r="O294" s="9" t="s">
        <v>2486</v>
      </c>
      <c r="P294" s="9" t="s">
        <v>119</v>
      </c>
      <c r="Q294" s="10">
        <v>2.2337962962962958E-3</v>
      </c>
      <c r="R294" s="9" t="s">
        <v>46</v>
      </c>
      <c r="S294" s="10">
        <v>0.2669097222222222</v>
      </c>
      <c r="T294" s="9">
        <v>50.171999999999997</v>
      </c>
      <c r="U294" s="9">
        <v>12.08</v>
      </c>
      <c r="V294" s="10">
        <v>0.17307870370370371</v>
      </c>
      <c r="W294" s="10">
        <v>8.9861111111111114E-2</v>
      </c>
      <c r="X294" s="10">
        <v>8.6458333333333335E-3</v>
      </c>
      <c r="Y294" s="9">
        <v>1</v>
      </c>
      <c r="Z294" s="9">
        <v>0</v>
      </c>
      <c r="AA294" s="9">
        <v>0</v>
      </c>
      <c r="AB294" s="9">
        <v>0</v>
      </c>
      <c r="AC294" s="9">
        <v>0</v>
      </c>
      <c r="AD294" s="9">
        <v>0</v>
      </c>
      <c r="AE294" s="9" t="s">
        <v>139</v>
      </c>
      <c r="AF294" s="9" t="s">
        <v>2487</v>
      </c>
      <c r="AG294" s="9" t="s">
        <v>2488</v>
      </c>
      <c r="AH294" s="9">
        <v>6.22682</v>
      </c>
      <c r="AI294" s="9">
        <v>-75.599361000000002</v>
      </c>
      <c r="AJ294" s="9" t="s">
        <v>2489</v>
      </c>
      <c r="AK294" s="9">
        <v>6.2903929999999999</v>
      </c>
      <c r="AL294" s="9">
        <v>-75.546638000000002</v>
      </c>
      <c r="AM294" s="26">
        <f t="shared" si="4"/>
        <v>0</v>
      </c>
      <c r="AN294" s="9"/>
    </row>
    <row r="295" spans="1:40" ht="15" x14ac:dyDescent="0.25">
      <c r="A295" s="9" t="s">
        <v>2490</v>
      </c>
      <c r="B295" s="9" t="s">
        <v>2491</v>
      </c>
      <c r="C295" s="9" t="s">
        <v>2492</v>
      </c>
      <c r="D295" s="9" t="s">
        <v>2396</v>
      </c>
      <c r="E295" s="9" t="s">
        <v>36</v>
      </c>
      <c r="F295" s="9" t="s">
        <v>37</v>
      </c>
      <c r="G295" s="9" t="s">
        <v>152</v>
      </c>
      <c r="H295" s="9" t="s">
        <v>153</v>
      </c>
      <c r="I295" s="9" t="s">
        <v>115</v>
      </c>
      <c r="J295" s="9">
        <v>3530</v>
      </c>
      <c r="K295" s="9" t="s">
        <v>2493</v>
      </c>
      <c r="L295" s="9" t="s">
        <v>117</v>
      </c>
      <c r="M295" s="10">
        <v>4.6203703703703712E-2</v>
      </c>
      <c r="N295" s="9" t="s">
        <v>127</v>
      </c>
      <c r="O295" s="9" t="s">
        <v>2494</v>
      </c>
      <c r="P295" s="9" t="s">
        <v>119</v>
      </c>
      <c r="Q295" s="10">
        <v>0.1083564814814815</v>
      </c>
      <c r="R295" s="9" t="s">
        <v>56</v>
      </c>
      <c r="S295" s="10">
        <v>0.18784722222222219</v>
      </c>
      <c r="T295" s="9">
        <v>46.927</v>
      </c>
      <c r="U295" s="9">
        <v>11.72</v>
      </c>
      <c r="V295" s="10">
        <v>0.1668402777777778</v>
      </c>
      <c r="W295" s="10">
        <v>8.4050925925925932E-2</v>
      </c>
      <c r="X295" s="10">
        <v>0</v>
      </c>
      <c r="Y295" s="9">
        <v>0</v>
      </c>
      <c r="Z295" s="9">
        <v>0</v>
      </c>
      <c r="AA295" s="9">
        <v>0</v>
      </c>
      <c r="AB295" s="9">
        <v>0</v>
      </c>
      <c r="AC295" s="9">
        <v>0</v>
      </c>
      <c r="AD295" s="9">
        <v>1</v>
      </c>
      <c r="AE295" s="9" t="s">
        <v>139</v>
      </c>
      <c r="AF295" s="9" t="s">
        <v>2495</v>
      </c>
      <c r="AG295" s="9" t="s">
        <v>2496</v>
      </c>
      <c r="AH295" s="9">
        <v>6.225657</v>
      </c>
      <c r="AI295" s="9">
        <v>-75.599422000000004</v>
      </c>
      <c r="AJ295" s="9" t="s">
        <v>2497</v>
      </c>
      <c r="AK295" s="9">
        <v>6.2518250000000002</v>
      </c>
      <c r="AL295" s="9">
        <v>-75.551900000000003</v>
      </c>
      <c r="AM295" s="26">
        <f t="shared" si="4"/>
        <v>0.1083564814814815</v>
      </c>
      <c r="AN295" s="9"/>
    </row>
    <row r="296" spans="1:40" ht="15" x14ac:dyDescent="0.25">
      <c r="A296" s="9" t="s">
        <v>2498</v>
      </c>
      <c r="B296" s="9" t="s">
        <v>2499</v>
      </c>
      <c r="C296" s="9" t="s">
        <v>2500</v>
      </c>
      <c r="D296" s="9" t="s">
        <v>2396</v>
      </c>
      <c r="E296" s="9" t="s">
        <v>36</v>
      </c>
      <c r="F296" s="9" t="s">
        <v>37</v>
      </c>
      <c r="G296" s="9" t="s">
        <v>160</v>
      </c>
      <c r="H296" s="9" t="s">
        <v>161</v>
      </c>
      <c r="I296" s="9" t="s">
        <v>115</v>
      </c>
      <c r="J296" s="9">
        <v>6725</v>
      </c>
      <c r="K296" s="9" t="s">
        <v>2501</v>
      </c>
      <c r="L296" s="9" t="s">
        <v>117</v>
      </c>
      <c r="M296" s="10">
        <v>1.545329861111111E-2</v>
      </c>
      <c r="N296" s="9" t="s">
        <v>127</v>
      </c>
      <c r="O296" s="9" t="s">
        <v>2502</v>
      </c>
      <c r="P296" s="9" t="s">
        <v>119</v>
      </c>
      <c r="Q296" s="10">
        <v>3.748078703703704E-3</v>
      </c>
      <c r="R296" s="9" t="s">
        <v>46</v>
      </c>
      <c r="S296" s="10">
        <v>0.2692013773148148</v>
      </c>
      <c r="T296" s="9">
        <v>38.064</v>
      </c>
      <c r="U296" s="9">
        <v>8.99</v>
      </c>
      <c r="V296" s="10">
        <v>0.17641278935185181</v>
      </c>
      <c r="W296" s="10">
        <v>0.1398386458333333</v>
      </c>
      <c r="X296" s="10">
        <v>0</v>
      </c>
      <c r="Y296" s="9">
        <v>0</v>
      </c>
      <c r="Z296" s="9">
        <v>0</v>
      </c>
      <c r="AA296" s="9">
        <v>0</v>
      </c>
      <c r="AB296" s="9">
        <v>0</v>
      </c>
      <c r="AC296" s="9">
        <v>0</v>
      </c>
      <c r="AD296" s="9">
        <v>5</v>
      </c>
      <c r="AE296" s="9" t="s">
        <v>139</v>
      </c>
      <c r="AF296" s="9" t="s">
        <v>2503</v>
      </c>
      <c r="AG296" s="9" t="s">
        <v>2504</v>
      </c>
      <c r="AH296" s="9">
        <v>6.2273050000000003</v>
      </c>
      <c r="AI296" s="9">
        <v>-75.599289999999996</v>
      </c>
      <c r="AJ296" s="9" t="s">
        <v>2505</v>
      </c>
      <c r="AK296" s="9">
        <v>6.26851</v>
      </c>
      <c r="AL296" s="9">
        <v>-75.599528000000007</v>
      </c>
      <c r="AM296" s="26">
        <f t="shared" si="4"/>
        <v>0</v>
      </c>
      <c r="AN296" s="9"/>
    </row>
    <row r="297" spans="1:40" ht="15" x14ac:dyDescent="0.25">
      <c r="A297" s="9" t="s">
        <v>2506</v>
      </c>
      <c r="B297" s="9" t="s">
        <v>2507</v>
      </c>
      <c r="C297" s="9" t="s">
        <v>2508</v>
      </c>
      <c r="D297" s="9" t="s">
        <v>2509</v>
      </c>
      <c r="E297" s="9" t="s">
        <v>36</v>
      </c>
      <c r="F297" s="9" t="s">
        <v>169</v>
      </c>
      <c r="G297" s="9" t="s">
        <v>38</v>
      </c>
      <c r="H297" s="9" t="s">
        <v>39</v>
      </c>
      <c r="I297" s="9" t="s">
        <v>40</v>
      </c>
      <c r="J297" s="9">
        <v>5005</v>
      </c>
      <c r="K297" s="9" t="s">
        <v>2510</v>
      </c>
      <c r="L297" s="9" t="s">
        <v>42</v>
      </c>
      <c r="M297" s="10">
        <v>5.1577337962962967E-2</v>
      </c>
      <c r="N297" s="9" t="s">
        <v>43</v>
      </c>
      <c r="O297" s="9" t="s">
        <v>2511</v>
      </c>
      <c r="P297" s="9" t="s">
        <v>45</v>
      </c>
      <c r="Q297" s="10">
        <v>1.3672569444444439E-3</v>
      </c>
      <c r="R297" s="9" t="s">
        <v>46</v>
      </c>
      <c r="S297" s="10">
        <v>0.28312325231481478</v>
      </c>
      <c r="T297" s="9">
        <v>39.552999999999997</v>
      </c>
      <c r="U297" s="9">
        <v>34.33</v>
      </c>
      <c r="V297" s="10">
        <v>4.8002847222222277E-2</v>
      </c>
      <c r="W297" s="10">
        <v>8.6759837962962945E-3</v>
      </c>
      <c r="X297" s="10">
        <v>0</v>
      </c>
      <c r="Y297" s="9">
        <v>0</v>
      </c>
      <c r="Z297" s="9">
        <v>0</v>
      </c>
      <c r="AA297" s="9">
        <v>0</v>
      </c>
      <c r="AB297" s="9">
        <v>0</v>
      </c>
      <c r="AC297" s="9">
        <v>0</v>
      </c>
      <c r="AD297" s="9">
        <v>4</v>
      </c>
      <c r="AE297" s="9" t="s">
        <v>47</v>
      </c>
      <c r="AF297" s="9" t="s">
        <v>2512</v>
      </c>
      <c r="AG297" s="9" t="s">
        <v>2513</v>
      </c>
      <c r="AH297" s="9">
        <v>6.2217380000000002</v>
      </c>
      <c r="AI297" s="9">
        <v>-75.593903999999995</v>
      </c>
      <c r="AJ297" s="9" t="s">
        <v>2514</v>
      </c>
      <c r="AK297" s="9">
        <v>6.2455569999999998</v>
      </c>
      <c r="AL297" s="9">
        <v>-75.583618999999999</v>
      </c>
      <c r="AM297" s="26">
        <f t="shared" si="4"/>
        <v>5.1577337962962967E-2</v>
      </c>
      <c r="AN297" s="9"/>
    </row>
    <row r="298" spans="1:40" ht="15" x14ac:dyDescent="0.25">
      <c r="A298" s="9" t="s">
        <v>2515</v>
      </c>
      <c r="B298" s="9" t="s">
        <v>2516</v>
      </c>
      <c r="C298" s="9" t="s">
        <v>2517</v>
      </c>
      <c r="D298" s="9" t="s">
        <v>2509</v>
      </c>
      <c r="E298" s="9" t="s">
        <v>36</v>
      </c>
      <c r="F298" s="9" t="s">
        <v>169</v>
      </c>
      <c r="G298" s="9" t="s">
        <v>52</v>
      </c>
      <c r="H298" s="9" t="s">
        <v>53</v>
      </c>
      <c r="I298" s="9" t="s">
        <v>40</v>
      </c>
      <c r="J298" s="9">
        <v>2590</v>
      </c>
      <c r="K298" s="9" t="s">
        <v>2518</v>
      </c>
      <c r="L298" s="9" t="s">
        <v>42</v>
      </c>
      <c r="M298" s="10">
        <v>9.3518518518518525E-3</v>
      </c>
      <c r="N298" s="9" t="s">
        <v>65</v>
      </c>
      <c r="O298" s="9" t="s">
        <v>2519</v>
      </c>
      <c r="P298" s="9" t="s">
        <v>45</v>
      </c>
      <c r="Q298" s="10">
        <v>6.3171296296296295E-2</v>
      </c>
      <c r="R298" s="9" t="s">
        <v>129</v>
      </c>
      <c r="S298" s="10">
        <v>0.40585648148148151</v>
      </c>
      <c r="T298" s="9">
        <v>33.085000000000001</v>
      </c>
      <c r="U298" s="9">
        <v>3.92</v>
      </c>
      <c r="V298" s="10">
        <v>0.35123842592592591</v>
      </c>
      <c r="W298" s="10">
        <v>0.27349537037037042</v>
      </c>
      <c r="X298" s="10">
        <v>0</v>
      </c>
      <c r="Y298" s="9">
        <v>0</v>
      </c>
      <c r="Z298" s="9">
        <v>0</v>
      </c>
      <c r="AA298" s="9">
        <v>0</v>
      </c>
      <c r="AB298" s="9">
        <v>0</v>
      </c>
      <c r="AC298" s="9">
        <v>0</v>
      </c>
      <c r="AD298" s="9">
        <v>5</v>
      </c>
      <c r="AE298" s="9" t="s">
        <v>130</v>
      </c>
      <c r="AF298" s="9" t="s">
        <v>2520</v>
      </c>
      <c r="AG298" s="9" t="s">
        <v>2521</v>
      </c>
      <c r="AH298" s="9">
        <v>6.2256660000000004</v>
      </c>
      <c r="AI298" s="9">
        <v>-75.599402999999995</v>
      </c>
      <c r="AJ298" s="9" t="s">
        <v>2522</v>
      </c>
      <c r="AK298" s="9">
        <v>6.2477580000000001</v>
      </c>
      <c r="AL298" s="9">
        <v>-75.614985000000004</v>
      </c>
      <c r="AM298" s="26">
        <f t="shared" si="4"/>
        <v>0</v>
      </c>
      <c r="AN298" s="9"/>
    </row>
    <row r="299" spans="1:40" ht="15" x14ac:dyDescent="0.25">
      <c r="A299" s="9" t="s">
        <v>2523</v>
      </c>
      <c r="B299" s="9" t="s">
        <v>2524</v>
      </c>
      <c r="C299" s="9" t="s">
        <v>2525</v>
      </c>
      <c r="D299" s="9" t="s">
        <v>2509</v>
      </c>
      <c r="E299" s="9" t="s">
        <v>36</v>
      </c>
      <c r="F299" s="9" t="s">
        <v>169</v>
      </c>
      <c r="G299" s="9" t="s">
        <v>113</v>
      </c>
      <c r="H299" s="9" t="s">
        <v>114</v>
      </c>
      <c r="I299" s="9" t="s">
        <v>40</v>
      </c>
      <c r="J299" s="9">
        <v>4689</v>
      </c>
      <c r="K299" s="9" t="s">
        <v>2526</v>
      </c>
      <c r="L299" s="9" t="s">
        <v>42</v>
      </c>
      <c r="M299" s="10">
        <v>6.5856481481481478E-3</v>
      </c>
      <c r="N299" s="9" t="s">
        <v>65</v>
      </c>
      <c r="O299" s="9" t="s">
        <v>2527</v>
      </c>
      <c r="P299" s="9" t="s">
        <v>45</v>
      </c>
      <c r="Q299" s="10">
        <v>1.3310185185185181E-3</v>
      </c>
      <c r="R299" s="9" t="s">
        <v>46</v>
      </c>
      <c r="S299" s="10">
        <v>0.32807870370370368</v>
      </c>
      <c r="T299" s="9">
        <v>63.694000000000003</v>
      </c>
      <c r="U299" s="9">
        <v>8.93</v>
      </c>
      <c r="V299" s="10">
        <v>0.29726851851851849</v>
      </c>
      <c r="W299" s="10">
        <v>0.1940277777777778</v>
      </c>
      <c r="X299" s="10">
        <v>0</v>
      </c>
      <c r="Y299" s="9">
        <v>0</v>
      </c>
      <c r="Z299" s="9">
        <v>0</v>
      </c>
      <c r="AA299" s="9">
        <v>0</v>
      </c>
      <c r="AB299" s="9">
        <v>0</v>
      </c>
      <c r="AC299" s="9">
        <v>0</v>
      </c>
      <c r="AD299" s="9">
        <v>2</v>
      </c>
      <c r="AE299" s="9" t="s">
        <v>84</v>
      </c>
      <c r="AF299" s="9" t="s">
        <v>1384</v>
      </c>
      <c r="AG299" s="9" t="s">
        <v>2528</v>
      </c>
      <c r="AH299" s="9">
        <v>6.2255500000000001</v>
      </c>
      <c r="AI299" s="9">
        <v>-75.599417000000003</v>
      </c>
      <c r="AJ299" s="9" t="s">
        <v>2529</v>
      </c>
      <c r="AK299" s="9">
        <v>6.2379579999999999</v>
      </c>
      <c r="AL299" s="9">
        <v>-75.577248999999995</v>
      </c>
      <c r="AM299" s="26">
        <f t="shared" si="4"/>
        <v>0</v>
      </c>
      <c r="AN299" s="9"/>
    </row>
    <row r="300" spans="1:40" ht="15" x14ac:dyDescent="0.25">
      <c r="A300" s="9" t="s">
        <v>2530</v>
      </c>
      <c r="B300" s="9" t="s">
        <v>2531</v>
      </c>
      <c r="C300" s="9" t="s">
        <v>2532</v>
      </c>
      <c r="D300" s="9" t="s">
        <v>2509</v>
      </c>
      <c r="E300" s="9" t="s">
        <v>36</v>
      </c>
      <c r="F300" s="9" t="s">
        <v>169</v>
      </c>
      <c r="G300" s="9" t="s">
        <v>62</v>
      </c>
      <c r="H300" s="9" t="s">
        <v>63</v>
      </c>
      <c r="I300" s="9" t="s">
        <v>40</v>
      </c>
      <c r="J300" s="9">
        <v>1705</v>
      </c>
      <c r="K300" s="9" t="s">
        <v>2533</v>
      </c>
      <c r="L300" s="9" t="s">
        <v>42</v>
      </c>
      <c r="M300" s="10">
        <v>1.216435185185185E-2</v>
      </c>
      <c r="N300" s="9" t="s">
        <v>43</v>
      </c>
      <c r="O300" s="9" t="s">
        <v>2534</v>
      </c>
      <c r="P300" s="9" t="s">
        <v>45</v>
      </c>
      <c r="Q300" s="10">
        <v>9.6585648148148143E-2</v>
      </c>
      <c r="R300" s="9" t="s">
        <v>56</v>
      </c>
      <c r="S300" s="10">
        <v>0.2245833333333333</v>
      </c>
      <c r="T300" s="9">
        <v>21.669</v>
      </c>
      <c r="U300" s="9">
        <v>10.51</v>
      </c>
      <c r="V300" s="10">
        <v>8.5925925925925919E-2</v>
      </c>
      <c r="W300" s="10">
        <v>5.033564814814815E-2</v>
      </c>
      <c r="X300" s="10">
        <v>1.981481481481482E-2</v>
      </c>
      <c r="Y300" s="9">
        <v>1</v>
      </c>
      <c r="Z300" s="9">
        <v>1</v>
      </c>
      <c r="AA300" s="9">
        <v>0</v>
      </c>
      <c r="AB300" s="9">
        <v>0</v>
      </c>
      <c r="AC300" s="9">
        <v>0</v>
      </c>
      <c r="AD300" s="9">
        <v>0</v>
      </c>
      <c r="AE300" s="9" t="s">
        <v>57</v>
      </c>
      <c r="AF300" s="9" t="s">
        <v>2535</v>
      </c>
      <c r="AG300" s="9" t="s">
        <v>2536</v>
      </c>
      <c r="AH300" s="9">
        <v>6.225625</v>
      </c>
      <c r="AI300" s="9">
        <v>-75.599011000000004</v>
      </c>
      <c r="AJ300" s="9" t="s">
        <v>2537</v>
      </c>
      <c r="AK300" s="9">
        <v>6.2977610000000004</v>
      </c>
      <c r="AL300" s="9">
        <v>-75.572980000000001</v>
      </c>
      <c r="AM300" s="26">
        <f t="shared" si="4"/>
        <v>0.10874999999999999</v>
      </c>
      <c r="AN300" s="9"/>
    </row>
    <row r="301" spans="1:40" ht="15" x14ac:dyDescent="0.25">
      <c r="A301" s="9" t="s">
        <v>2538</v>
      </c>
      <c r="B301" s="9" t="s">
        <v>2539</v>
      </c>
      <c r="C301" s="9" t="s">
        <v>2540</v>
      </c>
      <c r="D301" s="9" t="s">
        <v>2509</v>
      </c>
      <c r="E301" s="9" t="s">
        <v>36</v>
      </c>
      <c r="F301" s="9" t="s">
        <v>169</v>
      </c>
      <c r="G301" s="9" t="s">
        <v>72</v>
      </c>
      <c r="H301" s="9" t="s">
        <v>73</v>
      </c>
      <c r="I301" s="9" t="s">
        <v>40</v>
      </c>
      <c r="J301" s="9">
        <v>1555</v>
      </c>
      <c r="K301" s="9" t="s">
        <v>2541</v>
      </c>
      <c r="L301" s="9" t="s">
        <v>42</v>
      </c>
      <c r="M301" s="10">
        <v>3.1712962962962962E-3</v>
      </c>
      <c r="N301" s="9" t="s">
        <v>65</v>
      </c>
      <c r="O301" s="9" t="s">
        <v>2542</v>
      </c>
      <c r="P301" s="9" t="s">
        <v>45</v>
      </c>
      <c r="Q301" s="10">
        <v>0.18982638888888889</v>
      </c>
      <c r="R301" s="9" t="s">
        <v>56</v>
      </c>
      <c r="S301" s="10">
        <v>0.14033564814814811</v>
      </c>
      <c r="T301" s="9">
        <v>21.213000000000001</v>
      </c>
      <c r="U301" s="9">
        <v>6.77</v>
      </c>
      <c r="V301" s="10">
        <v>0.1305324074074074</v>
      </c>
      <c r="W301" s="10">
        <v>0.1002314814814815</v>
      </c>
      <c r="X301" s="10">
        <v>5.9837962962962961E-3</v>
      </c>
      <c r="Y301" s="9">
        <v>0</v>
      </c>
      <c r="Z301" s="9">
        <v>0</v>
      </c>
      <c r="AA301" s="9">
        <v>0</v>
      </c>
      <c r="AB301" s="9">
        <v>0</v>
      </c>
      <c r="AC301" s="9">
        <v>0</v>
      </c>
      <c r="AD301" s="9">
        <v>1</v>
      </c>
      <c r="AE301" s="9" t="s">
        <v>67</v>
      </c>
      <c r="AF301" s="9" t="s">
        <v>2543</v>
      </c>
      <c r="AG301" s="9" t="s">
        <v>2544</v>
      </c>
      <c r="AH301" s="9">
        <v>6.2240200000000003</v>
      </c>
      <c r="AI301" s="9">
        <v>-75.601588000000007</v>
      </c>
      <c r="AJ301" s="9" t="s">
        <v>2545</v>
      </c>
      <c r="AK301" s="9">
        <v>6.241441</v>
      </c>
      <c r="AL301" s="9">
        <v>-75.559989999999999</v>
      </c>
      <c r="AM301" s="26">
        <f t="shared" si="4"/>
        <v>0.18982638888888889</v>
      </c>
      <c r="AN301" s="9"/>
    </row>
    <row r="302" spans="1:40" ht="15" x14ac:dyDescent="0.25">
      <c r="A302" s="9" t="s">
        <v>2546</v>
      </c>
      <c r="B302" s="9" t="s">
        <v>2547</v>
      </c>
      <c r="C302" s="9" t="s">
        <v>2548</v>
      </c>
      <c r="D302" s="9" t="s">
        <v>2509</v>
      </c>
      <c r="E302" s="9" t="s">
        <v>36</v>
      </c>
      <c r="F302" s="9" t="s">
        <v>169</v>
      </c>
      <c r="G302" s="9" t="s">
        <v>80</v>
      </c>
      <c r="H302" s="9" t="s">
        <v>81</v>
      </c>
      <c r="I302" s="9" t="s">
        <v>40</v>
      </c>
      <c r="J302" s="9">
        <v>4265</v>
      </c>
      <c r="K302" s="9" t="s">
        <v>2549</v>
      </c>
      <c r="L302" s="9" t="s">
        <v>42</v>
      </c>
      <c r="M302" s="10">
        <v>4.5843865740740741E-3</v>
      </c>
      <c r="N302" s="9" t="s">
        <v>65</v>
      </c>
      <c r="O302" s="9" t="s">
        <v>2550</v>
      </c>
      <c r="P302" s="9" t="s">
        <v>45</v>
      </c>
      <c r="Q302" s="10">
        <v>7.6608796296296299E-4</v>
      </c>
      <c r="R302" s="9" t="s">
        <v>46</v>
      </c>
      <c r="S302" s="10">
        <v>0.32798285879629629</v>
      </c>
      <c r="T302" s="9">
        <v>33.555</v>
      </c>
      <c r="U302" s="9">
        <v>21.06</v>
      </c>
      <c r="V302" s="10">
        <v>6.6391805555555614E-2</v>
      </c>
      <c r="W302" s="10">
        <v>2.978425925925926E-2</v>
      </c>
      <c r="X302" s="10">
        <v>0</v>
      </c>
      <c r="Y302" s="9">
        <v>0</v>
      </c>
      <c r="Z302" s="9">
        <v>0</v>
      </c>
      <c r="AA302" s="9">
        <v>0</v>
      </c>
      <c r="AB302" s="9">
        <v>0</v>
      </c>
      <c r="AC302" s="9">
        <v>0</v>
      </c>
      <c r="AD302" s="9">
        <v>14</v>
      </c>
      <c r="AE302" s="9" t="s">
        <v>84</v>
      </c>
      <c r="AF302" s="9" t="s">
        <v>1881</v>
      </c>
      <c r="AG302" s="9" t="s">
        <v>2551</v>
      </c>
      <c r="AH302" s="9">
        <v>6.2256619999999998</v>
      </c>
      <c r="AI302" s="9">
        <v>-75.599354000000005</v>
      </c>
      <c r="AJ302" s="9" t="s">
        <v>2552</v>
      </c>
      <c r="AK302" s="9">
        <v>6.2592290000000004</v>
      </c>
      <c r="AL302" s="9">
        <v>-75.62097</v>
      </c>
      <c r="AM302" s="26">
        <f t="shared" si="4"/>
        <v>0</v>
      </c>
      <c r="AN302" s="9"/>
    </row>
    <row r="303" spans="1:40" ht="15" x14ac:dyDescent="0.25">
      <c r="A303" s="9" t="s">
        <v>2553</v>
      </c>
      <c r="B303" s="9" t="s">
        <v>2554</v>
      </c>
      <c r="C303" s="9" t="s">
        <v>2555</v>
      </c>
      <c r="D303" s="9" t="s">
        <v>2509</v>
      </c>
      <c r="E303" s="9" t="s">
        <v>36</v>
      </c>
      <c r="F303" s="9" t="s">
        <v>169</v>
      </c>
      <c r="G303" s="9" t="s">
        <v>97</v>
      </c>
      <c r="H303" s="9" t="s">
        <v>98</v>
      </c>
      <c r="I303" s="9" t="s">
        <v>40</v>
      </c>
      <c r="J303" s="9">
        <v>3586</v>
      </c>
      <c r="K303" s="9" t="s">
        <v>2556</v>
      </c>
      <c r="L303" s="9" t="s">
        <v>42</v>
      </c>
      <c r="M303" s="10">
        <v>3.0902777777777782E-3</v>
      </c>
      <c r="N303" s="9" t="s">
        <v>65</v>
      </c>
      <c r="O303" s="9" t="s">
        <v>2557</v>
      </c>
      <c r="P303" s="9" t="s">
        <v>45</v>
      </c>
      <c r="Q303" s="10">
        <v>3.9583333333333337E-3</v>
      </c>
      <c r="R303" s="9" t="s">
        <v>46</v>
      </c>
      <c r="S303" s="10">
        <v>0.32628472222222221</v>
      </c>
      <c r="T303" s="9">
        <v>47.747999999999998</v>
      </c>
      <c r="U303" s="9">
        <v>11.04</v>
      </c>
      <c r="V303" s="10">
        <v>0.18016203703703701</v>
      </c>
      <c r="W303" s="10">
        <v>0.1007986111111111</v>
      </c>
      <c r="X303" s="10">
        <v>0</v>
      </c>
      <c r="Y303" s="9">
        <v>0</v>
      </c>
      <c r="Z303" s="9">
        <v>0</v>
      </c>
      <c r="AA303" s="9">
        <v>0</v>
      </c>
      <c r="AB303" s="9">
        <v>0</v>
      </c>
      <c r="AC303" s="9">
        <v>0</v>
      </c>
      <c r="AD303" s="9">
        <v>0</v>
      </c>
      <c r="AE303" s="9" t="s">
        <v>84</v>
      </c>
      <c r="AF303" s="9" t="s">
        <v>352</v>
      </c>
      <c r="AG303" s="9" t="s">
        <v>2558</v>
      </c>
      <c r="AH303" s="9">
        <v>6.2255750000000001</v>
      </c>
      <c r="AI303" s="9">
        <v>-75.599417000000003</v>
      </c>
      <c r="AJ303" s="9" t="s">
        <v>2559</v>
      </c>
      <c r="AK303" s="9">
        <v>6.3052210000000004</v>
      </c>
      <c r="AL303" s="9">
        <v>-75.581879000000001</v>
      </c>
      <c r="AM303" s="26">
        <f t="shared" si="4"/>
        <v>0</v>
      </c>
      <c r="AN303" s="9"/>
    </row>
    <row r="304" spans="1:40" ht="15" x14ac:dyDescent="0.25">
      <c r="A304" s="9" t="s">
        <v>2560</v>
      </c>
      <c r="B304" s="9" t="s">
        <v>2561</v>
      </c>
      <c r="C304" s="9" t="s">
        <v>2562</v>
      </c>
      <c r="D304" s="9" t="s">
        <v>2509</v>
      </c>
      <c r="E304" s="9" t="s">
        <v>36</v>
      </c>
      <c r="F304" s="9" t="s">
        <v>169</v>
      </c>
      <c r="G304" s="9" t="s">
        <v>105</v>
      </c>
      <c r="H304" s="9" t="s">
        <v>106</v>
      </c>
      <c r="I304" s="9" t="s">
        <v>40</v>
      </c>
      <c r="J304" s="9">
        <v>1566</v>
      </c>
      <c r="K304" s="9" t="s">
        <v>2563</v>
      </c>
      <c r="L304" s="9" t="s">
        <v>42</v>
      </c>
      <c r="M304" s="10">
        <v>7.3611111111111108E-3</v>
      </c>
      <c r="N304" s="9" t="s">
        <v>65</v>
      </c>
      <c r="O304" s="9" t="s">
        <v>2564</v>
      </c>
      <c r="P304" s="9" t="s">
        <v>45</v>
      </c>
      <c r="Q304" s="10">
        <v>1.7326388888888891E-2</v>
      </c>
      <c r="R304" s="9" t="s">
        <v>56</v>
      </c>
      <c r="S304" s="10">
        <v>0.30864583333333329</v>
      </c>
      <c r="T304" s="9">
        <v>21.155999999999999</v>
      </c>
      <c r="U304" s="9">
        <v>3.59</v>
      </c>
      <c r="V304" s="10">
        <v>0.24562500000000001</v>
      </c>
      <c r="W304" s="10">
        <v>0.21510416666666671</v>
      </c>
      <c r="X304" s="10">
        <v>0</v>
      </c>
      <c r="Y304" s="9">
        <v>0</v>
      </c>
      <c r="Z304" s="9">
        <v>0</v>
      </c>
      <c r="AA304" s="9">
        <v>0</v>
      </c>
      <c r="AB304" s="9">
        <v>0</v>
      </c>
      <c r="AC304" s="9">
        <v>0</v>
      </c>
      <c r="AD304" s="9">
        <v>5</v>
      </c>
      <c r="AE304" s="9" t="s">
        <v>67</v>
      </c>
      <c r="AF304" s="9" t="s">
        <v>2565</v>
      </c>
      <c r="AG304" s="9" t="s">
        <v>2566</v>
      </c>
      <c r="AH304" s="9">
        <v>6.2254779999999998</v>
      </c>
      <c r="AI304" s="9">
        <v>-75.598913999999994</v>
      </c>
      <c r="AJ304" s="9" t="s">
        <v>2567</v>
      </c>
      <c r="AK304" s="9">
        <v>6.2586899999999996</v>
      </c>
      <c r="AL304" s="9">
        <v>-75.616228000000007</v>
      </c>
      <c r="AM304" s="26">
        <f t="shared" si="4"/>
        <v>1.7326388888888891E-2</v>
      </c>
      <c r="AN304" s="9"/>
    </row>
    <row r="305" spans="1:40" ht="15" x14ac:dyDescent="0.2">
      <c r="A305" s="36" t="s">
        <v>2568</v>
      </c>
      <c r="B305" s="36" t="s">
        <v>2574</v>
      </c>
      <c r="C305" s="36" t="s">
        <v>2569</v>
      </c>
      <c r="D305" s="36" t="s">
        <v>2509</v>
      </c>
      <c r="E305" s="36" t="s">
        <v>36</v>
      </c>
      <c r="F305" s="36" t="s">
        <v>169</v>
      </c>
      <c r="G305" s="36" t="s">
        <v>89</v>
      </c>
      <c r="H305" s="36" t="s">
        <v>90</v>
      </c>
      <c r="I305" s="36" t="s">
        <v>40</v>
      </c>
      <c r="J305" s="36">
        <v>3416</v>
      </c>
      <c r="K305" s="36" t="s">
        <v>2570</v>
      </c>
      <c r="L305" s="36" t="s">
        <v>42</v>
      </c>
      <c r="M305" s="37">
        <v>8.5532407407407415E-3</v>
      </c>
      <c r="N305" s="36" t="s">
        <v>65</v>
      </c>
      <c r="O305" s="36" t="s">
        <v>2571</v>
      </c>
      <c r="P305" s="36" t="s">
        <v>45</v>
      </c>
      <c r="Q305" s="37">
        <v>4.8842592592592592E-3</v>
      </c>
      <c r="R305" s="36" t="s">
        <v>46</v>
      </c>
      <c r="S305" s="37">
        <v>0.32966435185185178</v>
      </c>
      <c r="T305" s="36">
        <v>43.552</v>
      </c>
      <c r="U305" s="36">
        <v>8.18</v>
      </c>
      <c r="V305" s="37">
        <v>0.22182870370370369</v>
      </c>
      <c r="W305" s="37">
        <v>0.14332175925925919</v>
      </c>
      <c r="X305" s="37">
        <v>0</v>
      </c>
      <c r="Y305" s="36">
        <v>0</v>
      </c>
      <c r="Z305" s="36">
        <v>0</v>
      </c>
      <c r="AA305" s="36">
        <v>0</v>
      </c>
      <c r="AB305" s="36">
        <v>0</v>
      </c>
      <c r="AC305" s="36">
        <v>0</v>
      </c>
      <c r="AD305" s="36">
        <v>0</v>
      </c>
      <c r="AE305" s="36" t="s">
        <v>84</v>
      </c>
      <c r="AF305" s="36" t="s">
        <v>352</v>
      </c>
      <c r="AG305" s="36" t="s">
        <v>2572</v>
      </c>
      <c r="AH305" s="36">
        <v>6.2303540000000002</v>
      </c>
      <c r="AI305" s="36">
        <v>-75.596052</v>
      </c>
      <c r="AJ305" s="36" t="s">
        <v>2573</v>
      </c>
      <c r="AK305" s="36">
        <v>6.2790949999999999</v>
      </c>
      <c r="AL305" s="36">
        <v>-75.569125999999997</v>
      </c>
      <c r="AM305" s="26">
        <f t="shared" si="4"/>
        <v>0</v>
      </c>
      <c r="AN305" s="9"/>
    </row>
    <row r="306" spans="1:40" ht="15" x14ac:dyDescent="0.25">
      <c r="A306" s="9" t="s">
        <v>2575</v>
      </c>
      <c r="B306" s="9" t="s">
        <v>2576</v>
      </c>
      <c r="C306" s="9" t="s">
        <v>2577</v>
      </c>
      <c r="D306" s="9" t="s">
        <v>2509</v>
      </c>
      <c r="E306" s="9" t="s">
        <v>36</v>
      </c>
      <c r="F306" s="9" t="s">
        <v>169</v>
      </c>
      <c r="G306" s="9" t="s">
        <v>124</v>
      </c>
      <c r="H306" s="9" t="s">
        <v>125</v>
      </c>
      <c r="I306" s="9" t="s">
        <v>115</v>
      </c>
      <c r="J306" s="9">
        <v>5364</v>
      </c>
      <c r="K306" s="9" t="s">
        <v>2578</v>
      </c>
      <c r="L306" s="9" t="s">
        <v>117</v>
      </c>
      <c r="M306" s="10">
        <v>8.4953703703703701E-3</v>
      </c>
      <c r="N306" s="9" t="s">
        <v>65</v>
      </c>
      <c r="O306" s="9" t="s">
        <v>2579</v>
      </c>
      <c r="P306" s="9" t="s">
        <v>119</v>
      </c>
      <c r="Q306" s="10">
        <v>2.388888888888889E-2</v>
      </c>
      <c r="R306" s="9" t="s">
        <v>129</v>
      </c>
      <c r="S306" s="10">
        <v>0.28238425925925931</v>
      </c>
      <c r="T306" s="9">
        <v>75.686000000000007</v>
      </c>
      <c r="U306" s="9">
        <v>18.39</v>
      </c>
      <c r="V306" s="10">
        <v>0.17146990740740739</v>
      </c>
      <c r="W306" s="10">
        <v>4.9664351851851848E-2</v>
      </c>
      <c r="X306" s="10">
        <v>2.311342592592593E-2</v>
      </c>
      <c r="Y306" s="9">
        <v>1</v>
      </c>
      <c r="Z306" s="9">
        <v>1</v>
      </c>
      <c r="AA306" s="9">
        <v>1</v>
      </c>
      <c r="AB306" s="9">
        <v>0</v>
      </c>
      <c r="AC306" s="9">
        <v>0</v>
      </c>
      <c r="AD306" s="9">
        <v>0</v>
      </c>
      <c r="AE306" s="9" t="s">
        <v>130</v>
      </c>
      <c r="AF306" s="9" t="s">
        <v>2580</v>
      </c>
      <c r="AG306" s="9" t="s">
        <v>2581</v>
      </c>
      <c r="AH306" s="9">
        <v>6.2288119999999996</v>
      </c>
      <c r="AI306" s="9">
        <v>-75.597750000000005</v>
      </c>
      <c r="AJ306" s="9" t="s">
        <v>2582</v>
      </c>
      <c r="AK306" s="9">
        <v>6.2726949999999997</v>
      </c>
      <c r="AL306" s="9">
        <v>-75.602035999999998</v>
      </c>
      <c r="AM306" s="26">
        <f t="shared" si="4"/>
        <v>0</v>
      </c>
      <c r="AN306" s="9"/>
    </row>
    <row r="307" spans="1:40" ht="15" x14ac:dyDescent="0.25">
      <c r="A307" s="9" t="s">
        <v>2583</v>
      </c>
      <c r="B307" s="9" t="s">
        <v>2584</v>
      </c>
      <c r="C307" s="9" t="s">
        <v>2585</v>
      </c>
      <c r="D307" s="9" t="s">
        <v>2509</v>
      </c>
      <c r="E307" s="9" t="s">
        <v>36</v>
      </c>
      <c r="F307" s="9" t="s">
        <v>169</v>
      </c>
      <c r="G307" s="9" t="s">
        <v>135</v>
      </c>
      <c r="H307" s="9" t="s">
        <v>136</v>
      </c>
      <c r="I307" s="9" t="s">
        <v>115</v>
      </c>
      <c r="J307" s="9">
        <v>1269</v>
      </c>
      <c r="K307" s="9" t="s">
        <v>2586</v>
      </c>
      <c r="L307" s="9" t="s">
        <v>117</v>
      </c>
      <c r="M307" s="10">
        <v>4.9583333333333333E-2</v>
      </c>
      <c r="N307" s="9" t="s">
        <v>127</v>
      </c>
      <c r="O307" s="9" t="s">
        <v>2587</v>
      </c>
      <c r="P307" s="9" t="s">
        <v>119</v>
      </c>
      <c r="Q307" s="10">
        <v>3.2638888888888891E-3</v>
      </c>
      <c r="R307" s="9" t="s">
        <v>46</v>
      </c>
      <c r="S307" s="10">
        <v>0.29631944444444452</v>
      </c>
      <c r="T307" s="9">
        <v>22.690999999999999</v>
      </c>
      <c r="U307" s="9">
        <v>11.47</v>
      </c>
      <c r="V307" s="10">
        <v>8.2395833333333335E-2</v>
      </c>
      <c r="W307" s="10">
        <v>5.2974537037037042E-2</v>
      </c>
      <c r="X307" s="10">
        <v>0</v>
      </c>
      <c r="Y307" s="9">
        <v>0</v>
      </c>
      <c r="Z307" s="9">
        <v>0</v>
      </c>
      <c r="AA307" s="9">
        <v>0</v>
      </c>
      <c r="AB307" s="9">
        <v>0</v>
      </c>
      <c r="AC307" s="9">
        <v>0</v>
      </c>
      <c r="AD307" s="9">
        <v>5</v>
      </c>
      <c r="AE307" s="9" t="s">
        <v>139</v>
      </c>
      <c r="AF307" s="9" t="s">
        <v>2588</v>
      </c>
      <c r="AG307" s="9" t="s">
        <v>2589</v>
      </c>
      <c r="AH307" s="9">
        <v>6.2255700000000003</v>
      </c>
      <c r="AI307" s="9">
        <v>-75.599332000000004</v>
      </c>
      <c r="AJ307" s="9" t="s">
        <v>2590</v>
      </c>
      <c r="AK307" s="9">
        <v>6.2941710000000004</v>
      </c>
      <c r="AL307" s="9">
        <v>-75.582819999999998</v>
      </c>
      <c r="AM307" s="26">
        <f t="shared" si="4"/>
        <v>0</v>
      </c>
      <c r="AN307" s="9"/>
    </row>
    <row r="308" spans="1:40" ht="15" x14ac:dyDescent="0.25">
      <c r="A308" s="9" t="s">
        <v>2591</v>
      </c>
      <c r="B308" s="9" t="s">
        <v>2592</v>
      </c>
      <c r="C308" s="9" t="s">
        <v>2593</v>
      </c>
      <c r="D308" s="9" t="s">
        <v>2509</v>
      </c>
      <c r="E308" s="9" t="s">
        <v>36</v>
      </c>
      <c r="F308" s="9" t="s">
        <v>169</v>
      </c>
      <c r="G308" s="9" t="s">
        <v>144</v>
      </c>
      <c r="H308" s="9" t="s">
        <v>145</v>
      </c>
      <c r="I308" s="9" t="s">
        <v>115</v>
      </c>
      <c r="J308" s="9">
        <v>5331</v>
      </c>
      <c r="K308" s="9" t="s">
        <v>2594</v>
      </c>
      <c r="L308" s="9" t="s">
        <v>117</v>
      </c>
      <c r="M308" s="10">
        <v>3.650462962962963E-2</v>
      </c>
      <c r="N308" s="9" t="s">
        <v>127</v>
      </c>
      <c r="O308" s="9" t="s">
        <v>2595</v>
      </c>
      <c r="P308" s="9" t="s">
        <v>119</v>
      </c>
      <c r="Q308" s="10">
        <v>1.2048611111111111E-2</v>
      </c>
      <c r="R308" s="9" t="s">
        <v>129</v>
      </c>
      <c r="S308" s="10">
        <v>0.29855324074074069</v>
      </c>
      <c r="T308" s="9">
        <v>72.417000000000002</v>
      </c>
      <c r="U308" s="9">
        <v>15.48</v>
      </c>
      <c r="V308" s="10">
        <v>0.19491898148148151</v>
      </c>
      <c r="W308" s="10">
        <v>8.2314814814814813E-2</v>
      </c>
      <c r="X308" s="10">
        <v>0</v>
      </c>
      <c r="Y308" s="9">
        <v>0</v>
      </c>
      <c r="Z308" s="9">
        <v>0</v>
      </c>
      <c r="AA308" s="9">
        <v>0</v>
      </c>
      <c r="AB308" s="9">
        <v>0</v>
      </c>
      <c r="AC308" s="9">
        <v>0</v>
      </c>
      <c r="AD308" s="9">
        <v>0</v>
      </c>
      <c r="AE308" s="9" t="s">
        <v>130</v>
      </c>
      <c r="AF308" s="9" t="s">
        <v>2596</v>
      </c>
      <c r="AG308" s="9" t="s">
        <v>2597</v>
      </c>
      <c r="AH308" s="9">
        <v>6.2268239999999997</v>
      </c>
      <c r="AI308" s="9">
        <v>-75.599194999999995</v>
      </c>
      <c r="AJ308" s="9" t="s">
        <v>2598</v>
      </c>
      <c r="AK308" s="9">
        <v>6.2904270000000002</v>
      </c>
      <c r="AL308" s="9">
        <v>-75.546575000000004</v>
      </c>
      <c r="AM308" s="26">
        <f t="shared" si="4"/>
        <v>0</v>
      </c>
      <c r="AN308" s="9"/>
    </row>
    <row r="309" spans="1:40" ht="15" x14ac:dyDescent="0.25">
      <c r="A309" s="9" t="s">
        <v>2599</v>
      </c>
      <c r="B309" s="9" t="s">
        <v>2600</v>
      </c>
      <c r="C309" s="9" t="s">
        <v>2601</v>
      </c>
      <c r="D309" s="9" t="s">
        <v>2509</v>
      </c>
      <c r="E309" s="9" t="s">
        <v>36</v>
      </c>
      <c r="F309" s="9" t="s">
        <v>169</v>
      </c>
      <c r="G309" s="9" t="s">
        <v>152</v>
      </c>
      <c r="H309" s="9" t="s">
        <v>153</v>
      </c>
      <c r="I309" s="9" t="s">
        <v>115</v>
      </c>
      <c r="J309" s="9">
        <v>1487</v>
      </c>
      <c r="K309" s="9" t="s">
        <v>2602</v>
      </c>
      <c r="L309" s="9" t="s">
        <v>117</v>
      </c>
      <c r="M309" s="10">
        <v>2.7893518518518519E-2</v>
      </c>
      <c r="N309" s="9" t="s">
        <v>127</v>
      </c>
      <c r="O309" s="9" t="s">
        <v>2603</v>
      </c>
      <c r="P309" s="9" t="s">
        <v>119</v>
      </c>
      <c r="Q309" s="10">
        <v>0.1075231481481481</v>
      </c>
      <c r="R309" s="9" t="s">
        <v>56</v>
      </c>
      <c r="S309" s="10">
        <v>0.17037037037037039</v>
      </c>
      <c r="T309" s="9">
        <v>19.724</v>
      </c>
      <c r="U309" s="9">
        <v>9.84</v>
      </c>
      <c r="V309" s="10">
        <v>8.3530092592592586E-2</v>
      </c>
      <c r="W309" s="10">
        <v>5.9131944444444452E-2</v>
      </c>
      <c r="X309" s="10">
        <v>0</v>
      </c>
      <c r="Y309" s="9">
        <v>0</v>
      </c>
      <c r="Z309" s="9">
        <v>0</v>
      </c>
      <c r="AA309" s="9">
        <v>0</v>
      </c>
      <c r="AB309" s="9">
        <v>0</v>
      </c>
      <c r="AC309" s="9">
        <v>0</v>
      </c>
      <c r="AD309" s="9">
        <v>0</v>
      </c>
      <c r="AE309" s="9" t="s">
        <v>139</v>
      </c>
      <c r="AF309" s="9" t="s">
        <v>2604</v>
      </c>
      <c r="AG309" s="9" t="s">
        <v>2605</v>
      </c>
      <c r="AH309" s="9">
        <v>6.2280550000000003</v>
      </c>
      <c r="AI309" s="9">
        <v>-75.599642000000003</v>
      </c>
      <c r="AJ309" s="9" t="s">
        <v>2606</v>
      </c>
      <c r="AK309" s="9">
        <v>6.2517969999999998</v>
      </c>
      <c r="AL309" s="9">
        <v>-75.551833000000002</v>
      </c>
      <c r="AM309" s="26">
        <f t="shared" si="4"/>
        <v>0.1075231481481481</v>
      </c>
      <c r="AN309" s="9"/>
    </row>
    <row r="310" spans="1:40" ht="15" x14ac:dyDescent="0.25">
      <c r="A310" s="9" t="s">
        <v>2607</v>
      </c>
      <c r="B310" s="9" t="s">
        <v>2608</v>
      </c>
      <c r="C310" s="9" t="s">
        <v>2609</v>
      </c>
      <c r="D310" s="9" t="s">
        <v>2509</v>
      </c>
      <c r="E310" s="9" t="s">
        <v>36</v>
      </c>
      <c r="F310" s="9" t="s">
        <v>169</v>
      </c>
      <c r="G310" s="9" t="s">
        <v>160</v>
      </c>
      <c r="H310" s="9" t="s">
        <v>161</v>
      </c>
      <c r="I310" s="9" t="s">
        <v>115</v>
      </c>
      <c r="J310" s="9">
        <v>5449</v>
      </c>
      <c r="K310" s="9" t="s">
        <v>2610</v>
      </c>
      <c r="L310" s="9" t="s">
        <v>117</v>
      </c>
      <c r="M310" s="10">
        <v>1.460140046296296E-2</v>
      </c>
      <c r="N310" s="9" t="s">
        <v>127</v>
      </c>
      <c r="O310" s="9" t="s">
        <v>2611</v>
      </c>
      <c r="P310" s="9" t="s">
        <v>119</v>
      </c>
      <c r="Q310" s="10">
        <v>1.2538194444444451E-4</v>
      </c>
      <c r="R310" s="9" t="s">
        <v>46</v>
      </c>
      <c r="S310" s="10">
        <v>0.26472678240740738</v>
      </c>
      <c r="T310" s="9">
        <v>37.631</v>
      </c>
      <c r="U310" s="9">
        <v>9.4700000000000006</v>
      </c>
      <c r="V310" s="10">
        <v>0.16553550925925911</v>
      </c>
      <c r="W310" s="10">
        <v>0.12789334490740731</v>
      </c>
      <c r="X310" s="10">
        <v>0</v>
      </c>
      <c r="Y310" s="9">
        <v>0</v>
      </c>
      <c r="Z310" s="9">
        <v>0</v>
      </c>
      <c r="AA310" s="9">
        <v>0</v>
      </c>
      <c r="AB310" s="9">
        <v>0</v>
      </c>
      <c r="AC310" s="9">
        <v>0</v>
      </c>
      <c r="AD310" s="9">
        <v>3</v>
      </c>
      <c r="AE310" s="9" t="s">
        <v>139</v>
      </c>
      <c r="AF310" s="9" t="s">
        <v>2612</v>
      </c>
      <c r="AG310" s="9" t="s">
        <v>2613</v>
      </c>
      <c r="AH310" s="9">
        <v>6.2267869999999998</v>
      </c>
      <c r="AI310" s="9">
        <v>-75.599261999999996</v>
      </c>
      <c r="AJ310" s="9" t="s">
        <v>2614</v>
      </c>
      <c r="AK310" s="9">
        <v>6.2601699999999996</v>
      </c>
      <c r="AL310" s="9">
        <v>-75.590198000000001</v>
      </c>
      <c r="AM310" s="26">
        <f t="shared" si="4"/>
        <v>0</v>
      </c>
      <c r="AN310" s="9"/>
    </row>
    <row r="311" spans="1:40" ht="15" x14ac:dyDescent="0.25">
      <c r="A311" s="9" t="s">
        <v>2615</v>
      </c>
      <c r="B311" s="9" t="s">
        <v>2616</v>
      </c>
      <c r="C311" s="9" t="s">
        <v>2617</v>
      </c>
      <c r="D311" s="9" t="s">
        <v>2618</v>
      </c>
      <c r="E311" s="9" t="s">
        <v>2619</v>
      </c>
      <c r="F311" s="9" t="s">
        <v>315</v>
      </c>
      <c r="G311" s="9" t="s">
        <v>38</v>
      </c>
      <c r="H311" s="9" t="s">
        <v>39</v>
      </c>
      <c r="I311" s="9" t="s">
        <v>40</v>
      </c>
      <c r="J311" s="9">
        <v>7442</v>
      </c>
      <c r="K311" s="9" t="s">
        <v>2620</v>
      </c>
      <c r="L311" s="9" t="s">
        <v>42</v>
      </c>
      <c r="M311" s="10">
        <v>4.4482939814814812E-2</v>
      </c>
      <c r="N311" s="9" t="s">
        <v>43</v>
      </c>
      <c r="O311" s="9" t="s">
        <v>2621</v>
      </c>
      <c r="P311" s="9" t="s">
        <v>45</v>
      </c>
      <c r="Q311" s="10">
        <v>2.3925057870370369E-2</v>
      </c>
      <c r="R311" s="9" t="s">
        <v>129</v>
      </c>
      <c r="S311" s="10">
        <v>0.3127754513888889</v>
      </c>
      <c r="T311" s="9">
        <v>39.548000000000002</v>
      </c>
      <c r="U311" s="9">
        <v>20.02</v>
      </c>
      <c r="V311" s="10">
        <v>8.2330046296296311E-2</v>
      </c>
      <c r="W311" s="10">
        <v>3.7823252314814808E-2</v>
      </c>
      <c r="X311" s="10">
        <v>2.7823807870370369E-2</v>
      </c>
      <c r="Y311" s="9">
        <v>1</v>
      </c>
      <c r="Z311" s="9">
        <v>1</v>
      </c>
      <c r="AA311" s="9">
        <v>1</v>
      </c>
      <c r="AB311" s="9">
        <v>1</v>
      </c>
      <c r="AC311" s="9">
        <v>0</v>
      </c>
      <c r="AD311" s="9">
        <v>4</v>
      </c>
      <c r="AE311" s="9" t="s">
        <v>130</v>
      </c>
      <c r="AF311" s="9" t="s">
        <v>2622</v>
      </c>
      <c r="AG311" s="9" t="s">
        <v>2623</v>
      </c>
      <c r="AH311" s="9">
        <v>6.2032970000000001</v>
      </c>
      <c r="AI311" s="9">
        <v>-75.600990999999993</v>
      </c>
      <c r="AJ311" s="9" t="s">
        <v>2624</v>
      </c>
      <c r="AK311" s="9">
        <v>6.2255520000000004</v>
      </c>
      <c r="AL311" s="9">
        <v>-75.599130000000002</v>
      </c>
      <c r="AM311" s="26">
        <f t="shared" si="4"/>
        <v>4.4482939814814812E-2</v>
      </c>
      <c r="AN311" s="9" t="s">
        <v>2689</v>
      </c>
    </row>
    <row r="312" spans="1:40" ht="15" x14ac:dyDescent="0.25">
      <c r="A312" s="9" t="s">
        <v>2625</v>
      </c>
      <c r="B312" s="9" t="s">
        <v>2626</v>
      </c>
      <c r="C312" s="9" t="s">
        <v>2627</v>
      </c>
      <c r="D312" s="9" t="s">
        <v>2618</v>
      </c>
      <c r="E312" s="9" t="s">
        <v>2619</v>
      </c>
      <c r="F312" s="9" t="s">
        <v>315</v>
      </c>
      <c r="G312" s="9" t="s">
        <v>52</v>
      </c>
      <c r="H312" s="9" t="s">
        <v>53</v>
      </c>
      <c r="I312" s="9" t="s">
        <v>40</v>
      </c>
      <c r="J312" s="9">
        <v>3776</v>
      </c>
      <c r="K312" s="9" t="s">
        <v>2628</v>
      </c>
      <c r="L312" s="9" t="s">
        <v>42</v>
      </c>
      <c r="M312" s="10">
        <v>2.4143518518518519E-2</v>
      </c>
      <c r="N312" s="9" t="s">
        <v>43</v>
      </c>
      <c r="O312" s="9" t="s">
        <v>2629</v>
      </c>
      <c r="P312" s="9" t="s">
        <v>45</v>
      </c>
      <c r="Q312" s="10">
        <v>8.86574074074074E-3</v>
      </c>
      <c r="R312" s="9" t="s">
        <v>46</v>
      </c>
      <c r="S312" s="10">
        <v>0.30032407407407408</v>
      </c>
      <c r="T312" s="9">
        <v>50.17</v>
      </c>
      <c r="U312" s="9">
        <v>9.19</v>
      </c>
      <c r="V312" s="10">
        <v>0.22748842592592591</v>
      </c>
      <c r="W312" s="10">
        <v>0.13734953703703701</v>
      </c>
      <c r="X312" s="10">
        <v>0</v>
      </c>
      <c r="Y312" s="9">
        <v>0</v>
      </c>
      <c r="Z312" s="9">
        <v>0</v>
      </c>
      <c r="AA312" s="9">
        <v>0</v>
      </c>
      <c r="AB312" s="9">
        <v>0</v>
      </c>
      <c r="AC312" s="9">
        <v>0</v>
      </c>
      <c r="AD312" s="9">
        <v>2</v>
      </c>
      <c r="AE312" s="9" t="s">
        <v>47</v>
      </c>
      <c r="AF312" s="9" t="s">
        <v>2630</v>
      </c>
      <c r="AG312" s="9" t="s">
        <v>2631</v>
      </c>
      <c r="AH312" s="9">
        <v>6.2256309999999999</v>
      </c>
      <c r="AI312" s="9">
        <v>-75.599384999999998</v>
      </c>
      <c r="AJ312" s="9" t="s">
        <v>2632</v>
      </c>
      <c r="AK312" s="9">
        <v>6.2477470000000004</v>
      </c>
      <c r="AL312" s="9">
        <v>-75.615037000000001</v>
      </c>
      <c r="AM312" s="26">
        <f t="shared" si="4"/>
        <v>2.4143518518518519E-2</v>
      </c>
      <c r="AN312" s="9" t="s">
        <v>2689</v>
      </c>
    </row>
    <row r="313" spans="1:40" ht="15" x14ac:dyDescent="0.25">
      <c r="A313" s="9" t="s">
        <v>2633</v>
      </c>
      <c r="B313" s="9" t="s">
        <v>2634</v>
      </c>
      <c r="C313" s="9" t="s">
        <v>2635</v>
      </c>
      <c r="D313" s="9" t="s">
        <v>2618</v>
      </c>
      <c r="E313" s="9" t="s">
        <v>2619</v>
      </c>
      <c r="F313" s="9" t="s">
        <v>315</v>
      </c>
      <c r="G313" s="9" t="s">
        <v>113</v>
      </c>
      <c r="H313" s="9" t="s">
        <v>114</v>
      </c>
      <c r="I313" s="9" t="s">
        <v>40</v>
      </c>
      <c r="J313" s="9">
        <v>2659</v>
      </c>
      <c r="K313" s="9" t="s">
        <v>2636</v>
      </c>
      <c r="L313" s="9" t="s">
        <v>42</v>
      </c>
      <c r="M313" s="10">
        <v>4.071759259259259E-2</v>
      </c>
      <c r="N313" s="9" t="s">
        <v>43</v>
      </c>
      <c r="O313" s="9" t="s">
        <v>2637</v>
      </c>
      <c r="P313" s="9" t="s">
        <v>45</v>
      </c>
      <c r="Q313" s="10">
        <v>4.1666666666666669E-4</v>
      </c>
      <c r="R313" s="9" t="s">
        <v>46</v>
      </c>
      <c r="S313" s="10">
        <v>0.29219907407407408</v>
      </c>
      <c r="T313" s="9">
        <v>34.234000000000002</v>
      </c>
      <c r="U313" s="9">
        <v>6.26</v>
      </c>
      <c r="V313" s="10">
        <v>0.2277777777777778</v>
      </c>
      <c r="W313" s="10">
        <v>0.16596064814814809</v>
      </c>
      <c r="X313" s="10">
        <v>0</v>
      </c>
      <c r="Y313" s="9">
        <v>0</v>
      </c>
      <c r="Z313" s="9">
        <v>0</v>
      </c>
      <c r="AA313" s="9">
        <v>0</v>
      </c>
      <c r="AB313" s="9">
        <v>0</v>
      </c>
      <c r="AC313" s="9">
        <v>0</v>
      </c>
      <c r="AD313" s="9">
        <v>2</v>
      </c>
      <c r="AE313" s="9" t="s">
        <v>47</v>
      </c>
      <c r="AF313" s="9" t="s">
        <v>2638</v>
      </c>
      <c r="AG313" s="9" t="s">
        <v>2639</v>
      </c>
      <c r="AH313" s="9">
        <v>6.2269769999999998</v>
      </c>
      <c r="AI313" s="9">
        <v>-75.601635000000002</v>
      </c>
      <c r="AJ313" s="9" t="s">
        <v>2640</v>
      </c>
      <c r="AK313" s="9">
        <v>6.2636779999999996</v>
      </c>
      <c r="AL313" s="9">
        <v>-75.597012000000007</v>
      </c>
      <c r="AM313" s="26">
        <f t="shared" si="4"/>
        <v>4.071759259259259E-2</v>
      </c>
      <c r="AN313" s="9" t="s">
        <v>2689</v>
      </c>
    </row>
    <row r="314" spans="1:40" ht="15" x14ac:dyDescent="0.25">
      <c r="A314" s="9" t="s">
        <v>2641</v>
      </c>
      <c r="B314" s="9" t="s">
        <v>2642</v>
      </c>
      <c r="C314" s="9" t="s">
        <v>2643</v>
      </c>
      <c r="D314" s="9" t="s">
        <v>2618</v>
      </c>
      <c r="E314" s="9" t="s">
        <v>2619</v>
      </c>
      <c r="F314" s="9" t="s">
        <v>315</v>
      </c>
      <c r="G314" s="9" t="s">
        <v>62</v>
      </c>
      <c r="H314" s="9" t="s">
        <v>63</v>
      </c>
      <c r="I314" s="9" t="s">
        <v>40</v>
      </c>
      <c r="J314" s="9">
        <v>3570</v>
      </c>
      <c r="K314" s="9" t="s">
        <v>2644</v>
      </c>
      <c r="L314" s="9" t="s">
        <v>42</v>
      </c>
      <c r="M314" s="10">
        <v>3.1342592592592602E-2</v>
      </c>
      <c r="N314" s="9" t="s">
        <v>43</v>
      </c>
      <c r="O314" s="9" t="s">
        <v>2645</v>
      </c>
      <c r="P314" s="9" t="s">
        <v>45</v>
      </c>
      <c r="Q314" s="10">
        <v>8.2511574074074071E-2</v>
      </c>
      <c r="R314" s="9" t="s">
        <v>56</v>
      </c>
      <c r="S314" s="10">
        <v>0.2194791666666667</v>
      </c>
      <c r="T314" s="9">
        <v>47.231000000000002</v>
      </c>
      <c r="U314" s="9">
        <v>16.149999999999999</v>
      </c>
      <c r="V314" s="10">
        <v>0.12185185185185191</v>
      </c>
      <c r="W314" s="10">
        <v>3.3229166666666657E-2</v>
      </c>
      <c r="X314" s="10">
        <v>0</v>
      </c>
      <c r="Y314" s="9">
        <v>0</v>
      </c>
      <c r="Z314" s="9">
        <v>0</v>
      </c>
      <c r="AA314" s="9">
        <v>0</v>
      </c>
      <c r="AB314" s="9">
        <v>0</v>
      </c>
      <c r="AC314" s="9">
        <v>0</v>
      </c>
      <c r="AD314" s="9">
        <v>0</v>
      </c>
      <c r="AE314" s="9" t="s">
        <v>57</v>
      </c>
      <c r="AF314" s="9" t="s">
        <v>2646</v>
      </c>
      <c r="AG314" s="9" t="s">
        <v>2647</v>
      </c>
      <c r="AH314" s="9">
        <v>6.2258899999999997</v>
      </c>
      <c r="AI314" s="9">
        <v>-75.599390999999997</v>
      </c>
      <c r="AJ314" s="9" t="s">
        <v>2648</v>
      </c>
      <c r="AK314" s="9">
        <v>6.3046550000000003</v>
      </c>
      <c r="AL314" s="9">
        <v>-75.569092999999995</v>
      </c>
      <c r="AM314" s="26">
        <f t="shared" si="4"/>
        <v>0.11385416666666667</v>
      </c>
      <c r="AN314" s="9" t="s">
        <v>2689</v>
      </c>
    </row>
    <row r="315" spans="1:40" ht="15" x14ac:dyDescent="0.25">
      <c r="A315" s="9" t="s">
        <v>2649</v>
      </c>
      <c r="B315" s="9" t="s">
        <v>2650</v>
      </c>
      <c r="C315" s="9" t="s">
        <v>2651</v>
      </c>
      <c r="D315" s="9" t="s">
        <v>2618</v>
      </c>
      <c r="E315" s="9" t="s">
        <v>2619</v>
      </c>
      <c r="F315" s="9" t="s">
        <v>315</v>
      </c>
      <c r="G315" s="9" t="s">
        <v>72</v>
      </c>
      <c r="H315" s="9" t="s">
        <v>73</v>
      </c>
      <c r="I315" s="9" t="s">
        <v>40</v>
      </c>
      <c r="J315" s="9">
        <v>3095</v>
      </c>
      <c r="K315" s="9" t="s">
        <v>2652</v>
      </c>
      <c r="L315" s="9" t="s">
        <v>42</v>
      </c>
      <c r="M315" s="10">
        <v>2.2743055555555551E-2</v>
      </c>
      <c r="N315" s="9" t="s">
        <v>43</v>
      </c>
      <c r="O315" s="9" t="s">
        <v>2653</v>
      </c>
      <c r="P315" s="9" t="s">
        <v>45</v>
      </c>
      <c r="Q315" s="10">
        <v>0.1496875</v>
      </c>
      <c r="R315" s="9" t="s">
        <v>56</v>
      </c>
      <c r="S315" s="10">
        <v>0.16090277777777781</v>
      </c>
      <c r="T315" s="9">
        <v>41.935000000000002</v>
      </c>
      <c r="U315" s="9">
        <v>13.15</v>
      </c>
      <c r="V315" s="10">
        <v>0.13289351851851849</v>
      </c>
      <c r="W315" s="10">
        <v>6.913194444444444E-2</v>
      </c>
      <c r="X315" s="10">
        <v>0</v>
      </c>
      <c r="Y315" s="9">
        <v>0</v>
      </c>
      <c r="Z315" s="9">
        <v>0</v>
      </c>
      <c r="AA315" s="9">
        <v>0</v>
      </c>
      <c r="AB315" s="9">
        <v>0</v>
      </c>
      <c r="AC315" s="9">
        <v>0</v>
      </c>
      <c r="AD315" s="9">
        <v>0</v>
      </c>
      <c r="AE315" s="9" t="s">
        <v>57</v>
      </c>
      <c r="AF315" s="9" t="s">
        <v>2654</v>
      </c>
      <c r="AG315" s="9" t="s">
        <v>2655</v>
      </c>
      <c r="AH315" s="9">
        <v>6.2255039999999999</v>
      </c>
      <c r="AI315" s="9">
        <v>-75.599469999999997</v>
      </c>
      <c r="AJ315" s="9" t="s">
        <v>2656</v>
      </c>
      <c r="AK315" s="9">
        <v>6.2366400000000004</v>
      </c>
      <c r="AL315" s="9">
        <v>-75.559618</v>
      </c>
      <c r="AM315" s="26">
        <f t="shared" si="4"/>
        <v>0.17243055555555556</v>
      </c>
      <c r="AN315" s="9" t="s">
        <v>2689</v>
      </c>
    </row>
    <row r="316" spans="1:40" ht="15" x14ac:dyDescent="0.25">
      <c r="A316" s="9" t="s">
        <v>2657</v>
      </c>
      <c r="B316" s="9" t="s">
        <v>2658</v>
      </c>
      <c r="C316" s="9" t="s">
        <v>2659</v>
      </c>
      <c r="D316" s="9" t="s">
        <v>2618</v>
      </c>
      <c r="E316" s="9" t="s">
        <v>2619</v>
      </c>
      <c r="F316" s="9" t="s">
        <v>315</v>
      </c>
      <c r="G316" s="9" t="s">
        <v>80</v>
      </c>
      <c r="H316" s="9" t="s">
        <v>81</v>
      </c>
      <c r="I316" s="9" t="s">
        <v>40</v>
      </c>
      <c r="J316" s="9">
        <v>5113</v>
      </c>
      <c r="K316" s="9" t="s">
        <v>2660</v>
      </c>
      <c r="L316" s="9" t="s">
        <v>42</v>
      </c>
      <c r="M316" s="10">
        <v>3.0107025462962959E-2</v>
      </c>
      <c r="N316" s="9" t="s">
        <v>43</v>
      </c>
      <c r="O316" s="9" t="s">
        <v>2661</v>
      </c>
      <c r="P316" s="9" t="s">
        <v>45</v>
      </c>
      <c r="Q316" s="10">
        <v>7.2680555555555552E-4</v>
      </c>
      <c r="R316" s="9" t="s">
        <v>46</v>
      </c>
      <c r="S316" s="10">
        <v>0.3039531134259259</v>
      </c>
      <c r="T316" s="9">
        <v>37.741</v>
      </c>
      <c r="U316" s="9">
        <v>32.47</v>
      </c>
      <c r="V316" s="10">
        <v>4.8433564814814811E-2</v>
      </c>
      <c r="W316" s="10">
        <v>5.2889120370370364E-3</v>
      </c>
      <c r="X316" s="10">
        <v>5.5164699074074074E-3</v>
      </c>
      <c r="Y316" s="9">
        <v>0</v>
      </c>
      <c r="Z316" s="9">
        <v>0</v>
      </c>
      <c r="AA316" s="9">
        <v>0</v>
      </c>
      <c r="AB316" s="9">
        <v>0</v>
      </c>
      <c r="AC316" s="9">
        <v>0</v>
      </c>
      <c r="AD316" s="9">
        <v>12</v>
      </c>
      <c r="AE316" s="9" t="s">
        <v>47</v>
      </c>
      <c r="AF316" s="9" t="s">
        <v>2662</v>
      </c>
      <c r="AG316" s="9" t="s">
        <v>2663</v>
      </c>
      <c r="AH316" s="9">
        <v>6.2255770000000004</v>
      </c>
      <c r="AI316" s="9">
        <v>-75.599402999999995</v>
      </c>
      <c r="AJ316" s="9" t="s">
        <v>2664</v>
      </c>
      <c r="AK316" s="9">
        <v>6.2577879999999997</v>
      </c>
      <c r="AL316" s="9">
        <v>-75.614191000000005</v>
      </c>
      <c r="AM316" s="26">
        <f t="shared" si="4"/>
        <v>3.0107025462962959E-2</v>
      </c>
      <c r="AN316" s="9" t="s">
        <v>2689</v>
      </c>
    </row>
    <row r="317" spans="1:40" ht="15" x14ac:dyDescent="0.25">
      <c r="A317" s="9" t="s">
        <v>2665</v>
      </c>
      <c r="B317" s="9" t="s">
        <v>2666</v>
      </c>
      <c r="C317" s="9" t="s">
        <v>2667</v>
      </c>
      <c r="D317" s="9" t="s">
        <v>2618</v>
      </c>
      <c r="E317" s="9" t="s">
        <v>2619</v>
      </c>
      <c r="F317" s="9" t="s">
        <v>315</v>
      </c>
      <c r="G317" s="9" t="s">
        <v>89</v>
      </c>
      <c r="H317" s="9" t="s">
        <v>90</v>
      </c>
      <c r="I317" s="9" t="s">
        <v>40</v>
      </c>
      <c r="J317" s="9">
        <v>3328</v>
      </c>
      <c r="K317" s="9" t="s">
        <v>2668</v>
      </c>
      <c r="L317" s="9" t="s">
        <v>42</v>
      </c>
      <c r="M317" s="10">
        <v>3.2997685185185192E-2</v>
      </c>
      <c r="N317" s="9" t="s">
        <v>43</v>
      </c>
      <c r="O317" s="9" t="s">
        <v>2669</v>
      </c>
      <c r="P317" s="9" t="s">
        <v>45</v>
      </c>
      <c r="Q317" s="10">
        <v>5.0231481481481481E-3</v>
      </c>
      <c r="R317" s="9" t="s">
        <v>46</v>
      </c>
      <c r="S317" s="10">
        <v>0.30535879629629631</v>
      </c>
      <c r="T317" s="9">
        <v>40.808999999999997</v>
      </c>
      <c r="U317" s="9">
        <v>7.4</v>
      </c>
      <c r="V317" s="10">
        <v>0.22973379629629631</v>
      </c>
      <c r="W317" s="10">
        <v>0.1222569444444444</v>
      </c>
      <c r="X317" s="10">
        <v>0</v>
      </c>
      <c r="Y317" s="9">
        <v>0</v>
      </c>
      <c r="Z317" s="9">
        <v>0</v>
      </c>
      <c r="AA317" s="9">
        <v>0</v>
      </c>
      <c r="AB317" s="9">
        <v>0</v>
      </c>
      <c r="AC317" s="9">
        <v>0</v>
      </c>
      <c r="AD317" s="9">
        <v>0</v>
      </c>
      <c r="AE317" s="9" t="s">
        <v>47</v>
      </c>
      <c r="AF317" s="9" t="s">
        <v>2670</v>
      </c>
      <c r="AG317" s="9" t="s">
        <v>2671</v>
      </c>
      <c r="AH317" s="9">
        <v>6.2265670000000002</v>
      </c>
      <c r="AI317" s="9">
        <v>-75.599172999999993</v>
      </c>
      <c r="AJ317" s="9" t="s">
        <v>2672</v>
      </c>
      <c r="AK317" s="9">
        <v>6.2801179999999999</v>
      </c>
      <c r="AL317" s="9">
        <v>-75.572308000000007</v>
      </c>
      <c r="AM317" s="26">
        <f t="shared" si="4"/>
        <v>3.2997685185185192E-2</v>
      </c>
      <c r="AN317" s="9" t="s">
        <v>2689</v>
      </c>
    </row>
    <row r="318" spans="1:40" ht="15" x14ac:dyDescent="0.25">
      <c r="A318" s="9" t="s">
        <v>2673</v>
      </c>
      <c r="B318" s="9" t="s">
        <v>2674</v>
      </c>
      <c r="C318" s="9" t="s">
        <v>2675</v>
      </c>
      <c r="D318" s="9" t="s">
        <v>2618</v>
      </c>
      <c r="E318" s="9" t="s">
        <v>2619</v>
      </c>
      <c r="F318" s="9" t="s">
        <v>315</v>
      </c>
      <c r="G318" s="9" t="s">
        <v>97</v>
      </c>
      <c r="H318" s="9" t="s">
        <v>98</v>
      </c>
      <c r="I318" s="9" t="s">
        <v>40</v>
      </c>
      <c r="J318" s="9">
        <v>4910</v>
      </c>
      <c r="K318" s="9" t="s">
        <v>2676</v>
      </c>
      <c r="L318" s="9" t="s">
        <v>42</v>
      </c>
      <c r="M318" s="10">
        <v>2.072916666666667E-2</v>
      </c>
      <c r="N318" s="9" t="s">
        <v>43</v>
      </c>
      <c r="O318" s="9" t="s">
        <v>2677</v>
      </c>
      <c r="P318" s="9" t="s">
        <v>45</v>
      </c>
      <c r="Q318" s="10">
        <v>1.1342592592592589E-3</v>
      </c>
      <c r="R318" s="9" t="s">
        <v>46</v>
      </c>
      <c r="S318" s="10">
        <v>0.31146990740740738</v>
      </c>
      <c r="T318" s="9">
        <v>68.269000000000005</v>
      </c>
      <c r="U318" s="9">
        <v>15.51</v>
      </c>
      <c r="V318" s="10">
        <v>0.1834375</v>
      </c>
      <c r="W318" s="10">
        <v>8.4004629629629624E-2</v>
      </c>
      <c r="X318" s="10">
        <v>0</v>
      </c>
      <c r="Y318" s="9">
        <v>0</v>
      </c>
      <c r="Z318" s="9">
        <v>0</v>
      </c>
      <c r="AA318" s="9">
        <v>0</v>
      </c>
      <c r="AB318" s="9">
        <v>0</v>
      </c>
      <c r="AC318" s="9">
        <v>0</v>
      </c>
      <c r="AD318" s="9">
        <v>0</v>
      </c>
      <c r="AE318" s="9" t="s">
        <v>47</v>
      </c>
      <c r="AF318" s="9" t="s">
        <v>2678</v>
      </c>
      <c r="AG318" s="9" t="s">
        <v>2679</v>
      </c>
      <c r="AH318" s="9">
        <v>6.2256739999999997</v>
      </c>
      <c r="AI318" s="9">
        <v>-75.599473000000003</v>
      </c>
      <c r="AJ318" s="9" t="s">
        <v>2680</v>
      </c>
      <c r="AK318" s="9">
        <v>6.3041270000000003</v>
      </c>
      <c r="AL318" s="9">
        <v>-75.581996000000004</v>
      </c>
      <c r="AM318" s="26">
        <f t="shared" si="4"/>
        <v>2.072916666666667E-2</v>
      </c>
      <c r="AN318" s="9" t="s">
        <v>2689</v>
      </c>
    </row>
    <row r="319" spans="1:40" ht="15" x14ac:dyDescent="0.25">
      <c r="A319" s="9" t="s">
        <v>2681</v>
      </c>
      <c r="B319" s="9" t="s">
        <v>2682</v>
      </c>
      <c r="C319" s="9" t="s">
        <v>2683</v>
      </c>
      <c r="D319" s="9" t="s">
        <v>2618</v>
      </c>
      <c r="E319" s="9" t="s">
        <v>2619</v>
      </c>
      <c r="F319" s="9" t="s">
        <v>315</v>
      </c>
      <c r="G319" s="9" t="s">
        <v>105</v>
      </c>
      <c r="H319" s="9" t="s">
        <v>106</v>
      </c>
      <c r="I319" s="9" t="s">
        <v>40</v>
      </c>
      <c r="J319" s="9">
        <v>982</v>
      </c>
      <c r="K319" s="9" t="s">
        <v>2684</v>
      </c>
      <c r="L319" s="9" t="s">
        <v>42</v>
      </c>
      <c r="M319" s="10">
        <v>1.46412037037037E-2</v>
      </c>
      <c r="N319" s="9" t="s">
        <v>43</v>
      </c>
      <c r="O319" s="9" t="s">
        <v>2685</v>
      </c>
      <c r="P319" s="9" t="s">
        <v>45</v>
      </c>
      <c r="Q319" s="10">
        <v>1.9756944444444448E-2</v>
      </c>
      <c r="R319" s="9" t="s">
        <v>56</v>
      </c>
      <c r="S319" s="10">
        <v>0.29893518518518519</v>
      </c>
      <c r="T319" s="9">
        <v>22.599</v>
      </c>
      <c r="U319" s="9">
        <v>3.21</v>
      </c>
      <c r="V319" s="10">
        <v>0.29296296296296298</v>
      </c>
      <c r="W319" s="10">
        <v>0.27302083333333332</v>
      </c>
      <c r="X319" s="10">
        <v>0</v>
      </c>
      <c r="Y319" s="9">
        <v>0</v>
      </c>
      <c r="Z319" s="9">
        <v>0</v>
      </c>
      <c r="AA319" s="9">
        <v>0</v>
      </c>
      <c r="AB319" s="9">
        <v>0</v>
      </c>
      <c r="AC319" s="9">
        <v>0</v>
      </c>
      <c r="AD319" s="9">
        <v>1</v>
      </c>
      <c r="AE319" s="9" t="s">
        <v>57</v>
      </c>
      <c r="AF319" s="9" t="s">
        <v>2686</v>
      </c>
      <c r="AG319" s="9" t="s">
        <v>2687</v>
      </c>
      <c r="AH319" s="9">
        <v>6.2255260000000003</v>
      </c>
      <c r="AI319" s="9">
        <v>-75.599444000000005</v>
      </c>
      <c r="AJ319" s="9" t="s">
        <v>2688</v>
      </c>
      <c r="AK319" s="9">
        <v>6.2581959999999999</v>
      </c>
      <c r="AL319" s="9">
        <v>-75.615995999999996</v>
      </c>
      <c r="AM319" s="26">
        <f t="shared" si="4"/>
        <v>3.439814814814815E-2</v>
      </c>
      <c r="AN319" s="9" t="s">
        <v>2689</v>
      </c>
    </row>
    <row r="320" spans="1:40" ht="15" x14ac:dyDescent="0.25">
      <c r="A320" s="9" t="s">
        <v>2690</v>
      </c>
      <c r="B320" s="9" t="s">
        <v>2691</v>
      </c>
      <c r="C320" s="9" t="s">
        <v>2692</v>
      </c>
      <c r="D320" s="9" t="s">
        <v>2618</v>
      </c>
      <c r="E320" s="9" t="s">
        <v>2619</v>
      </c>
      <c r="F320" s="9" t="s">
        <v>315</v>
      </c>
      <c r="G320" s="9" t="s">
        <v>124</v>
      </c>
      <c r="H320" s="9" t="s">
        <v>125</v>
      </c>
      <c r="I320" s="9" t="s">
        <v>115</v>
      </c>
      <c r="J320" s="9">
        <v>4038</v>
      </c>
      <c r="K320" s="9" t="s">
        <v>2693</v>
      </c>
      <c r="L320" s="9" t="s">
        <v>117</v>
      </c>
      <c r="M320" s="10">
        <v>5.0486111111111107E-2</v>
      </c>
      <c r="N320" s="9" t="s">
        <v>127</v>
      </c>
      <c r="O320" s="9" t="s">
        <v>2694</v>
      </c>
      <c r="P320" s="9" t="s">
        <v>119</v>
      </c>
      <c r="Q320" s="10">
        <v>1.263888888888889E-2</v>
      </c>
      <c r="R320" s="9" t="s">
        <v>129</v>
      </c>
      <c r="S320" s="10">
        <v>0.31312499999999999</v>
      </c>
      <c r="T320" s="9">
        <v>49.478000000000002</v>
      </c>
      <c r="U320" s="9">
        <v>8.48</v>
      </c>
      <c r="V320" s="10">
        <v>0.24300925925925931</v>
      </c>
      <c r="W320" s="10">
        <v>0.1121412037037037</v>
      </c>
      <c r="X320" s="10">
        <v>9.571759259259259E-3</v>
      </c>
      <c r="Y320" s="9">
        <v>1</v>
      </c>
      <c r="Z320" s="9">
        <v>0</v>
      </c>
      <c r="AA320" s="9">
        <v>0</v>
      </c>
      <c r="AB320" s="9">
        <v>0</v>
      </c>
      <c r="AC320" s="9">
        <v>0</v>
      </c>
      <c r="AD320" s="9">
        <v>0</v>
      </c>
      <c r="AE320" s="9" t="s">
        <v>130</v>
      </c>
      <c r="AF320" s="9" t="s">
        <v>2695</v>
      </c>
      <c r="AG320" s="9" t="s">
        <v>2696</v>
      </c>
      <c r="AH320" s="9">
        <v>6.2259589999999996</v>
      </c>
      <c r="AI320" s="9">
        <v>-75.599346999999995</v>
      </c>
      <c r="AJ320" s="9" t="s">
        <v>2697</v>
      </c>
      <c r="AK320" s="9">
        <v>6.2726090000000001</v>
      </c>
      <c r="AL320" s="9">
        <v>-75.602417000000003</v>
      </c>
      <c r="AM320" s="26">
        <f t="shared" si="4"/>
        <v>0</v>
      </c>
      <c r="AN320" s="9"/>
    </row>
    <row r="321" spans="1:40" ht="15" x14ac:dyDescent="0.25">
      <c r="A321" s="9" t="s">
        <v>2698</v>
      </c>
      <c r="B321" s="9" t="s">
        <v>2699</v>
      </c>
      <c r="C321" s="9" t="s">
        <v>2700</v>
      </c>
      <c r="D321" s="9" t="s">
        <v>2618</v>
      </c>
      <c r="E321" s="9" t="s">
        <v>2619</v>
      </c>
      <c r="F321" s="9" t="s">
        <v>315</v>
      </c>
      <c r="G321" s="9" t="s">
        <v>135</v>
      </c>
      <c r="H321" s="9" t="s">
        <v>136</v>
      </c>
      <c r="I321" s="9" t="s">
        <v>115</v>
      </c>
      <c r="J321" s="9">
        <v>1405</v>
      </c>
      <c r="K321" s="9" t="s">
        <v>2701</v>
      </c>
      <c r="L321" s="9" t="s">
        <v>117</v>
      </c>
      <c r="M321" s="10">
        <v>4.2002314814814812E-2</v>
      </c>
      <c r="N321" s="9" t="s">
        <v>127</v>
      </c>
      <c r="O321" s="9" t="s">
        <v>2702</v>
      </c>
      <c r="P321" s="9" t="s">
        <v>119</v>
      </c>
      <c r="Q321" s="10">
        <v>1.217592592592593E-2</v>
      </c>
      <c r="R321" s="9" t="s">
        <v>56</v>
      </c>
      <c r="S321" s="10">
        <v>0.27982638888888889</v>
      </c>
      <c r="T321" s="9">
        <v>20.927</v>
      </c>
      <c r="U321" s="9">
        <v>9.2899999999999991</v>
      </c>
      <c r="V321" s="10">
        <v>9.3865740740740736E-2</v>
      </c>
      <c r="W321" s="10">
        <v>5.6828703703703701E-2</v>
      </c>
      <c r="X321" s="10">
        <v>0</v>
      </c>
      <c r="Y321" s="9">
        <v>0</v>
      </c>
      <c r="Z321" s="9">
        <v>0</v>
      </c>
      <c r="AA321" s="9">
        <v>0</v>
      </c>
      <c r="AB321" s="9">
        <v>0</v>
      </c>
      <c r="AC321" s="9">
        <v>0</v>
      </c>
      <c r="AD321" s="9">
        <v>2</v>
      </c>
      <c r="AE321" s="9" t="s">
        <v>139</v>
      </c>
      <c r="AF321" s="9" t="s">
        <v>2703</v>
      </c>
      <c r="AG321" s="9" t="s">
        <v>2704</v>
      </c>
      <c r="AH321" s="9">
        <v>6.2257049999999996</v>
      </c>
      <c r="AI321" s="9">
        <v>-75.599189999999993</v>
      </c>
      <c r="AJ321" s="9" t="s">
        <v>2705</v>
      </c>
      <c r="AK321" s="9">
        <v>6.2951839999999999</v>
      </c>
      <c r="AL321" s="9">
        <v>-75.554969999999997</v>
      </c>
      <c r="AM321" s="26">
        <f t="shared" si="4"/>
        <v>1.217592592592593E-2</v>
      </c>
      <c r="AN321" s="9"/>
    </row>
    <row r="322" spans="1:40" ht="15" x14ac:dyDescent="0.25">
      <c r="A322" s="9" t="s">
        <v>2706</v>
      </c>
      <c r="B322" s="9" t="s">
        <v>2707</v>
      </c>
      <c r="C322" s="9" t="s">
        <v>2708</v>
      </c>
      <c r="D322" s="9" t="s">
        <v>2618</v>
      </c>
      <c r="E322" s="9" t="s">
        <v>2619</v>
      </c>
      <c r="F322" s="9" t="s">
        <v>315</v>
      </c>
      <c r="G322" s="9" t="s">
        <v>144</v>
      </c>
      <c r="H322" s="9" t="s">
        <v>145</v>
      </c>
      <c r="I322" s="9" t="s">
        <v>115</v>
      </c>
      <c r="J322" s="9">
        <v>6739</v>
      </c>
      <c r="K322" s="9" t="s">
        <v>2709</v>
      </c>
      <c r="L322" s="9" t="s">
        <v>117</v>
      </c>
      <c r="M322" s="10">
        <v>1.8576388888888889E-2</v>
      </c>
      <c r="N322" s="9" t="s">
        <v>127</v>
      </c>
      <c r="O322" s="9" t="s">
        <v>2710</v>
      </c>
      <c r="P322" s="9" t="s">
        <v>119</v>
      </c>
      <c r="Q322" s="10">
        <v>4.3541666666666673E-2</v>
      </c>
      <c r="R322" s="9" t="s">
        <v>129</v>
      </c>
      <c r="S322" s="10">
        <v>0.31211805555555561</v>
      </c>
      <c r="T322" s="9">
        <v>101.31100000000001</v>
      </c>
      <c r="U322" s="9">
        <v>19.34</v>
      </c>
      <c r="V322" s="10">
        <v>0.218287037037037</v>
      </c>
      <c r="W322" s="10">
        <v>6.0520833333333343E-2</v>
      </c>
      <c r="X322" s="10">
        <v>0</v>
      </c>
      <c r="Y322" s="9">
        <v>0</v>
      </c>
      <c r="Z322" s="9">
        <v>0</v>
      </c>
      <c r="AA322" s="9">
        <v>0</v>
      </c>
      <c r="AB322" s="9">
        <v>0</v>
      </c>
      <c r="AC322" s="9">
        <v>0</v>
      </c>
      <c r="AD322" s="9">
        <v>0</v>
      </c>
      <c r="AE322" s="9" t="s">
        <v>130</v>
      </c>
      <c r="AF322" s="9" t="s">
        <v>2711</v>
      </c>
      <c r="AG322" s="9" t="s">
        <v>2712</v>
      </c>
      <c r="AH322" s="9">
        <v>6.2268650000000001</v>
      </c>
      <c r="AI322" s="9">
        <v>-75.599376000000007</v>
      </c>
      <c r="AJ322" s="9" t="s">
        <v>2713</v>
      </c>
      <c r="AK322" s="9">
        <v>6.2904039999999997</v>
      </c>
      <c r="AL322" s="9">
        <v>-75.546580000000006</v>
      </c>
      <c r="AM322" s="26">
        <f t="shared" si="4"/>
        <v>0</v>
      </c>
      <c r="AN322" s="9"/>
    </row>
    <row r="323" spans="1:40" ht="15" x14ac:dyDescent="0.25">
      <c r="A323" s="9" t="s">
        <v>2714</v>
      </c>
      <c r="B323" s="9" t="s">
        <v>2715</v>
      </c>
      <c r="C323" s="9" t="s">
        <v>2716</v>
      </c>
      <c r="D323" s="9" t="s">
        <v>2618</v>
      </c>
      <c r="E323" s="9" t="s">
        <v>2619</v>
      </c>
      <c r="F323" s="9" t="s">
        <v>315</v>
      </c>
      <c r="G323" s="9" t="s">
        <v>152</v>
      </c>
      <c r="H323" s="9" t="s">
        <v>153</v>
      </c>
      <c r="I323" s="9" t="s">
        <v>115</v>
      </c>
      <c r="J323" s="9">
        <v>1420</v>
      </c>
      <c r="K323" s="9" t="s">
        <v>2717</v>
      </c>
      <c r="L323" s="9" t="s">
        <v>117</v>
      </c>
      <c r="M323" s="10">
        <v>3.1724537037037037E-2</v>
      </c>
      <c r="N323" s="9" t="s">
        <v>127</v>
      </c>
      <c r="O323" s="9" t="s">
        <v>2718</v>
      </c>
      <c r="P323" s="9" t="s">
        <v>119</v>
      </c>
      <c r="Q323" s="10">
        <v>0.1288194444444444</v>
      </c>
      <c r="R323" s="9" t="s">
        <v>56</v>
      </c>
      <c r="S323" s="10">
        <v>0.15290509259259261</v>
      </c>
      <c r="T323" s="9">
        <v>18.783999999999999</v>
      </c>
      <c r="U323" s="9">
        <v>7.74</v>
      </c>
      <c r="V323" s="10">
        <v>0.1010763888888889</v>
      </c>
      <c r="W323" s="10">
        <v>6.9780092592592588E-2</v>
      </c>
      <c r="X323" s="10">
        <v>0</v>
      </c>
      <c r="Y323" s="9">
        <v>0</v>
      </c>
      <c r="Z323" s="9">
        <v>0</v>
      </c>
      <c r="AA323" s="9">
        <v>0</v>
      </c>
      <c r="AB323" s="9">
        <v>0</v>
      </c>
      <c r="AC323" s="9">
        <v>0</v>
      </c>
      <c r="AD323" s="9">
        <v>1</v>
      </c>
      <c r="AE323" s="9" t="s">
        <v>139</v>
      </c>
      <c r="AF323" s="9" t="s">
        <v>2719</v>
      </c>
      <c r="AG323" s="9" t="s">
        <v>2720</v>
      </c>
      <c r="AH323" s="9">
        <v>6.2260249999999999</v>
      </c>
      <c r="AI323" s="9">
        <v>-75.599369999999993</v>
      </c>
      <c r="AJ323" s="9" t="s">
        <v>2721</v>
      </c>
      <c r="AK323" s="9">
        <v>6.2517670000000001</v>
      </c>
      <c r="AL323" s="9">
        <v>-75.551829999999995</v>
      </c>
      <c r="AM323" s="26">
        <f t="shared" ref="AM323:AM325" si="5">IF(N323="INICIO TARDÍO",M323,0)+IF(R323="TERMINÓ ANTES",Q323,0)</f>
        <v>0.1288194444444444</v>
      </c>
      <c r="AN323" s="9"/>
    </row>
    <row r="324" spans="1:40" ht="15" x14ac:dyDescent="0.25">
      <c r="A324" s="9" t="s">
        <v>2722</v>
      </c>
      <c r="B324" s="9" t="s">
        <v>2723</v>
      </c>
      <c r="C324" s="9" t="s">
        <v>2724</v>
      </c>
      <c r="D324" s="9" t="s">
        <v>2618</v>
      </c>
      <c r="E324" s="9" t="s">
        <v>2619</v>
      </c>
      <c r="F324" s="9" t="s">
        <v>315</v>
      </c>
      <c r="G324" s="9" t="s">
        <v>160</v>
      </c>
      <c r="H324" s="9" t="s">
        <v>161</v>
      </c>
      <c r="I324" s="9" t="s">
        <v>115</v>
      </c>
      <c r="J324" s="9">
        <v>9563</v>
      </c>
      <c r="K324" s="9" t="s">
        <v>2725</v>
      </c>
      <c r="L324" s="9" t="s">
        <v>117</v>
      </c>
      <c r="M324" s="10">
        <v>1.9616215277777779E-2</v>
      </c>
      <c r="N324" s="9" t="s">
        <v>127</v>
      </c>
      <c r="O324" s="9" t="s">
        <v>2726</v>
      </c>
      <c r="P324" s="9" t="s">
        <v>119</v>
      </c>
      <c r="Q324" s="10">
        <v>1.4685555555555559E-2</v>
      </c>
      <c r="R324" s="9" t="s">
        <v>129</v>
      </c>
      <c r="S324" s="10">
        <v>0.2843017708333333</v>
      </c>
      <c r="T324" s="9">
        <v>55.212000000000003</v>
      </c>
      <c r="U324" s="9">
        <v>13.09</v>
      </c>
      <c r="V324" s="10">
        <v>0.17577624999999991</v>
      </c>
      <c r="W324" s="10">
        <v>0.12171476851851851</v>
      </c>
      <c r="X324" s="10">
        <v>5.9606134259259256E-3</v>
      </c>
      <c r="Y324" s="9">
        <v>0</v>
      </c>
      <c r="Z324" s="9">
        <v>0</v>
      </c>
      <c r="AA324" s="9">
        <v>0</v>
      </c>
      <c r="AB324" s="9">
        <v>0</v>
      </c>
      <c r="AC324" s="9">
        <v>0</v>
      </c>
      <c r="AD324" s="9">
        <v>3</v>
      </c>
      <c r="AE324" s="9" t="s">
        <v>130</v>
      </c>
      <c r="AF324" s="9" t="s">
        <v>2727</v>
      </c>
      <c r="AG324" s="9" t="s">
        <v>2728</v>
      </c>
      <c r="AH324" s="9">
        <v>6.2264699999999999</v>
      </c>
      <c r="AI324" s="9">
        <v>-75.599547999999999</v>
      </c>
      <c r="AJ324" s="9" t="s">
        <v>2729</v>
      </c>
      <c r="AK324" s="9">
        <v>6.2684319999999998</v>
      </c>
      <c r="AL324" s="9">
        <v>-75.599476999999993</v>
      </c>
      <c r="AM324" s="26">
        <f t="shared" si="5"/>
        <v>0</v>
      </c>
      <c r="AN324" s="9"/>
    </row>
    <row r="325" spans="1:40" ht="15" x14ac:dyDescent="0.25">
      <c r="A325" s="9" t="s">
        <v>2730</v>
      </c>
      <c r="B325" s="9" t="s">
        <v>2731</v>
      </c>
      <c r="C325" s="9" t="s">
        <v>2732</v>
      </c>
      <c r="D325" s="9" t="s">
        <v>2733</v>
      </c>
      <c r="E325" s="9" t="s">
        <v>2619</v>
      </c>
      <c r="F325" s="9" t="s">
        <v>406</v>
      </c>
      <c r="G325" s="9" t="s">
        <v>38</v>
      </c>
      <c r="H325" s="9" t="s">
        <v>39</v>
      </c>
      <c r="I325" s="9" t="s">
        <v>40</v>
      </c>
      <c r="J325" s="9">
        <v>7959</v>
      </c>
      <c r="K325" s="9" t="s">
        <v>2734</v>
      </c>
      <c r="L325" s="9" t="s">
        <v>42</v>
      </c>
      <c r="M325" s="10">
        <v>1.377377314814815E-2</v>
      </c>
      <c r="N325" s="9" t="s">
        <v>43</v>
      </c>
      <c r="O325" s="9" t="s">
        <v>2735</v>
      </c>
      <c r="P325" s="9" t="s">
        <v>413</v>
      </c>
      <c r="Q325" s="10">
        <v>5.5670601851851853E-3</v>
      </c>
      <c r="R325" s="9" t="s">
        <v>46</v>
      </c>
      <c r="S325" s="10">
        <v>0.29315916666666669</v>
      </c>
      <c r="T325" s="9">
        <v>52.771999999999998</v>
      </c>
      <c r="U325" s="9">
        <v>21.83</v>
      </c>
      <c r="V325" s="10">
        <v>0.10070980324074071</v>
      </c>
      <c r="W325" s="10">
        <v>3.478936342592593E-2</v>
      </c>
      <c r="X325" s="10">
        <v>0</v>
      </c>
      <c r="Y325" s="9">
        <v>0</v>
      </c>
      <c r="Z325" s="9">
        <v>0</v>
      </c>
      <c r="AA325" s="9">
        <v>0</v>
      </c>
      <c r="AB325" s="9">
        <v>0</v>
      </c>
      <c r="AC325" s="9">
        <v>0</v>
      </c>
      <c r="AD325" s="9">
        <v>6</v>
      </c>
      <c r="AE325" s="9" t="s">
        <v>47</v>
      </c>
      <c r="AF325" s="9" t="s">
        <v>2736</v>
      </c>
      <c r="AG325" s="9" t="s">
        <v>2737</v>
      </c>
      <c r="AH325" s="9">
        <v>6.2217750000000001</v>
      </c>
      <c r="AI325" s="9">
        <v>-75.593822000000003</v>
      </c>
      <c r="AJ325" s="9" t="s">
        <v>2738</v>
      </c>
      <c r="AK325" s="9">
        <v>6.2217039999999999</v>
      </c>
      <c r="AL325" s="9">
        <v>-75.593849000000006</v>
      </c>
      <c r="AM325" s="26">
        <f t="shared" si="5"/>
        <v>1.377377314814815E-2</v>
      </c>
      <c r="AN325" s="9"/>
    </row>
    <row r="326" spans="1:40" ht="15" x14ac:dyDescent="0.25">
      <c r="A326" s="9" t="s">
        <v>2739</v>
      </c>
      <c r="B326" s="9" t="s">
        <v>2740</v>
      </c>
      <c r="C326" s="9" t="s">
        <v>2741</v>
      </c>
      <c r="D326" s="9" t="s">
        <v>2733</v>
      </c>
      <c r="E326" s="9" t="s">
        <v>2619</v>
      </c>
      <c r="F326" s="9" t="s">
        <v>406</v>
      </c>
      <c r="G326" s="9" t="s">
        <v>52</v>
      </c>
      <c r="H326" s="9" t="s">
        <v>53</v>
      </c>
      <c r="I326" s="9" t="s">
        <v>40</v>
      </c>
      <c r="J326" s="9">
        <v>3894</v>
      </c>
      <c r="K326" s="9" t="s">
        <v>2742</v>
      </c>
      <c r="L326" s="9" t="s">
        <v>42</v>
      </c>
      <c r="M326" s="10">
        <v>1.608796296296296E-2</v>
      </c>
      <c r="N326" s="9" t="s">
        <v>127</v>
      </c>
      <c r="O326" s="9" t="s">
        <v>2743</v>
      </c>
      <c r="P326" s="9" t="s">
        <v>413</v>
      </c>
      <c r="Q326" s="10">
        <v>1.631944444444445E-3</v>
      </c>
      <c r="R326" s="9" t="s">
        <v>46</v>
      </c>
      <c r="S326" s="10">
        <v>0.33021990740740742</v>
      </c>
      <c r="T326" s="9">
        <v>55.936999999999998</v>
      </c>
      <c r="U326" s="9">
        <v>8.2899999999999991</v>
      </c>
      <c r="V326" s="10">
        <v>0.28120370370370368</v>
      </c>
      <c r="W326" s="10">
        <v>0.18986111111111109</v>
      </c>
      <c r="X326" s="10">
        <v>0</v>
      </c>
      <c r="Y326" s="9">
        <v>0</v>
      </c>
      <c r="Z326" s="9">
        <v>0</v>
      </c>
      <c r="AA326" s="9">
        <v>0</v>
      </c>
      <c r="AB326" s="9">
        <v>0</v>
      </c>
      <c r="AC326" s="9">
        <v>0</v>
      </c>
      <c r="AD326" s="9">
        <v>3</v>
      </c>
      <c r="AE326" s="9" t="s">
        <v>139</v>
      </c>
      <c r="AF326" s="9" t="s">
        <v>2744</v>
      </c>
      <c r="AG326" s="9" t="s">
        <v>2745</v>
      </c>
      <c r="AH326" s="9">
        <v>6.225841</v>
      </c>
      <c r="AI326" s="9">
        <v>-75.599310000000003</v>
      </c>
      <c r="AJ326" s="9" t="s">
        <v>2746</v>
      </c>
      <c r="AK326" s="9">
        <v>6.2477780000000003</v>
      </c>
      <c r="AL326" s="9">
        <v>-75.614999999999995</v>
      </c>
      <c r="AM326" s="26">
        <f t="shared" ref="AM326:AM388" si="6">IF(N326="INICIO TARDÍO",M326,0)+IF(R326="TERMINÓ ANTES",Q326,0)</f>
        <v>0</v>
      </c>
    </row>
    <row r="327" spans="1:40" ht="15" x14ac:dyDescent="0.25">
      <c r="A327" s="9" t="s">
        <v>2747</v>
      </c>
      <c r="B327" s="9" t="s">
        <v>2748</v>
      </c>
      <c r="C327" s="9" t="s">
        <v>2749</v>
      </c>
      <c r="D327" s="9" t="s">
        <v>2733</v>
      </c>
      <c r="E327" s="9" t="s">
        <v>2619</v>
      </c>
      <c r="F327" s="9" t="s">
        <v>406</v>
      </c>
      <c r="G327" s="9" t="s">
        <v>113</v>
      </c>
      <c r="H327" s="9" t="s">
        <v>114</v>
      </c>
      <c r="I327" s="9" t="s">
        <v>40</v>
      </c>
      <c r="J327" s="9">
        <v>2444</v>
      </c>
      <c r="K327" s="9" t="s">
        <v>2750</v>
      </c>
      <c r="L327" s="9" t="s">
        <v>42</v>
      </c>
      <c r="M327" s="10">
        <v>1.711805555555556E-2</v>
      </c>
      <c r="N327" s="9" t="s">
        <v>43</v>
      </c>
      <c r="O327" s="9" t="s">
        <v>2751</v>
      </c>
      <c r="P327" s="9" t="s">
        <v>413</v>
      </c>
      <c r="Q327" s="10">
        <v>2.9953703703703701E-2</v>
      </c>
      <c r="R327" s="9" t="s">
        <v>56</v>
      </c>
      <c r="S327" s="10">
        <v>0.26542824074074067</v>
      </c>
      <c r="T327" s="9">
        <v>32.552</v>
      </c>
      <c r="U327" s="9">
        <v>6.43</v>
      </c>
      <c r="V327" s="10">
        <v>0.21079861111111109</v>
      </c>
      <c r="W327" s="10">
        <v>0.15156249999999999</v>
      </c>
      <c r="X327" s="10">
        <v>0</v>
      </c>
      <c r="Y327" s="9">
        <v>0</v>
      </c>
      <c r="Z327" s="9">
        <v>0</v>
      </c>
      <c r="AA327" s="9">
        <v>0</v>
      </c>
      <c r="AB327" s="9">
        <v>0</v>
      </c>
      <c r="AC327" s="9">
        <v>0</v>
      </c>
      <c r="AD327" s="9">
        <v>2</v>
      </c>
      <c r="AE327" s="9" t="s">
        <v>57</v>
      </c>
      <c r="AF327" s="9" t="s">
        <v>2752</v>
      </c>
      <c r="AG327" s="9" t="s">
        <v>2753</v>
      </c>
      <c r="AH327" s="9">
        <v>6.22675</v>
      </c>
      <c r="AI327" s="9">
        <v>-75.601354000000001</v>
      </c>
      <c r="AJ327" s="9" t="s">
        <v>2754</v>
      </c>
      <c r="AK327" s="9">
        <v>6.2511450000000002</v>
      </c>
      <c r="AL327" s="9">
        <v>-75.602317999999997</v>
      </c>
      <c r="AM327" s="26">
        <f t="shared" si="6"/>
        <v>4.7071759259259258E-2</v>
      </c>
    </row>
    <row r="328" spans="1:40" ht="15" x14ac:dyDescent="0.25">
      <c r="A328" s="9" t="s">
        <v>2755</v>
      </c>
      <c r="B328" s="9" t="s">
        <v>2756</v>
      </c>
      <c r="C328" s="9" t="s">
        <v>2757</v>
      </c>
      <c r="D328" s="9" t="s">
        <v>2733</v>
      </c>
      <c r="E328" s="9" t="s">
        <v>2619</v>
      </c>
      <c r="F328" s="9" t="s">
        <v>406</v>
      </c>
      <c r="G328" s="9" t="s">
        <v>62</v>
      </c>
      <c r="H328" s="9" t="s">
        <v>63</v>
      </c>
      <c r="I328" s="9" t="s">
        <v>40</v>
      </c>
      <c r="J328" s="9">
        <v>3262</v>
      </c>
      <c r="K328" s="9" t="s">
        <v>2758</v>
      </c>
      <c r="L328" s="9" t="s">
        <v>42</v>
      </c>
      <c r="M328" s="10">
        <v>2.945601851851852E-2</v>
      </c>
      <c r="N328" s="9" t="s">
        <v>43</v>
      </c>
      <c r="O328" s="9" t="s">
        <v>2759</v>
      </c>
      <c r="P328" s="9" t="s">
        <v>413</v>
      </c>
      <c r="Q328" s="10">
        <v>9.6030092592592597E-2</v>
      </c>
      <c r="R328" s="9" t="s">
        <v>56</v>
      </c>
      <c r="S328" s="10">
        <v>0.1870138888888889</v>
      </c>
      <c r="T328" s="9">
        <v>44.158999999999999</v>
      </c>
      <c r="U328" s="9">
        <v>15.18</v>
      </c>
      <c r="V328" s="10">
        <v>0.12119212962962959</v>
      </c>
      <c r="W328" s="10">
        <v>4.5902777777777778E-2</v>
      </c>
      <c r="X328" s="10">
        <v>0</v>
      </c>
      <c r="Y328" s="9">
        <v>0</v>
      </c>
      <c r="Z328" s="9">
        <v>0</v>
      </c>
      <c r="AA328" s="9">
        <v>0</v>
      </c>
      <c r="AB328" s="9">
        <v>0</v>
      </c>
      <c r="AC328" s="9">
        <v>0</v>
      </c>
      <c r="AD328" s="9">
        <v>0</v>
      </c>
      <c r="AE328" s="9" t="s">
        <v>57</v>
      </c>
      <c r="AF328" s="9" t="s">
        <v>2760</v>
      </c>
      <c r="AG328" s="9" t="s">
        <v>2761</v>
      </c>
      <c r="AH328" s="9">
        <v>6.2352509999999999</v>
      </c>
      <c r="AI328" s="9">
        <v>-75.600564000000006</v>
      </c>
      <c r="AJ328" s="9" t="s">
        <v>2762</v>
      </c>
      <c r="AK328" s="9">
        <v>6.300592</v>
      </c>
      <c r="AL328" s="9">
        <v>-75.568960000000004</v>
      </c>
      <c r="AM328" s="26">
        <f t="shared" si="6"/>
        <v>0.12548611111111113</v>
      </c>
    </row>
    <row r="329" spans="1:40" ht="15" x14ac:dyDescent="0.25">
      <c r="A329" s="9" t="s">
        <v>2763</v>
      </c>
      <c r="B329" s="9" t="s">
        <v>2764</v>
      </c>
      <c r="C329" s="9" t="s">
        <v>2765</v>
      </c>
      <c r="D329" s="9" t="s">
        <v>2733</v>
      </c>
      <c r="E329" s="9" t="s">
        <v>2619</v>
      </c>
      <c r="F329" s="9" t="s">
        <v>406</v>
      </c>
      <c r="G329" s="9" t="s">
        <v>80</v>
      </c>
      <c r="H329" s="9" t="s">
        <v>81</v>
      </c>
      <c r="I329" s="9" t="s">
        <v>40</v>
      </c>
      <c r="J329" s="9">
        <v>6000</v>
      </c>
      <c r="K329" s="9" t="s">
        <v>2766</v>
      </c>
      <c r="L329" s="9" t="s">
        <v>42</v>
      </c>
      <c r="M329" s="10">
        <v>3.102303240740741E-3</v>
      </c>
      <c r="N329" s="9" t="s">
        <v>65</v>
      </c>
      <c r="O329" s="9" t="s">
        <v>2767</v>
      </c>
      <c r="P329" s="9" t="s">
        <v>413</v>
      </c>
      <c r="Q329" s="10">
        <v>2.086569444444444E-2</v>
      </c>
      <c r="R329" s="9" t="s">
        <v>129</v>
      </c>
      <c r="S329" s="10">
        <v>0.33026339120370368</v>
      </c>
      <c r="T329" s="9">
        <v>39.268000000000001</v>
      </c>
      <c r="U329" s="9">
        <v>18.03</v>
      </c>
      <c r="V329" s="10">
        <v>9.0739675925925883E-2</v>
      </c>
      <c r="W329" s="10">
        <v>4.3603831018518523E-2</v>
      </c>
      <c r="X329" s="10">
        <v>0</v>
      </c>
      <c r="Y329" s="9">
        <v>0</v>
      </c>
      <c r="Z329" s="9">
        <v>0</v>
      </c>
      <c r="AA329" s="9">
        <v>0</v>
      </c>
      <c r="AB329" s="9">
        <v>0</v>
      </c>
      <c r="AC329" s="9">
        <v>0</v>
      </c>
      <c r="AD329" s="9">
        <v>14</v>
      </c>
      <c r="AE329" s="9" t="s">
        <v>130</v>
      </c>
      <c r="AF329" s="9" t="s">
        <v>2768</v>
      </c>
      <c r="AG329" s="9" t="s">
        <v>2769</v>
      </c>
      <c r="AH329" s="9">
        <v>6.2256489999999998</v>
      </c>
      <c r="AI329" s="9">
        <v>-75.599413999999996</v>
      </c>
      <c r="AJ329" s="9" t="s">
        <v>2770</v>
      </c>
      <c r="AK329" s="9">
        <v>6.2468830000000004</v>
      </c>
      <c r="AL329" s="9">
        <v>-75.554148999999995</v>
      </c>
      <c r="AM329" s="26">
        <f t="shared" si="6"/>
        <v>0</v>
      </c>
    </row>
    <row r="330" spans="1:40" ht="15" x14ac:dyDescent="0.25">
      <c r="A330" s="9" t="s">
        <v>2771</v>
      </c>
      <c r="B330" s="9" t="s">
        <v>2772</v>
      </c>
      <c r="C330" s="9" t="s">
        <v>2773</v>
      </c>
      <c r="D330" s="9" t="s">
        <v>2733</v>
      </c>
      <c r="E330" s="9" t="s">
        <v>2619</v>
      </c>
      <c r="F330" s="9" t="s">
        <v>406</v>
      </c>
      <c r="G330" s="9" t="s">
        <v>89</v>
      </c>
      <c r="H330" s="9" t="s">
        <v>90</v>
      </c>
      <c r="I330" s="9" t="s">
        <v>40</v>
      </c>
      <c r="J330" s="9">
        <v>4031</v>
      </c>
      <c r="K330" s="9" t="s">
        <v>2774</v>
      </c>
      <c r="L330" s="9" t="s">
        <v>42</v>
      </c>
      <c r="M330" s="10">
        <v>1.805555555555555E-3</v>
      </c>
      <c r="N330" s="9" t="s">
        <v>65</v>
      </c>
      <c r="O330" s="9" t="s">
        <v>2775</v>
      </c>
      <c r="P330" s="9" t="s">
        <v>413</v>
      </c>
      <c r="Q330" s="10">
        <v>9.432870370370371E-3</v>
      </c>
      <c r="R330" s="9" t="s">
        <v>46</v>
      </c>
      <c r="S330" s="10">
        <v>0.30126157407407411</v>
      </c>
      <c r="T330" s="9">
        <v>49.186999999999998</v>
      </c>
      <c r="U330" s="9">
        <v>8.08</v>
      </c>
      <c r="V330" s="10">
        <v>0.25365740740740739</v>
      </c>
      <c r="W330" s="10">
        <v>0.12096064814814821</v>
      </c>
      <c r="X330" s="10">
        <v>0</v>
      </c>
      <c r="Y330" s="9">
        <v>0</v>
      </c>
      <c r="Z330" s="9">
        <v>0</v>
      </c>
      <c r="AA330" s="9">
        <v>0</v>
      </c>
      <c r="AB330" s="9">
        <v>0</v>
      </c>
      <c r="AC330" s="9">
        <v>0</v>
      </c>
      <c r="AD330" s="9">
        <v>0</v>
      </c>
      <c r="AE330" s="9" t="s">
        <v>84</v>
      </c>
      <c r="AF330" s="9" t="s">
        <v>352</v>
      </c>
      <c r="AG330" s="9" t="s">
        <v>2776</v>
      </c>
      <c r="AH330" s="9">
        <v>6.2268699999999999</v>
      </c>
      <c r="AI330" s="9">
        <v>-75.599140000000006</v>
      </c>
      <c r="AJ330" s="9" t="s">
        <v>2777</v>
      </c>
      <c r="AK330" s="9">
        <v>6.2794489999999996</v>
      </c>
      <c r="AL330" s="9">
        <v>-75.569809000000006</v>
      </c>
      <c r="AM330" s="26">
        <f t="shared" si="6"/>
        <v>0</v>
      </c>
    </row>
    <row r="331" spans="1:40" ht="15" x14ac:dyDescent="0.25">
      <c r="A331" s="9" t="s">
        <v>2778</v>
      </c>
      <c r="B331" s="9" t="s">
        <v>2779</v>
      </c>
      <c r="C331" s="9" t="s">
        <v>2780</v>
      </c>
      <c r="D331" s="9" t="s">
        <v>2733</v>
      </c>
      <c r="E331" s="9" t="s">
        <v>2619</v>
      </c>
      <c r="F331" s="9" t="s">
        <v>406</v>
      </c>
      <c r="G331" s="9" t="s">
        <v>97</v>
      </c>
      <c r="H331" s="9" t="s">
        <v>98</v>
      </c>
      <c r="I331" s="9" t="s">
        <v>40</v>
      </c>
      <c r="J331" s="9">
        <v>4983</v>
      </c>
      <c r="K331" s="9" t="s">
        <v>2781</v>
      </c>
      <c r="L331" s="9" t="s">
        <v>42</v>
      </c>
      <c r="M331" s="10">
        <v>8.5532407407407415E-3</v>
      </c>
      <c r="N331" s="9" t="s">
        <v>65</v>
      </c>
      <c r="O331" s="9" t="s">
        <v>2782</v>
      </c>
      <c r="P331" s="9" t="s">
        <v>413</v>
      </c>
      <c r="Q331" s="10">
        <v>4.9247685185185193E-2</v>
      </c>
      <c r="R331" s="9" t="s">
        <v>56</v>
      </c>
      <c r="S331" s="10">
        <v>0.25469907407407399</v>
      </c>
      <c r="T331" s="9">
        <v>67.352000000000004</v>
      </c>
      <c r="U331" s="9">
        <v>15.17</v>
      </c>
      <c r="V331" s="10">
        <v>0.1850347222222222</v>
      </c>
      <c r="W331" s="10">
        <v>9.3159722222222227E-2</v>
      </c>
      <c r="X331" s="10">
        <v>4.3518518518518524E-3</v>
      </c>
      <c r="Y331" s="9">
        <v>0</v>
      </c>
      <c r="Z331" s="9">
        <v>0</v>
      </c>
      <c r="AA331" s="9">
        <v>0</v>
      </c>
      <c r="AB331" s="9">
        <v>0</v>
      </c>
      <c r="AC331" s="9">
        <v>0</v>
      </c>
      <c r="AD331" s="9">
        <v>1</v>
      </c>
      <c r="AE331" s="9" t="s">
        <v>67</v>
      </c>
      <c r="AF331" s="9" t="s">
        <v>2783</v>
      </c>
      <c r="AG331" s="9" t="s">
        <v>2784</v>
      </c>
      <c r="AH331" s="9">
        <v>6.2257360000000004</v>
      </c>
      <c r="AI331" s="9">
        <v>-75.599547000000001</v>
      </c>
      <c r="AJ331" s="9" t="s">
        <v>2785</v>
      </c>
      <c r="AK331" s="9">
        <v>6.3070430000000002</v>
      </c>
      <c r="AL331" s="9">
        <v>-75.555594999999997</v>
      </c>
      <c r="AM331" s="26">
        <f t="shared" si="6"/>
        <v>4.9247685185185193E-2</v>
      </c>
    </row>
    <row r="332" spans="1:40" ht="15" x14ac:dyDescent="0.25">
      <c r="A332" s="9" t="s">
        <v>2786</v>
      </c>
      <c r="B332" s="9" t="s">
        <v>2787</v>
      </c>
      <c r="C332" s="9" t="s">
        <v>2788</v>
      </c>
      <c r="D332" s="9" t="s">
        <v>2733</v>
      </c>
      <c r="E332" s="9" t="s">
        <v>2619</v>
      </c>
      <c r="F332" s="9" t="s">
        <v>406</v>
      </c>
      <c r="G332" s="9" t="s">
        <v>105</v>
      </c>
      <c r="H332" s="9" t="s">
        <v>106</v>
      </c>
      <c r="I332" s="9" t="s">
        <v>40</v>
      </c>
      <c r="J332" s="9">
        <v>2153</v>
      </c>
      <c r="K332" s="9" t="s">
        <v>2789</v>
      </c>
      <c r="L332" s="9" t="s">
        <v>42</v>
      </c>
      <c r="M332" s="10">
        <v>2.210648148148148E-2</v>
      </c>
      <c r="N332" s="9" t="s">
        <v>43</v>
      </c>
      <c r="O332" s="9" t="s">
        <v>2790</v>
      </c>
      <c r="P332" s="9" t="s">
        <v>413</v>
      </c>
      <c r="Q332" s="10">
        <v>7.6273148148148151E-3</v>
      </c>
      <c r="R332" s="9" t="s">
        <v>46</v>
      </c>
      <c r="S332" s="10">
        <v>0.29802083333333329</v>
      </c>
      <c r="T332" s="9">
        <v>27.184999999999999</v>
      </c>
      <c r="U332" s="9">
        <v>9.01</v>
      </c>
      <c r="V332" s="10">
        <v>0.1257638888888889</v>
      </c>
      <c r="W332" s="10">
        <v>8.6365740740740743E-2</v>
      </c>
      <c r="X332" s="10">
        <v>0</v>
      </c>
      <c r="Y332" s="9">
        <v>0</v>
      </c>
      <c r="Z332" s="9">
        <v>0</v>
      </c>
      <c r="AA332" s="9">
        <v>0</v>
      </c>
      <c r="AB332" s="9">
        <v>0</v>
      </c>
      <c r="AC332" s="9">
        <v>0</v>
      </c>
      <c r="AD332" s="9">
        <v>1</v>
      </c>
      <c r="AE332" s="9" t="s">
        <v>47</v>
      </c>
      <c r="AF332" s="9" t="s">
        <v>2791</v>
      </c>
      <c r="AG332" s="9" t="s">
        <v>2792</v>
      </c>
      <c r="AH332" s="9">
        <v>6.2257860000000003</v>
      </c>
      <c r="AI332" s="9">
        <v>-75.599468000000002</v>
      </c>
      <c r="AJ332" s="9" t="s">
        <v>2793</v>
      </c>
      <c r="AK332" s="9">
        <v>6.2319110000000002</v>
      </c>
      <c r="AL332" s="9">
        <v>-75.603089999999995</v>
      </c>
      <c r="AM332" s="26">
        <f t="shared" si="6"/>
        <v>2.210648148148148E-2</v>
      </c>
    </row>
    <row r="333" spans="1:40" ht="15" x14ac:dyDescent="0.25">
      <c r="A333" s="9" t="s">
        <v>2794</v>
      </c>
      <c r="B333" s="9" t="s">
        <v>2795</v>
      </c>
      <c r="C333" s="9" t="s">
        <v>2796</v>
      </c>
      <c r="D333" s="9" t="s">
        <v>2797</v>
      </c>
      <c r="E333" s="9" t="s">
        <v>2619</v>
      </c>
      <c r="F333" s="9" t="s">
        <v>455</v>
      </c>
      <c r="G333" s="9" t="s">
        <v>52</v>
      </c>
      <c r="H333" s="9" t="s">
        <v>53</v>
      </c>
      <c r="I333" s="9" t="s">
        <v>40</v>
      </c>
      <c r="J333" s="9">
        <v>3130</v>
      </c>
      <c r="K333" s="9" t="s">
        <v>2798</v>
      </c>
      <c r="L333" s="9" t="s">
        <v>42</v>
      </c>
      <c r="M333" s="10">
        <v>1.380787037037037E-2</v>
      </c>
      <c r="N333" s="9" t="s">
        <v>43</v>
      </c>
      <c r="O333" s="9" t="s">
        <v>2799</v>
      </c>
      <c r="P333" s="9" t="s">
        <v>413</v>
      </c>
      <c r="Q333" s="10">
        <v>1.819444444444444E-2</v>
      </c>
      <c r="R333" s="9" t="s">
        <v>56</v>
      </c>
      <c r="S333" s="10">
        <v>0.2804976851851852</v>
      </c>
      <c r="T333" s="9">
        <v>40.445</v>
      </c>
      <c r="U333" s="9">
        <v>7.65</v>
      </c>
      <c r="V333" s="10">
        <v>0.22027777777777779</v>
      </c>
      <c r="W333" s="10">
        <v>0.1456365740740741</v>
      </c>
      <c r="X333" s="10">
        <v>0</v>
      </c>
      <c r="Y333" s="9">
        <v>0</v>
      </c>
      <c r="Z333" s="9">
        <v>0</v>
      </c>
      <c r="AA333" s="9">
        <v>0</v>
      </c>
      <c r="AB333" s="9">
        <v>0</v>
      </c>
      <c r="AC333" s="9">
        <v>0</v>
      </c>
      <c r="AD333" s="9">
        <v>2</v>
      </c>
      <c r="AE333" s="9" t="s">
        <v>57</v>
      </c>
      <c r="AF333" s="9" t="s">
        <v>2800</v>
      </c>
      <c r="AG333" s="9" t="s">
        <v>2801</v>
      </c>
      <c r="AH333" s="9">
        <v>6.2478400000000001</v>
      </c>
      <c r="AI333" s="9">
        <v>-75.615064000000004</v>
      </c>
      <c r="AJ333" s="9" t="s">
        <v>2802</v>
      </c>
      <c r="AK333" s="9">
        <v>6.2288399999999999</v>
      </c>
      <c r="AL333" s="9">
        <v>-75.578445000000002</v>
      </c>
      <c r="AM333" s="26">
        <f t="shared" si="6"/>
        <v>3.200231481481481E-2</v>
      </c>
    </row>
    <row r="334" spans="1:40" ht="15" x14ac:dyDescent="0.25">
      <c r="A334" s="9" t="s">
        <v>2803</v>
      </c>
      <c r="B334" s="9" t="s">
        <v>2804</v>
      </c>
      <c r="C334" s="9" t="s">
        <v>2805</v>
      </c>
      <c r="D334" s="9" t="s">
        <v>2797</v>
      </c>
      <c r="E334" s="9" t="s">
        <v>2619</v>
      </c>
      <c r="F334" s="9" t="s">
        <v>455</v>
      </c>
      <c r="G334" s="9" t="s">
        <v>113</v>
      </c>
      <c r="H334" s="9" t="s">
        <v>114</v>
      </c>
      <c r="I334" s="9" t="s">
        <v>40</v>
      </c>
      <c r="J334" s="9">
        <v>2471</v>
      </c>
      <c r="K334" s="9" t="s">
        <v>2806</v>
      </c>
      <c r="L334" s="9" t="s">
        <v>42</v>
      </c>
      <c r="M334" s="10">
        <v>3.6030092592592593E-2</v>
      </c>
      <c r="N334" s="9" t="s">
        <v>43</v>
      </c>
      <c r="O334" s="9" t="s">
        <v>2807</v>
      </c>
      <c r="P334" s="9" t="s">
        <v>413</v>
      </c>
      <c r="Q334" s="10">
        <v>2.266203703703704E-2</v>
      </c>
      <c r="R334" s="9" t="s">
        <v>56</v>
      </c>
      <c r="S334" s="10">
        <v>0.25380787037037039</v>
      </c>
      <c r="T334" s="9">
        <v>30.024999999999999</v>
      </c>
      <c r="U334" s="9">
        <v>6.81</v>
      </c>
      <c r="V334" s="10">
        <v>0.1837847222222222</v>
      </c>
      <c r="W334" s="10">
        <v>0.1191435185185185</v>
      </c>
      <c r="X334" s="10">
        <v>0</v>
      </c>
      <c r="Y334" s="9">
        <v>0</v>
      </c>
      <c r="Z334" s="9">
        <v>0</v>
      </c>
      <c r="AA334" s="9">
        <v>0</v>
      </c>
      <c r="AB334" s="9">
        <v>0</v>
      </c>
      <c r="AC334" s="9">
        <v>0</v>
      </c>
      <c r="AD334" s="9">
        <v>1</v>
      </c>
      <c r="AE334" s="9" t="s">
        <v>57</v>
      </c>
      <c r="AF334" s="9" t="s">
        <v>2808</v>
      </c>
      <c r="AG334" s="9" t="s">
        <v>2809</v>
      </c>
      <c r="AH334" s="9">
        <v>6.2504619999999997</v>
      </c>
      <c r="AI334" s="9">
        <v>-75.601303999999999</v>
      </c>
      <c r="AJ334" s="9" t="s">
        <v>2810</v>
      </c>
      <c r="AK334" s="9">
        <v>6.2432840000000001</v>
      </c>
      <c r="AL334" s="9">
        <v>-75.602463999999998</v>
      </c>
      <c r="AM334" s="26">
        <f t="shared" si="6"/>
        <v>5.8692129629629636E-2</v>
      </c>
    </row>
    <row r="335" spans="1:40" ht="15" x14ac:dyDescent="0.25">
      <c r="A335" s="9" t="s">
        <v>2811</v>
      </c>
      <c r="B335" s="9" t="s">
        <v>2812</v>
      </c>
      <c r="C335" s="9" t="s">
        <v>2813</v>
      </c>
      <c r="D335" s="9" t="s">
        <v>2733</v>
      </c>
      <c r="E335" s="9" t="s">
        <v>2619</v>
      </c>
      <c r="F335" s="9" t="s">
        <v>406</v>
      </c>
      <c r="G335" s="9" t="s">
        <v>72</v>
      </c>
      <c r="H335" s="9" t="s">
        <v>73</v>
      </c>
      <c r="I335" s="9" t="s">
        <v>40</v>
      </c>
      <c r="J335" s="9">
        <v>4157</v>
      </c>
      <c r="K335" s="9" t="s">
        <v>2814</v>
      </c>
      <c r="L335" s="9" t="s">
        <v>42</v>
      </c>
      <c r="M335" s="10">
        <v>9.6296296296296303E-3</v>
      </c>
      <c r="N335" s="9" t="s">
        <v>65</v>
      </c>
      <c r="O335" s="9" t="s">
        <v>2815</v>
      </c>
      <c r="P335" s="9" t="s">
        <v>413</v>
      </c>
      <c r="Q335" s="10">
        <v>7.1435185185185185E-2</v>
      </c>
      <c r="R335" s="9" t="s">
        <v>56</v>
      </c>
      <c r="S335" s="10">
        <v>0.25069444444444439</v>
      </c>
      <c r="T335" s="9">
        <v>57.838000000000001</v>
      </c>
      <c r="U335" s="9">
        <v>9.67</v>
      </c>
      <c r="V335" s="10">
        <v>0.24929398148148149</v>
      </c>
      <c r="W335" s="10">
        <v>0.15414351851851851</v>
      </c>
      <c r="X335" s="10">
        <v>0</v>
      </c>
      <c r="Y335" s="9">
        <v>0</v>
      </c>
      <c r="Z335" s="9">
        <v>0</v>
      </c>
      <c r="AA335" s="9">
        <v>0</v>
      </c>
      <c r="AB335" s="9">
        <v>0</v>
      </c>
      <c r="AC335" s="9">
        <v>0</v>
      </c>
      <c r="AD335" s="9">
        <v>3</v>
      </c>
      <c r="AE335" s="9" t="s">
        <v>67</v>
      </c>
      <c r="AF335" s="9" t="s">
        <v>2816</v>
      </c>
      <c r="AG335" s="9" t="s">
        <v>2817</v>
      </c>
      <c r="AH335" s="9">
        <v>6.2249990000000004</v>
      </c>
      <c r="AI335" s="9">
        <v>-75.598747000000003</v>
      </c>
      <c r="AJ335" s="9" t="s">
        <v>2818</v>
      </c>
      <c r="AK335" s="9">
        <v>6.2369199999999996</v>
      </c>
      <c r="AL335" s="9">
        <v>-75.558722000000003</v>
      </c>
      <c r="AM335" s="26">
        <f t="shared" si="6"/>
        <v>7.1435185185185185E-2</v>
      </c>
    </row>
    <row r="336" spans="1:40" ht="15" x14ac:dyDescent="0.25">
      <c r="A336" s="9" t="s">
        <v>2819</v>
      </c>
      <c r="B336" s="9" t="s">
        <v>2820</v>
      </c>
      <c r="C336" s="9" t="s">
        <v>2821</v>
      </c>
      <c r="D336" s="9" t="s">
        <v>2733</v>
      </c>
      <c r="E336" s="9" t="s">
        <v>2619</v>
      </c>
      <c r="F336" s="9" t="s">
        <v>406</v>
      </c>
      <c r="G336" s="9" t="s">
        <v>124</v>
      </c>
      <c r="H336" s="9" t="s">
        <v>125</v>
      </c>
      <c r="I336" s="9" t="s">
        <v>115</v>
      </c>
      <c r="J336" s="9">
        <v>3739</v>
      </c>
      <c r="K336" s="9" t="s">
        <v>2822</v>
      </c>
      <c r="L336" s="9" t="s">
        <v>117</v>
      </c>
      <c r="M336" s="10">
        <v>6.2962962962962964E-3</v>
      </c>
      <c r="N336" s="9" t="s">
        <v>65</v>
      </c>
      <c r="O336" s="9" t="s">
        <v>2823</v>
      </c>
      <c r="P336" s="9" t="s">
        <v>119</v>
      </c>
      <c r="Q336" s="10">
        <v>1.9861111111111111E-2</v>
      </c>
      <c r="R336" s="9" t="s">
        <v>129</v>
      </c>
      <c r="S336" s="10">
        <v>0.27615740740740741</v>
      </c>
      <c r="T336" s="9">
        <v>46.383000000000003</v>
      </c>
      <c r="U336" s="9">
        <v>9.67</v>
      </c>
      <c r="V336" s="10">
        <v>0.19993055555555561</v>
      </c>
      <c r="W336" s="10">
        <v>9.3611111111111117E-2</v>
      </c>
      <c r="X336" s="10">
        <v>2.8310185185185181E-2</v>
      </c>
      <c r="Y336" s="9">
        <v>1</v>
      </c>
      <c r="Z336" s="9">
        <v>1</v>
      </c>
      <c r="AA336" s="9">
        <v>1</v>
      </c>
      <c r="AB336" s="9">
        <v>1</v>
      </c>
      <c r="AC336" s="9">
        <v>0</v>
      </c>
      <c r="AD336" s="9">
        <v>0</v>
      </c>
      <c r="AE336" s="9" t="s">
        <v>130</v>
      </c>
      <c r="AF336" s="9" t="s">
        <v>2824</v>
      </c>
      <c r="AG336" s="9" t="s">
        <v>2825</v>
      </c>
      <c r="AH336" s="9">
        <v>6.2727029999999999</v>
      </c>
      <c r="AI336" s="9">
        <v>-75.602028000000004</v>
      </c>
      <c r="AJ336" s="9" t="s">
        <v>2826</v>
      </c>
      <c r="AK336" s="9">
        <v>6.272627</v>
      </c>
      <c r="AL336" s="9">
        <v>-75.602096000000003</v>
      </c>
      <c r="AM336" s="26">
        <f t="shared" si="6"/>
        <v>0</v>
      </c>
    </row>
    <row r="337" spans="1:39" ht="15" x14ac:dyDescent="0.25">
      <c r="A337" s="9" t="s">
        <v>2827</v>
      </c>
      <c r="B337" s="9" t="s">
        <v>2828</v>
      </c>
      <c r="C337" s="9" t="s">
        <v>2829</v>
      </c>
      <c r="D337" s="9" t="s">
        <v>2733</v>
      </c>
      <c r="E337" s="9" t="s">
        <v>2619</v>
      </c>
      <c r="F337" s="9" t="s">
        <v>406</v>
      </c>
      <c r="G337" s="9" t="s">
        <v>135</v>
      </c>
      <c r="H337" s="9" t="s">
        <v>136</v>
      </c>
      <c r="I337" s="9" t="s">
        <v>115</v>
      </c>
      <c r="J337" s="9">
        <v>2046</v>
      </c>
      <c r="K337" s="9" t="s">
        <v>2830</v>
      </c>
      <c r="L337" s="9" t="s">
        <v>117</v>
      </c>
      <c r="M337" s="10">
        <v>7.1296296296296299E-3</v>
      </c>
      <c r="N337" s="9" t="s">
        <v>65</v>
      </c>
      <c r="O337" s="9" t="s">
        <v>2831</v>
      </c>
      <c r="P337" s="9" t="s">
        <v>119</v>
      </c>
      <c r="Q337" s="10">
        <v>4.0509259259259258E-4</v>
      </c>
      <c r="R337" s="9" t="s">
        <v>46</v>
      </c>
      <c r="S337" s="10">
        <v>0.25672453703703701</v>
      </c>
      <c r="T337" s="9">
        <v>49.902999999999999</v>
      </c>
      <c r="U337" s="9">
        <v>18.760000000000002</v>
      </c>
      <c r="V337" s="10">
        <v>0.11081018518518521</v>
      </c>
      <c r="W337" s="10">
        <v>5.3761574074074073E-2</v>
      </c>
      <c r="X337" s="10">
        <v>0</v>
      </c>
      <c r="Y337" s="9">
        <v>0</v>
      </c>
      <c r="Z337" s="9">
        <v>0</v>
      </c>
      <c r="AA337" s="9">
        <v>0</v>
      </c>
      <c r="AB337" s="9">
        <v>0</v>
      </c>
      <c r="AC337" s="9">
        <v>0</v>
      </c>
      <c r="AD337" s="9">
        <v>7</v>
      </c>
      <c r="AE337" s="9" t="s">
        <v>84</v>
      </c>
      <c r="AF337" s="9" t="s">
        <v>2832</v>
      </c>
      <c r="AG337" s="9" t="s">
        <v>2833</v>
      </c>
      <c r="AH337" s="9">
        <v>6.1896180000000003</v>
      </c>
      <c r="AI337" s="9">
        <v>-75.580875000000006</v>
      </c>
      <c r="AJ337" s="9" t="s">
        <v>2834</v>
      </c>
      <c r="AK337" s="9">
        <v>6.2493990000000004</v>
      </c>
      <c r="AL337" s="9">
        <v>-75.591261000000003</v>
      </c>
      <c r="AM337" s="26">
        <f t="shared" si="6"/>
        <v>0</v>
      </c>
    </row>
    <row r="338" spans="1:39" ht="15" x14ac:dyDescent="0.25">
      <c r="A338" s="9" t="s">
        <v>2835</v>
      </c>
      <c r="B338" s="9" t="s">
        <v>2836</v>
      </c>
      <c r="C338" s="9" t="s">
        <v>2837</v>
      </c>
      <c r="D338" s="9" t="s">
        <v>2733</v>
      </c>
      <c r="E338" s="9" t="s">
        <v>2619</v>
      </c>
      <c r="F338" s="9" t="s">
        <v>406</v>
      </c>
      <c r="G338" s="9" t="s">
        <v>144</v>
      </c>
      <c r="H338" s="9" t="s">
        <v>145</v>
      </c>
      <c r="I338" s="9" t="s">
        <v>115</v>
      </c>
      <c r="J338" s="9">
        <v>7038</v>
      </c>
      <c r="K338" s="9" t="s">
        <v>2838</v>
      </c>
      <c r="L338" s="9" t="s">
        <v>117</v>
      </c>
      <c r="M338" s="10">
        <v>4.6354166666666669E-2</v>
      </c>
      <c r="N338" s="9" t="s">
        <v>43</v>
      </c>
      <c r="O338" s="9" t="s">
        <v>2839</v>
      </c>
      <c r="P338" s="9" t="s">
        <v>119</v>
      </c>
      <c r="Q338" s="10">
        <v>1.423611111111111E-3</v>
      </c>
      <c r="R338" s="9" t="s">
        <v>46</v>
      </c>
      <c r="S338" s="10">
        <v>0.20222222222222219</v>
      </c>
      <c r="T338" s="9">
        <v>94.42</v>
      </c>
      <c r="U338" s="9">
        <v>23.33</v>
      </c>
      <c r="V338" s="10">
        <v>0.1686111111111111</v>
      </c>
      <c r="W338" s="10">
        <v>3.5972222222222218E-2</v>
      </c>
      <c r="X338" s="10">
        <v>0</v>
      </c>
      <c r="Y338" s="9">
        <v>0</v>
      </c>
      <c r="Z338" s="9">
        <v>0</v>
      </c>
      <c r="AA338" s="9">
        <v>0</v>
      </c>
      <c r="AB338" s="9">
        <v>0</v>
      </c>
      <c r="AC338" s="9">
        <v>0</v>
      </c>
      <c r="AD338" s="9">
        <v>0</v>
      </c>
      <c r="AE338" s="9" t="s">
        <v>47</v>
      </c>
      <c r="AF338" s="9" t="s">
        <v>2840</v>
      </c>
      <c r="AG338" s="9" t="s">
        <v>2841</v>
      </c>
      <c r="AH338" s="9">
        <v>6.2906500000000003</v>
      </c>
      <c r="AI338" s="9">
        <v>-75.546368999999999</v>
      </c>
      <c r="AJ338" s="9" t="s">
        <v>2842</v>
      </c>
      <c r="AK338" s="9">
        <v>6.2905110000000004</v>
      </c>
      <c r="AL338" s="9">
        <v>-75.546474000000003</v>
      </c>
      <c r="AM338" s="26">
        <f t="shared" si="6"/>
        <v>4.6354166666666669E-2</v>
      </c>
    </row>
    <row r="339" spans="1:39" ht="15" x14ac:dyDescent="0.25">
      <c r="A339" s="9" t="s">
        <v>2843</v>
      </c>
      <c r="B339" s="9" t="s">
        <v>2844</v>
      </c>
      <c r="C339" s="9" t="s">
        <v>2845</v>
      </c>
      <c r="D339" s="9" t="s">
        <v>2733</v>
      </c>
      <c r="E339" s="9" t="s">
        <v>2619</v>
      </c>
      <c r="F339" s="9" t="s">
        <v>406</v>
      </c>
      <c r="G339" s="9" t="s">
        <v>152</v>
      </c>
      <c r="H339" s="9" t="s">
        <v>153</v>
      </c>
      <c r="I339" s="9" t="s">
        <v>115</v>
      </c>
      <c r="J339" s="9">
        <v>2286</v>
      </c>
      <c r="K339" s="9" t="s">
        <v>2846</v>
      </c>
      <c r="L339" s="9" t="s">
        <v>117</v>
      </c>
      <c r="M339" s="10">
        <v>9.5833333333333326E-3</v>
      </c>
      <c r="N339" s="9" t="s">
        <v>65</v>
      </c>
      <c r="O339" s="9" t="s">
        <v>2847</v>
      </c>
      <c r="P339" s="9" t="s">
        <v>119</v>
      </c>
      <c r="Q339" s="10">
        <v>5.6261574074074068E-2</v>
      </c>
      <c r="R339" s="9" t="s">
        <v>56</v>
      </c>
      <c r="S339" s="10">
        <v>0.2033217592592593</v>
      </c>
      <c r="T339" s="9">
        <v>29.177</v>
      </c>
      <c r="U339" s="9">
        <v>9.42</v>
      </c>
      <c r="V339" s="10">
        <v>0.12908564814814821</v>
      </c>
      <c r="W339" s="10">
        <v>7.8333333333333338E-2</v>
      </c>
      <c r="X339" s="10">
        <v>0</v>
      </c>
      <c r="Y339" s="9">
        <v>0</v>
      </c>
      <c r="Z339" s="9">
        <v>0</v>
      </c>
      <c r="AA339" s="9">
        <v>0</v>
      </c>
      <c r="AB339" s="9">
        <v>0</v>
      </c>
      <c r="AC339" s="9">
        <v>0</v>
      </c>
      <c r="AD339" s="9">
        <v>0</v>
      </c>
      <c r="AE339" s="9" t="s">
        <v>67</v>
      </c>
      <c r="AF339" s="9" t="s">
        <v>2848</v>
      </c>
      <c r="AG339" s="9" t="s">
        <v>2849</v>
      </c>
      <c r="AH339" s="9">
        <v>6.3070700000000004</v>
      </c>
      <c r="AI339" s="9">
        <v>-75.565537000000006</v>
      </c>
      <c r="AJ339" s="9" t="s">
        <v>2850</v>
      </c>
      <c r="AK339" s="9">
        <v>6.2518799999999999</v>
      </c>
      <c r="AL339" s="9">
        <v>-75.551851999999997</v>
      </c>
      <c r="AM339" s="26">
        <f t="shared" si="6"/>
        <v>5.6261574074074068E-2</v>
      </c>
    </row>
    <row r="340" spans="1:39" ht="15" x14ac:dyDescent="0.25">
      <c r="A340" s="9" t="s">
        <v>2851</v>
      </c>
      <c r="B340" s="9" t="s">
        <v>2852</v>
      </c>
      <c r="C340" s="9" t="s">
        <v>2853</v>
      </c>
      <c r="D340" s="9" t="s">
        <v>2733</v>
      </c>
      <c r="E340" s="9" t="s">
        <v>2619</v>
      </c>
      <c r="F340" s="9" t="s">
        <v>406</v>
      </c>
      <c r="G340" s="9" t="s">
        <v>160</v>
      </c>
      <c r="H340" s="9" t="s">
        <v>161</v>
      </c>
      <c r="I340" s="9" t="s">
        <v>115</v>
      </c>
      <c r="J340" s="9">
        <v>9937</v>
      </c>
      <c r="K340" s="9" t="s">
        <v>2854</v>
      </c>
      <c r="L340" s="9" t="s">
        <v>117</v>
      </c>
      <c r="M340" s="10">
        <v>9.1107523148148146E-3</v>
      </c>
      <c r="N340" s="9" t="s">
        <v>65</v>
      </c>
      <c r="O340" s="9" t="s">
        <v>2855</v>
      </c>
      <c r="P340" s="9" t="s">
        <v>119</v>
      </c>
      <c r="Q340" s="10">
        <v>1.5373958333333331E-3</v>
      </c>
      <c r="R340" s="9" t="s">
        <v>46</v>
      </c>
      <c r="S340" s="10">
        <v>0.26064814814814807</v>
      </c>
      <c r="T340" s="9">
        <v>46.326999999999998</v>
      </c>
      <c r="U340" s="9">
        <v>14.25</v>
      </c>
      <c r="V340" s="10">
        <v>0.13541670138888889</v>
      </c>
      <c r="W340" s="10">
        <v>0.10228023148148151</v>
      </c>
      <c r="X340" s="10">
        <v>0</v>
      </c>
      <c r="Y340" s="9">
        <v>0</v>
      </c>
      <c r="Z340" s="9">
        <v>0</v>
      </c>
      <c r="AA340" s="9">
        <v>0</v>
      </c>
      <c r="AB340" s="9">
        <v>0</v>
      </c>
      <c r="AC340" s="9">
        <v>0</v>
      </c>
      <c r="AD340" s="9">
        <v>1</v>
      </c>
      <c r="AE340" s="9" t="s">
        <v>84</v>
      </c>
      <c r="AF340" s="9" t="s">
        <v>324</v>
      </c>
      <c r="AG340" s="9" t="s">
        <v>2856</v>
      </c>
      <c r="AH340" s="9">
        <v>6.267468</v>
      </c>
      <c r="AI340" s="9">
        <v>-75.597284999999999</v>
      </c>
      <c r="AJ340" s="9" t="s">
        <v>2857</v>
      </c>
      <c r="AK340" s="9">
        <v>6.2682219999999997</v>
      </c>
      <c r="AL340" s="9">
        <v>-75.598875000000007</v>
      </c>
      <c r="AM340" s="26">
        <f t="shared" si="6"/>
        <v>0</v>
      </c>
    </row>
    <row r="341" spans="1:39" ht="15" x14ac:dyDescent="0.25">
      <c r="A341" s="9" t="s">
        <v>2858</v>
      </c>
      <c r="B341" s="9" t="s">
        <v>2859</v>
      </c>
      <c r="C341" s="9" t="s">
        <v>2860</v>
      </c>
      <c r="D341" s="9" t="s">
        <v>2797</v>
      </c>
      <c r="E341" s="9" t="s">
        <v>2619</v>
      </c>
      <c r="F341" s="9" t="s">
        <v>455</v>
      </c>
      <c r="G341" s="9" t="s">
        <v>135</v>
      </c>
      <c r="H341" s="9" t="s">
        <v>136</v>
      </c>
      <c r="I341" s="9" t="s">
        <v>115</v>
      </c>
      <c r="J341" s="9">
        <v>3994</v>
      </c>
      <c r="K341" s="9" t="s">
        <v>2861</v>
      </c>
      <c r="L341" s="9" t="s">
        <v>117</v>
      </c>
      <c r="M341" s="10">
        <v>2.8888888888888891E-2</v>
      </c>
      <c r="N341" s="9" t="s">
        <v>127</v>
      </c>
      <c r="O341" s="9" t="s">
        <v>2862</v>
      </c>
      <c r="P341" s="9" t="s">
        <v>119</v>
      </c>
      <c r="Q341" s="10">
        <v>2.5000000000000001E-3</v>
      </c>
      <c r="R341" s="9" t="s">
        <v>46</v>
      </c>
      <c r="S341" s="10">
        <v>0.27638888888888891</v>
      </c>
      <c r="T341" s="9">
        <v>57.478000000000002</v>
      </c>
      <c r="U341" s="9">
        <v>12.57</v>
      </c>
      <c r="V341" s="10">
        <v>0.1905324074074074</v>
      </c>
      <c r="W341" s="10">
        <v>7.2245370370370376E-2</v>
      </c>
      <c r="X341" s="10">
        <v>0</v>
      </c>
      <c r="Y341" s="9">
        <v>0</v>
      </c>
      <c r="Z341" s="9">
        <v>0</v>
      </c>
      <c r="AA341" s="9">
        <v>0</v>
      </c>
      <c r="AB341" s="9">
        <v>0</v>
      </c>
      <c r="AC341" s="9">
        <v>0</v>
      </c>
      <c r="AD341" s="9">
        <v>2</v>
      </c>
      <c r="AE341" s="9" t="s">
        <v>139</v>
      </c>
      <c r="AF341" s="9" t="s">
        <v>2863</v>
      </c>
      <c r="AG341" s="9" t="s">
        <v>2864</v>
      </c>
      <c r="AH341" s="9">
        <v>6.2722100000000003</v>
      </c>
      <c r="AI341" s="9">
        <v>-75.541079999999994</v>
      </c>
      <c r="AJ341" s="9" t="s">
        <v>2865</v>
      </c>
      <c r="AK341" s="9">
        <v>6.2708820000000003</v>
      </c>
      <c r="AL341" s="9">
        <v>-75.575441999999995</v>
      </c>
      <c r="AM341" s="26">
        <f t="shared" si="6"/>
        <v>0</v>
      </c>
    </row>
    <row r="342" spans="1:39" ht="15" x14ac:dyDescent="0.25">
      <c r="A342" s="9" t="s">
        <v>2872</v>
      </c>
      <c r="B342" s="9" t="s">
        <v>2873</v>
      </c>
      <c r="C342" s="9" t="s">
        <v>2874</v>
      </c>
      <c r="D342" s="9" t="s">
        <v>2875</v>
      </c>
      <c r="E342" s="9" t="s">
        <v>2619</v>
      </c>
      <c r="F342" s="9" t="s">
        <v>508</v>
      </c>
      <c r="G342" s="9" t="s">
        <v>38</v>
      </c>
      <c r="H342" s="9" t="s">
        <v>39</v>
      </c>
      <c r="I342" s="9" t="s">
        <v>40</v>
      </c>
      <c r="J342" s="9">
        <v>4802</v>
      </c>
      <c r="K342" s="9" t="s">
        <v>2876</v>
      </c>
      <c r="L342" s="9" t="s">
        <v>42</v>
      </c>
      <c r="M342" s="10">
        <v>2.472304398148148E-2</v>
      </c>
      <c r="N342" s="9" t="s">
        <v>43</v>
      </c>
      <c r="O342" s="9" t="s">
        <v>2877</v>
      </c>
      <c r="P342" s="9" t="s">
        <v>45</v>
      </c>
      <c r="Q342" s="10">
        <v>6.8415740740740737E-3</v>
      </c>
      <c r="R342" s="9" t="s">
        <v>46</v>
      </c>
      <c r="S342" s="10">
        <v>0.30176871527777782</v>
      </c>
      <c r="T342" s="9">
        <v>39.985999999999997</v>
      </c>
      <c r="U342" s="9">
        <v>9.33</v>
      </c>
      <c r="V342" s="10">
        <v>0.17851856481481501</v>
      </c>
      <c r="W342" s="10">
        <v>0.1334761574074074</v>
      </c>
      <c r="X342" s="10">
        <v>8.5300613425925931E-2</v>
      </c>
      <c r="Y342" s="9">
        <v>1</v>
      </c>
      <c r="Z342" s="9">
        <v>1</v>
      </c>
      <c r="AA342" s="9">
        <v>1</v>
      </c>
      <c r="AB342" s="9">
        <v>1</v>
      </c>
      <c r="AC342" s="9">
        <v>1</v>
      </c>
      <c r="AD342" s="9">
        <v>4</v>
      </c>
      <c r="AE342" s="9" t="s">
        <v>47</v>
      </c>
      <c r="AF342" s="9" t="s">
        <v>2878</v>
      </c>
      <c r="AG342" s="9" t="s">
        <v>2879</v>
      </c>
      <c r="AH342" s="9">
        <v>6.2032809999999996</v>
      </c>
      <c r="AI342" s="9">
        <v>-75.600700000000003</v>
      </c>
      <c r="AJ342" s="9" t="s">
        <v>2880</v>
      </c>
      <c r="AK342" s="9">
        <v>6.2033469999999999</v>
      </c>
      <c r="AL342" s="9">
        <v>-75.600768000000002</v>
      </c>
      <c r="AM342" s="26">
        <f t="shared" si="6"/>
        <v>2.472304398148148E-2</v>
      </c>
    </row>
    <row r="343" spans="1:39" ht="15" x14ac:dyDescent="0.25">
      <c r="A343" s="9" t="s">
        <v>2881</v>
      </c>
      <c r="B343" s="9" t="s">
        <v>2882</v>
      </c>
      <c r="C343" s="9" t="s">
        <v>2883</v>
      </c>
      <c r="D343" s="9" t="s">
        <v>2875</v>
      </c>
      <c r="E343" s="9" t="s">
        <v>2619</v>
      </c>
      <c r="F343" s="9" t="s">
        <v>508</v>
      </c>
      <c r="G343" s="9" t="s">
        <v>52</v>
      </c>
      <c r="H343" s="9" t="s">
        <v>53</v>
      </c>
      <c r="I343" s="9" t="s">
        <v>40</v>
      </c>
      <c r="J343" s="9">
        <v>3159</v>
      </c>
      <c r="K343" s="9" t="s">
        <v>2884</v>
      </c>
      <c r="L343" s="9" t="s">
        <v>42</v>
      </c>
      <c r="M343" s="10">
        <v>2.237268518518519E-2</v>
      </c>
      <c r="N343" s="9" t="s">
        <v>127</v>
      </c>
      <c r="O343" s="9" t="s">
        <v>2885</v>
      </c>
      <c r="P343" s="9" t="s">
        <v>45</v>
      </c>
      <c r="Q343" s="10">
        <v>3.1053240740740739E-2</v>
      </c>
      <c r="R343" s="9" t="s">
        <v>129</v>
      </c>
      <c r="S343" s="10">
        <v>0.38675925925925919</v>
      </c>
      <c r="T343" s="9">
        <v>40.656999999999996</v>
      </c>
      <c r="U343" s="9">
        <v>7.75</v>
      </c>
      <c r="V343" s="10">
        <v>0.21869212962962961</v>
      </c>
      <c r="W343" s="10">
        <v>0.13667824074074081</v>
      </c>
      <c r="X343" s="10">
        <v>0</v>
      </c>
      <c r="Y343" s="9">
        <v>0</v>
      </c>
      <c r="Z343" s="9">
        <v>0</v>
      </c>
      <c r="AA343" s="9">
        <v>0</v>
      </c>
      <c r="AB343" s="9">
        <v>0</v>
      </c>
      <c r="AC343" s="9">
        <v>0</v>
      </c>
      <c r="AD343" s="9">
        <v>0</v>
      </c>
      <c r="AE343" s="9" t="s">
        <v>130</v>
      </c>
      <c r="AF343" s="9" t="s">
        <v>2886</v>
      </c>
      <c r="AG343" s="9" t="s">
        <v>2887</v>
      </c>
      <c r="AH343" s="9">
        <v>6.2256780000000003</v>
      </c>
      <c r="AI343" s="9">
        <v>-75.598974999999996</v>
      </c>
      <c r="AJ343" s="9" t="s">
        <v>2888</v>
      </c>
      <c r="AK343" s="9">
        <v>6.2477580000000001</v>
      </c>
      <c r="AL343" s="9">
        <v>-75.615007000000006</v>
      </c>
      <c r="AM343" s="26">
        <f t="shared" si="6"/>
        <v>0</v>
      </c>
    </row>
    <row r="344" spans="1:39" ht="15" x14ac:dyDescent="0.25">
      <c r="A344" s="9" t="s">
        <v>2889</v>
      </c>
      <c r="B344" s="9" t="s">
        <v>2890</v>
      </c>
      <c r="C344" s="9" t="s">
        <v>2891</v>
      </c>
      <c r="D344" s="9" t="s">
        <v>2875</v>
      </c>
      <c r="E344" s="9" t="s">
        <v>2619</v>
      </c>
      <c r="F344" s="9" t="s">
        <v>508</v>
      </c>
      <c r="G344" s="9" t="s">
        <v>113</v>
      </c>
      <c r="H344" s="9" t="s">
        <v>114</v>
      </c>
      <c r="I344" s="9" t="s">
        <v>40</v>
      </c>
      <c r="J344" s="9">
        <v>2251</v>
      </c>
      <c r="K344" s="9" t="s">
        <v>2892</v>
      </c>
      <c r="L344" s="9" t="s">
        <v>42</v>
      </c>
      <c r="M344" s="10">
        <v>2.8819444444444439E-3</v>
      </c>
      <c r="N344" s="9" t="s">
        <v>65</v>
      </c>
      <c r="O344" s="9" t="s">
        <v>2893</v>
      </c>
      <c r="P344" s="9" t="s">
        <v>45</v>
      </c>
      <c r="Q344" s="10">
        <v>2.1527777777777782E-3</v>
      </c>
      <c r="R344" s="9" t="s">
        <v>46</v>
      </c>
      <c r="S344" s="10">
        <v>0.32829861111111108</v>
      </c>
      <c r="T344" s="9">
        <v>28.411999999999999</v>
      </c>
      <c r="U344" s="9">
        <v>5.81</v>
      </c>
      <c r="V344" s="10">
        <v>0.2036574074074074</v>
      </c>
      <c r="W344" s="10">
        <v>0.1653125</v>
      </c>
      <c r="X344" s="10">
        <v>5.6585648148148149E-2</v>
      </c>
      <c r="Y344" s="9">
        <v>1</v>
      </c>
      <c r="Z344" s="9">
        <v>1</v>
      </c>
      <c r="AA344" s="9">
        <v>1</v>
      </c>
      <c r="AB344" s="9">
        <v>1</v>
      </c>
      <c r="AC344" s="9">
        <v>1</v>
      </c>
      <c r="AD344" s="9">
        <v>2</v>
      </c>
      <c r="AE344" s="9" t="s">
        <v>84</v>
      </c>
      <c r="AF344" s="9" t="s">
        <v>2894</v>
      </c>
      <c r="AG344" s="9" t="s">
        <v>2895</v>
      </c>
      <c r="AH344" s="9">
        <v>6.2292379999999996</v>
      </c>
      <c r="AI344" s="9">
        <v>-75.602113000000003</v>
      </c>
      <c r="AJ344" s="9" t="s">
        <v>2896</v>
      </c>
      <c r="AK344" s="9">
        <v>6.239096</v>
      </c>
      <c r="AL344" s="9">
        <v>-75.582786999999996</v>
      </c>
      <c r="AM344" s="26">
        <f t="shared" si="6"/>
        <v>0</v>
      </c>
    </row>
    <row r="345" spans="1:39" ht="15" x14ac:dyDescent="0.25">
      <c r="A345" s="9" t="s">
        <v>2897</v>
      </c>
      <c r="B345" s="9" t="s">
        <v>2898</v>
      </c>
      <c r="C345" s="9" t="s">
        <v>2899</v>
      </c>
      <c r="D345" s="9" t="s">
        <v>2875</v>
      </c>
      <c r="E345" s="9" t="s">
        <v>2619</v>
      </c>
      <c r="F345" s="9" t="s">
        <v>508</v>
      </c>
      <c r="G345" s="9" t="s">
        <v>144</v>
      </c>
      <c r="H345" s="9" t="s">
        <v>145</v>
      </c>
      <c r="I345" s="9" t="s">
        <v>40</v>
      </c>
      <c r="J345" s="9">
        <v>5880</v>
      </c>
      <c r="K345" s="9" t="s">
        <v>2900</v>
      </c>
      <c r="L345" s="9" t="s">
        <v>42</v>
      </c>
      <c r="M345" s="10">
        <v>5.1041666666666666E-3</v>
      </c>
      <c r="N345" s="9" t="s">
        <v>65</v>
      </c>
      <c r="O345" s="9" t="s">
        <v>2901</v>
      </c>
      <c r="P345" s="9" t="s">
        <v>45</v>
      </c>
      <c r="Q345" s="10">
        <v>1.9340277777777779E-2</v>
      </c>
      <c r="R345" s="9" t="s">
        <v>56</v>
      </c>
      <c r="S345" s="10">
        <v>0.30888888888888888</v>
      </c>
      <c r="T345" s="9">
        <v>75.355999999999995</v>
      </c>
      <c r="U345" s="9">
        <v>13.71</v>
      </c>
      <c r="V345" s="10">
        <v>0.2290625</v>
      </c>
      <c r="W345" s="10">
        <v>6.653935185185185E-2</v>
      </c>
      <c r="X345" s="10">
        <v>0</v>
      </c>
      <c r="Y345" s="9">
        <v>0</v>
      </c>
      <c r="Z345" s="9">
        <v>0</v>
      </c>
      <c r="AA345" s="9">
        <v>0</v>
      </c>
      <c r="AB345" s="9">
        <v>0</v>
      </c>
      <c r="AC345" s="9">
        <v>0</v>
      </c>
      <c r="AD345" s="9">
        <v>0</v>
      </c>
      <c r="AE345" s="9" t="s">
        <v>67</v>
      </c>
      <c r="AF345" s="9" t="s">
        <v>2902</v>
      </c>
      <c r="AG345" s="9" t="s">
        <v>2903</v>
      </c>
      <c r="AH345" s="9">
        <v>6.2255289999999999</v>
      </c>
      <c r="AI345" s="9">
        <v>-75.599312999999995</v>
      </c>
      <c r="AJ345" s="9" t="s">
        <v>2904</v>
      </c>
      <c r="AK345" s="9">
        <v>6.2728400000000004</v>
      </c>
      <c r="AL345" s="9">
        <v>-75.574475000000007</v>
      </c>
      <c r="AM345" s="26">
        <f t="shared" si="6"/>
        <v>1.9340277777777779E-2</v>
      </c>
    </row>
    <row r="346" spans="1:39" ht="15" x14ac:dyDescent="0.25">
      <c r="A346" s="9" t="s">
        <v>2905</v>
      </c>
      <c r="B346" s="9" t="s">
        <v>2906</v>
      </c>
      <c r="C346" s="9" t="s">
        <v>2907</v>
      </c>
      <c r="D346" s="9" t="s">
        <v>2875</v>
      </c>
      <c r="E346" s="9" t="s">
        <v>2619</v>
      </c>
      <c r="F346" s="9" t="s">
        <v>508</v>
      </c>
      <c r="G346" s="9" t="s">
        <v>152</v>
      </c>
      <c r="H346" s="9" t="s">
        <v>153</v>
      </c>
      <c r="I346" s="9" t="s">
        <v>40</v>
      </c>
      <c r="J346" s="9">
        <v>7656</v>
      </c>
      <c r="K346" s="9" t="s">
        <v>2908</v>
      </c>
      <c r="L346" s="9" t="s">
        <v>42</v>
      </c>
      <c r="M346" s="10">
        <v>1.083333333333333E-2</v>
      </c>
      <c r="N346" s="9" t="s">
        <v>43</v>
      </c>
      <c r="O346" s="9" t="s">
        <v>2909</v>
      </c>
      <c r="P346" s="9" t="s">
        <v>45</v>
      </c>
      <c r="Q346" s="10">
        <v>1.096064814814815E-2</v>
      </c>
      <c r="R346" s="9" t="s">
        <v>56</v>
      </c>
      <c r="S346" s="10">
        <v>0.31153935185185178</v>
      </c>
      <c r="T346" s="9">
        <v>98.263999999999996</v>
      </c>
      <c r="U346" s="9">
        <v>15.35</v>
      </c>
      <c r="V346" s="10">
        <v>0.26672453703703702</v>
      </c>
      <c r="W346" s="10">
        <v>8.1215277777777775E-2</v>
      </c>
      <c r="X346" s="10">
        <v>0</v>
      </c>
      <c r="Y346" s="9">
        <v>0</v>
      </c>
      <c r="Z346" s="9">
        <v>0</v>
      </c>
      <c r="AA346" s="9">
        <v>0</v>
      </c>
      <c r="AB346" s="9">
        <v>0</v>
      </c>
      <c r="AC346" s="9">
        <v>0</v>
      </c>
      <c r="AD346" s="9">
        <v>0</v>
      </c>
      <c r="AE346" s="9" t="s">
        <v>57</v>
      </c>
      <c r="AF346" s="9" t="s">
        <v>2910</v>
      </c>
      <c r="AG346" s="9" t="s">
        <v>2911</v>
      </c>
      <c r="AH346" s="9">
        <v>6.2254750000000003</v>
      </c>
      <c r="AI346" s="9">
        <v>-75.599275000000006</v>
      </c>
      <c r="AJ346" s="9" t="s">
        <v>2912</v>
      </c>
      <c r="AK346" s="9">
        <v>6.251798</v>
      </c>
      <c r="AL346" s="9">
        <v>-75.551810000000003</v>
      </c>
      <c r="AM346" s="26">
        <f t="shared" si="6"/>
        <v>2.179398148148148E-2</v>
      </c>
    </row>
    <row r="347" spans="1:39" ht="15" x14ac:dyDescent="0.25">
      <c r="A347" s="9" t="s">
        <v>2913</v>
      </c>
      <c r="B347" s="9" t="s">
        <v>2914</v>
      </c>
      <c r="C347" s="9" t="s">
        <v>2915</v>
      </c>
      <c r="D347" s="9" t="s">
        <v>2875</v>
      </c>
      <c r="E347" s="9" t="s">
        <v>2619</v>
      </c>
      <c r="F347" s="9" t="s">
        <v>508</v>
      </c>
      <c r="G347" s="9" t="s">
        <v>89</v>
      </c>
      <c r="H347" s="9" t="s">
        <v>90</v>
      </c>
      <c r="I347" s="9" t="s">
        <v>40</v>
      </c>
      <c r="J347" s="9">
        <v>5571</v>
      </c>
      <c r="K347" s="9" t="s">
        <v>2916</v>
      </c>
      <c r="L347" s="9" t="s">
        <v>42</v>
      </c>
      <c r="M347" s="10">
        <v>5.0462962962962961E-3</v>
      </c>
      <c r="N347" s="9" t="s">
        <v>65</v>
      </c>
      <c r="O347" s="9" t="s">
        <v>2917</v>
      </c>
      <c r="P347" s="9" t="s">
        <v>45</v>
      </c>
      <c r="Q347" s="10">
        <v>2.1388888888888891E-2</v>
      </c>
      <c r="R347" s="9" t="s">
        <v>56</v>
      </c>
      <c r="S347" s="10">
        <v>0.31699074074074068</v>
      </c>
      <c r="T347" s="9">
        <v>71.75</v>
      </c>
      <c r="U347" s="9">
        <v>11.71</v>
      </c>
      <c r="V347" s="10">
        <v>0.25528935185185192</v>
      </c>
      <c r="W347" s="10">
        <v>0.1098611111111111</v>
      </c>
      <c r="X347" s="10">
        <v>0</v>
      </c>
      <c r="Y347" s="9">
        <v>0</v>
      </c>
      <c r="Z347" s="9">
        <v>0</v>
      </c>
      <c r="AA347" s="9">
        <v>0</v>
      </c>
      <c r="AB347" s="9">
        <v>0</v>
      </c>
      <c r="AC347" s="9">
        <v>0</v>
      </c>
      <c r="AD347" s="9">
        <v>0</v>
      </c>
      <c r="AE347" s="9" t="s">
        <v>67</v>
      </c>
      <c r="AF347" s="9" t="s">
        <v>2918</v>
      </c>
      <c r="AG347" s="9" t="s">
        <v>2919</v>
      </c>
      <c r="AH347" s="9">
        <v>6.2264520000000001</v>
      </c>
      <c r="AI347" s="9">
        <v>-75.599304000000004</v>
      </c>
      <c r="AJ347" s="9" t="s">
        <v>2920</v>
      </c>
      <c r="AK347" s="9">
        <v>6.2253530000000001</v>
      </c>
      <c r="AL347" s="9">
        <v>-75.599345</v>
      </c>
      <c r="AM347" s="26">
        <f t="shared" si="6"/>
        <v>2.1388888888888891E-2</v>
      </c>
    </row>
    <row r="348" spans="1:39" ht="15" x14ac:dyDescent="0.25">
      <c r="A348" s="9" t="s">
        <v>2921</v>
      </c>
      <c r="B348" s="9" t="s">
        <v>2922</v>
      </c>
      <c r="C348" s="9" t="s">
        <v>2923</v>
      </c>
      <c r="D348" s="9" t="s">
        <v>2875</v>
      </c>
      <c r="E348" s="9" t="s">
        <v>2619</v>
      </c>
      <c r="F348" s="9" t="s">
        <v>508</v>
      </c>
      <c r="G348" s="9" t="s">
        <v>105</v>
      </c>
      <c r="H348" s="9" t="s">
        <v>106</v>
      </c>
      <c r="I348" s="9" t="s">
        <v>40</v>
      </c>
      <c r="J348" s="9">
        <v>4384</v>
      </c>
      <c r="K348" s="9" t="s">
        <v>2924</v>
      </c>
      <c r="L348" s="9" t="s">
        <v>42</v>
      </c>
      <c r="M348" s="10">
        <v>2.430555555555556E-3</v>
      </c>
      <c r="N348" s="9" t="s">
        <v>65</v>
      </c>
      <c r="O348" s="9" t="s">
        <v>2925</v>
      </c>
      <c r="P348" s="9" t="s">
        <v>45</v>
      </c>
      <c r="Q348" s="10">
        <v>4.9976851851851849E-2</v>
      </c>
      <c r="R348" s="9" t="s">
        <v>129</v>
      </c>
      <c r="S348" s="10">
        <v>0.38574074074074072</v>
      </c>
      <c r="T348" s="9">
        <v>57.83</v>
      </c>
      <c r="U348" s="9">
        <v>12.99</v>
      </c>
      <c r="V348" s="10">
        <v>0.185462962962963</v>
      </c>
      <c r="W348" s="10">
        <v>0.102037037037037</v>
      </c>
      <c r="X348" s="10">
        <v>0</v>
      </c>
      <c r="Y348" s="9">
        <v>0</v>
      </c>
      <c r="Z348" s="9">
        <v>0</v>
      </c>
      <c r="AA348" s="9">
        <v>0</v>
      </c>
      <c r="AB348" s="9">
        <v>0</v>
      </c>
      <c r="AC348" s="9">
        <v>0</v>
      </c>
      <c r="AD348" s="9">
        <v>0</v>
      </c>
      <c r="AE348" s="9" t="s">
        <v>130</v>
      </c>
      <c r="AF348" s="9" t="s">
        <v>2926</v>
      </c>
      <c r="AG348" s="9" t="s">
        <v>2927</v>
      </c>
      <c r="AH348" s="9">
        <v>6.2256489999999998</v>
      </c>
      <c r="AI348" s="9">
        <v>-75.599080999999998</v>
      </c>
      <c r="AJ348" s="9" t="s">
        <v>2928</v>
      </c>
      <c r="AK348" s="9">
        <v>6.2582259999999996</v>
      </c>
      <c r="AL348" s="9">
        <v>-75.615801000000005</v>
      </c>
      <c r="AM348" s="26">
        <f t="shared" si="6"/>
        <v>0</v>
      </c>
    </row>
    <row r="349" spans="1:39" ht="15" x14ac:dyDescent="0.25">
      <c r="A349" s="9" t="s">
        <v>2929</v>
      </c>
      <c r="B349" s="9" t="s">
        <v>2930</v>
      </c>
      <c r="C349" s="9" t="s">
        <v>2931</v>
      </c>
      <c r="D349" s="9" t="s">
        <v>2875</v>
      </c>
      <c r="E349" s="9" t="s">
        <v>2619</v>
      </c>
      <c r="F349" s="9" t="s">
        <v>508</v>
      </c>
      <c r="G349" s="9" t="s">
        <v>124</v>
      </c>
      <c r="H349" s="9" t="s">
        <v>125</v>
      </c>
      <c r="I349" s="9" t="s">
        <v>115</v>
      </c>
      <c r="J349" s="9">
        <v>5271</v>
      </c>
      <c r="K349" s="9" t="s">
        <v>2932</v>
      </c>
      <c r="L349" s="9" t="s">
        <v>117</v>
      </c>
      <c r="M349" s="10">
        <v>2.9490740740740741E-2</v>
      </c>
      <c r="N349" s="9" t="s">
        <v>127</v>
      </c>
      <c r="O349" s="9" t="s">
        <v>2933</v>
      </c>
      <c r="P349" s="9" t="s">
        <v>119</v>
      </c>
      <c r="Q349" s="10">
        <v>8.5532407407407415E-3</v>
      </c>
      <c r="R349" s="9" t="s">
        <v>46</v>
      </c>
      <c r="S349" s="10">
        <v>0.28804398148148153</v>
      </c>
      <c r="T349" s="9">
        <v>67.358000000000004</v>
      </c>
      <c r="U349" s="9">
        <v>11.83</v>
      </c>
      <c r="V349" s="10">
        <v>0.237337962962963</v>
      </c>
      <c r="W349" s="10">
        <v>7.9965277777777774E-2</v>
      </c>
      <c r="X349" s="10">
        <v>0</v>
      </c>
      <c r="Y349" s="9">
        <v>0</v>
      </c>
      <c r="Z349" s="9">
        <v>0</v>
      </c>
      <c r="AA349" s="9">
        <v>0</v>
      </c>
      <c r="AB349" s="9">
        <v>0</v>
      </c>
      <c r="AC349" s="9">
        <v>0</v>
      </c>
      <c r="AD349" s="9">
        <v>0</v>
      </c>
      <c r="AE349" s="9" t="s">
        <v>139</v>
      </c>
      <c r="AF349" s="9" t="s">
        <v>2934</v>
      </c>
      <c r="AG349" s="9" t="s">
        <v>2935</v>
      </c>
      <c r="AH349" s="9">
        <v>6.229133</v>
      </c>
      <c r="AI349" s="9">
        <v>-75.602097999999998</v>
      </c>
      <c r="AJ349" s="9" t="s">
        <v>2936</v>
      </c>
      <c r="AK349" s="9">
        <v>6.2726949999999997</v>
      </c>
      <c r="AL349" s="9">
        <v>-75.602114</v>
      </c>
      <c r="AM349" s="26">
        <f t="shared" si="6"/>
        <v>0</v>
      </c>
    </row>
    <row r="350" spans="1:39" ht="15" x14ac:dyDescent="0.25">
      <c r="A350" s="9" t="s">
        <v>2937</v>
      </c>
      <c r="B350" s="9" t="s">
        <v>2938</v>
      </c>
      <c r="C350" s="9" t="s">
        <v>2939</v>
      </c>
      <c r="D350" s="9" t="s">
        <v>2875</v>
      </c>
      <c r="E350" s="9" t="s">
        <v>2619</v>
      </c>
      <c r="F350" s="9" t="s">
        <v>508</v>
      </c>
      <c r="G350" s="9" t="s">
        <v>72</v>
      </c>
      <c r="H350" s="9" t="s">
        <v>73</v>
      </c>
      <c r="I350" s="9" t="s">
        <v>115</v>
      </c>
      <c r="J350" s="9">
        <v>2237</v>
      </c>
      <c r="K350" s="9" t="s">
        <v>2940</v>
      </c>
      <c r="L350" s="9" t="s">
        <v>117</v>
      </c>
      <c r="M350" s="10">
        <v>7.3032407407407407E-2</v>
      </c>
      <c r="N350" s="9" t="s">
        <v>127</v>
      </c>
      <c r="O350" s="9" t="s">
        <v>2941</v>
      </c>
      <c r="P350" s="9" t="s">
        <v>119</v>
      </c>
      <c r="Q350" s="10">
        <v>4.9988425925925929E-2</v>
      </c>
      <c r="R350" s="9" t="s">
        <v>56</v>
      </c>
      <c r="S350" s="10">
        <v>0.27304398148148151</v>
      </c>
      <c r="T350" s="9">
        <v>38.756999999999998</v>
      </c>
      <c r="U350" s="9">
        <v>9.94</v>
      </c>
      <c r="V350" s="10">
        <v>0.16240740740740739</v>
      </c>
      <c r="W350" s="10">
        <v>0.10299768518518521</v>
      </c>
      <c r="X350" s="10">
        <v>0</v>
      </c>
      <c r="Y350" s="9">
        <v>0</v>
      </c>
      <c r="Z350" s="9">
        <v>0</v>
      </c>
      <c r="AA350" s="9">
        <v>0</v>
      </c>
      <c r="AB350" s="9">
        <v>0</v>
      </c>
      <c r="AC350" s="9">
        <v>0</v>
      </c>
      <c r="AD350" s="9">
        <v>0</v>
      </c>
      <c r="AE350" s="9" t="s">
        <v>139</v>
      </c>
      <c r="AF350" s="9" t="s">
        <v>2942</v>
      </c>
      <c r="AG350" s="9" t="s">
        <v>2943</v>
      </c>
      <c r="AH350" s="9">
        <v>6.2257309999999997</v>
      </c>
      <c r="AI350" s="9">
        <v>-75.599151000000006</v>
      </c>
      <c r="AJ350" s="9" t="s">
        <v>2944</v>
      </c>
      <c r="AK350" s="9">
        <v>6.2365810000000002</v>
      </c>
      <c r="AL350" s="9">
        <v>-75.558187000000004</v>
      </c>
      <c r="AM350" s="26">
        <f t="shared" si="6"/>
        <v>4.9988425925925929E-2</v>
      </c>
    </row>
    <row r="351" spans="1:39" ht="15" x14ac:dyDescent="0.25">
      <c r="A351" s="9" t="s">
        <v>2945</v>
      </c>
      <c r="B351" s="9" t="s">
        <v>2946</v>
      </c>
      <c r="C351" s="9" t="s">
        <v>2947</v>
      </c>
      <c r="D351" s="9" t="s">
        <v>2875</v>
      </c>
      <c r="E351" s="9" t="s">
        <v>2619</v>
      </c>
      <c r="F351" s="9" t="s">
        <v>508</v>
      </c>
      <c r="G351" s="9" t="s">
        <v>80</v>
      </c>
      <c r="H351" s="9" t="s">
        <v>81</v>
      </c>
      <c r="I351" s="9" t="s">
        <v>115</v>
      </c>
      <c r="J351" s="9">
        <v>5240</v>
      </c>
      <c r="K351" s="9" t="s">
        <v>2948</v>
      </c>
      <c r="L351" s="9" t="s">
        <v>117</v>
      </c>
      <c r="M351" s="10">
        <v>2.0569016203703699E-2</v>
      </c>
      <c r="N351" s="9" t="s">
        <v>127</v>
      </c>
      <c r="O351" s="9" t="s">
        <v>2949</v>
      </c>
      <c r="P351" s="9" t="s">
        <v>119</v>
      </c>
      <c r="Q351" s="10">
        <v>1.8229861111111109E-3</v>
      </c>
      <c r="R351" s="9" t="s">
        <v>46</v>
      </c>
      <c r="S351" s="10">
        <v>0.26874603009259262</v>
      </c>
      <c r="T351" s="9">
        <v>35.654000000000003</v>
      </c>
      <c r="U351" s="9">
        <v>17.940000000000001</v>
      </c>
      <c r="V351" s="10">
        <v>8.282295138888883E-2</v>
      </c>
      <c r="W351" s="10">
        <v>3.6693217592592593E-2</v>
      </c>
      <c r="X351" s="10">
        <v>0</v>
      </c>
      <c r="Y351" s="9">
        <v>0</v>
      </c>
      <c r="Z351" s="9">
        <v>0</v>
      </c>
      <c r="AA351" s="9">
        <v>0</v>
      </c>
      <c r="AB351" s="9">
        <v>0</v>
      </c>
      <c r="AC351" s="9">
        <v>0</v>
      </c>
      <c r="AD351" s="9">
        <v>9</v>
      </c>
      <c r="AE351" s="9" t="s">
        <v>139</v>
      </c>
      <c r="AF351" s="9" t="s">
        <v>2950</v>
      </c>
      <c r="AG351" s="9" t="s">
        <v>2951</v>
      </c>
      <c r="AH351" s="9">
        <v>6.225822</v>
      </c>
      <c r="AI351" s="9">
        <v>-75.599323999999996</v>
      </c>
      <c r="AJ351" s="9" t="s">
        <v>2952</v>
      </c>
      <c r="AK351" s="9">
        <v>6.2592689999999997</v>
      </c>
      <c r="AL351" s="9">
        <v>-75.620921999999993</v>
      </c>
      <c r="AM351" s="26">
        <f t="shared" si="6"/>
        <v>0</v>
      </c>
    </row>
    <row r="352" spans="1:39" ht="15" x14ac:dyDescent="0.25">
      <c r="A352" s="9" t="s">
        <v>2953</v>
      </c>
      <c r="B352" s="9" t="s">
        <v>2954</v>
      </c>
      <c r="C352" s="9" t="s">
        <v>2955</v>
      </c>
      <c r="D352" s="9" t="s">
        <v>2875</v>
      </c>
      <c r="E352" s="9" t="s">
        <v>2619</v>
      </c>
      <c r="F352" s="9" t="s">
        <v>508</v>
      </c>
      <c r="G352" s="9" t="s">
        <v>160</v>
      </c>
      <c r="H352" s="9" t="s">
        <v>161</v>
      </c>
      <c r="I352" s="9" t="s">
        <v>115</v>
      </c>
      <c r="J352" s="9">
        <v>12071</v>
      </c>
      <c r="K352" s="9" t="s">
        <v>2956</v>
      </c>
      <c r="L352" s="9" t="s">
        <v>117</v>
      </c>
      <c r="M352" s="10">
        <v>3.7351469907407397E-2</v>
      </c>
      <c r="N352" s="9" t="s">
        <v>127</v>
      </c>
      <c r="O352" s="9" t="s">
        <v>2957</v>
      </c>
      <c r="P352" s="9" t="s">
        <v>119</v>
      </c>
      <c r="Q352" s="10">
        <v>1.032048611111111E-3</v>
      </c>
      <c r="R352" s="9" t="s">
        <v>46</v>
      </c>
      <c r="S352" s="10">
        <v>0.28631942129629628</v>
      </c>
      <c r="T352" s="9">
        <v>70.233000000000004</v>
      </c>
      <c r="U352" s="9">
        <v>17.25</v>
      </c>
      <c r="V352" s="10">
        <v>0.16968402777777791</v>
      </c>
      <c r="W352" s="10">
        <v>9.995311342592593E-2</v>
      </c>
      <c r="X352" s="10">
        <v>0</v>
      </c>
      <c r="Y352" s="9">
        <v>0</v>
      </c>
      <c r="Z352" s="9">
        <v>0</v>
      </c>
      <c r="AA352" s="9">
        <v>0</v>
      </c>
      <c r="AB352" s="9">
        <v>0</v>
      </c>
      <c r="AC352" s="9">
        <v>0</v>
      </c>
      <c r="AD352" s="9">
        <v>2</v>
      </c>
      <c r="AE352" s="9" t="s">
        <v>139</v>
      </c>
      <c r="AF352" s="9" t="s">
        <v>2958</v>
      </c>
      <c r="AG352" s="9" t="s">
        <v>2959</v>
      </c>
      <c r="AH352" s="9">
        <v>6.2412669999999997</v>
      </c>
      <c r="AI352" s="9">
        <v>-75.586453000000006</v>
      </c>
      <c r="AJ352" s="9" t="s">
        <v>2960</v>
      </c>
      <c r="AK352" s="9">
        <v>6.2568000000000001</v>
      </c>
      <c r="AL352" s="9">
        <v>-75.580860000000001</v>
      </c>
      <c r="AM352" s="26">
        <f t="shared" si="6"/>
        <v>0</v>
      </c>
    </row>
    <row r="353" spans="1:54" ht="15" x14ac:dyDescent="0.25">
      <c r="A353" s="9" t="s">
        <v>2961</v>
      </c>
      <c r="B353" s="9" t="s">
        <v>2962</v>
      </c>
      <c r="C353" s="9" t="s">
        <v>2963</v>
      </c>
      <c r="D353" s="9" t="s">
        <v>2875</v>
      </c>
      <c r="E353" s="9" t="s">
        <v>2619</v>
      </c>
      <c r="F353" s="9" t="s">
        <v>508</v>
      </c>
      <c r="G353" s="9" t="s">
        <v>97</v>
      </c>
      <c r="H353" s="9" t="s">
        <v>98</v>
      </c>
      <c r="I353" s="9" t="s">
        <v>115</v>
      </c>
      <c r="J353" s="9">
        <v>2045</v>
      </c>
      <c r="K353" s="9" t="s">
        <v>2964</v>
      </c>
      <c r="L353" s="9" t="s">
        <v>117</v>
      </c>
      <c r="M353" s="10">
        <v>1.862268518518519E-2</v>
      </c>
      <c r="N353" s="9" t="s">
        <v>127</v>
      </c>
      <c r="O353" s="9" t="s">
        <v>2965</v>
      </c>
      <c r="P353" s="9" t="s">
        <v>119</v>
      </c>
      <c r="Q353" s="10">
        <v>3.4629629629629628E-2</v>
      </c>
      <c r="R353" s="9" t="s">
        <v>56</v>
      </c>
      <c r="S353" s="10">
        <v>0.23399305555555561</v>
      </c>
      <c r="T353" s="9">
        <v>26.561</v>
      </c>
      <c r="U353" s="9">
        <v>8.34</v>
      </c>
      <c r="V353" s="10">
        <v>0.13269675925925931</v>
      </c>
      <c r="W353" s="10">
        <v>9.2789351851851845E-2</v>
      </c>
      <c r="X353" s="10">
        <v>4.0277777777777777E-3</v>
      </c>
      <c r="Y353" s="9">
        <v>0</v>
      </c>
      <c r="Z353" s="9">
        <v>0</v>
      </c>
      <c r="AA353" s="9">
        <v>0</v>
      </c>
      <c r="AB353" s="9">
        <v>0</v>
      </c>
      <c r="AC353" s="9">
        <v>0</v>
      </c>
      <c r="AD353" s="9">
        <v>0</v>
      </c>
      <c r="AE353" s="9" t="s">
        <v>139</v>
      </c>
      <c r="AF353" s="9" t="s">
        <v>2966</v>
      </c>
      <c r="AG353" s="9" t="s">
        <v>2967</v>
      </c>
      <c r="AH353" s="9">
        <v>6.2257999999999996</v>
      </c>
      <c r="AI353" s="9">
        <v>-75.599362999999997</v>
      </c>
      <c r="AJ353" s="9" t="s">
        <v>2968</v>
      </c>
      <c r="AK353" s="9">
        <v>6.2765709999999997</v>
      </c>
      <c r="AL353" s="9">
        <v>-75.573234999999997</v>
      </c>
      <c r="AM353" s="26">
        <f t="shared" si="6"/>
        <v>3.4629629629629628E-2</v>
      </c>
    </row>
    <row r="354" spans="1:54" ht="15" x14ac:dyDescent="0.25">
      <c r="A354" s="9" t="s">
        <v>2866</v>
      </c>
      <c r="B354" s="9" t="s">
        <v>2969</v>
      </c>
      <c r="C354" s="9" t="s">
        <v>2867</v>
      </c>
      <c r="D354" s="9" t="s">
        <v>2875</v>
      </c>
      <c r="E354" s="9" t="s">
        <v>2619</v>
      </c>
      <c r="F354" s="9" t="s">
        <v>508</v>
      </c>
      <c r="G354" s="9" t="s">
        <v>62</v>
      </c>
      <c r="H354" s="9" t="s">
        <v>63</v>
      </c>
      <c r="I354" s="9" t="s">
        <v>40</v>
      </c>
      <c r="J354" s="9">
        <v>3889</v>
      </c>
      <c r="K354" s="9" t="s">
        <v>2868</v>
      </c>
      <c r="L354" s="9" t="s">
        <v>42</v>
      </c>
      <c r="M354" s="10">
        <v>1.496527777777778E-2</v>
      </c>
      <c r="N354" s="9" t="s">
        <v>43</v>
      </c>
      <c r="O354" s="9" t="s">
        <v>2869</v>
      </c>
      <c r="P354" s="9" t="s">
        <v>45</v>
      </c>
      <c r="Q354" s="10">
        <v>1.6736111111111111E-2</v>
      </c>
      <c r="R354" s="9" t="s">
        <v>56</v>
      </c>
      <c r="S354" s="10">
        <v>0.30163194444444452</v>
      </c>
      <c r="T354" s="9">
        <v>53.493000000000002</v>
      </c>
      <c r="U354" s="9">
        <v>11.85</v>
      </c>
      <c r="V354" s="10">
        <v>0.18815972222222219</v>
      </c>
      <c r="W354" s="10">
        <v>0.11869212962962961</v>
      </c>
      <c r="X354" s="10">
        <v>1.252314814814815E-2</v>
      </c>
      <c r="Y354" s="9">
        <v>1</v>
      </c>
      <c r="Z354" s="9">
        <v>1</v>
      </c>
      <c r="AA354" s="9">
        <v>0</v>
      </c>
      <c r="AB354" s="9">
        <v>0</v>
      </c>
      <c r="AC354" s="9">
        <v>0</v>
      </c>
      <c r="AD354" s="9">
        <v>0</v>
      </c>
      <c r="AE354" s="9" t="s">
        <v>57</v>
      </c>
      <c r="AF354" s="9" t="s">
        <v>2970</v>
      </c>
      <c r="AG354" s="9" t="s">
        <v>2870</v>
      </c>
      <c r="AH354" s="9">
        <v>6.2258089999999999</v>
      </c>
      <c r="AI354" s="9">
        <v>-75.599311</v>
      </c>
      <c r="AJ354" s="9" t="s">
        <v>2871</v>
      </c>
      <c r="AK354" s="9">
        <v>6.2229749999999999</v>
      </c>
      <c r="AL354" s="9">
        <v>-75.597690999999998</v>
      </c>
      <c r="AM354" s="26">
        <f t="shared" si="6"/>
        <v>3.170138888888889E-2</v>
      </c>
    </row>
    <row r="355" spans="1:54" ht="15" x14ac:dyDescent="0.25">
      <c r="A355" s="9" t="s">
        <v>2971</v>
      </c>
      <c r="B355" s="9" t="s">
        <v>2972</v>
      </c>
      <c r="C355" s="9" t="s">
        <v>2973</v>
      </c>
      <c r="D355" s="9" t="s">
        <v>2974</v>
      </c>
      <c r="E355" s="9" t="s">
        <v>2619</v>
      </c>
      <c r="F355" s="9" t="s">
        <v>37</v>
      </c>
      <c r="G355" s="9" t="s">
        <v>38</v>
      </c>
      <c r="H355" s="9" t="s">
        <v>39</v>
      </c>
      <c r="I355" s="9" t="s">
        <v>40</v>
      </c>
      <c r="J355" s="9">
        <v>9411</v>
      </c>
      <c r="K355" s="9" t="s">
        <v>2975</v>
      </c>
      <c r="L355" s="9" t="s">
        <v>42</v>
      </c>
      <c r="M355" s="10">
        <v>2.1525613425925929E-2</v>
      </c>
      <c r="N355" s="9" t="s">
        <v>43</v>
      </c>
      <c r="O355" s="9" t="s">
        <v>2976</v>
      </c>
      <c r="P355" s="9" t="s">
        <v>45</v>
      </c>
      <c r="Q355" s="10">
        <v>2.5210416666666671E-3</v>
      </c>
      <c r="R355" s="9" t="s">
        <v>46</v>
      </c>
      <c r="S355" s="10">
        <v>0.31432876157407408</v>
      </c>
      <c r="T355" s="9">
        <v>67.908000000000001</v>
      </c>
      <c r="U355" s="9">
        <v>17.46</v>
      </c>
      <c r="V355" s="10">
        <v>0.1620192939814814</v>
      </c>
      <c r="W355" s="10">
        <v>7.6907731481481473E-2</v>
      </c>
      <c r="X355" s="10">
        <v>0</v>
      </c>
      <c r="Y355" s="9">
        <v>0</v>
      </c>
      <c r="Z355" s="9">
        <v>0</v>
      </c>
      <c r="AA355" s="9">
        <v>0</v>
      </c>
      <c r="AB355" s="9">
        <v>0</v>
      </c>
      <c r="AC355" s="9">
        <v>0</v>
      </c>
      <c r="AD355" s="9">
        <v>4</v>
      </c>
      <c r="AE355" s="9" t="s">
        <v>47</v>
      </c>
      <c r="AF355" s="9" t="s">
        <v>2977</v>
      </c>
      <c r="AG355" s="9" t="s">
        <v>2978</v>
      </c>
      <c r="AH355" s="9">
        <v>6.2032439999999998</v>
      </c>
      <c r="AI355" s="9">
        <v>-75.600825999999998</v>
      </c>
      <c r="AJ355" s="9" t="s">
        <v>2979</v>
      </c>
      <c r="AK355" s="9">
        <v>6.2371790000000003</v>
      </c>
      <c r="AL355" s="9">
        <v>-75.569823999999997</v>
      </c>
      <c r="AM355" s="26">
        <f t="shared" si="6"/>
        <v>2.1525613425925929E-2</v>
      </c>
    </row>
    <row r="356" spans="1:54" ht="15" x14ac:dyDescent="0.25">
      <c r="A356" s="9" t="s">
        <v>2980</v>
      </c>
      <c r="B356" s="9" t="s">
        <v>2981</v>
      </c>
      <c r="C356" s="9" t="s">
        <v>2982</v>
      </c>
      <c r="D356" s="9" t="s">
        <v>2974</v>
      </c>
      <c r="E356" s="9" t="s">
        <v>2619</v>
      </c>
      <c r="F356" s="9" t="s">
        <v>37</v>
      </c>
      <c r="G356" s="9" t="s">
        <v>52</v>
      </c>
      <c r="H356" s="9" t="s">
        <v>53</v>
      </c>
      <c r="I356" s="9" t="s">
        <v>40</v>
      </c>
      <c r="J356" s="9">
        <v>3031</v>
      </c>
      <c r="K356" s="9" t="s">
        <v>2983</v>
      </c>
      <c r="L356" s="9" t="s">
        <v>42</v>
      </c>
      <c r="M356" s="10">
        <v>1.2500000000000001E-2</v>
      </c>
      <c r="N356" s="9" t="s">
        <v>127</v>
      </c>
      <c r="O356" s="9" t="s">
        <v>2984</v>
      </c>
      <c r="P356" s="9" t="s">
        <v>45</v>
      </c>
      <c r="Q356" s="10">
        <v>5.8101851851851856E-3</v>
      </c>
      <c r="R356" s="9" t="s">
        <v>46</v>
      </c>
      <c r="S356" s="10">
        <v>0.34002314814814821</v>
      </c>
      <c r="T356" s="9">
        <v>38.945</v>
      </c>
      <c r="U356" s="9">
        <v>9</v>
      </c>
      <c r="V356" s="10">
        <v>0.1803703703703704</v>
      </c>
      <c r="W356" s="10">
        <v>0.12047453703703701</v>
      </c>
      <c r="X356" s="10">
        <v>6.8634259259259256E-3</v>
      </c>
      <c r="Y356" s="9">
        <v>0</v>
      </c>
      <c r="Z356" s="9">
        <v>0</v>
      </c>
      <c r="AA356" s="9">
        <v>0</v>
      </c>
      <c r="AB356" s="9">
        <v>0</v>
      </c>
      <c r="AC356" s="9">
        <v>0</v>
      </c>
      <c r="AD356" s="9">
        <v>0</v>
      </c>
      <c r="AE356" s="9" t="s">
        <v>139</v>
      </c>
      <c r="AF356" s="9" t="s">
        <v>2985</v>
      </c>
      <c r="AG356" s="9" t="s">
        <v>2986</v>
      </c>
      <c r="AH356" s="9">
        <v>6.225562</v>
      </c>
      <c r="AI356" s="9">
        <v>-75.599151000000006</v>
      </c>
      <c r="AJ356" s="9" t="s">
        <v>2987</v>
      </c>
      <c r="AK356" s="9">
        <v>6.2256580000000001</v>
      </c>
      <c r="AL356" s="9">
        <v>-75.599070999999995</v>
      </c>
      <c r="AM356" s="26">
        <f t="shared" si="6"/>
        <v>0</v>
      </c>
    </row>
    <row r="357" spans="1:54" ht="15" x14ac:dyDescent="0.25">
      <c r="A357" s="9" t="s">
        <v>2988</v>
      </c>
      <c r="B357" s="9" t="s">
        <v>2989</v>
      </c>
      <c r="C357" s="9" t="s">
        <v>2990</v>
      </c>
      <c r="D357" s="9" t="s">
        <v>2974</v>
      </c>
      <c r="E357" s="9" t="s">
        <v>2619</v>
      </c>
      <c r="F357" s="9" t="s">
        <v>37</v>
      </c>
      <c r="G357" s="9" t="s">
        <v>113</v>
      </c>
      <c r="H357" s="9" t="s">
        <v>114</v>
      </c>
      <c r="I357" s="9" t="s">
        <v>40</v>
      </c>
      <c r="J357" s="9">
        <v>2513</v>
      </c>
      <c r="K357" s="9" t="s">
        <v>2991</v>
      </c>
      <c r="L357" s="9" t="s">
        <v>42</v>
      </c>
      <c r="M357" s="10">
        <v>2.488425925925926E-3</v>
      </c>
      <c r="N357" s="9" t="s">
        <v>65</v>
      </c>
      <c r="O357" s="9" t="s">
        <v>2992</v>
      </c>
      <c r="P357" s="9" t="s">
        <v>45</v>
      </c>
      <c r="Q357" s="10">
        <v>6.4814814814814813E-4</v>
      </c>
      <c r="R357" s="9" t="s">
        <v>46</v>
      </c>
      <c r="S357" s="10">
        <v>0.3364699074074074</v>
      </c>
      <c r="T357" s="9">
        <v>34.430999999999997</v>
      </c>
      <c r="U357" s="9">
        <v>5.22</v>
      </c>
      <c r="V357" s="10">
        <v>0.27484953703703702</v>
      </c>
      <c r="W357" s="10">
        <v>0.2268634259259259</v>
      </c>
      <c r="X357" s="10">
        <v>0</v>
      </c>
      <c r="Y357" s="9">
        <v>0</v>
      </c>
      <c r="Z357" s="9">
        <v>0</v>
      </c>
      <c r="AA357" s="9">
        <v>0</v>
      </c>
      <c r="AB357" s="9">
        <v>0</v>
      </c>
      <c r="AC357" s="9">
        <v>0</v>
      </c>
      <c r="AD357" s="9">
        <v>3</v>
      </c>
      <c r="AE357" s="9" t="s">
        <v>84</v>
      </c>
      <c r="AF357" s="9" t="s">
        <v>292</v>
      </c>
      <c r="AG357" s="9" t="s">
        <v>2993</v>
      </c>
      <c r="AH357" s="9">
        <v>6.2335979999999998</v>
      </c>
      <c r="AI357" s="9">
        <v>-75.602124000000003</v>
      </c>
      <c r="AJ357" s="9" t="s">
        <v>2994</v>
      </c>
      <c r="AK357" s="9">
        <v>6.2388120000000002</v>
      </c>
      <c r="AL357" s="9">
        <v>-75.603425000000001</v>
      </c>
      <c r="AM357" s="26">
        <f t="shared" si="6"/>
        <v>0</v>
      </c>
    </row>
    <row r="358" spans="1:54" ht="15" x14ac:dyDescent="0.25">
      <c r="A358" s="9" t="s">
        <v>2995</v>
      </c>
      <c r="B358" s="9" t="s">
        <v>2996</v>
      </c>
      <c r="C358" s="9" t="s">
        <v>2997</v>
      </c>
      <c r="D358" s="9" t="s">
        <v>2974</v>
      </c>
      <c r="E358" s="9" t="s">
        <v>2619</v>
      </c>
      <c r="F358" s="9" t="s">
        <v>37</v>
      </c>
      <c r="G358" s="9" t="s">
        <v>62</v>
      </c>
      <c r="H358" s="9" t="s">
        <v>63</v>
      </c>
      <c r="I358" s="9" t="s">
        <v>40</v>
      </c>
      <c r="J358" s="9">
        <v>4253</v>
      </c>
      <c r="K358" s="9" t="s">
        <v>2998</v>
      </c>
      <c r="L358" s="9" t="s">
        <v>42</v>
      </c>
      <c r="M358" s="10">
        <v>3.37962962962963E-3</v>
      </c>
      <c r="N358" s="9" t="s">
        <v>65</v>
      </c>
      <c r="O358" s="9" t="s">
        <v>2999</v>
      </c>
      <c r="P358" s="9" t="s">
        <v>45</v>
      </c>
      <c r="Q358" s="10">
        <v>0.10902777777777781</v>
      </c>
      <c r="R358" s="9" t="s">
        <v>56</v>
      </c>
      <c r="S358" s="10">
        <v>0.22768518518518521</v>
      </c>
      <c r="T358" s="9">
        <v>56.817</v>
      </c>
      <c r="U358" s="9">
        <v>12.95</v>
      </c>
      <c r="V358" s="10">
        <v>0.18285879629629631</v>
      </c>
      <c r="W358" s="10">
        <v>7.6597222222222219E-2</v>
      </c>
      <c r="X358" s="10">
        <v>4.0509259259259257E-3</v>
      </c>
      <c r="Y358" s="9">
        <v>0</v>
      </c>
      <c r="Z358" s="9">
        <v>0</v>
      </c>
      <c r="AA358" s="9">
        <v>0</v>
      </c>
      <c r="AB358" s="9">
        <v>0</v>
      </c>
      <c r="AC358" s="9">
        <v>0</v>
      </c>
      <c r="AD358" s="9">
        <v>1</v>
      </c>
      <c r="AE358" s="9" t="s">
        <v>67</v>
      </c>
      <c r="AF358" s="9" t="s">
        <v>3000</v>
      </c>
      <c r="AG358" s="9" t="s">
        <v>3001</v>
      </c>
      <c r="AH358" s="9">
        <v>6.2257470000000001</v>
      </c>
      <c r="AI358" s="9">
        <v>-75.599438000000006</v>
      </c>
      <c r="AJ358" s="9" t="s">
        <v>3002</v>
      </c>
      <c r="AK358" s="9">
        <v>6.2354050000000001</v>
      </c>
      <c r="AL358" s="9">
        <v>-75.603436000000002</v>
      </c>
      <c r="AM358" s="26">
        <f t="shared" si="6"/>
        <v>0.10902777777777781</v>
      </c>
    </row>
    <row r="359" spans="1:54" ht="15" x14ac:dyDescent="0.25">
      <c r="A359" s="9" t="s">
        <v>3003</v>
      </c>
      <c r="B359" s="9" t="s">
        <v>3004</v>
      </c>
      <c r="C359" s="9" t="s">
        <v>3005</v>
      </c>
      <c r="D359" s="9" t="s">
        <v>2974</v>
      </c>
      <c r="E359" s="9" t="s">
        <v>2619</v>
      </c>
      <c r="F359" s="9" t="s">
        <v>37</v>
      </c>
      <c r="G359" s="9" t="s">
        <v>135</v>
      </c>
      <c r="H359" s="9" t="s">
        <v>136</v>
      </c>
      <c r="I359" s="9" t="s">
        <v>40</v>
      </c>
      <c r="J359" s="9">
        <v>1583</v>
      </c>
      <c r="K359" s="9" t="s">
        <v>3006</v>
      </c>
      <c r="L359" s="9" t="s">
        <v>42</v>
      </c>
      <c r="M359" s="10">
        <v>5.0810185185185194E-3</v>
      </c>
      <c r="N359" s="9" t="s">
        <v>65</v>
      </c>
      <c r="O359" s="9" t="s">
        <v>3007</v>
      </c>
      <c r="P359" s="9" t="s">
        <v>45</v>
      </c>
      <c r="Q359" s="10">
        <v>2.1990740740740742E-3</v>
      </c>
      <c r="R359" s="9" t="s">
        <v>46</v>
      </c>
      <c r="S359" s="10">
        <v>0.32605324074074082</v>
      </c>
      <c r="T359" s="9">
        <v>23.855</v>
      </c>
      <c r="U359" s="9">
        <v>10.38</v>
      </c>
      <c r="V359" s="10">
        <v>9.571759259259259E-2</v>
      </c>
      <c r="W359" s="10">
        <v>6.4421296296296296E-2</v>
      </c>
      <c r="X359" s="10">
        <v>0</v>
      </c>
      <c r="Y359" s="9">
        <v>0</v>
      </c>
      <c r="Z359" s="9">
        <v>0</v>
      </c>
      <c r="AA359" s="9">
        <v>0</v>
      </c>
      <c r="AB359" s="9">
        <v>0</v>
      </c>
      <c r="AC359" s="9">
        <v>0</v>
      </c>
      <c r="AD359" s="9">
        <v>9</v>
      </c>
      <c r="AE359" s="9" t="s">
        <v>84</v>
      </c>
      <c r="AF359" s="9" t="s">
        <v>3008</v>
      </c>
      <c r="AG359" s="9" t="s">
        <v>3009</v>
      </c>
      <c r="AH359" s="9">
        <v>6.2454270000000003</v>
      </c>
      <c r="AI359" s="9">
        <v>-75.601678000000007</v>
      </c>
      <c r="AJ359" s="9" t="s">
        <v>3010</v>
      </c>
      <c r="AK359" s="9">
        <v>6.2672480000000004</v>
      </c>
      <c r="AL359" s="9">
        <v>-75.553901999999994</v>
      </c>
      <c r="AM359" s="26">
        <f t="shared" si="6"/>
        <v>0</v>
      </c>
    </row>
    <row r="360" spans="1:54" ht="15" x14ac:dyDescent="0.25">
      <c r="A360" s="9" t="s">
        <v>3011</v>
      </c>
      <c r="B360" s="9" t="s">
        <v>3012</v>
      </c>
      <c r="C360" s="9" t="s">
        <v>3013</v>
      </c>
      <c r="D360" s="9" t="s">
        <v>2974</v>
      </c>
      <c r="E360" s="9" t="s">
        <v>2619</v>
      </c>
      <c r="F360" s="9" t="s">
        <v>37</v>
      </c>
      <c r="G360" s="9" t="s">
        <v>144</v>
      </c>
      <c r="H360" s="9" t="s">
        <v>145</v>
      </c>
      <c r="I360" s="9" t="s">
        <v>40</v>
      </c>
      <c r="J360" s="9">
        <v>5062</v>
      </c>
      <c r="K360" s="9" t="s">
        <v>3014</v>
      </c>
      <c r="L360" s="9" t="s">
        <v>42</v>
      </c>
      <c r="M360" s="10">
        <v>9.9537037037037042E-4</v>
      </c>
      <c r="N360" s="9" t="s">
        <v>65</v>
      </c>
      <c r="O360" s="9" t="s">
        <v>3015</v>
      </c>
      <c r="P360" s="9" t="s">
        <v>45</v>
      </c>
      <c r="Q360" s="10">
        <v>7.2916666666666668E-3</v>
      </c>
      <c r="R360" s="9" t="s">
        <v>46</v>
      </c>
      <c r="S360" s="10">
        <v>0.32703703703703701</v>
      </c>
      <c r="T360" s="9">
        <v>60.158999999999999</v>
      </c>
      <c r="U360" s="9">
        <v>10.14</v>
      </c>
      <c r="V360" s="10">
        <v>0.24721064814814811</v>
      </c>
      <c r="W360" s="10">
        <v>6.3807870370370376E-2</v>
      </c>
      <c r="X360" s="10">
        <v>4.3750000000000004E-3</v>
      </c>
      <c r="Y360" s="9">
        <v>0</v>
      </c>
      <c r="Z360" s="9">
        <v>0</v>
      </c>
      <c r="AA360" s="9">
        <v>0</v>
      </c>
      <c r="AB360" s="9">
        <v>0</v>
      </c>
      <c r="AC360" s="9">
        <v>0</v>
      </c>
      <c r="AD360" s="9">
        <v>0</v>
      </c>
      <c r="AE360" s="9" t="s">
        <v>84</v>
      </c>
      <c r="AF360" s="9" t="s">
        <v>3016</v>
      </c>
      <c r="AG360" s="9" t="s">
        <v>3017</v>
      </c>
      <c r="AH360" s="9">
        <v>6.2728060000000001</v>
      </c>
      <c r="AI360" s="9">
        <v>-75.574393000000001</v>
      </c>
      <c r="AJ360" s="9" t="s">
        <v>3018</v>
      </c>
      <c r="AK360" s="9">
        <v>6.2728130000000002</v>
      </c>
      <c r="AL360" s="9">
        <v>-75.57441</v>
      </c>
      <c r="AM360" s="26">
        <f t="shared" si="6"/>
        <v>0</v>
      </c>
    </row>
    <row r="361" spans="1:54" ht="15" x14ac:dyDescent="0.25">
      <c r="A361" s="9" t="s">
        <v>3023</v>
      </c>
      <c r="B361" s="9" t="s">
        <v>3024</v>
      </c>
      <c r="C361" s="9" t="s">
        <v>3025</v>
      </c>
      <c r="D361" s="9" t="s">
        <v>2974</v>
      </c>
      <c r="E361" s="9" t="s">
        <v>2619</v>
      </c>
      <c r="F361" s="9" t="s">
        <v>37</v>
      </c>
      <c r="G361" s="9" t="s">
        <v>89</v>
      </c>
      <c r="H361" s="9" t="s">
        <v>90</v>
      </c>
      <c r="I361" s="9" t="s">
        <v>40</v>
      </c>
      <c r="J361" s="9">
        <v>4598</v>
      </c>
      <c r="K361" s="9" t="s">
        <v>3026</v>
      </c>
      <c r="L361" s="9" t="s">
        <v>42</v>
      </c>
      <c r="M361" s="10">
        <v>1.111111111111111E-2</v>
      </c>
      <c r="N361" s="9" t="s">
        <v>127</v>
      </c>
      <c r="O361" s="9" t="s">
        <v>3027</v>
      </c>
      <c r="P361" s="9" t="s">
        <v>45</v>
      </c>
      <c r="Q361" s="10">
        <v>9.7222222222222219E-4</v>
      </c>
      <c r="R361" s="9" t="s">
        <v>46</v>
      </c>
      <c r="S361" s="10">
        <v>0.34541666666666659</v>
      </c>
      <c r="T361" s="9">
        <v>57.073999999999998</v>
      </c>
      <c r="U361" s="9">
        <v>8.51</v>
      </c>
      <c r="V361" s="10">
        <v>0.27959490740740739</v>
      </c>
      <c r="W361" s="10">
        <v>0.1541666666666667</v>
      </c>
      <c r="X361" s="10">
        <v>0</v>
      </c>
      <c r="Y361" s="9">
        <v>0</v>
      </c>
      <c r="Z361" s="9">
        <v>0</v>
      </c>
      <c r="AA361" s="9">
        <v>0</v>
      </c>
      <c r="AB361" s="9">
        <v>0</v>
      </c>
      <c r="AC361" s="9">
        <v>0</v>
      </c>
      <c r="AD361" s="9">
        <v>0</v>
      </c>
      <c r="AE361" s="9" t="s">
        <v>139</v>
      </c>
      <c r="AF361" s="9" t="s">
        <v>3028</v>
      </c>
      <c r="AG361" s="9" t="s">
        <v>3029</v>
      </c>
      <c r="AH361" s="9">
        <v>6.2263330000000003</v>
      </c>
      <c r="AI361" s="9">
        <v>-75.599211999999994</v>
      </c>
      <c r="AJ361" s="9" t="s">
        <v>3030</v>
      </c>
      <c r="AK361" s="9">
        <v>6.2801090000000004</v>
      </c>
      <c r="AL361" s="9">
        <v>-75.572558999999998</v>
      </c>
      <c r="AM361" s="26">
        <f t="shared" si="6"/>
        <v>0</v>
      </c>
    </row>
    <row r="362" spans="1:54" ht="15" x14ac:dyDescent="0.25">
      <c r="A362" s="9" t="s">
        <v>3031</v>
      </c>
      <c r="B362" s="9" t="s">
        <v>3032</v>
      </c>
      <c r="C362" s="9" t="s">
        <v>3033</v>
      </c>
      <c r="D362" s="9" t="s">
        <v>2974</v>
      </c>
      <c r="E362" s="9" t="s">
        <v>2619</v>
      </c>
      <c r="F362" s="9" t="s">
        <v>37</v>
      </c>
      <c r="G362" s="9" t="s">
        <v>105</v>
      </c>
      <c r="H362" s="9" t="s">
        <v>106</v>
      </c>
      <c r="I362" s="9" t="s">
        <v>40</v>
      </c>
      <c r="J362" s="9">
        <v>4812</v>
      </c>
      <c r="K362" s="9" t="s">
        <v>3034</v>
      </c>
      <c r="L362" s="9" t="s">
        <v>42</v>
      </c>
      <c r="M362" s="10">
        <v>1.263888888888889E-2</v>
      </c>
      <c r="N362" s="9" t="s">
        <v>127</v>
      </c>
      <c r="O362" s="9" t="s">
        <v>3035</v>
      </c>
      <c r="P362" s="9" t="s">
        <v>45</v>
      </c>
      <c r="Q362" s="10">
        <v>6.9444444444444447E-4</v>
      </c>
      <c r="R362" s="9" t="s">
        <v>46</v>
      </c>
      <c r="S362" s="10">
        <v>0.34666666666666668</v>
      </c>
      <c r="T362" s="9">
        <v>66.102999999999994</v>
      </c>
      <c r="U362" s="9">
        <v>18.64</v>
      </c>
      <c r="V362" s="10">
        <v>0.14780092592592589</v>
      </c>
      <c r="W362" s="10">
        <v>5.7708333333333327E-2</v>
      </c>
      <c r="X362" s="10">
        <v>2.613425925925926E-2</v>
      </c>
      <c r="Y362" s="9">
        <v>1</v>
      </c>
      <c r="Z362" s="9">
        <v>1</v>
      </c>
      <c r="AA362" s="9">
        <v>1</v>
      </c>
      <c r="AB362" s="9">
        <v>0</v>
      </c>
      <c r="AC362" s="9">
        <v>0</v>
      </c>
      <c r="AD362" s="9">
        <v>0</v>
      </c>
      <c r="AE362" s="9" t="s">
        <v>139</v>
      </c>
      <c r="AF362" s="9" t="s">
        <v>3036</v>
      </c>
      <c r="AG362" s="9" t="s">
        <v>3037</v>
      </c>
      <c r="AH362" s="9">
        <v>6.2256340000000003</v>
      </c>
      <c r="AI362" s="9">
        <v>-75.599227999999997</v>
      </c>
      <c r="AJ362" s="9" t="s">
        <v>3038</v>
      </c>
      <c r="AK362" s="9">
        <v>6.2585059999999997</v>
      </c>
      <c r="AL362" s="9">
        <v>-75.616107999999997</v>
      </c>
      <c r="AM362" s="26">
        <f t="shared" si="6"/>
        <v>0</v>
      </c>
    </row>
    <row r="363" spans="1:54" ht="15" x14ac:dyDescent="0.25">
      <c r="A363" s="1" t="s">
        <v>3039</v>
      </c>
      <c r="B363" s="1" t="s">
        <v>3040</v>
      </c>
      <c r="C363" s="1" t="s">
        <v>3041</v>
      </c>
      <c r="D363" s="1" t="s">
        <v>2974</v>
      </c>
      <c r="E363" s="1" t="s">
        <v>2619</v>
      </c>
      <c r="F363" s="1" t="s">
        <v>37</v>
      </c>
      <c r="G363" s="1" t="s">
        <v>152</v>
      </c>
      <c r="H363" s="1" t="s">
        <v>153</v>
      </c>
      <c r="I363" s="1" t="s">
        <v>40</v>
      </c>
      <c r="J363" s="1">
        <v>7652</v>
      </c>
      <c r="K363" s="1" t="s">
        <v>3019</v>
      </c>
      <c r="L363" s="1" t="s">
        <v>42</v>
      </c>
      <c r="M363" s="38">
        <v>6.9444444444444441E-3</v>
      </c>
      <c r="N363" s="1" t="s">
        <v>65</v>
      </c>
      <c r="O363" s="1" t="s">
        <v>3021</v>
      </c>
      <c r="P363" s="1" t="s">
        <v>45</v>
      </c>
      <c r="Q363" s="38">
        <v>1.8252314814814811E-2</v>
      </c>
      <c r="R363" s="1" t="s">
        <v>129</v>
      </c>
      <c r="S363" s="38">
        <v>0.35853009259259261</v>
      </c>
      <c r="T363" s="1">
        <v>99.364000000000004</v>
      </c>
      <c r="U363" s="1">
        <v>13.82</v>
      </c>
      <c r="V363" s="38">
        <v>0.2996064814814815</v>
      </c>
      <c r="W363" s="38">
        <v>0.1025462962962963</v>
      </c>
      <c r="X363" s="38">
        <v>0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  <c r="AD363" s="1">
        <v>1</v>
      </c>
      <c r="AE363" s="1" t="s">
        <v>130</v>
      </c>
      <c r="AF363" s="1" t="s">
        <v>3042</v>
      </c>
      <c r="AG363" s="1" t="s">
        <v>3020</v>
      </c>
      <c r="AH363" s="1">
        <v>6.2255469999999997</v>
      </c>
      <c r="AI363" s="1">
        <v>-75.599412000000001</v>
      </c>
      <c r="AJ363" s="1" t="s">
        <v>3022</v>
      </c>
      <c r="AK363" s="1">
        <v>6.2517379999999996</v>
      </c>
      <c r="AL363" s="1">
        <v>-75.551792000000006</v>
      </c>
      <c r="AM363" s="26">
        <f t="shared" si="6"/>
        <v>0</v>
      </c>
      <c r="AY363" s="1"/>
      <c r="AZ363" s="1"/>
      <c r="BA363" s="1"/>
      <c r="BB363" s="1"/>
    </row>
    <row r="364" spans="1:54" ht="15" x14ac:dyDescent="0.25">
      <c r="A364" s="9" t="s">
        <v>3043</v>
      </c>
      <c r="B364" s="9" t="s">
        <v>3044</v>
      </c>
      <c r="C364" s="9" t="s">
        <v>3045</v>
      </c>
      <c r="D364" s="9" t="s">
        <v>2974</v>
      </c>
      <c r="E364" s="9" t="s">
        <v>2619</v>
      </c>
      <c r="F364" s="9" t="s">
        <v>37</v>
      </c>
      <c r="G364" s="9" t="s">
        <v>124</v>
      </c>
      <c r="H364" s="9" t="s">
        <v>125</v>
      </c>
      <c r="I364" s="9" t="s">
        <v>115</v>
      </c>
      <c r="J364" s="9">
        <v>4477</v>
      </c>
      <c r="K364" s="9" t="s">
        <v>3046</v>
      </c>
      <c r="L364" s="9" t="s">
        <v>117</v>
      </c>
      <c r="M364" s="10">
        <v>3.4490740740740738E-2</v>
      </c>
      <c r="N364" s="9" t="s">
        <v>127</v>
      </c>
      <c r="O364" s="9" t="s">
        <v>3047</v>
      </c>
      <c r="P364" s="9" t="s">
        <v>119</v>
      </c>
      <c r="Q364" s="10">
        <v>1.5046296296296301E-2</v>
      </c>
      <c r="R364" s="9" t="s">
        <v>129</v>
      </c>
      <c r="S364" s="10">
        <v>0.29953703703703699</v>
      </c>
      <c r="T364" s="9">
        <v>55.436999999999998</v>
      </c>
      <c r="U364" s="9">
        <v>12.31</v>
      </c>
      <c r="V364" s="10">
        <v>0.18763888888888891</v>
      </c>
      <c r="W364" s="10">
        <v>5.1203703703703703E-2</v>
      </c>
      <c r="X364" s="10">
        <v>1.126157407407407E-2</v>
      </c>
      <c r="Y364" s="9">
        <v>1</v>
      </c>
      <c r="Z364" s="9">
        <v>1</v>
      </c>
      <c r="AA364" s="9">
        <v>0</v>
      </c>
      <c r="AB364" s="9">
        <v>0</v>
      </c>
      <c r="AC364" s="9">
        <v>0</v>
      </c>
      <c r="AD364" s="9">
        <v>0</v>
      </c>
      <c r="AE364" s="9" t="s">
        <v>130</v>
      </c>
      <c r="AF364" s="9" t="s">
        <v>3048</v>
      </c>
      <c r="AG364" s="9" t="s">
        <v>3049</v>
      </c>
      <c r="AH364" s="9">
        <v>6.2284309999999996</v>
      </c>
      <c r="AI364" s="9">
        <v>-75.599153000000001</v>
      </c>
      <c r="AJ364" s="9" t="s">
        <v>3050</v>
      </c>
      <c r="AK364" s="9">
        <v>6.2728580000000003</v>
      </c>
      <c r="AL364" s="9">
        <v>-75.602091999999999</v>
      </c>
      <c r="AM364" s="26">
        <f t="shared" si="6"/>
        <v>0</v>
      </c>
    </row>
    <row r="365" spans="1:54" ht="15" x14ac:dyDescent="0.25">
      <c r="A365" s="9" t="s">
        <v>3051</v>
      </c>
      <c r="B365" s="9" t="s">
        <v>3052</v>
      </c>
      <c r="C365" s="9" t="s">
        <v>3053</v>
      </c>
      <c r="D365" s="9" t="s">
        <v>2974</v>
      </c>
      <c r="E365" s="9" t="s">
        <v>2619</v>
      </c>
      <c r="F365" s="9" t="s">
        <v>37</v>
      </c>
      <c r="G365" s="9" t="s">
        <v>72</v>
      </c>
      <c r="H365" s="9" t="s">
        <v>73</v>
      </c>
      <c r="I365" s="9" t="s">
        <v>115</v>
      </c>
      <c r="J365" s="9">
        <v>2949</v>
      </c>
      <c r="K365" s="9" t="s">
        <v>3054</v>
      </c>
      <c r="L365" s="9" t="s">
        <v>117</v>
      </c>
      <c r="M365" s="10">
        <v>5.7997685185185187E-2</v>
      </c>
      <c r="N365" s="9" t="s">
        <v>127</v>
      </c>
      <c r="O365" s="9" t="s">
        <v>3055</v>
      </c>
      <c r="P365" s="9" t="s">
        <v>119</v>
      </c>
      <c r="Q365" s="10">
        <v>3.8414351851851852E-2</v>
      </c>
      <c r="R365" s="9" t="s">
        <v>56</v>
      </c>
      <c r="S365" s="10">
        <v>0.26958333333333329</v>
      </c>
      <c r="T365" s="9">
        <v>43.320999999999998</v>
      </c>
      <c r="U365" s="9">
        <v>10.7</v>
      </c>
      <c r="V365" s="10">
        <v>0.16875000000000001</v>
      </c>
      <c r="W365" s="10">
        <v>0.10906250000000001</v>
      </c>
      <c r="X365" s="10">
        <v>0</v>
      </c>
      <c r="Y365" s="9">
        <v>0</v>
      </c>
      <c r="Z365" s="9">
        <v>0</v>
      </c>
      <c r="AA365" s="9">
        <v>0</v>
      </c>
      <c r="AB365" s="9">
        <v>0</v>
      </c>
      <c r="AC365" s="9">
        <v>0</v>
      </c>
      <c r="AD365" s="9">
        <v>0</v>
      </c>
      <c r="AE365" s="9" t="s">
        <v>139</v>
      </c>
      <c r="AF365" s="9" t="s">
        <v>3056</v>
      </c>
      <c r="AG365" s="9" t="s">
        <v>3057</v>
      </c>
      <c r="AH365" s="9">
        <v>6.2257749999999996</v>
      </c>
      <c r="AI365" s="9">
        <v>-75.598816999999997</v>
      </c>
      <c r="AJ365" s="9" t="s">
        <v>3058</v>
      </c>
      <c r="AK365" s="9">
        <v>6.2370039999999998</v>
      </c>
      <c r="AL365" s="9">
        <v>-75.558803999999995</v>
      </c>
      <c r="AM365" s="26">
        <f t="shared" si="6"/>
        <v>3.8414351851851852E-2</v>
      </c>
    </row>
    <row r="366" spans="1:54" ht="15" x14ac:dyDescent="0.25">
      <c r="A366" s="9" t="s">
        <v>3059</v>
      </c>
      <c r="B366" s="9" t="s">
        <v>3060</v>
      </c>
      <c r="C366" s="9" t="s">
        <v>3061</v>
      </c>
      <c r="D366" s="9" t="s">
        <v>2974</v>
      </c>
      <c r="E366" s="9" t="s">
        <v>2619</v>
      </c>
      <c r="F366" s="9" t="s">
        <v>37</v>
      </c>
      <c r="G366" s="9" t="s">
        <v>80</v>
      </c>
      <c r="H366" s="9" t="s">
        <v>81</v>
      </c>
      <c r="I366" s="9" t="s">
        <v>115</v>
      </c>
      <c r="J366" s="9">
        <v>5232</v>
      </c>
      <c r="K366" s="9" t="s">
        <v>3062</v>
      </c>
      <c r="L366" s="9" t="s">
        <v>117</v>
      </c>
      <c r="M366" s="10">
        <v>1.863108796296296E-2</v>
      </c>
      <c r="N366" s="9" t="s">
        <v>127</v>
      </c>
      <c r="O366" s="9" t="s">
        <v>3063</v>
      </c>
      <c r="P366" s="9" t="s">
        <v>119</v>
      </c>
      <c r="Q366" s="10">
        <v>8.6834490740740743E-3</v>
      </c>
      <c r="R366" s="9" t="s">
        <v>46</v>
      </c>
      <c r="S366" s="10">
        <v>0.25994763888888889</v>
      </c>
      <c r="T366" s="9">
        <v>36.991</v>
      </c>
      <c r="U366" s="9">
        <v>19.579999999999998</v>
      </c>
      <c r="V366" s="10">
        <v>7.8722800925925845E-2</v>
      </c>
      <c r="W366" s="10">
        <v>3.4429942129629632E-2</v>
      </c>
      <c r="X366" s="10">
        <v>0</v>
      </c>
      <c r="Y366" s="9">
        <v>0</v>
      </c>
      <c r="Z366" s="9">
        <v>0</v>
      </c>
      <c r="AA366" s="9">
        <v>0</v>
      </c>
      <c r="AB366" s="9">
        <v>0</v>
      </c>
      <c r="AC366" s="9">
        <v>0</v>
      </c>
      <c r="AD366" s="9">
        <v>13</v>
      </c>
      <c r="AE366" s="9" t="s">
        <v>139</v>
      </c>
      <c r="AF366" s="9" t="s">
        <v>3064</v>
      </c>
      <c r="AG366" s="9" t="s">
        <v>3065</v>
      </c>
      <c r="AH366" s="9">
        <v>6.2257280000000002</v>
      </c>
      <c r="AI366" s="9">
        <v>-75.599418</v>
      </c>
      <c r="AJ366" s="9" t="s">
        <v>3066</v>
      </c>
      <c r="AK366" s="9">
        <v>6.2555209999999999</v>
      </c>
      <c r="AL366" s="9">
        <v>-75.620492999999996</v>
      </c>
      <c r="AM366" s="26">
        <f t="shared" si="6"/>
        <v>0</v>
      </c>
    </row>
    <row r="367" spans="1:54" ht="15" x14ac:dyDescent="0.25">
      <c r="A367" s="9" t="s">
        <v>3067</v>
      </c>
      <c r="B367" s="9" t="s">
        <v>3068</v>
      </c>
      <c r="C367" s="9" t="s">
        <v>3069</v>
      </c>
      <c r="D367" s="9" t="s">
        <v>2974</v>
      </c>
      <c r="E367" s="9" t="s">
        <v>2619</v>
      </c>
      <c r="F367" s="9" t="s">
        <v>37</v>
      </c>
      <c r="G367" s="9" t="s">
        <v>160</v>
      </c>
      <c r="H367" s="9" t="s">
        <v>161</v>
      </c>
      <c r="I367" s="9" t="s">
        <v>115</v>
      </c>
      <c r="J367" s="9">
        <v>10628</v>
      </c>
      <c r="K367" s="9" t="s">
        <v>3070</v>
      </c>
      <c r="L367" s="9" t="s">
        <v>117</v>
      </c>
      <c r="M367" s="10">
        <v>2.6019247685185189E-2</v>
      </c>
      <c r="N367" s="9" t="s">
        <v>127</v>
      </c>
      <c r="O367" s="9" t="s">
        <v>3071</v>
      </c>
      <c r="P367" s="9" t="s">
        <v>119</v>
      </c>
      <c r="Q367" s="10">
        <v>2.4040856481481478E-3</v>
      </c>
      <c r="R367" s="9" t="s">
        <v>46</v>
      </c>
      <c r="S367" s="10">
        <v>0.27842333333333341</v>
      </c>
      <c r="T367" s="9">
        <v>53.326000000000001</v>
      </c>
      <c r="U367" s="9">
        <v>13.87</v>
      </c>
      <c r="V367" s="10">
        <v>0.1602309606481481</v>
      </c>
      <c r="W367" s="10">
        <v>0.11474509259259261</v>
      </c>
      <c r="X367" s="10">
        <v>0</v>
      </c>
      <c r="Y367" s="9">
        <v>0</v>
      </c>
      <c r="Z367" s="9">
        <v>0</v>
      </c>
      <c r="AA367" s="9">
        <v>0</v>
      </c>
      <c r="AB367" s="9">
        <v>0</v>
      </c>
      <c r="AC367" s="9">
        <v>0</v>
      </c>
      <c r="AD367" s="9">
        <v>3</v>
      </c>
      <c r="AE367" s="9" t="s">
        <v>139</v>
      </c>
      <c r="AF367" s="9" t="s">
        <v>3072</v>
      </c>
      <c r="AG367" s="9" t="s">
        <v>3073</v>
      </c>
      <c r="AH367" s="9">
        <v>6.2270880000000002</v>
      </c>
      <c r="AI367" s="9">
        <v>-75.599095000000005</v>
      </c>
      <c r="AJ367" s="9" t="s">
        <v>3074</v>
      </c>
      <c r="AK367" s="9">
        <v>6.2684850000000001</v>
      </c>
      <c r="AL367" s="9">
        <v>-75.599272999999997</v>
      </c>
      <c r="AM367" s="26">
        <f t="shared" si="6"/>
        <v>0</v>
      </c>
    </row>
    <row r="368" spans="1:54" ht="15" x14ac:dyDescent="0.25">
      <c r="A368" s="9" t="s">
        <v>3075</v>
      </c>
      <c r="B368" s="9" t="s">
        <v>3076</v>
      </c>
      <c r="C368" s="9" t="s">
        <v>3077</v>
      </c>
      <c r="D368" s="9" t="s">
        <v>2974</v>
      </c>
      <c r="E368" s="9" t="s">
        <v>2619</v>
      </c>
      <c r="F368" s="9" t="s">
        <v>37</v>
      </c>
      <c r="G368" s="9" t="s">
        <v>97</v>
      </c>
      <c r="H368" s="9" t="s">
        <v>98</v>
      </c>
      <c r="I368" s="9" t="s">
        <v>115</v>
      </c>
      <c r="J368" s="9">
        <v>2278</v>
      </c>
      <c r="K368" s="9" t="s">
        <v>3078</v>
      </c>
      <c r="L368" s="9" t="s">
        <v>117</v>
      </c>
      <c r="M368" s="10">
        <v>2.1122685185185189E-2</v>
      </c>
      <c r="N368" s="9" t="s">
        <v>127</v>
      </c>
      <c r="O368" s="9" t="s">
        <v>3079</v>
      </c>
      <c r="P368" s="9" t="s">
        <v>119</v>
      </c>
      <c r="Q368" s="10">
        <v>2.2141203703703701E-2</v>
      </c>
      <c r="R368" s="9" t="s">
        <v>56</v>
      </c>
      <c r="S368" s="10">
        <v>0.2489814814814815</v>
      </c>
      <c r="T368" s="9">
        <v>30.131</v>
      </c>
      <c r="U368" s="9">
        <v>8.75</v>
      </c>
      <c r="V368" s="10">
        <v>0.14354166666666671</v>
      </c>
      <c r="W368" s="10">
        <v>9.2083333333333336E-2</v>
      </c>
      <c r="X368" s="10">
        <v>0</v>
      </c>
      <c r="Y368" s="9">
        <v>0</v>
      </c>
      <c r="Z368" s="9">
        <v>0</v>
      </c>
      <c r="AA368" s="9">
        <v>0</v>
      </c>
      <c r="AB368" s="9">
        <v>0</v>
      </c>
      <c r="AC368" s="9">
        <v>0</v>
      </c>
      <c r="AD368" s="9">
        <v>0</v>
      </c>
      <c r="AE368" s="9" t="s">
        <v>139</v>
      </c>
      <c r="AF368" s="9" t="s">
        <v>3080</v>
      </c>
      <c r="AG368" s="9" t="s">
        <v>3081</v>
      </c>
      <c r="AH368" s="9">
        <v>6.2258209999999998</v>
      </c>
      <c r="AI368" s="9">
        <v>-75.599391999999995</v>
      </c>
      <c r="AJ368" s="9" t="s">
        <v>3082</v>
      </c>
      <c r="AK368" s="9">
        <v>6.3080090000000002</v>
      </c>
      <c r="AL368" s="9">
        <v>-75.576627999999999</v>
      </c>
      <c r="AM368" s="26">
        <f t="shared" si="6"/>
        <v>2.2141203703703701E-2</v>
      </c>
    </row>
    <row r="369" spans="1:39" ht="15" x14ac:dyDescent="0.25">
      <c r="A369" s="9" t="s">
        <v>3083</v>
      </c>
      <c r="B369" s="9" t="s">
        <v>3084</v>
      </c>
      <c r="C369" s="9" t="s">
        <v>3085</v>
      </c>
      <c r="D369" s="9" t="s">
        <v>3086</v>
      </c>
      <c r="E369" s="9" t="s">
        <v>2619</v>
      </c>
      <c r="F369" s="9" t="s">
        <v>169</v>
      </c>
      <c r="G369" s="9" t="s">
        <v>38</v>
      </c>
      <c r="H369" s="9" t="s">
        <v>39</v>
      </c>
      <c r="I369" s="9" t="s">
        <v>40</v>
      </c>
      <c r="J369" s="9">
        <v>5848</v>
      </c>
      <c r="K369" s="9" t="s">
        <v>3087</v>
      </c>
      <c r="L369" s="9" t="s">
        <v>42</v>
      </c>
      <c r="M369" s="10">
        <v>2.9476909722222219E-2</v>
      </c>
      <c r="N369" s="9" t="s">
        <v>43</v>
      </c>
      <c r="O369" s="9" t="s">
        <v>3088</v>
      </c>
      <c r="P369" s="9" t="s">
        <v>45</v>
      </c>
      <c r="Q369" s="10">
        <v>6.1877256944444438E-2</v>
      </c>
      <c r="R369" s="9" t="s">
        <v>56</v>
      </c>
      <c r="S369" s="10">
        <v>0.24197916666666669</v>
      </c>
      <c r="T369" s="9">
        <v>49.36</v>
      </c>
      <c r="U369" s="9">
        <v>27.33</v>
      </c>
      <c r="V369" s="10">
        <v>7.5249293981481238E-2</v>
      </c>
      <c r="W369" s="10">
        <v>1.364130787037037E-2</v>
      </c>
      <c r="X369" s="10">
        <v>0</v>
      </c>
      <c r="Y369" s="9">
        <v>0</v>
      </c>
      <c r="Z369" s="9">
        <v>0</v>
      </c>
      <c r="AA369" s="9">
        <v>0</v>
      </c>
      <c r="AB369" s="9">
        <v>0</v>
      </c>
      <c r="AC369" s="9">
        <v>0</v>
      </c>
      <c r="AD369" s="9">
        <v>4</v>
      </c>
      <c r="AE369" s="9" t="s">
        <v>57</v>
      </c>
      <c r="AF369" s="9" t="s">
        <v>3089</v>
      </c>
      <c r="AG369" s="9" t="s">
        <v>3090</v>
      </c>
      <c r="AH369" s="9">
        <v>6.2033389999999997</v>
      </c>
      <c r="AI369" s="9">
        <v>-75.601051999999996</v>
      </c>
      <c r="AJ369" s="9" t="s">
        <v>3091</v>
      </c>
      <c r="AK369" s="9">
        <v>6.221813</v>
      </c>
      <c r="AL369" s="9">
        <v>-75.593834000000001</v>
      </c>
      <c r="AM369" s="26">
        <f t="shared" si="6"/>
        <v>9.1354166666666653E-2</v>
      </c>
    </row>
    <row r="370" spans="1:39" ht="15" x14ac:dyDescent="0.25">
      <c r="A370" s="9" t="s">
        <v>3092</v>
      </c>
      <c r="B370" s="9" t="s">
        <v>3093</v>
      </c>
      <c r="C370" s="9" t="s">
        <v>3094</v>
      </c>
      <c r="D370" s="9" t="s">
        <v>3086</v>
      </c>
      <c r="E370" s="9" t="s">
        <v>2619</v>
      </c>
      <c r="F370" s="9" t="s">
        <v>169</v>
      </c>
      <c r="G370" s="9" t="s">
        <v>52</v>
      </c>
      <c r="H370" s="9" t="s">
        <v>53</v>
      </c>
      <c r="I370" s="9" t="s">
        <v>40</v>
      </c>
      <c r="J370" s="9">
        <v>3193</v>
      </c>
      <c r="K370" s="9" t="s">
        <v>3095</v>
      </c>
      <c r="L370" s="9" t="s">
        <v>42</v>
      </c>
      <c r="M370" s="10">
        <v>1.956018518518518E-3</v>
      </c>
      <c r="N370" s="9" t="s">
        <v>65</v>
      </c>
      <c r="O370" s="9" t="s">
        <v>3096</v>
      </c>
      <c r="P370" s="9" t="s">
        <v>45</v>
      </c>
      <c r="Q370" s="10">
        <v>7.037037037037037E-3</v>
      </c>
      <c r="R370" s="9" t="s">
        <v>46</v>
      </c>
      <c r="S370" s="10">
        <v>0.3243402777777778</v>
      </c>
      <c r="T370" s="9">
        <v>41.216000000000001</v>
      </c>
      <c r="U370" s="9">
        <v>9.0399999999999991</v>
      </c>
      <c r="V370" s="10">
        <v>0.18989583333333329</v>
      </c>
      <c r="W370" s="10">
        <v>0.1273148148148148</v>
      </c>
      <c r="X370" s="10">
        <v>0</v>
      </c>
      <c r="Y370" s="9">
        <v>0</v>
      </c>
      <c r="Z370" s="9">
        <v>0</v>
      </c>
      <c r="AA370" s="9">
        <v>0</v>
      </c>
      <c r="AB370" s="9">
        <v>0</v>
      </c>
      <c r="AC370" s="9">
        <v>0</v>
      </c>
      <c r="AD370" s="9">
        <v>0</v>
      </c>
      <c r="AE370" s="9" t="s">
        <v>84</v>
      </c>
      <c r="AF370" s="9" t="s">
        <v>352</v>
      </c>
      <c r="AG370" s="9" t="s">
        <v>3097</v>
      </c>
      <c r="AH370" s="9">
        <v>6.2252029999999996</v>
      </c>
      <c r="AI370" s="9">
        <v>-75.599356</v>
      </c>
      <c r="AJ370" s="9" t="s">
        <v>3098</v>
      </c>
      <c r="AK370" s="9">
        <v>6.2258190000000004</v>
      </c>
      <c r="AL370" s="9">
        <v>-75.599131999999997</v>
      </c>
      <c r="AM370" s="26">
        <f t="shared" si="6"/>
        <v>0</v>
      </c>
    </row>
    <row r="371" spans="1:39" ht="15" x14ac:dyDescent="0.25">
      <c r="A371" s="9" t="s">
        <v>3099</v>
      </c>
      <c r="B371" s="9" t="s">
        <v>3100</v>
      </c>
      <c r="C371" s="9" t="s">
        <v>3101</v>
      </c>
      <c r="D371" s="9" t="s">
        <v>3086</v>
      </c>
      <c r="E371" s="9" t="s">
        <v>2619</v>
      </c>
      <c r="F371" s="9" t="s">
        <v>169</v>
      </c>
      <c r="G371" s="9" t="s">
        <v>62</v>
      </c>
      <c r="H371" s="9" t="s">
        <v>63</v>
      </c>
      <c r="I371" s="9" t="s">
        <v>40</v>
      </c>
      <c r="J371" s="9">
        <v>4062</v>
      </c>
      <c r="K371" s="9" t="s">
        <v>3102</v>
      </c>
      <c r="L371" s="9" t="s">
        <v>42</v>
      </c>
      <c r="M371" s="10">
        <v>6.1574074074074066E-3</v>
      </c>
      <c r="N371" s="9" t="s">
        <v>65</v>
      </c>
      <c r="O371" s="9" t="s">
        <v>3103</v>
      </c>
      <c r="P371" s="9" t="s">
        <v>45</v>
      </c>
      <c r="Q371" s="10">
        <v>9.7037037037037033E-2</v>
      </c>
      <c r="R371" s="9" t="s">
        <v>56</v>
      </c>
      <c r="S371" s="10">
        <v>0.23013888888888889</v>
      </c>
      <c r="T371" s="9">
        <v>55.100999999999999</v>
      </c>
      <c r="U371" s="9">
        <v>16.670000000000002</v>
      </c>
      <c r="V371" s="10">
        <v>0.13768518518518519</v>
      </c>
      <c r="W371" s="10">
        <v>4.8634259259259259E-2</v>
      </c>
      <c r="X371" s="10">
        <v>0</v>
      </c>
      <c r="Y371" s="9">
        <v>0</v>
      </c>
      <c r="Z371" s="9">
        <v>0</v>
      </c>
      <c r="AA371" s="9">
        <v>0</v>
      </c>
      <c r="AB371" s="9">
        <v>0</v>
      </c>
      <c r="AC371" s="9">
        <v>0</v>
      </c>
      <c r="AD371" s="9">
        <v>0</v>
      </c>
      <c r="AE371" s="9" t="s">
        <v>67</v>
      </c>
      <c r="AF371" s="9" t="s">
        <v>3104</v>
      </c>
      <c r="AG371" s="9" t="s">
        <v>3105</v>
      </c>
      <c r="AH371" s="9">
        <v>6.2258199999999997</v>
      </c>
      <c r="AI371" s="9">
        <v>-75.599391999999995</v>
      </c>
      <c r="AJ371" s="9" t="s">
        <v>3106</v>
      </c>
      <c r="AK371" s="9">
        <v>6.2239459999999998</v>
      </c>
      <c r="AL371" s="9">
        <v>-75.606025000000002</v>
      </c>
      <c r="AM371" s="26">
        <f t="shared" si="6"/>
        <v>9.7037037037037033E-2</v>
      </c>
    </row>
    <row r="372" spans="1:39" ht="15" x14ac:dyDescent="0.25">
      <c r="A372" s="9" t="s">
        <v>3107</v>
      </c>
      <c r="B372" s="9" t="s">
        <v>3108</v>
      </c>
      <c r="C372" s="9" t="s">
        <v>3109</v>
      </c>
      <c r="D372" s="9" t="s">
        <v>3086</v>
      </c>
      <c r="E372" s="9" t="s">
        <v>2619</v>
      </c>
      <c r="F372" s="9" t="s">
        <v>169</v>
      </c>
      <c r="G372" s="9" t="s">
        <v>135</v>
      </c>
      <c r="H372" s="9" t="s">
        <v>136</v>
      </c>
      <c r="I372" s="9" t="s">
        <v>40</v>
      </c>
      <c r="J372" s="9">
        <v>2185</v>
      </c>
      <c r="K372" s="9" t="s">
        <v>3110</v>
      </c>
      <c r="L372" s="9" t="s">
        <v>42</v>
      </c>
      <c r="M372" s="10">
        <v>2.453703703703704E-3</v>
      </c>
      <c r="N372" s="9" t="s">
        <v>65</v>
      </c>
      <c r="O372" s="9" t="s">
        <v>3111</v>
      </c>
      <c r="P372" s="9" t="s">
        <v>45</v>
      </c>
      <c r="Q372" s="10">
        <v>4.0162037037037041E-3</v>
      </c>
      <c r="R372" s="9" t="s">
        <v>46</v>
      </c>
      <c r="S372" s="10">
        <v>0.33980324074074081</v>
      </c>
      <c r="T372" s="9">
        <v>65.489999999999995</v>
      </c>
      <c r="U372" s="9">
        <v>26.58</v>
      </c>
      <c r="V372" s="10">
        <v>0.102662037037037</v>
      </c>
      <c r="W372" s="10">
        <v>6.4733796296296303E-2</v>
      </c>
      <c r="X372" s="10">
        <v>0</v>
      </c>
      <c r="Y372" s="9">
        <v>0</v>
      </c>
      <c r="Z372" s="9">
        <v>0</v>
      </c>
      <c r="AA372" s="9">
        <v>0</v>
      </c>
      <c r="AB372" s="9">
        <v>0</v>
      </c>
      <c r="AC372" s="9">
        <v>0</v>
      </c>
      <c r="AD372" s="9">
        <v>7</v>
      </c>
      <c r="AE372" s="9" t="s">
        <v>84</v>
      </c>
      <c r="AF372" s="9" t="s">
        <v>2832</v>
      </c>
      <c r="AG372" s="9" t="s">
        <v>3010</v>
      </c>
      <c r="AH372" s="9">
        <v>6.2672480000000004</v>
      </c>
      <c r="AI372" s="9">
        <v>-75.553901999999994</v>
      </c>
      <c r="AJ372" s="9" t="s">
        <v>3112</v>
      </c>
      <c r="AK372" s="9">
        <v>6.2555730000000001</v>
      </c>
      <c r="AL372" s="9">
        <v>-75.571351000000007</v>
      </c>
      <c r="AM372" s="26">
        <f t="shared" si="6"/>
        <v>0</v>
      </c>
    </row>
    <row r="373" spans="1:39" ht="15" x14ac:dyDescent="0.25">
      <c r="A373" s="9" t="s">
        <v>3113</v>
      </c>
      <c r="B373" s="9" t="s">
        <v>3114</v>
      </c>
      <c r="C373" s="9" t="s">
        <v>3115</v>
      </c>
      <c r="D373" s="9" t="s">
        <v>3086</v>
      </c>
      <c r="E373" s="9" t="s">
        <v>2619</v>
      </c>
      <c r="F373" s="9" t="s">
        <v>169</v>
      </c>
      <c r="G373" s="9" t="s">
        <v>144</v>
      </c>
      <c r="H373" s="9" t="s">
        <v>145</v>
      </c>
      <c r="I373" s="9" t="s">
        <v>40</v>
      </c>
      <c r="J373" s="9">
        <v>6432</v>
      </c>
      <c r="K373" s="9" t="s">
        <v>3116</v>
      </c>
      <c r="L373" s="9" t="s">
        <v>42</v>
      </c>
      <c r="M373" s="10">
        <v>3.2291666666666671E-3</v>
      </c>
      <c r="N373" s="9" t="s">
        <v>65</v>
      </c>
      <c r="O373" s="9" t="s">
        <v>3117</v>
      </c>
      <c r="P373" s="9" t="s">
        <v>45</v>
      </c>
      <c r="Q373" s="10">
        <v>1.1087962962962959E-2</v>
      </c>
      <c r="R373" s="9" t="s">
        <v>56</v>
      </c>
      <c r="S373" s="10">
        <v>0.32547453703703699</v>
      </c>
      <c r="T373" s="9">
        <v>82.218999999999994</v>
      </c>
      <c r="U373" s="9">
        <v>13.71</v>
      </c>
      <c r="V373" s="10">
        <v>0.24984953703703711</v>
      </c>
      <c r="W373" s="10">
        <v>6.8310185185185182E-2</v>
      </c>
      <c r="X373" s="10">
        <v>0</v>
      </c>
      <c r="Y373" s="9">
        <v>0</v>
      </c>
      <c r="Z373" s="9">
        <v>0</v>
      </c>
      <c r="AA373" s="9">
        <v>0</v>
      </c>
      <c r="AB373" s="9">
        <v>0</v>
      </c>
      <c r="AC373" s="9">
        <v>0</v>
      </c>
      <c r="AD373" s="9">
        <v>0</v>
      </c>
      <c r="AE373" s="9" t="s">
        <v>67</v>
      </c>
      <c r="AF373" s="9" t="s">
        <v>3118</v>
      </c>
      <c r="AG373" s="9" t="s">
        <v>3119</v>
      </c>
      <c r="AH373" s="9">
        <v>6.2257350000000002</v>
      </c>
      <c r="AI373" s="9">
        <v>-75.599179000000007</v>
      </c>
      <c r="AJ373" s="9" t="s">
        <v>3120</v>
      </c>
      <c r="AK373" s="9">
        <v>6.2728659999999996</v>
      </c>
      <c r="AL373" s="9">
        <v>-75.574489999999997</v>
      </c>
      <c r="AM373" s="26">
        <f t="shared" si="6"/>
        <v>1.1087962962962959E-2</v>
      </c>
    </row>
    <row r="374" spans="1:39" ht="15" x14ac:dyDescent="0.25">
      <c r="A374" s="9" t="s">
        <v>3121</v>
      </c>
      <c r="B374" s="9" t="s">
        <v>3122</v>
      </c>
      <c r="C374" s="9" t="s">
        <v>3123</v>
      </c>
      <c r="D374" s="9" t="s">
        <v>3086</v>
      </c>
      <c r="E374" s="9" t="s">
        <v>2619</v>
      </c>
      <c r="F374" s="9" t="s">
        <v>169</v>
      </c>
      <c r="G374" s="9" t="s">
        <v>152</v>
      </c>
      <c r="H374" s="9" t="s">
        <v>153</v>
      </c>
      <c r="I374" s="9" t="s">
        <v>40</v>
      </c>
      <c r="J374" s="9">
        <v>4558</v>
      </c>
      <c r="K374" s="9" t="s">
        <v>3124</v>
      </c>
      <c r="L374" s="9" t="s">
        <v>42</v>
      </c>
      <c r="M374" s="10">
        <v>3.7268518518518519E-3</v>
      </c>
      <c r="N374" s="9" t="s">
        <v>65</v>
      </c>
      <c r="O374" s="9" t="s">
        <v>3125</v>
      </c>
      <c r="P374" s="9" t="s">
        <v>45</v>
      </c>
      <c r="Q374" s="10">
        <v>3.6990740740740741E-2</v>
      </c>
      <c r="R374" s="9" t="s">
        <v>129</v>
      </c>
      <c r="S374" s="10">
        <v>0.36659722222222219</v>
      </c>
      <c r="T374" s="9">
        <v>58.271000000000001</v>
      </c>
      <c r="U374" s="9">
        <v>10.65</v>
      </c>
      <c r="V374" s="10">
        <v>0.22795138888888891</v>
      </c>
      <c r="W374" s="10">
        <v>0.11430555555555549</v>
      </c>
      <c r="X374" s="10">
        <v>2.4976851851851851E-2</v>
      </c>
      <c r="Y374" s="9">
        <v>1</v>
      </c>
      <c r="Z374" s="9">
        <v>1</v>
      </c>
      <c r="AA374" s="9">
        <v>1</v>
      </c>
      <c r="AB374" s="9">
        <v>0</v>
      </c>
      <c r="AC374" s="9">
        <v>0</v>
      </c>
      <c r="AD374" s="9">
        <v>1</v>
      </c>
      <c r="AE374" s="9" t="s">
        <v>130</v>
      </c>
      <c r="AF374" s="9" t="s">
        <v>3126</v>
      </c>
      <c r="AG374" s="9" t="s">
        <v>3127</v>
      </c>
      <c r="AH374" s="9">
        <v>6.2256999999999998</v>
      </c>
      <c r="AI374" s="9">
        <v>-75.599428000000003</v>
      </c>
      <c r="AJ374" s="9" t="s">
        <v>3128</v>
      </c>
      <c r="AK374" s="9">
        <v>6.251817</v>
      </c>
      <c r="AL374" s="9">
        <v>-75.551798000000005</v>
      </c>
      <c r="AM374" s="26">
        <f t="shared" si="6"/>
        <v>0</v>
      </c>
    </row>
    <row r="375" spans="1:39" ht="15" x14ac:dyDescent="0.25">
      <c r="A375" s="9" t="s">
        <v>3129</v>
      </c>
      <c r="B375" s="9" t="s">
        <v>3130</v>
      </c>
      <c r="C375" s="9" t="s">
        <v>3131</v>
      </c>
      <c r="D375" s="9" t="s">
        <v>3086</v>
      </c>
      <c r="E375" s="9" t="s">
        <v>2619</v>
      </c>
      <c r="F375" s="9" t="s">
        <v>169</v>
      </c>
      <c r="G375" s="9" t="s">
        <v>89</v>
      </c>
      <c r="H375" s="9" t="s">
        <v>90</v>
      </c>
      <c r="I375" s="9" t="s">
        <v>40</v>
      </c>
      <c r="J375" s="9">
        <v>3930</v>
      </c>
      <c r="K375" s="9" t="s">
        <v>3132</v>
      </c>
      <c r="L375" s="9" t="s">
        <v>42</v>
      </c>
      <c r="M375" s="10">
        <v>1.0543981481481481E-2</v>
      </c>
      <c r="N375" s="9" t="s">
        <v>127</v>
      </c>
      <c r="O375" s="9" t="s">
        <v>3133</v>
      </c>
      <c r="P375" s="9" t="s">
        <v>45</v>
      </c>
      <c r="Q375" s="10">
        <v>0.15349537037037039</v>
      </c>
      <c r="R375" s="9" t="s">
        <v>56</v>
      </c>
      <c r="S375" s="10">
        <v>0.19038194444444451</v>
      </c>
      <c r="T375" s="9">
        <v>50.012</v>
      </c>
      <c r="U375" s="9">
        <v>11.91</v>
      </c>
      <c r="V375" s="10">
        <v>0.17497685185185191</v>
      </c>
      <c r="W375" s="10">
        <v>5.5868055555555553E-2</v>
      </c>
      <c r="X375" s="10">
        <v>0</v>
      </c>
      <c r="Y375" s="9">
        <v>0</v>
      </c>
      <c r="Z375" s="9">
        <v>0</v>
      </c>
      <c r="AA375" s="9">
        <v>0</v>
      </c>
      <c r="AB375" s="9">
        <v>0</v>
      </c>
      <c r="AC375" s="9">
        <v>0</v>
      </c>
      <c r="AD375" s="9">
        <v>0</v>
      </c>
      <c r="AE375" s="9" t="s">
        <v>139</v>
      </c>
      <c r="AF375" s="9" t="s">
        <v>3134</v>
      </c>
      <c r="AG375" s="9" t="s">
        <v>3135</v>
      </c>
      <c r="AH375" s="9">
        <v>6.2265740000000003</v>
      </c>
      <c r="AI375" s="9">
        <v>-75.599252000000007</v>
      </c>
      <c r="AJ375" s="9" t="s">
        <v>3136</v>
      </c>
      <c r="AK375" s="9">
        <v>6.2155360000000002</v>
      </c>
      <c r="AL375" s="9">
        <v>-75.577033</v>
      </c>
      <c r="AM375" s="26">
        <f t="shared" si="6"/>
        <v>0.15349537037037039</v>
      </c>
    </row>
    <row r="376" spans="1:39" ht="15" x14ac:dyDescent="0.25">
      <c r="A376" s="9" t="s">
        <v>3137</v>
      </c>
      <c r="B376" s="9" t="s">
        <v>3138</v>
      </c>
      <c r="C376" s="9" t="s">
        <v>3139</v>
      </c>
      <c r="D376" s="9" t="s">
        <v>3086</v>
      </c>
      <c r="E376" s="9" t="s">
        <v>2619</v>
      </c>
      <c r="F376" s="9" t="s">
        <v>169</v>
      </c>
      <c r="G376" s="9" t="s">
        <v>105</v>
      </c>
      <c r="H376" s="9" t="s">
        <v>106</v>
      </c>
      <c r="I376" s="9" t="s">
        <v>40</v>
      </c>
      <c r="J376" s="9">
        <v>3303</v>
      </c>
      <c r="K376" s="9" t="s">
        <v>3140</v>
      </c>
      <c r="L376" s="9" t="s">
        <v>42</v>
      </c>
      <c r="M376" s="10">
        <v>3.9699074074074072E-3</v>
      </c>
      <c r="N376" s="9" t="s">
        <v>65</v>
      </c>
      <c r="O376" s="9" t="s">
        <v>3141</v>
      </c>
      <c r="P376" s="9" t="s">
        <v>45</v>
      </c>
      <c r="Q376" s="10">
        <v>1.793981481481481E-3</v>
      </c>
      <c r="R376" s="9" t="s">
        <v>46</v>
      </c>
      <c r="S376" s="10">
        <v>0.3311574074074074</v>
      </c>
      <c r="T376" s="9">
        <v>44.533999999999999</v>
      </c>
      <c r="U376" s="9">
        <v>11</v>
      </c>
      <c r="V376" s="10">
        <v>0.16870370370370369</v>
      </c>
      <c r="W376" s="10">
        <v>0.11034722222222219</v>
      </c>
      <c r="X376" s="10">
        <v>4.5844907407407411E-2</v>
      </c>
      <c r="Y376" s="9">
        <v>1</v>
      </c>
      <c r="Z376" s="9">
        <v>1</v>
      </c>
      <c r="AA376" s="9">
        <v>1</v>
      </c>
      <c r="AB376" s="9">
        <v>1</v>
      </c>
      <c r="AC376" s="9">
        <v>1</v>
      </c>
      <c r="AD376" s="9">
        <v>1</v>
      </c>
      <c r="AE376" s="9" t="s">
        <v>84</v>
      </c>
      <c r="AF376" s="9" t="s">
        <v>3142</v>
      </c>
      <c r="AG376" s="9" t="s">
        <v>3143</v>
      </c>
      <c r="AH376" s="9">
        <v>6.2255570000000002</v>
      </c>
      <c r="AI376" s="9">
        <v>-75.599400000000003</v>
      </c>
      <c r="AJ376" s="9" t="s">
        <v>3144</v>
      </c>
      <c r="AK376" s="9">
        <v>6.2588860000000004</v>
      </c>
      <c r="AL376" s="9">
        <v>-75.616541999999995</v>
      </c>
      <c r="AM376" s="26">
        <f t="shared" si="6"/>
        <v>0</v>
      </c>
    </row>
    <row r="377" spans="1:39" ht="15" x14ac:dyDescent="0.25">
      <c r="A377" s="9" t="s">
        <v>3149</v>
      </c>
      <c r="B377" s="9" t="s">
        <v>3150</v>
      </c>
      <c r="C377" s="9" t="s">
        <v>3151</v>
      </c>
      <c r="D377" s="9" t="s">
        <v>3086</v>
      </c>
      <c r="E377" s="9" t="s">
        <v>2619</v>
      </c>
      <c r="F377" s="9" t="s">
        <v>169</v>
      </c>
      <c r="G377" s="9" t="s">
        <v>113</v>
      </c>
      <c r="H377" s="9" t="s">
        <v>114</v>
      </c>
      <c r="I377" s="9" t="s">
        <v>40</v>
      </c>
      <c r="J377" s="9">
        <v>2144</v>
      </c>
      <c r="K377" s="9" t="s">
        <v>3145</v>
      </c>
      <c r="L377" s="9" t="s">
        <v>42</v>
      </c>
      <c r="M377" s="10">
        <v>4.8958333333333336E-3</v>
      </c>
      <c r="N377" s="9" t="s">
        <v>65</v>
      </c>
      <c r="O377" s="9" t="s">
        <v>3146</v>
      </c>
      <c r="P377" s="9" t="s">
        <v>45</v>
      </c>
      <c r="Q377" s="10">
        <v>3.1736111111111111E-2</v>
      </c>
      <c r="R377" s="9" t="s">
        <v>56</v>
      </c>
      <c r="S377" s="10">
        <v>0.29670138888888892</v>
      </c>
      <c r="T377" s="9">
        <v>28.207000000000001</v>
      </c>
      <c r="U377" s="9">
        <v>5.38</v>
      </c>
      <c r="V377" s="10">
        <v>0.21827546296296299</v>
      </c>
      <c r="W377" s="10">
        <v>0.16694444444444451</v>
      </c>
      <c r="X377" s="10">
        <v>0</v>
      </c>
      <c r="Y377" s="9">
        <v>0</v>
      </c>
      <c r="Z377" s="9">
        <v>0</v>
      </c>
      <c r="AA377" s="9">
        <v>0</v>
      </c>
      <c r="AB377" s="9">
        <v>0</v>
      </c>
      <c r="AC377" s="9">
        <v>0</v>
      </c>
      <c r="AD377" s="9">
        <v>2</v>
      </c>
      <c r="AE377" s="9" t="s">
        <v>67</v>
      </c>
      <c r="AF377" s="9" t="s">
        <v>3152</v>
      </c>
      <c r="AG377" s="9" t="s">
        <v>3147</v>
      </c>
      <c r="AH377" s="9">
        <v>6.2318179999999996</v>
      </c>
      <c r="AI377" s="9">
        <v>-75.602149999999995</v>
      </c>
      <c r="AJ377" s="9" t="s">
        <v>3148</v>
      </c>
      <c r="AK377" s="9">
        <v>6.2489600000000003</v>
      </c>
      <c r="AL377" s="9">
        <v>-75.587492999999995</v>
      </c>
      <c r="AM377" s="26">
        <f t="shared" si="6"/>
        <v>3.1736111111111111E-2</v>
      </c>
    </row>
    <row r="378" spans="1:39" ht="15" x14ac:dyDescent="0.25">
      <c r="A378" s="9" t="s">
        <v>3153</v>
      </c>
      <c r="B378" s="9" t="s">
        <v>3154</v>
      </c>
      <c r="C378" s="9" t="s">
        <v>3155</v>
      </c>
      <c r="D378" s="9" t="s">
        <v>3086</v>
      </c>
      <c r="E378" s="9" t="s">
        <v>2619</v>
      </c>
      <c r="F378" s="9" t="s">
        <v>169</v>
      </c>
      <c r="G378" s="9" t="s">
        <v>124</v>
      </c>
      <c r="H378" s="9" t="s">
        <v>125</v>
      </c>
      <c r="I378" s="9" t="s">
        <v>115</v>
      </c>
      <c r="J378" s="9">
        <v>4028</v>
      </c>
      <c r="K378" s="9" t="s">
        <v>3156</v>
      </c>
      <c r="L378" s="9" t="s">
        <v>117</v>
      </c>
      <c r="M378" s="10">
        <v>5.115740740740741E-3</v>
      </c>
      <c r="N378" s="9" t="s">
        <v>65</v>
      </c>
      <c r="O378" s="9" t="s">
        <v>3157</v>
      </c>
      <c r="P378" s="9" t="s">
        <v>119</v>
      </c>
      <c r="Q378" s="10">
        <v>7.8240740740740736E-3</v>
      </c>
      <c r="R378" s="9" t="s">
        <v>46</v>
      </c>
      <c r="S378" s="10">
        <v>0.26293981481481482</v>
      </c>
      <c r="T378" s="9">
        <v>54.890999999999998</v>
      </c>
      <c r="U378" s="9">
        <v>14.52</v>
      </c>
      <c r="V378" s="10">
        <v>0.15755787037037039</v>
      </c>
      <c r="W378" s="10">
        <v>7.9178240740740743E-2</v>
      </c>
      <c r="X378" s="10">
        <v>0</v>
      </c>
      <c r="Y378" s="9">
        <v>0</v>
      </c>
      <c r="Z378" s="9">
        <v>0</v>
      </c>
      <c r="AA378" s="9">
        <v>0</v>
      </c>
      <c r="AB378" s="9">
        <v>0</v>
      </c>
      <c r="AC378" s="9">
        <v>0</v>
      </c>
      <c r="AD378" s="9">
        <v>0</v>
      </c>
      <c r="AE378" s="9" t="s">
        <v>84</v>
      </c>
      <c r="AF378" s="9" t="s">
        <v>352</v>
      </c>
      <c r="AG378" s="39" t="s">
        <v>3158</v>
      </c>
      <c r="AH378" s="39">
        <v>6.2264239999999997</v>
      </c>
      <c r="AI378" s="39">
        <v>-75.599276000000003</v>
      </c>
      <c r="AJ378" s="39" t="s">
        <v>3159</v>
      </c>
      <c r="AK378" s="39">
        <v>6.2727360000000001</v>
      </c>
      <c r="AL378" s="39">
        <v>-75.601935999999995</v>
      </c>
      <c r="AM378" s="26">
        <f t="shared" si="6"/>
        <v>0</v>
      </c>
    </row>
    <row r="379" spans="1:39" ht="15" x14ac:dyDescent="0.25">
      <c r="A379" s="9" t="s">
        <v>3160</v>
      </c>
      <c r="B379" s="9" t="s">
        <v>3161</v>
      </c>
      <c r="C379" s="9" t="s">
        <v>3162</v>
      </c>
      <c r="D379" s="9" t="s">
        <v>3086</v>
      </c>
      <c r="E379" s="9" t="s">
        <v>2619</v>
      </c>
      <c r="F379" s="9" t="s">
        <v>169</v>
      </c>
      <c r="G379" s="9" t="s">
        <v>72</v>
      </c>
      <c r="H379" s="9" t="s">
        <v>73</v>
      </c>
      <c r="I379" s="9" t="s">
        <v>115</v>
      </c>
      <c r="J379" s="9">
        <v>2243</v>
      </c>
      <c r="K379" s="9" t="s">
        <v>3163</v>
      </c>
      <c r="L379" s="9" t="s">
        <v>117</v>
      </c>
      <c r="M379" s="10">
        <v>1.951388888888889E-2</v>
      </c>
      <c r="N379" s="9" t="s">
        <v>127</v>
      </c>
      <c r="O379" s="9" t="s">
        <v>3164</v>
      </c>
      <c r="P379" s="9" t="s">
        <v>119</v>
      </c>
      <c r="Q379" s="10">
        <v>5.5393518518518522E-2</v>
      </c>
      <c r="R379" s="9" t="s">
        <v>56</v>
      </c>
      <c r="S379" s="10">
        <v>0.21412037037037041</v>
      </c>
      <c r="T379" s="9">
        <v>30.224</v>
      </c>
      <c r="U379" s="9">
        <v>8.18</v>
      </c>
      <c r="V379" s="10">
        <v>0.153900462962963</v>
      </c>
      <c r="W379" s="10">
        <v>0.105</v>
      </c>
      <c r="X379" s="10">
        <v>0</v>
      </c>
      <c r="Y379" s="9">
        <v>0</v>
      </c>
      <c r="Z379" s="9">
        <v>0</v>
      </c>
      <c r="AA379" s="9">
        <v>0</v>
      </c>
      <c r="AB379" s="9">
        <v>0</v>
      </c>
      <c r="AC379" s="9">
        <v>0</v>
      </c>
      <c r="AD379" s="9">
        <v>0</v>
      </c>
      <c r="AE379" s="9" t="s">
        <v>139</v>
      </c>
      <c r="AF379" s="9" t="s">
        <v>3165</v>
      </c>
      <c r="AG379" s="39" t="s">
        <v>3166</v>
      </c>
      <c r="AH379" s="39">
        <v>6.225981</v>
      </c>
      <c r="AI379" s="39">
        <v>-75.599293000000003</v>
      </c>
      <c r="AJ379" s="39" t="s">
        <v>3167</v>
      </c>
      <c r="AK379" s="39">
        <v>6.2370669999999997</v>
      </c>
      <c r="AL379" s="39">
        <v>-75.558881</v>
      </c>
      <c r="AM379" s="26">
        <f t="shared" si="6"/>
        <v>5.5393518518518522E-2</v>
      </c>
    </row>
    <row r="380" spans="1:39" ht="15" x14ac:dyDescent="0.25">
      <c r="A380" s="9" t="s">
        <v>3168</v>
      </c>
      <c r="B380" s="9" t="s">
        <v>3169</v>
      </c>
      <c r="C380" s="9" t="s">
        <v>3170</v>
      </c>
      <c r="D380" s="9" t="s">
        <v>3086</v>
      </c>
      <c r="E380" s="9" t="s">
        <v>2619</v>
      </c>
      <c r="F380" s="9" t="s">
        <v>169</v>
      </c>
      <c r="G380" s="9" t="s">
        <v>80</v>
      </c>
      <c r="H380" s="9" t="s">
        <v>81</v>
      </c>
      <c r="I380" s="9" t="s">
        <v>115</v>
      </c>
      <c r="J380" s="9">
        <v>5357</v>
      </c>
      <c r="K380" s="9" t="s">
        <v>3171</v>
      </c>
      <c r="L380" s="9" t="s">
        <v>117</v>
      </c>
      <c r="M380" s="10">
        <v>6.0820833333333326E-3</v>
      </c>
      <c r="N380" s="9" t="s">
        <v>65</v>
      </c>
      <c r="O380" s="9" t="s">
        <v>3172</v>
      </c>
      <c r="P380" s="9" t="s">
        <v>119</v>
      </c>
      <c r="Q380" s="10">
        <v>2.2138773148148148E-3</v>
      </c>
      <c r="R380" s="9" t="s">
        <v>46</v>
      </c>
      <c r="S380" s="10">
        <v>0.25386820601851851</v>
      </c>
      <c r="T380" s="9">
        <v>38.408999999999999</v>
      </c>
      <c r="U380" s="9">
        <v>24.08</v>
      </c>
      <c r="V380" s="10">
        <v>6.6464421296296372E-2</v>
      </c>
      <c r="W380" s="10">
        <v>1.7652500000000002E-2</v>
      </c>
      <c r="X380" s="10">
        <v>0</v>
      </c>
      <c r="Y380" s="9">
        <v>0</v>
      </c>
      <c r="Z380" s="9">
        <v>0</v>
      </c>
      <c r="AA380" s="9">
        <v>0</v>
      </c>
      <c r="AB380" s="9">
        <v>0</v>
      </c>
      <c r="AC380" s="9">
        <v>0</v>
      </c>
      <c r="AD380" s="9">
        <v>10</v>
      </c>
      <c r="AE380" s="9" t="s">
        <v>84</v>
      </c>
      <c r="AF380" s="9" t="s">
        <v>591</v>
      </c>
      <c r="AG380" s="39" t="s">
        <v>3173</v>
      </c>
      <c r="AH380" s="39">
        <v>6.2257009999999999</v>
      </c>
      <c r="AI380" s="39">
        <v>-75.599422000000004</v>
      </c>
      <c r="AJ380" s="39" t="s">
        <v>3174</v>
      </c>
      <c r="AK380" s="39">
        <v>6.2592499999999998</v>
      </c>
      <c r="AL380" s="39">
        <v>-75.620926999999995</v>
      </c>
      <c r="AM380" s="26">
        <f t="shared" si="6"/>
        <v>0</v>
      </c>
    </row>
    <row r="381" spans="1:39" ht="15" x14ac:dyDescent="0.25">
      <c r="A381" s="9" t="s">
        <v>3175</v>
      </c>
      <c r="B381" s="9" t="s">
        <v>3176</v>
      </c>
      <c r="C381" s="9" t="s">
        <v>3177</v>
      </c>
      <c r="D381" s="9" t="s">
        <v>3086</v>
      </c>
      <c r="E381" s="9" t="s">
        <v>2619</v>
      </c>
      <c r="F381" s="9" t="s">
        <v>169</v>
      </c>
      <c r="G381" s="9" t="s">
        <v>160</v>
      </c>
      <c r="H381" s="9" t="s">
        <v>161</v>
      </c>
      <c r="I381" s="9" t="s">
        <v>115</v>
      </c>
      <c r="J381" s="9">
        <v>10883</v>
      </c>
      <c r="K381" s="9" t="s">
        <v>3178</v>
      </c>
      <c r="L381" s="9" t="s">
        <v>117</v>
      </c>
      <c r="M381" s="10">
        <v>1.644640046296296E-2</v>
      </c>
      <c r="N381" s="9" t="s">
        <v>127</v>
      </c>
      <c r="O381" s="9" t="s">
        <v>3179</v>
      </c>
      <c r="P381" s="9" t="s">
        <v>119</v>
      </c>
      <c r="Q381" s="10">
        <v>3.3443518518518518E-3</v>
      </c>
      <c r="R381" s="9" t="s">
        <v>46</v>
      </c>
      <c r="S381" s="10">
        <v>0.26979075231481481</v>
      </c>
      <c r="T381" s="9">
        <v>54.942</v>
      </c>
      <c r="U381" s="9">
        <v>14.85</v>
      </c>
      <c r="V381" s="10">
        <v>0.15410851851851851</v>
      </c>
      <c r="W381" s="10">
        <v>0.1092252083333333</v>
      </c>
      <c r="X381" s="10">
        <v>0</v>
      </c>
      <c r="Y381" s="9">
        <v>0</v>
      </c>
      <c r="Z381" s="9">
        <v>0</v>
      </c>
      <c r="AA381" s="9">
        <v>0</v>
      </c>
      <c r="AB381" s="9">
        <v>0</v>
      </c>
      <c r="AC381" s="9">
        <v>0</v>
      </c>
      <c r="AD381" s="9">
        <v>1</v>
      </c>
      <c r="AE381" s="9" t="s">
        <v>139</v>
      </c>
      <c r="AF381" s="9" t="s">
        <v>3180</v>
      </c>
      <c r="AG381" s="39" t="s">
        <v>3181</v>
      </c>
      <c r="AH381" s="39">
        <v>6.229012</v>
      </c>
      <c r="AI381" s="39">
        <v>-75.602047999999996</v>
      </c>
      <c r="AJ381" s="39" t="s">
        <v>3182</v>
      </c>
      <c r="AK381" s="39">
        <v>6.2684329999999999</v>
      </c>
      <c r="AL381" s="39">
        <v>-75.599272999999997</v>
      </c>
      <c r="AM381" s="26">
        <f t="shared" si="6"/>
        <v>0</v>
      </c>
    </row>
    <row r="382" spans="1:39" ht="15" x14ac:dyDescent="0.25">
      <c r="A382" s="1" t="s">
        <v>3183</v>
      </c>
      <c r="B382" s="1" t="s">
        <v>3184</v>
      </c>
      <c r="C382" s="1" t="s">
        <v>3185</v>
      </c>
      <c r="D382" s="1" t="s">
        <v>3086</v>
      </c>
      <c r="E382" s="1" t="s">
        <v>2619</v>
      </c>
      <c r="F382" s="1" t="s">
        <v>169</v>
      </c>
      <c r="G382" s="1" t="s">
        <v>97</v>
      </c>
      <c r="H382" s="1" t="s">
        <v>98</v>
      </c>
      <c r="I382" s="1" t="s">
        <v>115</v>
      </c>
      <c r="J382" s="1">
        <v>1871</v>
      </c>
      <c r="K382" s="1" t="s">
        <v>3186</v>
      </c>
      <c r="L382" s="1" t="s">
        <v>117</v>
      </c>
      <c r="M382" s="38">
        <v>9.6759259259259264E-3</v>
      </c>
      <c r="N382" s="1" t="s">
        <v>65</v>
      </c>
      <c r="O382" s="1" t="s">
        <v>3187</v>
      </c>
      <c r="P382" s="1" t="s">
        <v>119</v>
      </c>
      <c r="Q382" s="38">
        <v>4.0150462962962957E-2</v>
      </c>
      <c r="R382" s="1" t="s">
        <v>56</v>
      </c>
      <c r="S382" s="38">
        <v>0.21952546296296299</v>
      </c>
      <c r="T382" s="1">
        <v>24.082000000000001</v>
      </c>
      <c r="U382" s="1">
        <v>6.1</v>
      </c>
      <c r="V382" s="38">
        <v>0.16457175925925929</v>
      </c>
      <c r="W382" s="38">
        <v>0.12917824074074069</v>
      </c>
      <c r="X382" s="38">
        <v>0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  <c r="AD382" s="1">
        <v>0</v>
      </c>
      <c r="AE382" s="1" t="s">
        <v>67</v>
      </c>
      <c r="AF382" s="1" t="s">
        <v>3188</v>
      </c>
      <c r="AG382" s="1" t="s">
        <v>3189</v>
      </c>
      <c r="AH382" s="1">
        <v>6.2332830000000001</v>
      </c>
      <c r="AI382" s="1">
        <v>-75.582739000000004</v>
      </c>
      <c r="AJ382" s="1" t="s">
        <v>3190</v>
      </c>
      <c r="AK382" s="1">
        <v>6.3089589999999998</v>
      </c>
      <c r="AL382" s="1">
        <v>-75.582459999999998</v>
      </c>
      <c r="AM382" s="26">
        <f t="shared" si="6"/>
        <v>4.0150462962962957E-2</v>
      </c>
    </row>
    <row r="383" spans="1:39" ht="15" x14ac:dyDescent="0.25">
      <c r="A383" s="9" t="s">
        <v>3196</v>
      </c>
      <c r="B383" s="9" t="s">
        <v>3197</v>
      </c>
      <c r="C383" s="9" t="s">
        <v>3198</v>
      </c>
      <c r="D383" s="9" t="s">
        <v>3191</v>
      </c>
      <c r="E383" s="9" t="s">
        <v>2619</v>
      </c>
      <c r="F383" s="9" t="s">
        <v>315</v>
      </c>
      <c r="G383" s="9" t="s">
        <v>52</v>
      </c>
      <c r="H383" s="9" t="s">
        <v>53</v>
      </c>
      <c r="I383" s="9" t="s">
        <v>40</v>
      </c>
      <c r="J383" s="9">
        <v>2487</v>
      </c>
      <c r="K383" s="9" t="s">
        <v>3199</v>
      </c>
      <c r="L383" s="9" t="s">
        <v>42</v>
      </c>
      <c r="M383" s="10">
        <v>1.8842592592592591E-2</v>
      </c>
      <c r="N383" s="9" t="s">
        <v>127</v>
      </c>
      <c r="O383" s="9" t="s">
        <v>3200</v>
      </c>
      <c r="P383" s="9" t="s">
        <v>45</v>
      </c>
      <c r="Q383" s="10">
        <v>9.4212962962962957E-3</v>
      </c>
      <c r="R383" s="9" t="s">
        <v>46</v>
      </c>
      <c r="S383" s="10">
        <v>0.3427546296296296</v>
      </c>
      <c r="T383" s="9">
        <v>31.291</v>
      </c>
      <c r="U383" s="9">
        <v>8.11</v>
      </c>
      <c r="V383" s="10">
        <v>0.16069444444444439</v>
      </c>
      <c r="W383" s="10">
        <v>0.1083564814814815</v>
      </c>
      <c r="X383" s="10">
        <v>0</v>
      </c>
      <c r="Y383" s="9">
        <v>0</v>
      </c>
      <c r="Z383" s="9">
        <v>0</v>
      </c>
      <c r="AA383" s="9">
        <v>0</v>
      </c>
      <c r="AB383" s="9">
        <v>0</v>
      </c>
      <c r="AC383" s="9">
        <v>0</v>
      </c>
      <c r="AD383" s="9">
        <v>0</v>
      </c>
      <c r="AE383" s="9" t="s">
        <v>139</v>
      </c>
      <c r="AF383" s="9" t="s">
        <v>3201</v>
      </c>
      <c r="AG383" s="9" t="s">
        <v>3202</v>
      </c>
      <c r="AH383" s="9">
        <v>6.2256229999999997</v>
      </c>
      <c r="AI383" s="9">
        <v>-75.598982000000007</v>
      </c>
      <c r="AJ383" s="9" t="s">
        <v>3203</v>
      </c>
      <c r="AK383" s="9">
        <v>6.2253780000000001</v>
      </c>
      <c r="AL383" s="9">
        <v>-75.599233999999996</v>
      </c>
      <c r="AM383" s="26">
        <f t="shared" si="6"/>
        <v>0</v>
      </c>
    </row>
    <row r="384" spans="1:39" ht="15" x14ac:dyDescent="0.25">
      <c r="A384" s="9" t="s">
        <v>3204</v>
      </c>
      <c r="B384" s="9" t="s">
        <v>3205</v>
      </c>
      <c r="C384" s="9" t="s">
        <v>3206</v>
      </c>
      <c r="D384" s="9" t="s">
        <v>3191</v>
      </c>
      <c r="E384" s="9" t="s">
        <v>2619</v>
      </c>
      <c r="F384" s="9" t="s">
        <v>315</v>
      </c>
      <c r="G384" s="9" t="s">
        <v>113</v>
      </c>
      <c r="H384" s="9" t="s">
        <v>114</v>
      </c>
      <c r="I384" s="9" t="s">
        <v>40</v>
      </c>
      <c r="J384" s="9">
        <v>2696</v>
      </c>
      <c r="K384" s="9" t="s">
        <v>3207</v>
      </c>
      <c r="L384" s="9" t="s">
        <v>42</v>
      </c>
      <c r="M384" s="10">
        <v>1.8298611111111109E-2</v>
      </c>
      <c r="N384" s="9" t="s">
        <v>43</v>
      </c>
      <c r="O384" s="9" t="s">
        <v>3208</v>
      </c>
      <c r="P384" s="9" t="s">
        <v>45</v>
      </c>
      <c r="Q384" s="10">
        <v>1.1446759259259261E-2</v>
      </c>
      <c r="R384" s="9" t="s">
        <v>56</v>
      </c>
      <c r="S384" s="10">
        <v>0.30358796296296298</v>
      </c>
      <c r="T384" s="9">
        <v>33.587000000000003</v>
      </c>
      <c r="U384" s="9">
        <v>6.5</v>
      </c>
      <c r="V384" s="10">
        <v>0.21535879629629631</v>
      </c>
      <c r="W384" s="10">
        <v>0.1471064814814815</v>
      </c>
      <c r="X384" s="10">
        <v>0</v>
      </c>
      <c r="Y384" s="9">
        <v>0</v>
      </c>
      <c r="Z384" s="9">
        <v>0</v>
      </c>
      <c r="AA384" s="9">
        <v>0</v>
      </c>
      <c r="AB384" s="9">
        <v>0</v>
      </c>
      <c r="AC384" s="9">
        <v>0</v>
      </c>
      <c r="AD384" s="9">
        <v>1</v>
      </c>
      <c r="AE384" s="9" t="s">
        <v>57</v>
      </c>
      <c r="AF384" s="9" t="s">
        <v>3209</v>
      </c>
      <c r="AG384" s="9" t="s">
        <v>3210</v>
      </c>
      <c r="AH384" s="9">
        <v>6.2531059999999998</v>
      </c>
      <c r="AI384" s="9">
        <v>-75.609550999999996</v>
      </c>
      <c r="AJ384" s="9" t="s">
        <v>3211</v>
      </c>
      <c r="AK384" s="9">
        <v>6.239077</v>
      </c>
      <c r="AL384" s="9">
        <v>-75.595442000000006</v>
      </c>
      <c r="AM384" s="26">
        <f t="shared" si="6"/>
        <v>2.974537037037037E-2</v>
      </c>
    </row>
    <row r="385" spans="1:39" ht="15" x14ac:dyDescent="0.25">
      <c r="A385" s="9" t="s">
        <v>3212</v>
      </c>
      <c r="B385" s="9" t="s">
        <v>3213</v>
      </c>
      <c r="C385" s="9" t="s">
        <v>3214</v>
      </c>
      <c r="D385" s="9" t="s">
        <v>3191</v>
      </c>
      <c r="E385" s="9" t="s">
        <v>2619</v>
      </c>
      <c r="F385" s="9" t="s">
        <v>315</v>
      </c>
      <c r="G385" s="9" t="s">
        <v>62</v>
      </c>
      <c r="H385" s="9" t="s">
        <v>63</v>
      </c>
      <c r="I385" s="9" t="s">
        <v>40</v>
      </c>
      <c r="J385" s="9">
        <v>2448</v>
      </c>
      <c r="K385" s="9" t="s">
        <v>3215</v>
      </c>
      <c r="L385" s="9" t="s">
        <v>42</v>
      </c>
      <c r="M385" s="10">
        <v>1.15162037037037E-2</v>
      </c>
      <c r="N385" s="9" t="s">
        <v>127</v>
      </c>
      <c r="O385" s="9" t="s">
        <v>3216</v>
      </c>
      <c r="P385" s="9" t="s">
        <v>45</v>
      </c>
      <c r="Q385" s="10">
        <v>0.1079166666666667</v>
      </c>
      <c r="R385" s="9" t="s">
        <v>56</v>
      </c>
      <c r="S385" s="10">
        <v>0.23693287037037039</v>
      </c>
      <c r="T385" s="9">
        <v>32.279000000000003</v>
      </c>
      <c r="U385" s="9">
        <v>8.56</v>
      </c>
      <c r="V385" s="10">
        <v>0.15710648148148151</v>
      </c>
      <c r="W385" s="10">
        <v>0.1052314814814815</v>
      </c>
      <c r="X385" s="10">
        <v>0</v>
      </c>
      <c r="Y385" s="9">
        <v>0</v>
      </c>
      <c r="Z385" s="9">
        <v>0</v>
      </c>
      <c r="AA385" s="9">
        <v>0</v>
      </c>
      <c r="AB385" s="9">
        <v>0</v>
      </c>
      <c r="AC385" s="9">
        <v>0</v>
      </c>
      <c r="AD385" s="9">
        <v>1</v>
      </c>
      <c r="AE385" s="9" t="s">
        <v>139</v>
      </c>
      <c r="AF385" s="9" t="s">
        <v>3217</v>
      </c>
      <c r="AG385" s="9" t="s">
        <v>3218</v>
      </c>
      <c r="AH385" s="9">
        <v>6.2258420000000001</v>
      </c>
      <c r="AI385" s="9">
        <v>-75.599386999999993</v>
      </c>
      <c r="AJ385" s="9" t="s">
        <v>3219</v>
      </c>
      <c r="AK385" s="9">
        <v>6.233981</v>
      </c>
      <c r="AL385" s="9">
        <v>-75.606673999999998</v>
      </c>
      <c r="AM385" s="26">
        <f t="shared" si="6"/>
        <v>0.1079166666666667</v>
      </c>
    </row>
    <row r="386" spans="1:39" ht="15" x14ac:dyDescent="0.25">
      <c r="A386" s="9" t="s">
        <v>3220</v>
      </c>
      <c r="B386" s="9" t="s">
        <v>3221</v>
      </c>
      <c r="C386" s="9" t="s">
        <v>3222</v>
      </c>
      <c r="D386" s="9" t="s">
        <v>3191</v>
      </c>
      <c r="E386" s="9" t="s">
        <v>2619</v>
      </c>
      <c r="F386" s="9" t="s">
        <v>315</v>
      </c>
      <c r="G386" s="9" t="s">
        <v>135</v>
      </c>
      <c r="H386" s="9" t="s">
        <v>136</v>
      </c>
      <c r="I386" s="9" t="s">
        <v>40</v>
      </c>
      <c r="J386" s="9">
        <v>1569</v>
      </c>
      <c r="K386" s="9" t="s">
        <v>3223</v>
      </c>
      <c r="L386" s="9" t="s">
        <v>42</v>
      </c>
      <c r="M386" s="10">
        <v>1.3553240740740741E-2</v>
      </c>
      <c r="N386" s="9" t="s">
        <v>127</v>
      </c>
      <c r="O386" s="9" t="s">
        <v>3224</v>
      </c>
      <c r="P386" s="9" t="s">
        <v>45</v>
      </c>
      <c r="Q386" s="10">
        <v>4.2824074074074081E-4</v>
      </c>
      <c r="R386" s="9" t="s">
        <v>46</v>
      </c>
      <c r="S386" s="10">
        <v>0.3473148148148148</v>
      </c>
      <c r="T386" s="9">
        <v>26.782</v>
      </c>
      <c r="U386" s="9">
        <v>10.14</v>
      </c>
      <c r="V386" s="10">
        <v>0.1100347222222222</v>
      </c>
      <c r="W386" s="10">
        <v>8.1793981481481481E-2</v>
      </c>
      <c r="X386" s="10">
        <v>0</v>
      </c>
      <c r="Y386" s="9">
        <v>0</v>
      </c>
      <c r="Z386" s="9">
        <v>0</v>
      </c>
      <c r="AA386" s="9">
        <v>0</v>
      </c>
      <c r="AB386" s="9">
        <v>0</v>
      </c>
      <c r="AC386" s="9">
        <v>0</v>
      </c>
      <c r="AD386" s="9">
        <v>5</v>
      </c>
      <c r="AE386" s="9" t="s">
        <v>139</v>
      </c>
      <c r="AF386" s="9" t="s">
        <v>3225</v>
      </c>
      <c r="AG386" s="9" t="s">
        <v>3112</v>
      </c>
      <c r="AH386" s="9">
        <v>6.2555730000000001</v>
      </c>
      <c r="AI386" s="9">
        <v>-75.571351000000007</v>
      </c>
      <c r="AJ386" s="9" t="s">
        <v>3226</v>
      </c>
      <c r="AK386" s="9">
        <v>6.2381510000000002</v>
      </c>
      <c r="AL386" s="9">
        <v>-75.547309999999996</v>
      </c>
      <c r="AM386" s="26">
        <f t="shared" si="6"/>
        <v>0</v>
      </c>
    </row>
    <row r="387" spans="1:39" ht="15" x14ac:dyDescent="0.25">
      <c r="A387" s="9" t="s">
        <v>3227</v>
      </c>
      <c r="B387" s="9" t="s">
        <v>3228</v>
      </c>
      <c r="C387" s="9" t="s">
        <v>3229</v>
      </c>
      <c r="D387" s="9" t="s">
        <v>3191</v>
      </c>
      <c r="E387" s="9" t="s">
        <v>2619</v>
      </c>
      <c r="F387" s="9" t="s">
        <v>315</v>
      </c>
      <c r="G387" s="9" t="s">
        <v>144</v>
      </c>
      <c r="H387" s="9" t="s">
        <v>145</v>
      </c>
      <c r="I387" s="9" t="s">
        <v>40</v>
      </c>
      <c r="J387" s="9">
        <v>5956</v>
      </c>
      <c r="K387" s="9" t="s">
        <v>3230</v>
      </c>
      <c r="L387" s="9" t="s">
        <v>42</v>
      </c>
      <c r="M387" s="10">
        <v>6.3888888888888893E-3</v>
      </c>
      <c r="N387" s="9" t="s">
        <v>65</v>
      </c>
      <c r="O387" s="9" t="s">
        <v>3231</v>
      </c>
      <c r="P387" s="9" t="s">
        <v>45</v>
      </c>
      <c r="Q387" s="10">
        <v>2.2002314814814811E-2</v>
      </c>
      <c r="R387" s="9" t="s">
        <v>56</v>
      </c>
      <c r="S387" s="10">
        <v>0.31771990740740741</v>
      </c>
      <c r="T387" s="9">
        <v>76.950999999999993</v>
      </c>
      <c r="U387" s="9">
        <v>13.64</v>
      </c>
      <c r="V387" s="10">
        <v>0.23508101851851851</v>
      </c>
      <c r="W387" s="10">
        <v>7.1747685185185192E-2</v>
      </c>
      <c r="X387" s="10">
        <v>0</v>
      </c>
      <c r="Y387" s="9">
        <v>0</v>
      </c>
      <c r="Z387" s="9">
        <v>0</v>
      </c>
      <c r="AA387" s="9">
        <v>0</v>
      </c>
      <c r="AB387" s="9">
        <v>0</v>
      </c>
      <c r="AC387" s="9">
        <v>0</v>
      </c>
      <c r="AD387" s="9">
        <v>0</v>
      </c>
      <c r="AE387" s="9" t="s">
        <v>67</v>
      </c>
      <c r="AF387" s="9" t="s">
        <v>3232</v>
      </c>
      <c r="AG387" s="9" t="s">
        <v>3233</v>
      </c>
      <c r="AH387" s="9">
        <v>6.2727430000000002</v>
      </c>
      <c r="AI387" s="9">
        <v>-75.574470000000005</v>
      </c>
      <c r="AJ387" s="9" t="s">
        <v>3234</v>
      </c>
      <c r="AK387" s="9">
        <v>6.2728390000000003</v>
      </c>
      <c r="AL387" s="9">
        <v>-75.574417999999994</v>
      </c>
      <c r="AM387" s="26">
        <f t="shared" si="6"/>
        <v>2.2002314814814811E-2</v>
      </c>
    </row>
    <row r="388" spans="1:39" ht="15" x14ac:dyDescent="0.25">
      <c r="A388" s="9" t="s">
        <v>3235</v>
      </c>
      <c r="B388" s="9" t="s">
        <v>3236</v>
      </c>
      <c r="C388" s="9" t="s">
        <v>3237</v>
      </c>
      <c r="D388" s="9" t="s">
        <v>3191</v>
      </c>
      <c r="E388" s="9" t="s">
        <v>2619</v>
      </c>
      <c r="F388" s="9" t="s">
        <v>315</v>
      </c>
      <c r="G388" s="9" t="s">
        <v>152</v>
      </c>
      <c r="H388" s="9" t="s">
        <v>153</v>
      </c>
      <c r="I388" s="9" t="s">
        <v>40</v>
      </c>
      <c r="J388" s="9">
        <v>5865</v>
      </c>
      <c r="K388" s="9" t="s">
        <v>3238</v>
      </c>
      <c r="L388" s="9" t="s">
        <v>42</v>
      </c>
      <c r="M388" s="10">
        <v>1.101851851851852E-2</v>
      </c>
      <c r="N388" s="9" t="s">
        <v>127</v>
      </c>
      <c r="O388" s="9" t="s">
        <v>3239</v>
      </c>
      <c r="P388" s="9" t="s">
        <v>45</v>
      </c>
      <c r="Q388" s="10">
        <v>3.5925925925925917E-2</v>
      </c>
      <c r="R388" s="9" t="s">
        <v>129</v>
      </c>
      <c r="S388" s="10">
        <v>0.38027777777777783</v>
      </c>
      <c r="T388" s="9">
        <v>74.290000000000006</v>
      </c>
      <c r="U388" s="9">
        <v>9.93</v>
      </c>
      <c r="V388" s="10">
        <v>0.31165509259259261</v>
      </c>
      <c r="W388" s="10">
        <v>0.14983796296296301</v>
      </c>
      <c r="X388" s="10">
        <v>0</v>
      </c>
      <c r="Y388" s="9">
        <v>0</v>
      </c>
      <c r="Z388" s="9">
        <v>0</v>
      </c>
      <c r="AA388" s="9">
        <v>0</v>
      </c>
      <c r="AB388" s="9">
        <v>0</v>
      </c>
      <c r="AC388" s="9">
        <v>0</v>
      </c>
      <c r="AD388" s="9">
        <v>1</v>
      </c>
      <c r="AE388" s="9" t="s">
        <v>130</v>
      </c>
      <c r="AF388" s="9" t="s">
        <v>3240</v>
      </c>
      <c r="AG388" s="9" t="s">
        <v>3241</v>
      </c>
      <c r="AH388" s="9">
        <v>6.2255900000000004</v>
      </c>
      <c r="AI388" s="9">
        <v>-75.599424999999997</v>
      </c>
      <c r="AJ388" s="9" t="s">
        <v>3242</v>
      </c>
      <c r="AK388" s="9">
        <v>6.3108719999999998</v>
      </c>
      <c r="AL388" s="9">
        <v>-75.565312000000006</v>
      </c>
      <c r="AM388" s="26">
        <f t="shared" si="6"/>
        <v>0</v>
      </c>
    </row>
    <row r="389" spans="1:39" ht="15" x14ac:dyDescent="0.25">
      <c r="A389" s="9" t="s">
        <v>3243</v>
      </c>
      <c r="B389" s="9" t="s">
        <v>3244</v>
      </c>
      <c r="C389" s="9" t="s">
        <v>3245</v>
      </c>
      <c r="D389" s="9" t="s">
        <v>3191</v>
      </c>
      <c r="E389" s="9" t="s">
        <v>2619</v>
      </c>
      <c r="F389" s="9" t="s">
        <v>315</v>
      </c>
      <c r="G389" s="9" t="s">
        <v>89</v>
      </c>
      <c r="H389" s="9" t="s">
        <v>90</v>
      </c>
      <c r="I389" s="9" t="s">
        <v>40</v>
      </c>
      <c r="J389" s="9">
        <v>5871</v>
      </c>
      <c r="K389" s="9" t="s">
        <v>3246</v>
      </c>
      <c r="L389" s="9" t="s">
        <v>42</v>
      </c>
      <c r="M389" s="10">
        <v>6.7245370370370367E-3</v>
      </c>
      <c r="N389" s="9" t="s">
        <v>65</v>
      </c>
      <c r="O389" s="9" t="s">
        <v>3247</v>
      </c>
      <c r="P389" s="9" t="s">
        <v>45</v>
      </c>
      <c r="Q389" s="10">
        <v>9.2013888888888892E-3</v>
      </c>
      <c r="R389" s="9" t="s">
        <v>46</v>
      </c>
      <c r="S389" s="10">
        <v>0.3308564814814815</v>
      </c>
      <c r="T389" s="9">
        <v>77.83</v>
      </c>
      <c r="U389" s="9">
        <v>13.44</v>
      </c>
      <c r="V389" s="10">
        <v>0.24122685185185189</v>
      </c>
      <c r="W389" s="10">
        <v>8.0300925925925928E-2</v>
      </c>
      <c r="X389" s="10">
        <v>0</v>
      </c>
      <c r="Y389" s="9">
        <v>0</v>
      </c>
      <c r="Z389" s="9">
        <v>0</v>
      </c>
      <c r="AA389" s="9">
        <v>0</v>
      </c>
      <c r="AB389" s="9">
        <v>0</v>
      </c>
      <c r="AC389" s="9">
        <v>0</v>
      </c>
      <c r="AD389" s="9">
        <v>0</v>
      </c>
      <c r="AE389" s="9" t="s">
        <v>84</v>
      </c>
      <c r="AF389" s="9" t="s">
        <v>352</v>
      </c>
      <c r="AG389" s="9" t="s">
        <v>3248</v>
      </c>
      <c r="AH389" s="9">
        <v>6.2265740000000003</v>
      </c>
      <c r="AI389" s="9">
        <v>-75.599340999999995</v>
      </c>
      <c r="AJ389" s="9" t="s">
        <v>3249</v>
      </c>
      <c r="AK389" s="9">
        <v>6.2796830000000003</v>
      </c>
      <c r="AL389" s="9">
        <v>-75.572063</v>
      </c>
      <c r="AM389" s="26">
        <f t="shared" ref="AM389:AM453" si="7">IF(N389="INICIO TARDÍO",M389,0)+IF(R389="TERMINÓ ANTES",Q389,0)</f>
        <v>0</v>
      </c>
    </row>
    <row r="390" spans="1:39" ht="15" x14ac:dyDescent="0.25">
      <c r="A390" s="17" t="s">
        <v>3250</v>
      </c>
      <c r="B390" s="17" t="s">
        <v>3251</v>
      </c>
      <c r="C390" s="17" t="s">
        <v>3252</v>
      </c>
      <c r="D390" s="17" t="s">
        <v>3191</v>
      </c>
      <c r="E390" s="17" t="s">
        <v>2619</v>
      </c>
      <c r="F390" s="17" t="s">
        <v>315</v>
      </c>
      <c r="G390" s="17" t="s">
        <v>105</v>
      </c>
      <c r="H390" s="17" t="s">
        <v>106</v>
      </c>
      <c r="I390" s="17" t="s">
        <v>40</v>
      </c>
      <c r="J390" s="17">
        <v>4418</v>
      </c>
      <c r="K390" s="17" t="s">
        <v>3253</v>
      </c>
      <c r="L390" s="17" t="s">
        <v>42</v>
      </c>
      <c r="M390" s="18">
        <v>6.6782407407407407E-3</v>
      </c>
      <c r="N390" s="17" t="s">
        <v>65</v>
      </c>
      <c r="O390" s="17" t="s">
        <v>3254</v>
      </c>
      <c r="P390" s="17" t="s">
        <v>45</v>
      </c>
      <c r="Q390" s="18">
        <v>1.3888888888888889E-3</v>
      </c>
      <c r="R390" s="17" t="s">
        <v>46</v>
      </c>
      <c r="S390" s="18">
        <v>0.34140046296296289</v>
      </c>
      <c r="T390" s="17">
        <v>59.905000000000001</v>
      </c>
      <c r="U390" s="17">
        <v>12.75</v>
      </c>
      <c r="V390" s="18">
        <v>0.19575231481481481</v>
      </c>
      <c r="W390" s="18">
        <v>0.1122800925925926</v>
      </c>
      <c r="X390" s="18">
        <v>0</v>
      </c>
      <c r="Y390" s="17">
        <v>0</v>
      </c>
      <c r="Z390" s="17">
        <v>0</v>
      </c>
      <c r="AA390" s="17">
        <v>0</v>
      </c>
      <c r="AB390" s="17">
        <v>0</v>
      </c>
      <c r="AC390" s="17">
        <v>0</v>
      </c>
      <c r="AD390" s="17">
        <v>0</v>
      </c>
      <c r="AE390" s="17" t="s">
        <v>84</v>
      </c>
      <c r="AF390" s="17" t="s">
        <v>352</v>
      </c>
      <c r="AG390" s="17" t="s">
        <v>3255</v>
      </c>
      <c r="AH390" s="17">
        <v>6.225651</v>
      </c>
      <c r="AI390" s="17">
        <v>-75.599123000000006</v>
      </c>
      <c r="AJ390" s="17" t="s">
        <v>3256</v>
      </c>
      <c r="AK390" s="17">
        <v>6.1910360000000004</v>
      </c>
      <c r="AL390" s="17">
        <v>-75.583235999999999</v>
      </c>
      <c r="AM390" s="27">
        <f t="shared" si="7"/>
        <v>0</v>
      </c>
    </row>
    <row r="391" spans="1:39" s="9" customFormat="1" ht="15" x14ac:dyDescent="0.25">
      <c r="A391" s="9" t="s">
        <v>3257</v>
      </c>
      <c r="B391" s="9" t="s">
        <v>3258</v>
      </c>
      <c r="C391" s="9" t="s">
        <v>3259</v>
      </c>
      <c r="D391" s="9" t="s">
        <v>3191</v>
      </c>
      <c r="E391" s="9" t="s">
        <v>2619</v>
      </c>
      <c r="F391" s="9" t="s">
        <v>315</v>
      </c>
      <c r="G391" s="9" t="s">
        <v>38</v>
      </c>
      <c r="H391" s="9" t="s">
        <v>39</v>
      </c>
      <c r="I391" s="9" t="s">
        <v>40</v>
      </c>
      <c r="J391" s="9">
        <v>6165</v>
      </c>
      <c r="K391" s="9" t="s">
        <v>3192</v>
      </c>
      <c r="L391" s="9" t="s">
        <v>42</v>
      </c>
      <c r="M391" s="10">
        <v>1.280594907407407E-2</v>
      </c>
      <c r="N391" s="9" t="s">
        <v>43</v>
      </c>
      <c r="O391" s="9" t="s">
        <v>3193</v>
      </c>
      <c r="P391" s="9" t="s">
        <v>45</v>
      </c>
      <c r="Q391" s="10">
        <v>6.0477581018518523E-2</v>
      </c>
      <c r="R391" s="9" t="s">
        <v>56</v>
      </c>
      <c r="S391" s="10">
        <v>0.26004980324074067</v>
      </c>
      <c r="T391" s="9">
        <v>49.527999999999999</v>
      </c>
      <c r="U391" s="9">
        <v>23.45</v>
      </c>
      <c r="V391" s="10">
        <v>8.8019363425925659E-2</v>
      </c>
      <c r="W391" s="10">
        <v>2.843787037037037E-2</v>
      </c>
      <c r="X391" s="10">
        <v>7.543056712962963E-2</v>
      </c>
      <c r="Y391" s="9">
        <v>1</v>
      </c>
      <c r="Z391" s="9">
        <v>1</v>
      </c>
      <c r="AA391" s="9">
        <v>1</v>
      </c>
      <c r="AB391" s="9">
        <v>1</v>
      </c>
      <c r="AC391" s="9">
        <v>1</v>
      </c>
      <c r="AD391" s="9">
        <v>5</v>
      </c>
      <c r="AE391" s="9" t="s">
        <v>57</v>
      </c>
      <c r="AF391" s="9" t="s">
        <v>3260</v>
      </c>
      <c r="AG391" s="9" t="s">
        <v>3194</v>
      </c>
      <c r="AH391" s="9">
        <v>6.2032670000000003</v>
      </c>
      <c r="AI391" s="9">
        <v>-75.600633000000002</v>
      </c>
      <c r="AJ391" s="9" t="s">
        <v>3195</v>
      </c>
      <c r="AK391" s="9">
        <v>6.221692</v>
      </c>
      <c r="AL391" s="9">
        <v>-75.593850000000003</v>
      </c>
      <c r="AM391" s="26">
        <f t="shared" si="7"/>
        <v>7.3283530092592586E-2</v>
      </c>
    </row>
    <row r="392" spans="1:39" ht="15" x14ac:dyDescent="0.25">
      <c r="A392" s="9" t="s">
        <v>3261</v>
      </c>
      <c r="B392" s="9" t="s">
        <v>3262</v>
      </c>
      <c r="C392" s="9" t="s">
        <v>3263</v>
      </c>
      <c r="D392" s="9" t="s">
        <v>3191</v>
      </c>
      <c r="E392" s="9" t="s">
        <v>2619</v>
      </c>
      <c r="F392" s="9" t="s">
        <v>315</v>
      </c>
      <c r="G392" s="9" t="s">
        <v>124</v>
      </c>
      <c r="H392" s="9" t="s">
        <v>125</v>
      </c>
      <c r="I392" s="9" t="s">
        <v>115</v>
      </c>
      <c r="J392" s="9">
        <v>5047</v>
      </c>
      <c r="K392" s="9" t="s">
        <v>3264</v>
      </c>
      <c r="L392" s="9" t="s">
        <v>117</v>
      </c>
      <c r="M392" s="10">
        <v>2.0474537037037041E-2</v>
      </c>
      <c r="N392" s="9" t="s">
        <v>127</v>
      </c>
      <c r="O392" s="9" t="s">
        <v>3265</v>
      </c>
      <c r="P392" s="9" t="s">
        <v>119</v>
      </c>
      <c r="Q392" s="10">
        <v>1.0393518518518521E-2</v>
      </c>
      <c r="R392" s="9" t="s">
        <v>46</v>
      </c>
      <c r="S392" s="10">
        <v>0.28086805555555561</v>
      </c>
      <c r="T392" s="9">
        <v>63.121000000000002</v>
      </c>
      <c r="U392" s="9">
        <v>12.33</v>
      </c>
      <c r="V392" s="10">
        <v>0.21322916666666669</v>
      </c>
      <c r="W392" s="10">
        <v>5.7291666666666657E-2</v>
      </c>
      <c r="X392" s="10">
        <v>6.030092592592593E-3</v>
      </c>
      <c r="Y392" s="9">
        <v>0</v>
      </c>
      <c r="Z392" s="9">
        <v>0</v>
      </c>
      <c r="AA392" s="9">
        <v>0</v>
      </c>
      <c r="AB392" s="9">
        <v>0</v>
      </c>
      <c r="AC392" s="9">
        <v>0</v>
      </c>
      <c r="AD392" s="9">
        <v>0</v>
      </c>
      <c r="AE392" s="9" t="s">
        <v>139</v>
      </c>
      <c r="AF392" s="9" t="s">
        <v>3266</v>
      </c>
      <c r="AG392" s="9" t="s">
        <v>3267</v>
      </c>
      <c r="AH392" s="9">
        <v>6.2263739999999999</v>
      </c>
      <c r="AI392" s="9">
        <v>-75.599348000000006</v>
      </c>
      <c r="AJ392" s="9" t="s">
        <v>3268</v>
      </c>
      <c r="AK392" s="9">
        <v>6.2726470000000001</v>
      </c>
      <c r="AL392" s="9">
        <v>-75.601989000000003</v>
      </c>
      <c r="AM392" s="26">
        <f t="shared" si="7"/>
        <v>0</v>
      </c>
    </row>
    <row r="393" spans="1:39" ht="15" x14ac:dyDescent="0.25">
      <c r="A393" s="9" t="s">
        <v>3269</v>
      </c>
      <c r="B393" s="9" t="s">
        <v>3270</v>
      </c>
      <c r="C393" s="9" t="s">
        <v>3271</v>
      </c>
      <c r="D393" s="9" t="s">
        <v>3191</v>
      </c>
      <c r="E393" s="9" t="s">
        <v>2619</v>
      </c>
      <c r="F393" s="9" t="s">
        <v>315</v>
      </c>
      <c r="G393" s="9" t="s">
        <v>72</v>
      </c>
      <c r="H393" s="9" t="s">
        <v>73</v>
      </c>
      <c r="I393" s="9" t="s">
        <v>115</v>
      </c>
      <c r="J393" s="9">
        <v>1692</v>
      </c>
      <c r="K393" s="9" t="s">
        <v>3272</v>
      </c>
      <c r="L393" s="9" t="s">
        <v>117</v>
      </c>
      <c r="M393" s="10">
        <v>1.5648148148148151E-2</v>
      </c>
      <c r="N393" s="9" t="s">
        <v>127</v>
      </c>
      <c r="O393" s="9" t="s">
        <v>3273</v>
      </c>
      <c r="P393" s="9" t="s">
        <v>119</v>
      </c>
      <c r="Q393" s="10">
        <v>5.4421296296296287E-2</v>
      </c>
      <c r="R393" s="9" t="s">
        <v>56</v>
      </c>
      <c r="S393" s="10">
        <v>0.21122685185185189</v>
      </c>
      <c r="T393" s="9">
        <v>29.631</v>
      </c>
      <c r="U393" s="9">
        <v>8.25</v>
      </c>
      <c r="V393" s="10">
        <v>0.14960648148148151</v>
      </c>
      <c r="W393" s="10">
        <v>0.1054513888888889</v>
      </c>
      <c r="X393" s="10">
        <v>0</v>
      </c>
      <c r="Y393" s="9">
        <v>0</v>
      </c>
      <c r="Z393" s="9">
        <v>0</v>
      </c>
      <c r="AA393" s="9">
        <v>0</v>
      </c>
      <c r="AB393" s="9">
        <v>0</v>
      </c>
      <c r="AC393" s="9">
        <v>0</v>
      </c>
      <c r="AD393" s="9">
        <v>0</v>
      </c>
      <c r="AE393" s="9" t="s">
        <v>139</v>
      </c>
      <c r="AF393" s="9" t="s">
        <v>3274</v>
      </c>
      <c r="AG393" s="9" t="s">
        <v>3275</v>
      </c>
      <c r="AH393" s="9">
        <v>6.2260289999999996</v>
      </c>
      <c r="AI393" s="9">
        <v>-75.599327000000002</v>
      </c>
      <c r="AJ393" s="9" t="s">
        <v>3276</v>
      </c>
      <c r="AK393" s="9">
        <v>6.2370619999999999</v>
      </c>
      <c r="AL393" s="9">
        <v>-75.558768000000001</v>
      </c>
      <c r="AM393" s="26">
        <f t="shared" si="7"/>
        <v>5.4421296296296287E-2</v>
      </c>
    </row>
    <row r="394" spans="1:39" ht="15" x14ac:dyDescent="0.25">
      <c r="A394" s="9" t="s">
        <v>3277</v>
      </c>
      <c r="B394" s="9" t="s">
        <v>3278</v>
      </c>
      <c r="C394" s="9" t="s">
        <v>3279</v>
      </c>
      <c r="D394" s="9" t="s">
        <v>3191</v>
      </c>
      <c r="E394" s="9" t="s">
        <v>2619</v>
      </c>
      <c r="F394" s="9" t="s">
        <v>315</v>
      </c>
      <c r="G394" s="9" t="s">
        <v>80</v>
      </c>
      <c r="H394" s="9" t="s">
        <v>81</v>
      </c>
      <c r="I394" s="9" t="s">
        <v>115</v>
      </c>
      <c r="J394" s="9">
        <v>5643</v>
      </c>
      <c r="K394" s="9" t="s">
        <v>3280</v>
      </c>
      <c r="L394" s="9" t="s">
        <v>117</v>
      </c>
      <c r="M394" s="10">
        <v>1.194197916666667E-2</v>
      </c>
      <c r="N394" s="9" t="s">
        <v>127</v>
      </c>
      <c r="O394" s="9" t="s">
        <v>3281</v>
      </c>
      <c r="P394" s="9" t="s">
        <v>119</v>
      </c>
      <c r="Q394" s="10">
        <v>2.3118402777777781E-3</v>
      </c>
      <c r="R394" s="9" t="s">
        <v>46</v>
      </c>
      <c r="S394" s="10">
        <v>0.25963013888888892</v>
      </c>
      <c r="T394" s="9">
        <v>40.811</v>
      </c>
      <c r="U394" s="9">
        <v>16.11</v>
      </c>
      <c r="V394" s="10">
        <v>0.10552721064814791</v>
      </c>
      <c r="W394" s="10">
        <v>5.2198252314814828E-2</v>
      </c>
      <c r="X394" s="10">
        <v>0</v>
      </c>
      <c r="Y394" s="9">
        <v>0</v>
      </c>
      <c r="Z394" s="9">
        <v>0</v>
      </c>
      <c r="AA394" s="9">
        <v>0</v>
      </c>
      <c r="AB394" s="9">
        <v>0</v>
      </c>
      <c r="AC394" s="9">
        <v>0</v>
      </c>
      <c r="AD394" s="9">
        <v>11</v>
      </c>
      <c r="AE394" s="9" t="s">
        <v>139</v>
      </c>
      <c r="AF394" s="9" t="s">
        <v>3282</v>
      </c>
      <c r="AG394" s="9" t="s">
        <v>3283</v>
      </c>
      <c r="AH394" s="9">
        <v>6.225644</v>
      </c>
      <c r="AI394" s="9">
        <v>-75.599369999999993</v>
      </c>
      <c r="AJ394" s="9" t="s">
        <v>3284</v>
      </c>
      <c r="AK394" s="9">
        <v>6.2554990000000004</v>
      </c>
      <c r="AL394" s="9">
        <v>-75.620519000000002</v>
      </c>
      <c r="AM394" s="26">
        <f t="shared" si="7"/>
        <v>0</v>
      </c>
    </row>
    <row r="395" spans="1:39" ht="15" x14ac:dyDescent="0.25">
      <c r="A395" s="9" t="s">
        <v>3285</v>
      </c>
      <c r="B395" s="9" t="s">
        <v>3286</v>
      </c>
      <c r="C395" s="9" t="s">
        <v>3287</v>
      </c>
      <c r="D395" s="9" t="s">
        <v>3191</v>
      </c>
      <c r="E395" s="9" t="s">
        <v>2619</v>
      </c>
      <c r="F395" s="9" t="s">
        <v>315</v>
      </c>
      <c r="G395" s="9" t="s">
        <v>160</v>
      </c>
      <c r="H395" s="9" t="s">
        <v>161</v>
      </c>
      <c r="I395" s="9" t="s">
        <v>115</v>
      </c>
      <c r="J395" s="9">
        <v>12071</v>
      </c>
      <c r="K395" s="9" t="s">
        <v>2956</v>
      </c>
      <c r="L395" s="9" t="s">
        <v>117</v>
      </c>
      <c r="M395" s="10">
        <v>3.0373514699074078</v>
      </c>
      <c r="N395" s="9" t="s">
        <v>127</v>
      </c>
      <c r="O395" s="9" t="s">
        <v>2957</v>
      </c>
      <c r="P395" s="9" t="s">
        <v>119</v>
      </c>
      <c r="Q395" s="10">
        <v>3.0010320486111111</v>
      </c>
      <c r="R395" s="9" t="s">
        <v>56</v>
      </c>
      <c r="S395" s="10">
        <v>0.28631942129629628</v>
      </c>
      <c r="T395" s="9">
        <v>70.233000000000004</v>
      </c>
      <c r="U395" s="9">
        <v>17.25</v>
      </c>
      <c r="V395" s="10">
        <v>0.16968402777777791</v>
      </c>
      <c r="W395" s="10">
        <v>9.995311342592593E-2</v>
      </c>
      <c r="X395" s="10">
        <v>0</v>
      </c>
      <c r="Y395" s="9">
        <v>0</v>
      </c>
      <c r="Z395" s="9">
        <v>0</v>
      </c>
      <c r="AA395" s="9">
        <v>0</v>
      </c>
      <c r="AB395" s="9">
        <v>0</v>
      </c>
      <c r="AC395" s="9">
        <v>0</v>
      </c>
      <c r="AD395" s="9">
        <v>2</v>
      </c>
      <c r="AE395" s="9" t="s">
        <v>139</v>
      </c>
      <c r="AF395" s="9" t="s">
        <v>3288</v>
      </c>
      <c r="AG395" s="9" t="s">
        <v>2959</v>
      </c>
      <c r="AH395" s="9">
        <v>6.2412669999999997</v>
      </c>
      <c r="AI395" s="9">
        <v>-75.586453000000006</v>
      </c>
      <c r="AJ395" s="9" t="s">
        <v>2960</v>
      </c>
      <c r="AK395" s="9">
        <v>6.2568000000000001</v>
      </c>
      <c r="AL395" s="9">
        <v>-75.580860000000001</v>
      </c>
      <c r="AM395" s="26">
        <f t="shared" si="7"/>
        <v>3.0010320486111111</v>
      </c>
    </row>
    <row r="396" spans="1:39" ht="15" x14ac:dyDescent="0.25">
      <c r="A396" s="9" t="s">
        <v>3289</v>
      </c>
      <c r="B396" s="9" t="s">
        <v>3290</v>
      </c>
      <c r="C396" s="9" t="s">
        <v>3291</v>
      </c>
      <c r="D396" s="9" t="s">
        <v>3191</v>
      </c>
      <c r="E396" s="9" t="s">
        <v>2619</v>
      </c>
      <c r="F396" s="9" t="s">
        <v>315</v>
      </c>
      <c r="G396" s="9" t="s">
        <v>97</v>
      </c>
      <c r="H396" s="9" t="s">
        <v>98</v>
      </c>
      <c r="I396" s="9" t="s">
        <v>115</v>
      </c>
      <c r="J396" s="9">
        <v>3687</v>
      </c>
      <c r="K396" s="9" t="s">
        <v>3292</v>
      </c>
      <c r="L396" s="9" t="s">
        <v>117</v>
      </c>
      <c r="M396" s="10">
        <v>1.292824074074074E-2</v>
      </c>
      <c r="N396" s="9" t="s">
        <v>127</v>
      </c>
      <c r="O396" s="9" t="s">
        <v>3293</v>
      </c>
      <c r="P396" s="9" t="s">
        <v>119</v>
      </c>
      <c r="Q396" s="10">
        <v>9.837962962962962E-4</v>
      </c>
      <c r="R396" s="9" t="s">
        <v>46</v>
      </c>
      <c r="S396" s="10">
        <v>0.26194444444444442</v>
      </c>
      <c r="T396" s="9">
        <v>49.853999999999999</v>
      </c>
      <c r="U396" s="9">
        <v>11.54</v>
      </c>
      <c r="V396" s="10">
        <v>0.17996527777777779</v>
      </c>
      <c r="W396" s="10">
        <v>0.1005439814814815</v>
      </c>
      <c r="X396" s="10">
        <v>0</v>
      </c>
      <c r="Y396" s="9">
        <v>0</v>
      </c>
      <c r="Z396" s="9">
        <v>0</v>
      </c>
      <c r="AA396" s="9">
        <v>0</v>
      </c>
      <c r="AB396" s="9">
        <v>0</v>
      </c>
      <c r="AC396" s="9">
        <v>0</v>
      </c>
      <c r="AD396" s="9">
        <v>0</v>
      </c>
      <c r="AE396" s="9" t="s">
        <v>139</v>
      </c>
      <c r="AF396" s="9" t="s">
        <v>3294</v>
      </c>
      <c r="AG396" s="9" t="s">
        <v>3295</v>
      </c>
      <c r="AH396" s="9">
        <v>6.2256239999999998</v>
      </c>
      <c r="AI396" s="9">
        <v>-75.599417000000003</v>
      </c>
      <c r="AJ396" s="9" t="s">
        <v>3296</v>
      </c>
      <c r="AK396" s="9">
        <v>6.2953029999999996</v>
      </c>
      <c r="AL396" s="9">
        <v>-75.582172</v>
      </c>
      <c r="AM396" s="27">
        <f t="shared" si="7"/>
        <v>0</v>
      </c>
    </row>
    <row r="397" spans="1:39" ht="15" x14ac:dyDescent="0.25">
      <c r="A397" s="9" t="s">
        <v>3297</v>
      </c>
      <c r="B397" s="9" t="s">
        <v>3298</v>
      </c>
      <c r="C397" s="9" t="s">
        <v>3299</v>
      </c>
      <c r="D397" s="9" t="s">
        <v>3300</v>
      </c>
      <c r="E397" s="9" t="s">
        <v>2619</v>
      </c>
      <c r="F397" s="9" t="s">
        <v>406</v>
      </c>
      <c r="G397" s="9" t="s">
        <v>38</v>
      </c>
      <c r="H397" s="9" t="s">
        <v>39</v>
      </c>
      <c r="I397" s="9" t="s">
        <v>40</v>
      </c>
      <c r="J397" s="9">
        <v>7218</v>
      </c>
      <c r="K397" s="9" t="s">
        <v>3301</v>
      </c>
      <c r="L397" s="9" t="s">
        <v>42</v>
      </c>
      <c r="M397" s="10">
        <v>5.2253935185185181E-3</v>
      </c>
      <c r="N397" s="9" t="s">
        <v>65</v>
      </c>
      <c r="O397" s="9" t="s">
        <v>3302</v>
      </c>
      <c r="P397" s="9" t="s">
        <v>413</v>
      </c>
      <c r="Q397" s="10">
        <v>3.8467453703703712E-2</v>
      </c>
      <c r="R397" s="9" t="s">
        <v>56</v>
      </c>
      <c r="S397" s="10">
        <v>0.26880715277777778</v>
      </c>
      <c r="T397" s="9">
        <v>43.122999999999998</v>
      </c>
      <c r="U397" s="9">
        <v>20.98</v>
      </c>
      <c r="V397" s="10">
        <v>8.5647488425925913E-2</v>
      </c>
      <c r="W397" s="10">
        <v>2.9955844907407402E-2</v>
      </c>
      <c r="X397" s="10">
        <v>0</v>
      </c>
      <c r="Y397" s="9">
        <v>0</v>
      </c>
      <c r="Z397" s="9">
        <v>0</v>
      </c>
      <c r="AA397" s="9">
        <v>0</v>
      </c>
      <c r="AB397" s="9">
        <v>0</v>
      </c>
      <c r="AC397" s="9">
        <v>0</v>
      </c>
      <c r="AD397" s="9">
        <v>2</v>
      </c>
      <c r="AE397" s="9" t="s">
        <v>67</v>
      </c>
      <c r="AF397" s="9" t="s">
        <v>3303</v>
      </c>
      <c r="AG397" s="9" t="s">
        <v>3304</v>
      </c>
      <c r="AH397" s="9">
        <v>6.2034520000000004</v>
      </c>
      <c r="AI397" s="9">
        <v>-75.600986000000006</v>
      </c>
      <c r="AJ397" s="9" t="s">
        <v>3305</v>
      </c>
      <c r="AK397" s="9">
        <v>6.2028930000000004</v>
      </c>
      <c r="AL397" s="9">
        <v>-75.569176999999996</v>
      </c>
      <c r="AM397" s="26">
        <f t="shared" si="7"/>
        <v>3.8467453703703712E-2</v>
      </c>
    </row>
    <row r="398" spans="1:39" ht="15" x14ac:dyDescent="0.25">
      <c r="A398" s="9" t="s">
        <v>3306</v>
      </c>
      <c r="B398" s="9" t="s">
        <v>3307</v>
      </c>
      <c r="C398" s="9" t="s">
        <v>3308</v>
      </c>
      <c r="D398" s="9" t="s">
        <v>3300</v>
      </c>
      <c r="E398" s="9" t="s">
        <v>2619</v>
      </c>
      <c r="F398" s="9" t="s">
        <v>406</v>
      </c>
      <c r="G398" s="9" t="s">
        <v>52</v>
      </c>
      <c r="H398" s="9" t="s">
        <v>53</v>
      </c>
      <c r="I398" s="9" t="s">
        <v>40</v>
      </c>
      <c r="J398" s="9">
        <v>1734</v>
      </c>
      <c r="K398" s="9" t="s">
        <v>3309</v>
      </c>
      <c r="L398" s="9" t="s">
        <v>42</v>
      </c>
      <c r="M398" s="10">
        <v>4.5370370370370373E-3</v>
      </c>
      <c r="N398" s="9" t="s">
        <v>65</v>
      </c>
      <c r="O398" s="9" t="s">
        <v>3310</v>
      </c>
      <c r="P398" s="9" t="s">
        <v>413</v>
      </c>
      <c r="Q398" s="10">
        <v>5.3356481481481484E-3</v>
      </c>
      <c r="R398" s="9" t="s">
        <v>46</v>
      </c>
      <c r="S398" s="10">
        <v>0.31170138888888888</v>
      </c>
      <c r="T398" s="9">
        <v>22.494</v>
      </c>
      <c r="U398" s="9">
        <v>3.93</v>
      </c>
      <c r="V398" s="10">
        <v>0.2386689814814815</v>
      </c>
      <c r="W398" s="10">
        <v>0.2031597222222222</v>
      </c>
      <c r="X398" s="10">
        <v>0</v>
      </c>
      <c r="Y398" s="9">
        <v>0</v>
      </c>
      <c r="Z398" s="9">
        <v>0</v>
      </c>
      <c r="AA398" s="9">
        <v>0</v>
      </c>
      <c r="AB398" s="9">
        <v>0</v>
      </c>
      <c r="AC398" s="9">
        <v>0</v>
      </c>
      <c r="AD398" s="9">
        <v>4</v>
      </c>
      <c r="AE398" s="9" t="s">
        <v>84</v>
      </c>
      <c r="AF398" s="9" t="s">
        <v>1602</v>
      </c>
      <c r="AG398" s="9" t="s">
        <v>3311</v>
      </c>
      <c r="AH398" s="9">
        <v>6.2256710000000002</v>
      </c>
      <c r="AI398" s="9">
        <v>-75.599406999999999</v>
      </c>
      <c r="AJ398" s="9" t="s">
        <v>3312</v>
      </c>
      <c r="AK398" s="9">
        <v>6.2522520000000004</v>
      </c>
      <c r="AL398" s="9">
        <v>-75.607341000000005</v>
      </c>
      <c r="AM398" s="26">
        <f t="shared" si="7"/>
        <v>0</v>
      </c>
    </row>
    <row r="399" spans="1:39" ht="15" x14ac:dyDescent="0.25">
      <c r="A399" s="9" t="s">
        <v>3313</v>
      </c>
      <c r="B399" s="9" t="s">
        <v>3314</v>
      </c>
      <c r="C399" s="9" t="s">
        <v>3315</v>
      </c>
      <c r="D399" s="9" t="s">
        <v>3300</v>
      </c>
      <c r="E399" s="9" t="s">
        <v>2619</v>
      </c>
      <c r="F399" s="9" t="s">
        <v>406</v>
      </c>
      <c r="G399" s="9" t="s">
        <v>62</v>
      </c>
      <c r="H399" s="9" t="s">
        <v>63</v>
      </c>
      <c r="I399" s="9" t="s">
        <v>40</v>
      </c>
      <c r="J399" s="9">
        <v>2206</v>
      </c>
      <c r="K399" s="9" t="s">
        <v>3316</v>
      </c>
      <c r="L399" s="9" t="s">
        <v>42</v>
      </c>
      <c r="M399" s="10">
        <v>6.6550925925925927E-3</v>
      </c>
      <c r="N399" s="9" t="s">
        <v>65</v>
      </c>
      <c r="O399" s="9" t="s">
        <v>3317</v>
      </c>
      <c r="P399" s="9" t="s">
        <v>413</v>
      </c>
      <c r="Q399" s="10">
        <v>0.1159027777777778</v>
      </c>
      <c r="R399" s="9" t="s">
        <v>56</v>
      </c>
      <c r="S399" s="10">
        <v>0.18994212962962961</v>
      </c>
      <c r="T399" s="9">
        <v>30.331</v>
      </c>
      <c r="U399" s="9">
        <v>10.07</v>
      </c>
      <c r="V399" s="10">
        <v>0.12550925925925929</v>
      </c>
      <c r="W399" s="10">
        <v>8.414351851851852E-2</v>
      </c>
      <c r="X399" s="10">
        <v>8.4606481481481477E-3</v>
      </c>
      <c r="Y399" s="9">
        <v>1</v>
      </c>
      <c r="Z399" s="9">
        <v>0</v>
      </c>
      <c r="AA399" s="9">
        <v>0</v>
      </c>
      <c r="AB399" s="9">
        <v>0</v>
      </c>
      <c r="AC399" s="9">
        <v>0</v>
      </c>
      <c r="AD399" s="9">
        <v>0</v>
      </c>
      <c r="AE399" s="9" t="s">
        <v>67</v>
      </c>
      <c r="AF399" s="9" t="s">
        <v>3318</v>
      </c>
      <c r="AG399" s="9" t="s">
        <v>3319</v>
      </c>
      <c r="AH399" s="9">
        <v>6.2258329999999997</v>
      </c>
      <c r="AI399" s="9">
        <v>-75.599429000000001</v>
      </c>
      <c r="AJ399" s="9" t="s">
        <v>3320</v>
      </c>
      <c r="AK399" s="9">
        <v>6.2961679999999998</v>
      </c>
      <c r="AL399" s="9">
        <v>-75.585223999999997</v>
      </c>
      <c r="AM399" s="27">
        <f t="shared" si="7"/>
        <v>0.1159027777777778</v>
      </c>
    </row>
    <row r="400" spans="1:39" ht="15" x14ac:dyDescent="0.25">
      <c r="A400" s="9" t="s">
        <v>3321</v>
      </c>
      <c r="B400" s="9" t="s">
        <v>3322</v>
      </c>
      <c r="C400" s="9" t="s">
        <v>3323</v>
      </c>
      <c r="D400" s="9" t="s">
        <v>3300</v>
      </c>
      <c r="E400" s="9" t="s">
        <v>2619</v>
      </c>
      <c r="F400" s="9" t="s">
        <v>406</v>
      </c>
      <c r="G400" s="9" t="s">
        <v>135</v>
      </c>
      <c r="H400" s="9" t="s">
        <v>136</v>
      </c>
      <c r="I400" s="9" t="s">
        <v>40</v>
      </c>
      <c r="J400" s="9">
        <v>3053</v>
      </c>
      <c r="K400" s="9" t="s">
        <v>3324</v>
      </c>
      <c r="L400" s="9" t="s">
        <v>42</v>
      </c>
      <c r="M400" s="10">
        <v>1.6574074074074071E-2</v>
      </c>
      <c r="N400" s="9" t="s">
        <v>127</v>
      </c>
      <c r="O400" s="9" t="s">
        <v>3325</v>
      </c>
      <c r="P400" s="9" t="s">
        <v>413</v>
      </c>
      <c r="Q400" s="10">
        <v>1.481481481481481E-3</v>
      </c>
      <c r="R400" s="9" t="s">
        <v>46</v>
      </c>
      <c r="S400" s="10">
        <v>0.33055555555555549</v>
      </c>
      <c r="T400" s="9">
        <v>47.993000000000002</v>
      </c>
      <c r="U400" s="9">
        <v>15.85</v>
      </c>
      <c r="V400" s="10">
        <v>0.12613425925925931</v>
      </c>
      <c r="W400" s="10">
        <v>6.806712962962963E-2</v>
      </c>
      <c r="X400" s="10">
        <v>0</v>
      </c>
      <c r="Y400" s="9">
        <v>0</v>
      </c>
      <c r="Z400" s="9">
        <v>0</v>
      </c>
      <c r="AA400" s="9">
        <v>0</v>
      </c>
      <c r="AB400" s="9">
        <v>0</v>
      </c>
      <c r="AC400" s="9">
        <v>0</v>
      </c>
      <c r="AD400" s="9">
        <v>4</v>
      </c>
      <c r="AE400" s="9" t="s">
        <v>139</v>
      </c>
      <c r="AF400" s="9" t="s">
        <v>3326</v>
      </c>
      <c r="AG400" s="9" t="s">
        <v>3226</v>
      </c>
      <c r="AH400" s="9">
        <v>6.2381510000000002</v>
      </c>
      <c r="AI400" s="9">
        <v>-75.547309999999996</v>
      </c>
      <c r="AJ400" s="9" t="s">
        <v>3327</v>
      </c>
      <c r="AK400" s="9">
        <v>6.2809850000000003</v>
      </c>
      <c r="AL400" s="9">
        <v>-75.545736000000005</v>
      </c>
      <c r="AM400" s="26">
        <f t="shared" si="7"/>
        <v>0</v>
      </c>
    </row>
    <row r="401" spans="1:39" ht="15" x14ac:dyDescent="0.25">
      <c r="A401" s="9" t="s">
        <v>3328</v>
      </c>
      <c r="B401" s="9" t="s">
        <v>3329</v>
      </c>
      <c r="C401" s="9" t="s">
        <v>3330</v>
      </c>
      <c r="D401" s="9" t="s">
        <v>3300</v>
      </c>
      <c r="E401" s="9" t="s">
        <v>2619</v>
      </c>
      <c r="F401" s="9" t="s">
        <v>406</v>
      </c>
      <c r="G401" s="9" t="s">
        <v>144</v>
      </c>
      <c r="H401" s="9" t="s">
        <v>145</v>
      </c>
      <c r="I401" s="9" t="s">
        <v>40</v>
      </c>
      <c r="J401" s="9">
        <v>4010</v>
      </c>
      <c r="K401" s="9" t="s">
        <v>3331</v>
      </c>
      <c r="L401" s="9" t="s">
        <v>42</v>
      </c>
      <c r="M401" s="10">
        <v>2.2175925925925929E-2</v>
      </c>
      <c r="N401" s="9" t="s">
        <v>127</v>
      </c>
      <c r="O401" s="9" t="s">
        <v>3332</v>
      </c>
      <c r="P401" s="9" t="s">
        <v>413</v>
      </c>
      <c r="Q401" s="10">
        <v>0.13746527777777781</v>
      </c>
      <c r="R401" s="9" t="s">
        <v>56</v>
      </c>
      <c r="S401" s="10">
        <v>0.19721064814814809</v>
      </c>
      <c r="T401" s="9">
        <v>52.210999999999999</v>
      </c>
      <c r="U401" s="9">
        <v>13.89</v>
      </c>
      <c r="V401" s="10">
        <v>0.15659722222222219</v>
      </c>
      <c r="W401" s="10">
        <v>4.6215277777777779E-2</v>
      </c>
      <c r="X401" s="10">
        <v>0</v>
      </c>
      <c r="Y401" s="9">
        <v>0</v>
      </c>
      <c r="Z401" s="9">
        <v>0</v>
      </c>
      <c r="AA401" s="9">
        <v>0</v>
      </c>
      <c r="AB401" s="9">
        <v>0</v>
      </c>
      <c r="AC401" s="9">
        <v>0</v>
      </c>
      <c r="AD401" s="9">
        <v>0</v>
      </c>
      <c r="AE401" s="9" t="s">
        <v>139</v>
      </c>
      <c r="AF401" s="9" t="s">
        <v>3333</v>
      </c>
      <c r="AG401" s="9" t="s">
        <v>3334</v>
      </c>
      <c r="AH401" s="9">
        <v>6.2727459999999997</v>
      </c>
      <c r="AI401" s="9">
        <v>-75.574455</v>
      </c>
      <c r="AJ401" s="9" t="s">
        <v>3335</v>
      </c>
      <c r="AK401" s="9">
        <v>6.2394040000000004</v>
      </c>
      <c r="AL401" s="9">
        <v>-75.583635000000001</v>
      </c>
      <c r="AM401" s="26">
        <f t="shared" si="7"/>
        <v>0.13746527777777781</v>
      </c>
    </row>
    <row r="402" spans="1:39" ht="15" x14ac:dyDescent="0.25">
      <c r="A402" s="9" t="s">
        <v>3336</v>
      </c>
      <c r="B402" s="9" t="s">
        <v>3337</v>
      </c>
      <c r="C402" s="9" t="s">
        <v>3338</v>
      </c>
      <c r="D402" s="9" t="s">
        <v>3300</v>
      </c>
      <c r="E402" s="9" t="s">
        <v>2619</v>
      </c>
      <c r="F402" s="9" t="s">
        <v>406</v>
      </c>
      <c r="G402" s="9" t="s">
        <v>152</v>
      </c>
      <c r="H402" s="9" t="s">
        <v>153</v>
      </c>
      <c r="I402" s="9" t="s">
        <v>40</v>
      </c>
      <c r="J402" s="9">
        <v>5663</v>
      </c>
      <c r="K402" s="9" t="s">
        <v>3339</v>
      </c>
      <c r="L402" s="9" t="s">
        <v>42</v>
      </c>
      <c r="M402" s="10">
        <v>2.0821759259259259E-2</v>
      </c>
      <c r="N402" s="9" t="s">
        <v>127</v>
      </c>
      <c r="O402" s="9" t="s">
        <v>3340</v>
      </c>
      <c r="P402" s="9" t="s">
        <v>413</v>
      </c>
      <c r="Q402" s="10">
        <v>1.1759259259259259E-2</v>
      </c>
      <c r="R402" s="9" t="s">
        <v>129</v>
      </c>
      <c r="S402" s="10">
        <v>0.34508101851851852</v>
      </c>
      <c r="T402" s="9">
        <v>73.462999999999994</v>
      </c>
      <c r="U402" s="9">
        <v>11.15</v>
      </c>
      <c r="V402" s="10">
        <v>0.27452546296296299</v>
      </c>
      <c r="W402" s="10">
        <v>0.1188310185185185</v>
      </c>
      <c r="X402" s="10">
        <v>0</v>
      </c>
      <c r="Y402" s="9">
        <v>0</v>
      </c>
      <c r="Z402" s="9">
        <v>0</v>
      </c>
      <c r="AA402" s="9">
        <v>0</v>
      </c>
      <c r="AB402" s="9">
        <v>0</v>
      </c>
      <c r="AC402" s="9">
        <v>0</v>
      </c>
      <c r="AD402" s="9">
        <v>2</v>
      </c>
      <c r="AE402" s="9" t="s">
        <v>130</v>
      </c>
      <c r="AF402" s="9" t="s">
        <v>3341</v>
      </c>
      <c r="AG402" s="9" t="s">
        <v>3342</v>
      </c>
      <c r="AH402" s="9">
        <v>6.2801130000000001</v>
      </c>
      <c r="AI402" s="9">
        <v>-75.572571999999994</v>
      </c>
      <c r="AJ402" s="9" t="s">
        <v>3343</v>
      </c>
      <c r="AK402" s="9">
        <v>6.2518180000000001</v>
      </c>
      <c r="AL402" s="9">
        <v>-75.551772999999997</v>
      </c>
      <c r="AM402" s="27">
        <f t="shared" si="7"/>
        <v>0</v>
      </c>
    </row>
    <row r="403" spans="1:39" ht="15" x14ac:dyDescent="0.25">
      <c r="A403" s="9" t="s">
        <v>3344</v>
      </c>
      <c r="B403" s="9" t="s">
        <v>3345</v>
      </c>
      <c r="C403" s="9" t="s">
        <v>3346</v>
      </c>
      <c r="D403" s="9" t="s">
        <v>3300</v>
      </c>
      <c r="E403" s="9" t="s">
        <v>2619</v>
      </c>
      <c r="F403" s="9" t="s">
        <v>406</v>
      </c>
      <c r="G403" s="9" t="s">
        <v>89</v>
      </c>
      <c r="H403" s="9" t="s">
        <v>90</v>
      </c>
      <c r="I403" s="9" t="s">
        <v>40</v>
      </c>
      <c r="J403" s="9">
        <v>2633</v>
      </c>
      <c r="K403" s="9" t="s">
        <v>3347</v>
      </c>
      <c r="L403" s="9" t="s">
        <v>42</v>
      </c>
      <c r="M403" s="10">
        <v>1.2129629629629631E-2</v>
      </c>
      <c r="N403" s="9" t="s">
        <v>127</v>
      </c>
      <c r="O403" s="9" t="s">
        <v>3348</v>
      </c>
      <c r="P403" s="9" t="s">
        <v>413</v>
      </c>
      <c r="Q403" s="10">
        <v>1.239583333333333E-2</v>
      </c>
      <c r="R403" s="9" t="s">
        <v>56</v>
      </c>
      <c r="S403" s="10">
        <v>0.31223379629629627</v>
      </c>
      <c r="T403" s="9">
        <v>32.966000000000001</v>
      </c>
      <c r="U403" s="9">
        <v>6.67</v>
      </c>
      <c r="V403" s="10">
        <v>0.20579861111111111</v>
      </c>
      <c r="W403" s="10">
        <v>0.13592592592592589</v>
      </c>
      <c r="X403" s="10">
        <v>0</v>
      </c>
      <c r="Y403" s="9">
        <v>0</v>
      </c>
      <c r="Z403" s="9">
        <v>0</v>
      </c>
      <c r="AA403" s="9">
        <v>0</v>
      </c>
      <c r="AB403" s="9">
        <v>0</v>
      </c>
      <c r="AC403" s="9">
        <v>0</v>
      </c>
      <c r="AD403" s="9">
        <v>0</v>
      </c>
      <c r="AE403" s="9" t="s">
        <v>139</v>
      </c>
      <c r="AF403" s="9" t="s">
        <v>3349</v>
      </c>
      <c r="AG403" s="9" t="s">
        <v>3350</v>
      </c>
      <c r="AH403" s="9">
        <v>6.2268850000000002</v>
      </c>
      <c r="AI403" s="9">
        <v>-75.599194999999995</v>
      </c>
      <c r="AJ403" s="9" t="s">
        <v>3351</v>
      </c>
      <c r="AK403" s="9">
        <v>6.2794569999999998</v>
      </c>
      <c r="AL403" s="9">
        <v>-75.570402000000001</v>
      </c>
      <c r="AM403" s="26">
        <f t="shared" si="7"/>
        <v>1.239583333333333E-2</v>
      </c>
    </row>
    <row r="404" spans="1:39" ht="15" x14ac:dyDescent="0.25">
      <c r="A404" s="9" t="s">
        <v>3352</v>
      </c>
      <c r="B404" s="9" t="s">
        <v>3353</v>
      </c>
      <c r="C404" s="9" t="s">
        <v>3354</v>
      </c>
      <c r="D404" s="9" t="s">
        <v>3300</v>
      </c>
      <c r="E404" s="9" t="s">
        <v>2619</v>
      </c>
      <c r="F404" s="9" t="s">
        <v>406</v>
      </c>
      <c r="G404" s="9" t="s">
        <v>105</v>
      </c>
      <c r="H404" s="9" t="s">
        <v>106</v>
      </c>
      <c r="I404" s="9" t="s">
        <v>40</v>
      </c>
      <c r="J404" s="9">
        <v>3479</v>
      </c>
      <c r="K404" s="9" t="s">
        <v>3355</v>
      </c>
      <c r="L404" s="9" t="s">
        <v>42</v>
      </c>
      <c r="M404" s="10">
        <v>2.592592592592593E-3</v>
      </c>
      <c r="N404" s="9" t="s">
        <v>65</v>
      </c>
      <c r="O404" s="9" t="s">
        <v>3356</v>
      </c>
      <c r="P404" s="9" t="s">
        <v>413</v>
      </c>
      <c r="Q404" s="10">
        <v>2.3611111111111111E-3</v>
      </c>
      <c r="R404" s="9" t="s">
        <v>46</v>
      </c>
      <c r="S404" s="10">
        <v>0.3122685185185185</v>
      </c>
      <c r="T404" s="9">
        <v>46.468000000000004</v>
      </c>
      <c r="U404" s="9">
        <v>10.09</v>
      </c>
      <c r="V404" s="10">
        <v>0.1918287037037037</v>
      </c>
      <c r="W404" s="10">
        <v>0.1208680555555556</v>
      </c>
      <c r="X404" s="10">
        <v>0</v>
      </c>
      <c r="Y404" s="9">
        <v>0</v>
      </c>
      <c r="Z404" s="9">
        <v>0</v>
      </c>
      <c r="AA404" s="9">
        <v>0</v>
      </c>
      <c r="AB404" s="9">
        <v>0</v>
      </c>
      <c r="AC404" s="9">
        <v>0</v>
      </c>
      <c r="AD404" s="9">
        <v>1</v>
      </c>
      <c r="AE404" s="9" t="s">
        <v>84</v>
      </c>
      <c r="AF404" s="9" t="s">
        <v>324</v>
      </c>
      <c r="AG404" s="9" t="s">
        <v>3357</v>
      </c>
      <c r="AH404" s="9">
        <v>6.2259659999999997</v>
      </c>
      <c r="AI404" s="9">
        <v>-75.598782</v>
      </c>
      <c r="AJ404" s="9" t="s">
        <v>3358</v>
      </c>
      <c r="AK404" s="9">
        <v>6.2844670000000002</v>
      </c>
      <c r="AL404" s="9">
        <v>-75.57338</v>
      </c>
      <c r="AM404" s="26">
        <f t="shared" si="7"/>
        <v>0</v>
      </c>
    </row>
    <row r="405" spans="1:39" ht="15" x14ac:dyDescent="0.25">
      <c r="A405" s="9" t="s">
        <v>3359</v>
      </c>
      <c r="B405" s="9" t="s">
        <v>3360</v>
      </c>
      <c r="C405" s="9" t="s">
        <v>3361</v>
      </c>
      <c r="D405" s="9" t="s">
        <v>3300</v>
      </c>
      <c r="E405" s="9" t="s">
        <v>2619</v>
      </c>
      <c r="F405" s="9" t="s">
        <v>406</v>
      </c>
      <c r="G405" s="9" t="s">
        <v>113</v>
      </c>
      <c r="H405" s="9" t="s">
        <v>114</v>
      </c>
      <c r="I405" s="9" t="s">
        <v>40</v>
      </c>
      <c r="J405" s="9">
        <v>2250</v>
      </c>
      <c r="K405" s="9" t="s">
        <v>3362</v>
      </c>
      <c r="L405" s="9" t="s">
        <v>42</v>
      </c>
      <c r="M405" s="10">
        <v>1.0648148148148151E-3</v>
      </c>
      <c r="N405" s="9" t="s">
        <v>65</v>
      </c>
      <c r="O405" s="9" t="s">
        <v>3363</v>
      </c>
      <c r="P405" s="9" t="s">
        <v>413</v>
      </c>
      <c r="Q405" s="10">
        <v>2.928240740740741E-2</v>
      </c>
      <c r="R405" s="9" t="s">
        <v>56</v>
      </c>
      <c r="S405" s="10">
        <v>0.2842824074074074</v>
      </c>
      <c r="T405" s="9">
        <v>28.408000000000001</v>
      </c>
      <c r="U405" s="9">
        <v>5.35</v>
      </c>
      <c r="V405" s="10">
        <v>0.22125</v>
      </c>
      <c r="W405" s="10">
        <v>0.16500000000000001</v>
      </c>
      <c r="X405" s="10">
        <v>0</v>
      </c>
      <c r="Y405" s="9">
        <v>0</v>
      </c>
      <c r="Z405" s="9">
        <v>0</v>
      </c>
      <c r="AA405" s="9">
        <v>0</v>
      </c>
      <c r="AB405" s="9">
        <v>0</v>
      </c>
      <c r="AC405" s="9">
        <v>0</v>
      </c>
      <c r="AD405" s="9">
        <v>3</v>
      </c>
      <c r="AE405" s="9" t="s">
        <v>67</v>
      </c>
      <c r="AF405" s="9" t="s">
        <v>3364</v>
      </c>
      <c r="AG405" s="9" t="s">
        <v>3365</v>
      </c>
      <c r="AH405" s="9">
        <v>6.2267960000000002</v>
      </c>
      <c r="AI405" s="9">
        <v>-75.601369000000005</v>
      </c>
      <c r="AJ405" s="9" t="s">
        <v>3366</v>
      </c>
      <c r="AK405" s="9">
        <v>6.2480409999999997</v>
      </c>
      <c r="AL405" s="9">
        <v>-75.605260999999999</v>
      </c>
      <c r="AM405" s="26">
        <f t="shared" si="7"/>
        <v>2.928240740740741E-2</v>
      </c>
    </row>
    <row r="406" spans="1:39" ht="15" x14ac:dyDescent="0.25">
      <c r="A406" s="9" t="s">
        <v>3367</v>
      </c>
      <c r="B406" s="9" t="s">
        <v>3368</v>
      </c>
      <c r="C406" s="9" t="s">
        <v>3369</v>
      </c>
      <c r="D406" s="9" t="s">
        <v>3300</v>
      </c>
      <c r="E406" s="9" t="s">
        <v>2619</v>
      </c>
      <c r="F406" s="9" t="s">
        <v>406</v>
      </c>
      <c r="G406" s="9" t="s">
        <v>124</v>
      </c>
      <c r="H406" s="9" t="s">
        <v>125</v>
      </c>
      <c r="I406" s="9" t="s">
        <v>115</v>
      </c>
      <c r="J406" s="9">
        <v>3367</v>
      </c>
      <c r="K406" s="9" t="s">
        <v>3370</v>
      </c>
      <c r="L406" s="9" t="s">
        <v>117</v>
      </c>
      <c r="M406" s="10">
        <v>3.657407407407407E-3</v>
      </c>
      <c r="N406" s="9" t="s">
        <v>65</v>
      </c>
      <c r="O406" s="9" t="s">
        <v>3371</v>
      </c>
      <c r="P406" s="9" t="s">
        <v>119</v>
      </c>
      <c r="Q406" s="10">
        <v>1.101851851851852E-2</v>
      </c>
      <c r="R406" s="9" t="s">
        <v>129</v>
      </c>
      <c r="S406" s="10">
        <v>0.26467592592592593</v>
      </c>
      <c r="T406" s="9">
        <v>40.44</v>
      </c>
      <c r="U406" s="9">
        <v>9.27</v>
      </c>
      <c r="V406" s="10">
        <v>0.18179398148148149</v>
      </c>
      <c r="W406" s="10">
        <v>7.211805555555556E-2</v>
      </c>
      <c r="X406" s="10">
        <v>9.2824074074074076E-3</v>
      </c>
      <c r="Y406" s="9">
        <v>1</v>
      </c>
      <c r="Z406" s="9">
        <v>0</v>
      </c>
      <c r="AA406" s="9">
        <v>0</v>
      </c>
      <c r="AB406" s="9">
        <v>0</v>
      </c>
      <c r="AC406" s="9">
        <v>0</v>
      </c>
      <c r="AD406" s="9">
        <v>0</v>
      </c>
      <c r="AE406" s="9" t="s">
        <v>130</v>
      </c>
      <c r="AF406" s="9" t="s">
        <v>3372</v>
      </c>
      <c r="AG406" s="9" t="s">
        <v>3373</v>
      </c>
      <c r="AH406" s="9">
        <v>6.2702689999999999</v>
      </c>
      <c r="AI406" s="9">
        <v>-75.601671999999994</v>
      </c>
      <c r="AJ406" s="9" t="s">
        <v>3374</v>
      </c>
      <c r="AK406" s="9">
        <v>6.2726160000000002</v>
      </c>
      <c r="AL406" s="9">
        <v>-75.602027000000007</v>
      </c>
      <c r="AM406" s="26">
        <f t="shared" si="7"/>
        <v>0</v>
      </c>
    </row>
    <row r="407" spans="1:39" ht="15" x14ac:dyDescent="0.25">
      <c r="A407" s="9" t="s">
        <v>3375</v>
      </c>
      <c r="B407" s="9" t="s">
        <v>3376</v>
      </c>
      <c r="C407" s="9" t="s">
        <v>3377</v>
      </c>
      <c r="D407" s="9" t="s">
        <v>3300</v>
      </c>
      <c r="E407" s="9" t="s">
        <v>2619</v>
      </c>
      <c r="F407" s="9" t="s">
        <v>406</v>
      </c>
      <c r="G407" s="9" t="s">
        <v>72</v>
      </c>
      <c r="H407" s="9" t="s">
        <v>73</v>
      </c>
      <c r="I407" s="9" t="s">
        <v>115</v>
      </c>
      <c r="J407" s="9">
        <v>1851</v>
      </c>
      <c r="K407" s="9" t="s">
        <v>3378</v>
      </c>
      <c r="L407" s="9" t="s">
        <v>117</v>
      </c>
      <c r="M407" s="10">
        <v>1.622685185185185E-2</v>
      </c>
      <c r="N407" s="9" t="s">
        <v>43</v>
      </c>
      <c r="O407" s="9" t="s">
        <v>3379</v>
      </c>
      <c r="P407" s="9" t="s">
        <v>119</v>
      </c>
      <c r="Q407" s="10">
        <v>0.129212962962963</v>
      </c>
      <c r="R407" s="9" t="s">
        <v>56</v>
      </c>
      <c r="S407" s="10">
        <v>0.1045601851851852</v>
      </c>
      <c r="T407" s="9">
        <v>25.966999999999999</v>
      </c>
      <c r="U407" s="9">
        <v>12.53</v>
      </c>
      <c r="V407" s="10">
        <v>8.6354166666666662E-2</v>
      </c>
      <c r="W407" s="10">
        <v>4.9907407407407407E-2</v>
      </c>
      <c r="X407" s="10">
        <v>0</v>
      </c>
      <c r="Y407" s="9">
        <v>0</v>
      </c>
      <c r="Z407" s="9">
        <v>0</v>
      </c>
      <c r="AA407" s="9">
        <v>0</v>
      </c>
      <c r="AB407" s="9">
        <v>0</v>
      </c>
      <c r="AC407" s="9">
        <v>0</v>
      </c>
      <c r="AD407" s="9">
        <v>0</v>
      </c>
      <c r="AE407" s="9" t="s">
        <v>57</v>
      </c>
      <c r="AF407" s="9" t="s">
        <v>3380</v>
      </c>
      <c r="AG407" s="9" t="s">
        <v>3381</v>
      </c>
      <c r="AH407" s="9">
        <v>6.2378</v>
      </c>
      <c r="AI407" s="9">
        <v>-75.559726999999995</v>
      </c>
      <c r="AJ407" s="9" t="s">
        <v>3382</v>
      </c>
      <c r="AK407" s="9">
        <v>6.2393700000000001</v>
      </c>
      <c r="AL407" s="9">
        <v>-75.561121</v>
      </c>
      <c r="AM407" s="27">
        <f t="shared" si="7"/>
        <v>0.14543981481481486</v>
      </c>
    </row>
    <row r="408" spans="1:39" ht="15" x14ac:dyDescent="0.25">
      <c r="A408" s="9" t="s">
        <v>3383</v>
      </c>
      <c r="B408" s="9" t="s">
        <v>3384</v>
      </c>
      <c r="C408" s="9" t="s">
        <v>3385</v>
      </c>
      <c r="D408" s="9" t="s">
        <v>3300</v>
      </c>
      <c r="E408" s="9" t="s">
        <v>2619</v>
      </c>
      <c r="F408" s="9" t="s">
        <v>406</v>
      </c>
      <c r="G408" s="9" t="s">
        <v>80</v>
      </c>
      <c r="H408" s="9" t="s">
        <v>81</v>
      </c>
      <c r="I408" s="9" t="s">
        <v>115</v>
      </c>
      <c r="J408" s="9">
        <v>3791</v>
      </c>
      <c r="K408" s="9" t="s">
        <v>3386</v>
      </c>
      <c r="L408" s="9" t="s">
        <v>117</v>
      </c>
      <c r="M408" s="10">
        <v>5.7237499999999997E-3</v>
      </c>
      <c r="N408" s="9" t="s">
        <v>65</v>
      </c>
      <c r="O408" s="9" t="s">
        <v>3387</v>
      </c>
      <c r="P408" s="9" t="s">
        <v>119</v>
      </c>
      <c r="Q408" s="10">
        <v>4.778009259259259E-4</v>
      </c>
      <c r="R408" s="9" t="s">
        <v>46</v>
      </c>
      <c r="S408" s="10">
        <v>0.24379844907407411</v>
      </c>
      <c r="T408" s="9">
        <v>23.710999999999999</v>
      </c>
      <c r="U408" s="9">
        <v>6.47</v>
      </c>
      <c r="V408" s="10">
        <v>0.15265715277777789</v>
      </c>
      <c r="W408" s="10">
        <v>0.1208300810185185</v>
      </c>
      <c r="X408" s="10">
        <v>0</v>
      </c>
      <c r="Y408" s="9">
        <v>0</v>
      </c>
      <c r="Z408" s="9">
        <v>0</v>
      </c>
      <c r="AA408" s="9">
        <v>0</v>
      </c>
      <c r="AB408" s="9">
        <v>0</v>
      </c>
      <c r="AC408" s="9">
        <v>0</v>
      </c>
      <c r="AD408" s="9">
        <v>8</v>
      </c>
      <c r="AE408" s="9" t="s">
        <v>84</v>
      </c>
      <c r="AF408" s="9" t="s">
        <v>567</v>
      </c>
      <c r="AG408" s="9" t="s">
        <v>3388</v>
      </c>
      <c r="AH408" s="9">
        <v>6.2570810000000003</v>
      </c>
      <c r="AI408" s="9">
        <v>-75.614457000000002</v>
      </c>
      <c r="AJ408" s="9" t="s">
        <v>3389</v>
      </c>
      <c r="AK408" s="9">
        <v>6.2572799999999997</v>
      </c>
      <c r="AL408" s="9">
        <v>-75.606199000000004</v>
      </c>
      <c r="AM408" s="26">
        <f t="shared" si="7"/>
        <v>0</v>
      </c>
    </row>
    <row r="409" spans="1:39" ht="15" x14ac:dyDescent="0.25">
      <c r="A409" s="9" t="s">
        <v>3390</v>
      </c>
      <c r="B409" s="9" t="s">
        <v>3391</v>
      </c>
      <c r="C409" s="9" t="s">
        <v>3392</v>
      </c>
      <c r="D409" s="9" t="s">
        <v>3300</v>
      </c>
      <c r="E409" s="9" t="s">
        <v>2619</v>
      </c>
      <c r="F409" s="9" t="s">
        <v>406</v>
      </c>
      <c r="G409" s="9" t="s">
        <v>160</v>
      </c>
      <c r="H409" s="9" t="s">
        <v>161</v>
      </c>
      <c r="I409" s="9" t="s">
        <v>115</v>
      </c>
      <c r="J409" s="9">
        <v>6394</v>
      </c>
      <c r="K409" s="9" t="s">
        <v>3393</v>
      </c>
      <c r="L409" s="9" t="s">
        <v>117</v>
      </c>
      <c r="M409" s="10">
        <v>1.9207060185185191E-3</v>
      </c>
      <c r="N409" s="9" t="s">
        <v>65</v>
      </c>
      <c r="O409" s="9" t="s">
        <v>3394</v>
      </c>
      <c r="P409" s="9" t="s">
        <v>119</v>
      </c>
      <c r="Q409" s="10">
        <v>1.5271874999999999E-3</v>
      </c>
      <c r="R409" s="9" t="s">
        <v>46</v>
      </c>
      <c r="S409" s="10">
        <v>0.24960648148148151</v>
      </c>
      <c r="T409" s="9">
        <v>36.551000000000002</v>
      </c>
      <c r="U409" s="9">
        <v>7.89</v>
      </c>
      <c r="V409" s="10">
        <v>0.19309053240740751</v>
      </c>
      <c r="W409" s="10">
        <v>0.15665520833333341</v>
      </c>
      <c r="X409" s="10">
        <v>0</v>
      </c>
      <c r="Y409" s="9">
        <v>0</v>
      </c>
      <c r="Z409" s="9">
        <v>0</v>
      </c>
      <c r="AA409" s="9">
        <v>0</v>
      </c>
      <c r="AB409" s="9">
        <v>0</v>
      </c>
      <c r="AC409" s="9">
        <v>0</v>
      </c>
      <c r="AD409" s="9">
        <v>6</v>
      </c>
      <c r="AE409" s="9" t="s">
        <v>84</v>
      </c>
      <c r="AF409" s="9" t="s">
        <v>172</v>
      </c>
      <c r="AG409" s="9" t="s">
        <v>3395</v>
      </c>
      <c r="AH409" s="9">
        <v>6.2680470000000001</v>
      </c>
      <c r="AI409" s="9">
        <v>-75.598332999999997</v>
      </c>
      <c r="AJ409" s="9" t="s">
        <v>3396</v>
      </c>
      <c r="AK409" s="9">
        <v>6.2797429999999999</v>
      </c>
      <c r="AL409" s="9">
        <v>-75.570715000000007</v>
      </c>
      <c r="AM409" s="26">
        <f t="shared" si="7"/>
        <v>0</v>
      </c>
    </row>
    <row r="410" spans="1:39" ht="15" x14ac:dyDescent="0.25">
      <c r="A410" s="9" t="s">
        <v>3397</v>
      </c>
      <c r="B410" s="9" t="s">
        <v>3398</v>
      </c>
      <c r="C410" s="9" t="s">
        <v>3399</v>
      </c>
      <c r="D410" s="9" t="s">
        <v>3300</v>
      </c>
      <c r="E410" s="9" t="s">
        <v>2619</v>
      </c>
      <c r="F410" s="9" t="s">
        <v>406</v>
      </c>
      <c r="G410" s="9" t="s">
        <v>97</v>
      </c>
      <c r="H410" s="9" t="s">
        <v>98</v>
      </c>
      <c r="I410" s="9" t="s">
        <v>115</v>
      </c>
      <c r="J410" s="9">
        <v>1775</v>
      </c>
      <c r="K410" s="9" t="s">
        <v>3400</v>
      </c>
      <c r="L410" s="9" t="s">
        <v>117</v>
      </c>
      <c r="M410" s="10">
        <v>2.3506944444444441E-2</v>
      </c>
      <c r="N410" s="9" t="s">
        <v>43</v>
      </c>
      <c r="O410" s="9" t="s">
        <v>3401</v>
      </c>
      <c r="P410" s="9" t="s">
        <v>119</v>
      </c>
      <c r="Q410" s="10">
        <v>1.6250000000000001E-2</v>
      </c>
      <c r="R410" s="9" t="s">
        <v>56</v>
      </c>
      <c r="S410" s="10">
        <v>0.21024305555555561</v>
      </c>
      <c r="T410" s="9">
        <v>29.274999999999999</v>
      </c>
      <c r="U410" s="9">
        <v>7.7</v>
      </c>
      <c r="V410" s="10">
        <v>0.15840277777777781</v>
      </c>
      <c r="W410" s="10">
        <v>0.1144212962962963</v>
      </c>
      <c r="X410" s="10">
        <v>0</v>
      </c>
      <c r="Y410" s="9">
        <v>0</v>
      </c>
      <c r="Z410" s="9">
        <v>0</v>
      </c>
      <c r="AA410" s="9">
        <v>0</v>
      </c>
      <c r="AB410" s="9">
        <v>0</v>
      </c>
      <c r="AC410" s="9">
        <v>0</v>
      </c>
      <c r="AD410" s="9">
        <v>0</v>
      </c>
      <c r="AE410" s="9" t="s">
        <v>57</v>
      </c>
      <c r="AF410" s="9" t="s">
        <v>3402</v>
      </c>
      <c r="AG410" s="9" t="s">
        <v>3403</v>
      </c>
      <c r="AH410" s="9">
        <v>6.3069870000000003</v>
      </c>
      <c r="AI410" s="9">
        <v>-75.576481999999999</v>
      </c>
      <c r="AJ410" s="9" t="s">
        <v>3404</v>
      </c>
      <c r="AK410" s="9">
        <v>6.3068949999999999</v>
      </c>
      <c r="AL410" s="9">
        <v>-75.582076000000001</v>
      </c>
      <c r="AM410" s="27">
        <f t="shared" si="7"/>
        <v>3.9756944444444442E-2</v>
      </c>
    </row>
    <row r="411" spans="1:39" ht="15" x14ac:dyDescent="0.25">
      <c r="A411" s="9" t="s">
        <v>3405</v>
      </c>
      <c r="B411" s="9" t="s">
        <v>3406</v>
      </c>
      <c r="C411" s="9" t="s">
        <v>3407</v>
      </c>
      <c r="D411" s="9" t="s">
        <v>3408</v>
      </c>
      <c r="E411" s="9" t="s">
        <v>2619</v>
      </c>
      <c r="F411" s="9" t="s">
        <v>455</v>
      </c>
      <c r="G411" s="9" t="s">
        <v>113</v>
      </c>
      <c r="H411" s="9" t="s">
        <v>114</v>
      </c>
      <c r="I411" s="9" t="s">
        <v>115</v>
      </c>
      <c r="J411" s="9">
        <v>2899</v>
      </c>
      <c r="K411" s="9" t="s">
        <v>3409</v>
      </c>
      <c r="L411" s="9" t="s">
        <v>117</v>
      </c>
      <c r="M411" s="10">
        <v>3.1620370370370368E-2</v>
      </c>
      <c r="N411" s="9" t="s">
        <v>43</v>
      </c>
      <c r="O411" s="9" t="s">
        <v>3410</v>
      </c>
      <c r="P411" s="9" t="s">
        <v>119</v>
      </c>
      <c r="Q411" s="10">
        <v>7.3958333333333333E-3</v>
      </c>
      <c r="R411" s="9" t="s">
        <v>46</v>
      </c>
      <c r="S411" s="10">
        <v>0.21098379629629629</v>
      </c>
      <c r="T411" s="9">
        <v>43.761000000000003</v>
      </c>
      <c r="U411" s="9">
        <v>11.56</v>
      </c>
      <c r="V411" s="10">
        <v>0.15777777777777779</v>
      </c>
      <c r="W411" s="10">
        <v>7.7986111111111117E-2</v>
      </c>
      <c r="X411" s="10">
        <v>0</v>
      </c>
      <c r="Y411" s="9">
        <v>0</v>
      </c>
      <c r="Z411" s="9">
        <v>0</v>
      </c>
      <c r="AA411" s="9">
        <v>0</v>
      </c>
      <c r="AB411" s="9">
        <v>0</v>
      </c>
      <c r="AC411" s="9">
        <v>0</v>
      </c>
      <c r="AD411" s="9">
        <v>0</v>
      </c>
      <c r="AE411" s="9" t="s">
        <v>47</v>
      </c>
      <c r="AF411" s="9" t="s">
        <v>3411</v>
      </c>
      <c r="AG411" s="9" t="s">
        <v>3412</v>
      </c>
      <c r="AH411" s="9">
        <v>6.2462999999999997</v>
      </c>
      <c r="AI411" s="9">
        <v>-75.613915000000006</v>
      </c>
      <c r="AJ411" s="9" t="s">
        <v>3413</v>
      </c>
      <c r="AK411" s="9">
        <v>6.2478230000000003</v>
      </c>
      <c r="AL411" s="9">
        <v>-75.614999999999995</v>
      </c>
      <c r="AM411" s="26">
        <f t="shared" si="7"/>
        <v>3.1620370370370368E-2</v>
      </c>
    </row>
    <row r="412" spans="1:39" ht="15" x14ac:dyDescent="0.25">
      <c r="A412" s="9" t="s">
        <v>3414</v>
      </c>
      <c r="B412" s="9" t="s">
        <v>3415</v>
      </c>
      <c r="C412" s="9" t="s">
        <v>3416</v>
      </c>
      <c r="D412" s="9" t="s">
        <v>3417</v>
      </c>
      <c r="E412" s="9" t="s">
        <v>2619</v>
      </c>
      <c r="F412" s="9" t="s">
        <v>37</v>
      </c>
      <c r="G412" s="9" t="s">
        <v>38</v>
      </c>
      <c r="H412" s="9" t="s">
        <v>39</v>
      </c>
      <c r="I412" s="9" t="s">
        <v>40</v>
      </c>
      <c r="J412" s="9">
        <v>8315</v>
      </c>
      <c r="K412" s="9" t="s">
        <v>3418</v>
      </c>
      <c r="L412" s="9" t="s">
        <v>42</v>
      </c>
      <c r="M412" s="10">
        <v>2.2327766203703699E-2</v>
      </c>
      <c r="N412" s="9" t="s">
        <v>43</v>
      </c>
      <c r="O412" s="9" t="s">
        <v>3419</v>
      </c>
      <c r="P412" s="9" t="s">
        <v>45</v>
      </c>
      <c r="Q412" s="10">
        <v>2.0525115740740738E-3</v>
      </c>
      <c r="R412" s="9" t="s">
        <v>46</v>
      </c>
      <c r="S412" s="10">
        <v>0.31305807870370372</v>
      </c>
      <c r="T412" s="9">
        <v>52.848999999999997</v>
      </c>
      <c r="U412" s="9">
        <v>16.29</v>
      </c>
      <c r="V412" s="10">
        <v>0.13519214120370379</v>
      </c>
      <c r="W412" s="10">
        <v>7.1308090277777764E-2</v>
      </c>
      <c r="X412" s="10">
        <v>0</v>
      </c>
      <c r="Y412" s="9">
        <v>0</v>
      </c>
      <c r="Z412" s="9">
        <v>0</v>
      </c>
      <c r="AA412" s="9">
        <v>0</v>
      </c>
      <c r="AB412" s="9">
        <v>0</v>
      </c>
      <c r="AC412" s="9">
        <v>0</v>
      </c>
      <c r="AD412" s="9">
        <v>5</v>
      </c>
      <c r="AE412" s="9" t="s">
        <v>47</v>
      </c>
      <c r="AF412" s="9" t="s">
        <v>3420</v>
      </c>
      <c r="AG412" s="9" t="s">
        <v>3421</v>
      </c>
      <c r="AH412" s="9">
        <v>6.2032569999999998</v>
      </c>
      <c r="AI412" s="9">
        <v>-75.600813000000002</v>
      </c>
      <c r="AJ412" s="9" t="s">
        <v>3422</v>
      </c>
      <c r="AK412" s="9">
        <v>6.2047509999999999</v>
      </c>
      <c r="AL412" s="9">
        <v>-75.581158000000002</v>
      </c>
      <c r="AM412" s="27">
        <f t="shared" si="7"/>
        <v>2.2327766203703699E-2</v>
      </c>
    </row>
    <row r="413" spans="1:39" ht="15" x14ac:dyDescent="0.25">
      <c r="A413" s="9" t="s">
        <v>3423</v>
      </c>
      <c r="B413" s="9" t="s">
        <v>3424</v>
      </c>
      <c r="C413" s="9" t="s">
        <v>3425</v>
      </c>
      <c r="D413" s="9" t="s">
        <v>3417</v>
      </c>
      <c r="E413" s="9" t="s">
        <v>2619</v>
      </c>
      <c r="F413" s="9" t="s">
        <v>37</v>
      </c>
      <c r="G413" s="9" t="s">
        <v>52</v>
      </c>
      <c r="H413" s="9" t="s">
        <v>53</v>
      </c>
      <c r="I413" s="9" t="s">
        <v>40</v>
      </c>
      <c r="J413" s="9">
        <v>3265</v>
      </c>
      <c r="K413" s="9" t="s">
        <v>3426</v>
      </c>
      <c r="L413" s="9" t="s">
        <v>42</v>
      </c>
      <c r="M413" s="10">
        <v>7.0601851851851847E-4</v>
      </c>
      <c r="N413" s="9" t="s">
        <v>65</v>
      </c>
      <c r="O413" s="9" t="s">
        <v>3427</v>
      </c>
      <c r="P413" s="9" t="s">
        <v>45</v>
      </c>
      <c r="Q413" s="10">
        <v>4.4675925925925916E-3</v>
      </c>
      <c r="R413" s="9" t="s">
        <v>46</v>
      </c>
      <c r="S413" s="10">
        <v>0.33850694444444451</v>
      </c>
      <c r="T413" s="9">
        <v>44.6</v>
      </c>
      <c r="U413" s="9">
        <v>8.58</v>
      </c>
      <c r="V413" s="10">
        <v>0.2166666666666667</v>
      </c>
      <c r="W413" s="10">
        <v>0.1438541666666667</v>
      </c>
      <c r="X413" s="10">
        <v>0</v>
      </c>
      <c r="Y413" s="9">
        <v>0</v>
      </c>
      <c r="Z413" s="9">
        <v>0</v>
      </c>
      <c r="AA413" s="9">
        <v>0</v>
      </c>
      <c r="AB413" s="9">
        <v>0</v>
      </c>
      <c r="AC413" s="9">
        <v>0</v>
      </c>
      <c r="AD413" s="9">
        <v>1</v>
      </c>
      <c r="AE413" s="9" t="s">
        <v>84</v>
      </c>
      <c r="AF413" s="9" t="s">
        <v>324</v>
      </c>
      <c r="AG413" s="9" t="s">
        <v>3428</v>
      </c>
      <c r="AH413" s="9">
        <v>6.2253939999999997</v>
      </c>
      <c r="AI413" s="9">
        <v>-75.599215000000001</v>
      </c>
      <c r="AJ413" s="9" t="s">
        <v>3429</v>
      </c>
      <c r="AK413" s="9">
        <v>6.2267320000000002</v>
      </c>
      <c r="AL413" s="9">
        <v>-75.601241000000002</v>
      </c>
      <c r="AM413" s="26">
        <f t="shared" si="7"/>
        <v>0</v>
      </c>
    </row>
    <row r="414" spans="1:39" ht="15" x14ac:dyDescent="0.25">
      <c r="A414" s="9" t="s">
        <v>3430</v>
      </c>
      <c r="B414" s="9" t="s">
        <v>3431</v>
      </c>
      <c r="C414" s="9" t="s">
        <v>3432</v>
      </c>
      <c r="D414" s="9" t="s">
        <v>3417</v>
      </c>
      <c r="E414" s="9" t="s">
        <v>2619</v>
      </c>
      <c r="F414" s="9" t="s">
        <v>37</v>
      </c>
      <c r="G414" s="9" t="s">
        <v>62</v>
      </c>
      <c r="H414" s="9" t="s">
        <v>63</v>
      </c>
      <c r="I414" s="9" t="s">
        <v>40</v>
      </c>
      <c r="J414" s="9">
        <v>4119</v>
      </c>
      <c r="K414" s="9" t="s">
        <v>3433</v>
      </c>
      <c r="L414" s="9" t="s">
        <v>42</v>
      </c>
      <c r="M414" s="10">
        <v>2.675925925925926E-2</v>
      </c>
      <c r="N414" s="9" t="s">
        <v>43</v>
      </c>
      <c r="O414" s="9" t="s">
        <v>3434</v>
      </c>
      <c r="P414" s="9" t="s">
        <v>45</v>
      </c>
      <c r="Q414" s="10">
        <v>0.1034143518518519</v>
      </c>
      <c r="R414" s="9" t="s">
        <v>56</v>
      </c>
      <c r="S414" s="10">
        <v>0.2031597222222222</v>
      </c>
      <c r="T414" s="9">
        <v>53.850999999999999</v>
      </c>
      <c r="U414" s="9">
        <v>15.7</v>
      </c>
      <c r="V414" s="10">
        <v>0.14295138888888889</v>
      </c>
      <c r="W414" s="10">
        <v>3.4201388888888892E-2</v>
      </c>
      <c r="X414" s="10">
        <v>5.3125000000000004E-3</v>
      </c>
      <c r="Y414" s="9">
        <v>0</v>
      </c>
      <c r="Z414" s="9">
        <v>0</v>
      </c>
      <c r="AA414" s="9">
        <v>0</v>
      </c>
      <c r="AB414" s="9">
        <v>0</v>
      </c>
      <c r="AC414" s="9">
        <v>0</v>
      </c>
      <c r="AD414" s="9">
        <v>0</v>
      </c>
      <c r="AE414" s="9" t="s">
        <v>57</v>
      </c>
      <c r="AF414" s="9" t="s">
        <v>3435</v>
      </c>
      <c r="AG414" s="9" t="s">
        <v>3436</v>
      </c>
      <c r="AH414" s="9">
        <v>6.2261949999999997</v>
      </c>
      <c r="AI414" s="9">
        <v>-75.597046000000006</v>
      </c>
      <c r="AJ414" s="9" t="s">
        <v>3437</v>
      </c>
      <c r="AK414" s="9">
        <v>6.2359369999999998</v>
      </c>
      <c r="AL414" s="9">
        <v>-75.603783000000007</v>
      </c>
      <c r="AM414" s="27">
        <f t="shared" si="7"/>
        <v>0.13017361111111114</v>
      </c>
    </row>
    <row r="415" spans="1:39" ht="15" x14ac:dyDescent="0.25">
      <c r="A415" s="9" t="s">
        <v>3438</v>
      </c>
      <c r="B415" s="9" t="s">
        <v>3439</v>
      </c>
      <c r="C415" s="9" t="s">
        <v>3440</v>
      </c>
      <c r="D415" s="9" t="s">
        <v>3417</v>
      </c>
      <c r="E415" s="9" t="s">
        <v>2619</v>
      </c>
      <c r="F415" s="9" t="s">
        <v>37</v>
      </c>
      <c r="G415" s="9" t="s">
        <v>135</v>
      </c>
      <c r="H415" s="9" t="s">
        <v>136</v>
      </c>
      <c r="I415" s="9" t="s">
        <v>40</v>
      </c>
      <c r="J415" s="9">
        <v>1399</v>
      </c>
      <c r="K415" s="9" t="s">
        <v>3441</v>
      </c>
      <c r="L415" s="9" t="s">
        <v>42</v>
      </c>
      <c r="M415" s="10">
        <v>1.65162037037037E-2</v>
      </c>
      <c r="N415" s="9" t="s">
        <v>127</v>
      </c>
      <c r="O415" s="9" t="s">
        <v>3442</v>
      </c>
      <c r="P415" s="9" t="s">
        <v>45</v>
      </c>
      <c r="Q415" s="10">
        <v>1.030092592592593E-2</v>
      </c>
      <c r="R415" s="9" t="s">
        <v>46</v>
      </c>
      <c r="S415" s="10">
        <v>0.36015046296296288</v>
      </c>
      <c r="T415" s="9">
        <v>43.037999999999997</v>
      </c>
      <c r="U415" s="9">
        <v>19.66</v>
      </c>
      <c r="V415" s="10">
        <v>9.1226851851851851E-2</v>
      </c>
      <c r="W415" s="10">
        <v>4.7986111111111111E-2</v>
      </c>
      <c r="X415" s="10">
        <v>1.125E-2</v>
      </c>
      <c r="Y415" s="9">
        <v>1</v>
      </c>
      <c r="Z415" s="9">
        <v>1</v>
      </c>
      <c r="AA415" s="9">
        <v>0</v>
      </c>
      <c r="AB415" s="9">
        <v>0</v>
      </c>
      <c r="AC415" s="9">
        <v>0</v>
      </c>
      <c r="AD415" s="9">
        <v>5</v>
      </c>
      <c r="AE415" s="9" t="s">
        <v>139</v>
      </c>
      <c r="AF415" s="9" t="s">
        <v>3443</v>
      </c>
      <c r="AG415" s="9" t="s">
        <v>3444</v>
      </c>
      <c r="AH415" s="9">
        <v>6.22593</v>
      </c>
      <c r="AI415" s="9">
        <v>-75.598501999999996</v>
      </c>
      <c r="AJ415" s="9" t="s">
        <v>3445</v>
      </c>
      <c r="AK415" s="9">
        <v>6.2815149999999997</v>
      </c>
      <c r="AL415" s="9">
        <v>-75.539471000000006</v>
      </c>
      <c r="AM415" s="26">
        <f t="shared" si="7"/>
        <v>0</v>
      </c>
    </row>
    <row r="416" spans="1:39" ht="15" x14ac:dyDescent="0.25">
      <c r="A416" s="9" t="s">
        <v>3446</v>
      </c>
      <c r="B416" s="9" t="s">
        <v>3447</v>
      </c>
      <c r="C416" s="9" t="s">
        <v>3448</v>
      </c>
      <c r="D416" s="9" t="s">
        <v>3417</v>
      </c>
      <c r="E416" s="9" t="s">
        <v>2619</v>
      </c>
      <c r="F416" s="9" t="s">
        <v>37</v>
      </c>
      <c r="G416" s="9" t="s">
        <v>144</v>
      </c>
      <c r="H416" s="9" t="s">
        <v>145</v>
      </c>
      <c r="I416" s="9" t="s">
        <v>40</v>
      </c>
      <c r="J416" s="9">
        <v>4943</v>
      </c>
      <c r="K416" s="9" t="s">
        <v>3449</v>
      </c>
      <c r="L416" s="9" t="s">
        <v>42</v>
      </c>
      <c r="M416" s="10">
        <v>1.5069444444444441E-2</v>
      </c>
      <c r="N416" s="9" t="s">
        <v>43</v>
      </c>
      <c r="O416" s="9" t="s">
        <v>3450</v>
      </c>
      <c r="P416" s="9" t="s">
        <v>45</v>
      </c>
      <c r="Q416" s="10">
        <v>1.142361111111111E-2</v>
      </c>
      <c r="R416" s="9" t="s">
        <v>56</v>
      </c>
      <c r="S416" s="10">
        <v>0.30684027777777778</v>
      </c>
      <c r="T416" s="9">
        <v>64.13</v>
      </c>
      <c r="U416" s="9">
        <v>12.42</v>
      </c>
      <c r="V416" s="10">
        <v>0.21510416666666671</v>
      </c>
      <c r="W416" s="10">
        <v>8.2222222222222224E-2</v>
      </c>
      <c r="X416" s="10">
        <v>0</v>
      </c>
      <c r="Y416" s="9">
        <v>0</v>
      </c>
      <c r="Z416" s="9">
        <v>0</v>
      </c>
      <c r="AA416" s="9">
        <v>0</v>
      </c>
      <c r="AB416" s="9">
        <v>0</v>
      </c>
      <c r="AC416" s="9">
        <v>0</v>
      </c>
      <c r="AD416" s="9">
        <v>0</v>
      </c>
      <c r="AE416" s="9" t="s">
        <v>57</v>
      </c>
      <c r="AF416" s="9" t="s">
        <v>3451</v>
      </c>
      <c r="AG416" s="9" t="s">
        <v>3452</v>
      </c>
      <c r="AH416" s="9">
        <v>6.2254589999999999</v>
      </c>
      <c r="AI416" s="9">
        <v>-75.598750999999993</v>
      </c>
      <c r="AJ416" s="9" t="s">
        <v>3453</v>
      </c>
      <c r="AK416" s="9">
        <v>6.2252720000000004</v>
      </c>
      <c r="AL416" s="9">
        <v>-75.599226999999999</v>
      </c>
      <c r="AM416" s="27">
        <f t="shared" si="7"/>
        <v>2.6493055555555551E-2</v>
      </c>
    </row>
    <row r="417" spans="1:39" ht="15" x14ac:dyDescent="0.25">
      <c r="A417" s="9" t="s">
        <v>3454</v>
      </c>
      <c r="B417" s="9" t="s">
        <v>3455</v>
      </c>
      <c r="C417" s="9" t="s">
        <v>3456</v>
      </c>
      <c r="D417" s="9" t="s">
        <v>3417</v>
      </c>
      <c r="E417" s="9" t="s">
        <v>2619</v>
      </c>
      <c r="F417" s="9" t="s">
        <v>37</v>
      </c>
      <c r="G417" s="9" t="s">
        <v>152</v>
      </c>
      <c r="H417" s="9" t="s">
        <v>153</v>
      </c>
      <c r="I417" s="9" t="s">
        <v>40</v>
      </c>
      <c r="J417" s="9">
        <v>7517</v>
      </c>
      <c r="K417" s="9" t="s">
        <v>3457</v>
      </c>
      <c r="L417" s="9" t="s">
        <v>42</v>
      </c>
      <c r="M417" s="10">
        <v>3.7962962962962959E-3</v>
      </c>
      <c r="N417" s="9" t="s">
        <v>65</v>
      </c>
      <c r="O417" s="9" t="s">
        <v>3458</v>
      </c>
      <c r="P417" s="9" t="s">
        <v>45</v>
      </c>
      <c r="Q417" s="10">
        <v>4.2592592592592604E-3</v>
      </c>
      <c r="R417" s="9" t="s">
        <v>46</v>
      </c>
      <c r="S417" s="10">
        <v>0.34138888888888891</v>
      </c>
      <c r="T417" s="9">
        <v>97.528999999999996</v>
      </c>
      <c r="U417" s="9">
        <v>13.39</v>
      </c>
      <c r="V417" s="10">
        <v>0.30357638888888888</v>
      </c>
      <c r="W417" s="10">
        <v>0.1067361111111111</v>
      </c>
      <c r="X417" s="10">
        <v>0</v>
      </c>
      <c r="Y417" s="9">
        <v>0</v>
      </c>
      <c r="Z417" s="9">
        <v>0</v>
      </c>
      <c r="AA417" s="9">
        <v>0</v>
      </c>
      <c r="AB417" s="9">
        <v>0</v>
      </c>
      <c r="AC417" s="9">
        <v>0</v>
      </c>
      <c r="AD417" s="9">
        <v>2</v>
      </c>
      <c r="AE417" s="9" t="s">
        <v>84</v>
      </c>
      <c r="AF417" s="9" t="s">
        <v>1384</v>
      </c>
      <c r="AG417" s="9" t="s">
        <v>3459</v>
      </c>
      <c r="AH417" s="9">
        <v>6.2255719999999997</v>
      </c>
      <c r="AI417" s="9">
        <v>-75.599402999999995</v>
      </c>
      <c r="AJ417" s="9" t="s">
        <v>3460</v>
      </c>
      <c r="AK417" s="9">
        <v>6.2518050000000001</v>
      </c>
      <c r="AL417" s="9">
        <v>-75.551829999999995</v>
      </c>
      <c r="AM417" s="26">
        <f t="shared" si="7"/>
        <v>0</v>
      </c>
    </row>
    <row r="418" spans="1:39" ht="15" x14ac:dyDescent="0.25">
      <c r="A418" s="9" t="s">
        <v>3461</v>
      </c>
      <c r="B418" s="9" t="s">
        <v>3462</v>
      </c>
      <c r="C418" s="9" t="s">
        <v>3463</v>
      </c>
      <c r="D418" s="9" t="s">
        <v>3417</v>
      </c>
      <c r="E418" s="9" t="s">
        <v>2619</v>
      </c>
      <c r="F418" s="9" t="s">
        <v>37</v>
      </c>
      <c r="G418" s="9" t="s">
        <v>89</v>
      </c>
      <c r="H418" s="9" t="s">
        <v>90</v>
      </c>
      <c r="I418" s="9" t="s">
        <v>40</v>
      </c>
      <c r="J418" s="9">
        <v>5047</v>
      </c>
      <c r="K418" s="9" t="s">
        <v>3464</v>
      </c>
      <c r="L418" s="9" t="s">
        <v>42</v>
      </c>
      <c r="M418" s="10">
        <v>9.4907407407407408E-4</v>
      </c>
      <c r="N418" s="9" t="s">
        <v>65</v>
      </c>
      <c r="O418" s="9" t="s">
        <v>3465</v>
      </c>
      <c r="P418" s="9" t="s">
        <v>45</v>
      </c>
      <c r="Q418" s="10">
        <v>6.1342592592592586E-3</v>
      </c>
      <c r="R418" s="9" t="s">
        <v>46</v>
      </c>
      <c r="S418" s="10">
        <v>0.32814814814814808</v>
      </c>
      <c r="T418" s="9">
        <v>64.667000000000002</v>
      </c>
      <c r="U418" s="9">
        <v>10.61</v>
      </c>
      <c r="V418" s="10">
        <v>0.25392361111111111</v>
      </c>
      <c r="W418" s="10">
        <v>0.1163657407407407</v>
      </c>
      <c r="X418" s="10">
        <v>0</v>
      </c>
      <c r="Y418" s="9">
        <v>0</v>
      </c>
      <c r="Z418" s="9">
        <v>0</v>
      </c>
      <c r="AA418" s="9">
        <v>0</v>
      </c>
      <c r="AB418" s="9">
        <v>0</v>
      </c>
      <c r="AC418" s="9">
        <v>0</v>
      </c>
      <c r="AD418" s="9">
        <v>0</v>
      </c>
      <c r="AE418" s="9" t="s">
        <v>84</v>
      </c>
      <c r="AF418" s="9" t="s">
        <v>352</v>
      </c>
      <c r="AG418" s="9" t="s">
        <v>3466</v>
      </c>
      <c r="AH418" s="9">
        <v>6.2266519999999996</v>
      </c>
      <c r="AI418" s="9">
        <v>-75.598450999999997</v>
      </c>
      <c r="AJ418" s="9" t="s">
        <v>3467</v>
      </c>
      <c r="AK418" s="9">
        <v>6.2787579999999998</v>
      </c>
      <c r="AL418" s="9">
        <v>-75.569270000000003</v>
      </c>
      <c r="AM418" s="27">
        <f t="shared" si="7"/>
        <v>0</v>
      </c>
    </row>
    <row r="419" spans="1:39" ht="15" x14ac:dyDescent="0.25">
      <c r="A419" s="9" t="s">
        <v>3468</v>
      </c>
      <c r="B419" s="9" t="s">
        <v>3469</v>
      </c>
      <c r="C419" s="9" t="s">
        <v>3470</v>
      </c>
      <c r="D419" s="9" t="s">
        <v>3417</v>
      </c>
      <c r="E419" s="9" t="s">
        <v>2619</v>
      </c>
      <c r="F419" s="9" t="s">
        <v>37</v>
      </c>
      <c r="G419" s="9" t="s">
        <v>105</v>
      </c>
      <c r="H419" s="9" t="s">
        <v>106</v>
      </c>
      <c r="I419" s="9" t="s">
        <v>40</v>
      </c>
      <c r="J419" s="9">
        <v>4381</v>
      </c>
      <c r="K419" s="9" t="s">
        <v>3471</v>
      </c>
      <c r="L419" s="9" t="s">
        <v>42</v>
      </c>
      <c r="M419" s="10">
        <v>1.5972222222222221E-3</v>
      </c>
      <c r="N419" s="9" t="s">
        <v>65</v>
      </c>
      <c r="O419" s="9" t="s">
        <v>3472</v>
      </c>
      <c r="P419" s="9" t="s">
        <v>45</v>
      </c>
      <c r="Q419" s="10">
        <v>1.423611111111111E-3</v>
      </c>
      <c r="R419" s="9" t="s">
        <v>46</v>
      </c>
      <c r="S419" s="10">
        <v>0.33635416666666668</v>
      </c>
      <c r="T419" s="9">
        <v>55.011000000000003</v>
      </c>
      <c r="U419" s="9">
        <v>10.97</v>
      </c>
      <c r="V419" s="10">
        <v>0.2088541666666667</v>
      </c>
      <c r="W419" s="10">
        <v>8.6365740740740743E-2</v>
      </c>
      <c r="X419" s="10">
        <v>0</v>
      </c>
      <c r="Y419" s="9">
        <v>0</v>
      </c>
      <c r="Z419" s="9">
        <v>0</v>
      </c>
      <c r="AA419" s="9">
        <v>0</v>
      </c>
      <c r="AB419" s="9">
        <v>0</v>
      </c>
      <c r="AC419" s="9">
        <v>0</v>
      </c>
      <c r="AD419" s="9">
        <v>1</v>
      </c>
      <c r="AE419" s="9" t="s">
        <v>84</v>
      </c>
      <c r="AF419" s="9" t="s">
        <v>324</v>
      </c>
      <c r="AG419" s="9" t="s">
        <v>3473</v>
      </c>
      <c r="AH419" s="9">
        <v>6.2250899999999998</v>
      </c>
      <c r="AI419" s="9">
        <v>-75.600031000000001</v>
      </c>
      <c r="AJ419" s="9" t="s">
        <v>3474</v>
      </c>
      <c r="AK419" s="9">
        <v>6.2594760000000003</v>
      </c>
      <c r="AL419" s="9">
        <v>-75.616857999999993</v>
      </c>
      <c r="AM419" s="26">
        <f t="shared" si="7"/>
        <v>0</v>
      </c>
    </row>
    <row r="420" spans="1:39" ht="15" x14ac:dyDescent="0.25">
      <c r="A420" s="9" t="s">
        <v>3475</v>
      </c>
      <c r="B420" s="9" t="s">
        <v>3476</v>
      </c>
      <c r="C420" s="9" t="s">
        <v>3477</v>
      </c>
      <c r="D420" s="9" t="s">
        <v>3417</v>
      </c>
      <c r="E420" s="9" t="s">
        <v>2619</v>
      </c>
      <c r="F420" s="9" t="s">
        <v>37</v>
      </c>
      <c r="G420" s="9" t="s">
        <v>124</v>
      </c>
      <c r="H420" s="9" t="s">
        <v>125</v>
      </c>
      <c r="I420" s="9" t="s">
        <v>115</v>
      </c>
      <c r="J420" s="9">
        <v>5056</v>
      </c>
      <c r="K420" s="9" t="s">
        <v>3478</v>
      </c>
      <c r="L420" s="9" t="s">
        <v>117</v>
      </c>
      <c r="M420" s="10">
        <v>3.9027777777777779E-2</v>
      </c>
      <c r="N420" s="9" t="s">
        <v>127</v>
      </c>
      <c r="O420" s="9" t="s">
        <v>3479</v>
      </c>
      <c r="P420" s="9" t="s">
        <v>119</v>
      </c>
      <c r="Q420" s="10">
        <v>1.2291666666666669E-2</v>
      </c>
      <c r="R420" s="9" t="s">
        <v>129</v>
      </c>
      <c r="S420" s="10">
        <v>0.30131944444444442</v>
      </c>
      <c r="T420" s="9">
        <v>61.73</v>
      </c>
      <c r="U420" s="9">
        <v>10.39</v>
      </c>
      <c r="V420" s="10">
        <v>0.2474537037037037</v>
      </c>
      <c r="W420" s="10">
        <v>7.6990740740740735E-2</v>
      </c>
      <c r="X420" s="10">
        <v>1.109953703703704E-2</v>
      </c>
      <c r="Y420" s="9">
        <v>1</v>
      </c>
      <c r="Z420" s="9">
        <v>1</v>
      </c>
      <c r="AA420" s="9">
        <v>0</v>
      </c>
      <c r="AB420" s="9">
        <v>0</v>
      </c>
      <c r="AC420" s="9">
        <v>0</v>
      </c>
      <c r="AD420" s="9">
        <v>0</v>
      </c>
      <c r="AE420" s="9" t="s">
        <v>130</v>
      </c>
      <c r="AF420" s="9" t="s">
        <v>3480</v>
      </c>
      <c r="AG420" s="9" t="s">
        <v>3481</v>
      </c>
      <c r="AH420" s="9">
        <v>6.2259950000000002</v>
      </c>
      <c r="AI420" s="9">
        <v>-75.599416000000005</v>
      </c>
      <c r="AJ420" s="9" t="s">
        <v>3482</v>
      </c>
      <c r="AK420" s="9">
        <v>6.2725860000000004</v>
      </c>
      <c r="AL420" s="9">
        <v>-75.602053999999995</v>
      </c>
      <c r="AM420" s="26">
        <f t="shared" si="7"/>
        <v>0</v>
      </c>
    </row>
    <row r="421" spans="1:39" ht="15" x14ac:dyDescent="0.25">
      <c r="A421" s="9" t="s">
        <v>3483</v>
      </c>
      <c r="B421" s="9" t="s">
        <v>3484</v>
      </c>
      <c r="C421" s="9" t="s">
        <v>3485</v>
      </c>
      <c r="D421" s="9" t="s">
        <v>3417</v>
      </c>
      <c r="E421" s="9" t="s">
        <v>2619</v>
      </c>
      <c r="F421" s="9" t="s">
        <v>37</v>
      </c>
      <c r="G421" s="9" t="s">
        <v>72</v>
      </c>
      <c r="H421" s="9" t="s">
        <v>73</v>
      </c>
      <c r="I421" s="9" t="s">
        <v>115</v>
      </c>
      <c r="J421" s="9">
        <v>1716</v>
      </c>
      <c r="K421" s="9" t="s">
        <v>3486</v>
      </c>
      <c r="L421" s="9" t="s">
        <v>117</v>
      </c>
      <c r="M421" s="10">
        <v>6.3483796296296302E-2</v>
      </c>
      <c r="N421" s="9" t="s">
        <v>127</v>
      </c>
      <c r="O421" s="9" t="s">
        <v>3487</v>
      </c>
      <c r="P421" s="9" t="s">
        <v>119</v>
      </c>
      <c r="Q421" s="10">
        <v>7.5648148148148145E-2</v>
      </c>
      <c r="R421" s="9" t="s">
        <v>56</v>
      </c>
      <c r="S421" s="10">
        <v>0.23783564814814809</v>
      </c>
      <c r="T421" s="9">
        <v>22.574000000000002</v>
      </c>
      <c r="U421" s="9">
        <v>4.51</v>
      </c>
      <c r="V421" s="10">
        <v>0.2084259259259259</v>
      </c>
      <c r="W421" s="10">
        <v>0.1782407407407407</v>
      </c>
      <c r="X421" s="10">
        <v>0</v>
      </c>
      <c r="Y421" s="9">
        <v>0</v>
      </c>
      <c r="Z421" s="9">
        <v>0</v>
      </c>
      <c r="AA421" s="9">
        <v>0</v>
      </c>
      <c r="AB421" s="9">
        <v>0</v>
      </c>
      <c r="AC421" s="9">
        <v>0</v>
      </c>
      <c r="AD421" s="9">
        <v>1</v>
      </c>
      <c r="AE421" s="9" t="s">
        <v>139</v>
      </c>
      <c r="AF421" s="9" t="s">
        <v>3488</v>
      </c>
      <c r="AG421" s="9" t="s">
        <v>3489</v>
      </c>
      <c r="AH421" s="9">
        <v>6.2256939999999998</v>
      </c>
      <c r="AI421" s="9">
        <v>-75.598934</v>
      </c>
      <c r="AJ421" s="9" t="s">
        <v>3490</v>
      </c>
      <c r="AK421" s="9">
        <v>6.2370570000000001</v>
      </c>
      <c r="AL421" s="9">
        <v>-75.558852000000002</v>
      </c>
      <c r="AM421" s="27">
        <f t="shared" si="7"/>
        <v>7.5648148148148145E-2</v>
      </c>
    </row>
    <row r="422" spans="1:39" ht="15" x14ac:dyDescent="0.25">
      <c r="A422" s="9" t="s">
        <v>3491</v>
      </c>
      <c r="B422" s="9" t="s">
        <v>3492</v>
      </c>
      <c r="C422" s="9" t="s">
        <v>3493</v>
      </c>
      <c r="D422" s="9" t="s">
        <v>3417</v>
      </c>
      <c r="E422" s="9" t="s">
        <v>2619</v>
      </c>
      <c r="F422" s="9" t="s">
        <v>37</v>
      </c>
      <c r="G422" s="9" t="s">
        <v>80</v>
      </c>
      <c r="H422" s="9" t="s">
        <v>81</v>
      </c>
      <c r="I422" s="9" t="s">
        <v>115</v>
      </c>
      <c r="J422" s="9">
        <v>6990</v>
      </c>
      <c r="K422" s="9" t="s">
        <v>3494</v>
      </c>
      <c r="L422" s="9" t="s">
        <v>117</v>
      </c>
      <c r="M422" s="10">
        <v>3.4270254629629629E-3</v>
      </c>
      <c r="N422" s="9" t="s">
        <v>65</v>
      </c>
      <c r="O422" s="9" t="s">
        <v>3495</v>
      </c>
      <c r="P422" s="9" t="s">
        <v>119</v>
      </c>
      <c r="Q422" s="10">
        <v>5.9399537037037034E-3</v>
      </c>
      <c r="R422" s="9" t="s">
        <v>46</v>
      </c>
      <c r="S422" s="10">
        <v>0.24063302083333329</v>
      </c>
      <c r="T422" s="9">
        <v>42.750999999999998</v>
      </c>
      <c r="U422" s="9">
        <v>19.690000000000001</v>
      </c>
      <c r="V422" s="10">
        <v>9.0459224537036975E-2</v>
      </c>
      <c r="W422" s="10">
        <v>3.5501678240740762E-2</v>
      </c>
      <c r="X422" s="10">
        <v>0</v>
      </c>
      <c r="Y422" s="9">
        <v>0</v>
      </c>
      <c r="Z422" s="9">
        <v>0</v>
      </c>
      <c r="AA422" s="9">
        <v>0</v>
      </c>
      <c r="AB422" s="9">
        <v>0</v>
      </c>
      <c r="AC422" s="9">
        <v>0</v>
      </c>
      <c r="AD422" s="9">
        <v>9</v>
      </c>
      <c r="AE422" s="9" t="s">
        <v>84</v>
      </c>
      <c r="AF422" s="9" t="s">
        <v>3008</v>
      </c>
      <c r="AG422" s="9" t="s">
        <v>3496</v>
      </c>
      <c r="AH422" s="9">
        <v>6.2592850000000002</v>
      </c>
      <c r="AI422" s="9">
        <v>-75.620909999999995</v>
      </c>
      <c r="AJ422" s="9" t="s">
        <v>3497</v>
      </c>
      <c r="AK422" s="9">
        <v>6.2455550000000004</v>
      </c>
      <c r="AL422" s="9">
        <v>-75.596427000000006</v>
      </c>
      <c r="AM422" s="26">
        <f t="shared" si="7"/>
        <v>0</v>
      </c>
    </row>
    <row r="423" spans="1:39" ht="15" x14ac:dyDescent="0.25">
      <c r="A423" s="9" t="s">
        <v>3498</v>
      </c>
      <c r="B423" s="9" t="s">
        <v>3499</v>
      </c>
      <c r="C423" s="9" t="s">
        <v>3500</v>
      </c>
      <c r="D423" s="9" t="s">
        <v>3417</v>
      </c>
      <c r="E423" s="9" t="s">
        <v>2619</v>
      </c>
      <c r="F423" s="9" t="s">
        <v>37</v>
      </c>
      <c r="G423" s="9" t="s">
        <v>160</v>
      </c>
      <c r="H423" s="9" t="s">
        <v>161</v>
      </c>
      <c r="I423" s="9" t="s">
        <v>115</v>
      </c>
      <c r="J423" s="9">
        <v>9642</v>
      </c>
      <c r="K423" s="9" t="s">
        <v>3501</v>
      </c>
      <c r="L423" s="9" t="s">
        <v>117</v>
      </c>
      <c r="M423" s="10">
        <v>2.8580358796296289E-2</v>
      </c>
      <c r="N423" s="9" t="s">
        <v>127</v>
      </c>
      <c r="O423" s="9" t="s">
        <v>3502</v>
      </c>
      <c r="P423" s="9" t="s">
        <v>119</v>
      </c>
      <c r="Q423" s="10">
        <v>1.3502314814814809E-3</v>
      </c>
      <c r="R423" s="9" t="s">
        <v>46</v>
      </c>
      <c r="S423" s="10">
        <v>0.27993059027777778</v>
      </c>
      <c r="T423" s="9">
        <v>42.613999999999997</v>
      </c>
      <c r="U423" s="9">
        <v>11.12</v>
      </c>
      <c r="V423" s="10">
        <v>0.15968719907407411</v>
      </c>
      <c r="W423" s="10">
        <v>0.13379615740740741</v>
      </c>
      <c r="X423" s="10">
        <v>0</v>
      </c>
      <c r="Y423" s="9">
        <v>0</v>
      </c>
      <c r="Z423" s="9">
        <v>0</v>
      </c>
      <c r="AA423" s="9">
        <v>0</v>
      </c>
      <c r="AB423" s="9">
        <v>0</v>
      </c>
      <c r="AC423" s="9">
        <v>0</v>
      </c>
      <c r="AD423" s="9">
        <v>3</v>
      </c>
      <c r="AE423" s="9" t="s">
        <v>139</v>
      </c>
      <c r="AF423" s="9" t="s">
        <v>3503</v>
      </c>
      <c r="AG423" s="9" t="s">
        <v>3504</v>
      </c>
      <c r="AH423" s="9">
        <v>6.2265480000000002</v>
      </c>
      <c r="AI423" s="9">
        <v>-75.599261999999996</v>
      </c>
      <c r="AJ423" s="9" t="s">
        <v>3505</v>
      </c>
      <c r="AK423" s="9">
        <v>6.2688199999999998</v>
      </c>
      <c r="AL423" s="9">
        <v>-75.598403000000005</v>
      </c>
      <c r="AM423" s="26">
        <f t="shared" si="7"/>
        <v>0</v>
      </c>
    </row>
    <row r="424" spans="1:39" ht="15" x14ac:dyDescent="0.25">
      <c r="A424" s="9" t="s">
        <v>3506</v>
      </c>
      <c r="B424" s="9" t="s">
        <v>3507</v>
      </c>
      <c r="C424" s="9" t="s">
        <v>3508</v>
      </c>
      <c r="D424" s="9" t="s">
        <v>3417</v>
      </c>
      <c r="E424" s="9" t="s">
        <v>2619</v>
      </c>
      <c r="F424" s="9" t="s">
        <v>37</v>
      </c>
      <c r="G424" s="9" t="s">
        <v>97</v>
      </c>
      <c r="H424" s="9" t="s">
        <v>98</v>
      </c>
      <c r="I424" s="9" t="s">
        <v>115</v>
      </c>
      <c r="J424" s="9">
        <v>2265</v>
      </c>
      <c r="K424" s="9" t="s">
        <v>3509</v>
      </c>
      <c r="L424" s="9" t="s">
        <v>117</v>
      </c>
      <c r="M424" s="10">
        <v>4.7233796296296288E-2</v>
      </c>
      <c r="N424" s="9" t="s">
        <v>127</v>
      </c>
      <c r="O424" s="9" t="s">
        <v>3510</v>
      </c>
      <c r="P424" s="9" t="s">
        <v>119</v>
      </c>
      <c r="Q424" s="10">
        <v>1.9016203703703709E-2</v>
      </c>
      <c r="R424" s="9" t="s">
        <v>56</v>
      </c>
      <c r="S424" s="10">
        <v>0.2782175925925926</v>
      </c>
      <c r="T424" s="9">
        <v>28.916</v>
      </c>
      <c r="U424" s="9">
        <v>7.11</v>
      </c>
      <c r="V424" s="10">
        <v>0.1695601851851852</v>
      </c>
      <c r="W424" s="10">
        <v>0.1231597222222222</v>
      </c>
      <c r="X424" s="10">
        <v>0</v>
      </c>
      <c r="Y424" s="9">
        <v>0</v>
      </c>
      <c r="Z424" s="9">
        <v>0</v>
      </c>
      <c r="AA424" s="9">
        <v>0</v>
      </c>
      <c r="AB424" s="9">
        <v>0</v>
      </c>
      <c r="AC424" s="9">
        <v>0</v>
      </c>
      <c r="AD424" s="9">
        <v>0</v>
      </c>
      <c r="AE424" s="9" t="s">
        <v>139</v>
      </c>
      <c r="AF424" s="9" t="s">
        <v>3511</v>
      </c>
      <c r="AG424" s="9" t="s">
        <v>3512</v>
      </c>
      <c r="AH424" s="9">
        <v>6.2285149999999998</v>
      </c>
      <c r="AI424" s="9">
        <v>-75.598760999999996</v>
      </c>
      <c r="AJ424" s="9" t="s">
        <v>3513</v>
      </c>
      <c r="AK424" s="9">
        <v>6.3065540000000002</v>
      </c>
      <c r="AL424" s="9">
        <v>-75.576627000000002</v>
      </c>
      <c r="AM424" s="27">
        <f t="shared" si="7"/>
        <v>1.9016203703703709E-2</v>
      </c>
    </row>
    <row r="425" spans="1:39" ht="15" x14ac:dyDescent="0.25">
      <c r="A425" s="9" t="s">
        <v>3514</v>
      </c>
      <c r="B425" s="9" t="s">
        <v>3515</v>
      </c>
      <c r="C425" s="9" t="s">
        <v>3516</v>
      </c>
      <c r="D425" s="9" t="s">
        <v>3517</v>
      </c>
      <c r="E425" s="9" t="s">
        <v>2619</v>
      </c>
      <c r="F425" s="9" t="s">
        <v>169</v>
      </c>
      <c r="G425" s="9" t="s">
        <v>38</v>
      </c>
      <c r="H425" s="9" t="s">
        <v>39</v>
      </c>
      <c r="I425" s="9" t="s">
        <v>40</v>
      </c>
      <c r="J425" s="9">
        <v>7435</v>
      </c>
      <c r="K425" s="9" t="s">
        <v>3518</v>
      </c>
      <c r="L425" s="9" t="s">
        <v>42</v>
      </c>
      <c r="M425" s="10">
        <v>1.827121527777778E-2</v>
      </c>
      <c r="N425" s="9" t="s">
        <v>43</v>
      </c>
      <c r="O425" s="9" t="s">
        <v>3519</v>
      </c>
      <c r="P425" s="9" t="s">
        <v>45</v>
      </c>
      <c r="Q425" s="10">
        <v>1.516545138888889E-2</v>
      </c>
      <c r="R425" s="9" t="s">
        <v>129</v>
      </c>
      <c r="S425" s="10">
        <v>0.33022756944444442</v>
      </c>
      <c r="T425" s="9">
        <v>48.103000000000002</v>
      </c>
      <c r="U425" s="9">
        <v>15.13</v>
      </c>
      <c r="V425" s="10">
        <v>0.13248822916666661</v>
      </c>
      <c r="W425" s="10">
        <v>7.4581215277777821E-2</v>
      </c>
      <c r="X425" s="10">
        <v>5.3334155092592588E-2</v>
      </c>
      <c r="Y425" s="9">
        <v>1</v>
      </c>
      <c r="Z425" s="9">
        <v>1</v>
      </c>
      <c r="AA425" s="9">
        <v>1</v>
      </c>
      <c r="AB425" s="9">
        <v>1</v>
      </c>
      <c r="AC425" s="9">
        <v>1</v>
      </c>
      <c r="AD425" s="9">
        <v>3</v>
      </c>
      <c r="AE425" s="9" t="s">
        <v>130</v>
      </c>
      <c r="AF425" s="9" t="s">
        <v>3520</v>
      </c>
      <c r="AG425" s="9" t="s">
        <v>3521</v>
      </c>
      <c r="AH425" s="9">
        <v>6.203227</v>
      </c>
      <c r="AI425" s="9">
        <v>-75.600756000000004</v>
      </c>
      <c r="AJ425" s="9" t="s">
        <v>3522</v>
      </c>
      <c r="AK425" s="9">
        <v>6.2218650000000002</v>
      </c>
      <c r="AL425" s="9">
        <v>-75.593827000000005</v>
      </c>
      <c r="AM425" s="26">
        <f t="shared" si="7"/>
        <v>1.827121527777778E-2</v>
      </c>
    </row>
    <row r="426" spans="1:39" ht="15" x14ac:dyDescent="0.25">
      <c r="A426" s="9" t="s">
        <v>3523</v>
      </c>
      <c r="B426" s="9" t="s">
        <v>3524</v>
      </c>
      <c r="C426" s="9" t="s">
        <v>3525</v>
      </c>
      <c r="D426" s="9" t="s">
        <v>3517</v>
      </c>
      <c r="E426" s="9" t="s">
        <v>2619</v>
      </c>
      <c r="F426" s="9" t="s">
        <v>169</v>
      </c>
      <c r="G426" s="9" t="s">
        <v>52</v>
      </c>
      <c r="H426" s="9" t="s">
        <v>53</v>
      </c>
      <c r="I426" s="9" t="s">
        <v>40</v>
      </c>
      <c r="J426" s="9">
        <v>2440</v>
      </c>
      <c r="K426" s="9" t="s">
        <v>3526</v>
      </c>
      <c r="L426" s="9" t="s">
        <v>42</v>
      </c>
      <c r="M426" s="10">
        <v>1.1458333333333331E-2</v>
      </c>
      <c r="N426" s="9" t="s">
        <v>127</v>
      </c>
      <c r="O426" s="9" t="s">
        <v>3527</v>
      </c>
      <c r="P426" s="9" t="s">
        <v>45</v>
      </c>
      <c r="Q426" s="10">
        <v>4.8437500000000001E-2</v>
      </c>
      <c r="R426" s="9" t="s">
        <v>129</v>
      </c>
      <c r="S426" s="10">
        <v>0.39322916666666669</v>
      </c>
      <c r="T426" s="9">
        <v>30.324000000000002</v>
      </c>
      <c r="U426" s="9">
        <v>6.45</v>
      </c>
      <c r="V426" s="10">
        <v>0.19575231481481481</v>
      </c>
      <c r="W426" s="10">
        <v>0.14230324074074069</v>
      </c>
      <c r="X426" s="10">
        <v>2.4305555555555559E-2</v>
      </c>
      <c r="Y426" s="9">
        <v>1</v>
      </c>
      <c r="Z426" s="9">
        <v>1</v>
      </c>
      <c r="AA426" s="9">
        <v>1</v>
      </c>
      <c r="AB426" s="9">
        <v>0</v>
      </c>
      <c r="AC426" s="9">
        <v>0</v>
      </c>
      <c r="AD426" s="9">
        <v>0</v>
      </c>
      <c r="AE426" s="9" t="s">
        <v>130</v>
      </c>
      <c r="AF426" s="9" t="s">
        <v>3528</v>
      </c>
      <c r="AG426" s="9" t="s">
        <v>3529</v>
      </c>
      <c r="AH426" s="9">
        <v>6.2251859999999999</v>
      </c>
      <c r="AI426" s="9">
        <v>-75.599266</v>
      </c>
      <c r="AJ426" s="9" t="s">
        <v>3530</v>
      </c>
      <c r="AK426" s="9">
        <v>6.24749</v>
      </c>
      <c r="AL426" s="9">
        <v>-75.615098000000003</v>
      </c>
      <c r="AM426" s="27">
        <f t="shared" si="7"/>
        <v>0</v>
      </c>
    </row>
    <row r="427" spans="1:39" ht="15" x14ac:dyDescent="0.25">
      <c r="A427" s="9" t="s">
        <v>3531</v>
      </c>
      <c r="B427" s="9" t="s">
        <v>3532</v>
      </c>
      <c r="C427" s="9" t="s">
        <v>3533</v>
      </c>
      <c r="D427" s="9" t="s">
        <v>3517</v>
      </c>
      <c r="E427" s="9" t="s">
        <v>2619</v>
      </c>
      <c r="F427" s="9" t="s">
        <v>169</v>
      </c>
      <c r="G427" s="9" t="s">
        <v>113</v>
      </c>
      <c r="H427" s="9" t="s">
        <v>114</v>
      </c>
      <c r="I427" s="9" t="s">
        <v>40</v>
      </c>
      <c r="J427" s="9">
        <v>2463</v>
      </c>
      <c r="K427" s="9" t="s">
        <v>3534</v>
      </c>
      <c r="L427" s="9" t="s">
        <v>42</v>
      </c>
      <c r="M427" s="10">
        <v>5.115740740740741E-3</v>
      </c>
      <c r="N427" s="9" t="s">
        <v>65</v>
      </c>
      <c r="O427" s="9" t="s">
        <v>3535</v>
      </c>
      <c r="P427" s="9" t="s">
        <v>45</v>
      </c>
      <c r="Q427" s="10">
        <v>5.7754629629629631E-3</v>
      </c>
      <c r="R427" s="9" t="s">
        <v>46</v>
      </c>
      <c r="S427" s="10">
        <v>0.32244212962962959</v>
      </c>
      <c r="T427" s="9">
        <v>32.902000000000001</v>
      </c>
      <c r="U427" s="9">
        <v>5.07</v>
      </c>
      <c r="V427" s="10">
        <v>0.27060185185185193</v>
      </c>
      <c r="W427" s="10">
        <v>0.2105208333333333</v>
      </c>
      <c r="X427" s="10">
        <v>0</v>
      </c>
      <c r="Y427" s="9">
        <v>0</v>
      </c>
      <c r="Z427" s="9">
        <v>0</v>
      </c>
      <c r="AA427" s="9">
        <v>0</v>
      </c>
      <c r="AB427" s="9">
        <v>0</v>
      </c>
      <c r="AC427" s="9">
        <v>0</v>
      </c>
      <c r="AD427" s="9">
        <v>3</v>
      </c>
      <c r="AE427" s="9" t="s">
        <v>84</v>
      </c>
      <c r="AF427" s="9" t="s">
        <v>292</v>
      </c>
      <c r="AG427" s="9" t="s">
        <v>3536</v>
      </c>
      <c r="AH427" s="9">
        <v>6.229101</v>
      </c>
      <c r="AI427" s="9">
        <v>-75.602047999999996</v>
      </c>
      <c r="AJ427" s="9" t="s">
        <v>3537</v>
      </c>
      <c r="AK427" s="9">
        <v>6.2486969999999999</v>
      </c>
      <c r="AL427" s="9">
        <v>-75.583498000000006</v>
      </c>
      <c r="AM427" s="26">
        <f t="shared" si="7"/>
        <v>0</v>
      </c>
    </row>
    <row r="428" spans="1:39" ht="15" x14ac:dyDescent="0.25">
      <c r="A428" s="9" t="s">
        <v>3538</v>
      </c>
      <c r="B428" s="9" t="s">
        <v>3539</v>
      </c>
      <c r="C428" s="9" t="s">
        <v>3540</v>
      </c>
      <c r="D428" s="9" t="s">
        <v>3517</v>
      </c>
      <c r="E428" s="9" t="s">
        <v>2619</v>
      </c>
      <c r="F428" s="9" t="s">
        <v>169</v>
      </c>
      <c r="G428" s="9" t="s">
        <v>62</v>
      </c>
      <c r="H428" s="9" t="s">
        <v>63</v>
      </c>
      <c r="I428" s="9" t="s">
        <v>40</v>
      </c>
      <c r="J428" s="9">
        <v>2258</v>
      </c>
      <c r="K428" s="9" t="s">
        <v>3541</v>
      </c>
      <c r="L428" s="9" t="s">
        <v>42</v>
      </c>
      <c r="M428" s="10">
        <v>1.0879629629629631E-3</v>
      </c>
      <c r="N428" s="9" t="s">
        <v>65</v>
      </c>
      <c r="O428" s="9" t="s">
        <v>3542</v>
      </c>
      <c r="P428" s="9" t="s">
        <v>45</v>
      </c>
      <c r="Q428" s="10">
        <v>0.14372685185185191</v>
      </c>
      <c r="R428" s="9" t="s">
        <v>56</v>
      </c>
      <c r="S428" s="10">
        <v>0.1885185185185185</v>
      </c>
      <c r="T428" s="9">
        <v>29.545000000000002</v>
      </c>
      <c r="U428" s="9">
        <v>8.17</v>
      </c>
      <c r="V428" s="10">
        <v>0.1507060185185185</v>
      </c>
      <c r="W428" s="10">
        <v>0.1017476851851852</v>
      </c>
      <c r="X428" s="10">
        <v>4.386574074074074E-3</v>
      </c>
      <c r="Y428" s="9">
        <v>0</v>
      </c>
      <c r="Z428" s="9">
        <v>0</v>
      </c>
      <c r="AA428" s="9">
        <v>0</v>
      </c>
      <c r="AB428" s="9">
        <v>0</v>
      </c>
      <c r="AC428" s="9">
        <v>0</v>
      </c>
      <c r="AD428" s="9">
        <v>2</v>
      </c>
      <c r="AE428" s="9" t="s">
        <v>67</v>
      </c>
      <c r="AF428" s="9" t="s">
        <v>3543</v>
      </c>
      <c r="AG428" s="9" t="s">
        <v>3544</v>
      </c>
      <c r="AH428" s="9">
        <v>6.2256419999999997</v>
      </c>
      <c r="AI428" s="9">
        <v>-75.599112000000005</v>
      </c>
      <c r="AJ428" s="9" t="s">
        <v>3545</v>
      </c>
      <c r="AK428" s="9">
        <v>6.2347149999999996</v>
      </c>
      <c r="AL428" s="9">
        <v>-75.608236000000005</v>
      </c>
      <c r="AM428" s="26">
        <f t="shared" si="7"/>
        <v>0.14372685185185191</v>
      </c>
    </row>
    <row r="429" spans="1:39" ht="15" x14ac:dyDescent="0.25">
      <c r="A429" s="9" t="s">
        <v>3546</v>
      </c>
      <c r="B429" s="9" t="s">
        <v>3547</v>
      </c>
      <c r="C429" s="9" t="s">
        <v>3548</v>
      </c>
      <c r="D429" s="9" t="s">
        <v>3517</v>
      </c>
      <c r="E429" s="9" t="s">
        <v>2619</v>
      </c>
      <c r="F429" s="9" t="s">
        <v>169</v>
      </c>
      <c r="G429" s="9" t="s">
        <v>135</v>
      </c>
      <c r="H429" s="9" t="s">
        <v>136</v>
      </c>
      <c r="I429" s="9" t="s">
        <v>40</v>
      </c>
      <c r="J429" s="9">
        <v>2042</v>
      </c>
      <c r="K429" s="9" t="s">
        <v>3549</v>
      </c>
      <c r="L429" s="9" t="s">
        <v>42</v>
      </c>
      <c r="M429" s="10">
        <v>5.0231481481481481E-3</v>
      </c>
      <c r="N429" s="9" t="s">
        <v>65</v>
      </c>
      <c r="O429" s="9" t="s">
        <v>3550</v>
      </c>
      <c r="P429" s="9" t="s">
        <v>45</v>
      </c>
      <c r="Q429" s="10">
        <v>7.9861111111111116E-4</v>
      </c>
      <c r="R429" s="9" t="s">
        <v>46</v>
      </c>
      <c r="S429" s="10">
        <v>0.3291087962962963</v>
      </c>
      <c r="T429" s="9">
        <v>34.542999999999999</v>
      </c>
      <c r="U429" s="9">
        <v>14.84</v>
      </c>
      <c r="V429" s="10">
        <v>9.6967592592592591E-2</v>
      </c>
      <c r="W429" s="10">
        <v>4.508101851851852E-2</v>
      </c>
      <c r="X429" s="10">
        <v>0</v>
      </c>
      <c r="Y429" s="9">
        <v>0</v>
      </c>
      <c r="Z429" s="9">
        <v>0</v>
      </c>
      <c r="AA429" s="9">
        <v>0</v>
      </c>
      <c r="AB429" s="9">
        <v>0</v>
      </c>
      <c r="AC429" s="9">
        <v>0</v>
      </c>
      <c r="AD429" s="9">
        <v>8</v>
      </c>
      <c r="AE429" s="9" t="s">
        <v>84</v>
      </c>
      <c r="AF429" s="9" t="s">
        <v>567</v>
      </c>
      <c r="AG429" s="9" t="s">
        <v>3551</v>
      </c>
      <c r="AH429" s="9">
        <v>6.2253369999999997</v>
      </c>
      <c r="AI429" s="9">
        <v>-75.599442999999994</v>
      </c>
      <c r="AJ429" s="9" t="s">
        <v>3552</v>
      </c>
      <c r="AK429" s="9">
        <v>6.2500159999999996</v>
      </c>
      <c r="AL429" s="9">
        <v>-75.556476000000004</v>
      </c>
      <c r="AM429" s="27">
        <f t="shared" si="7"/>
        <v>0</v>
      </c>
    </row>
    <row r="430" spans="1:39" ht="15" x14ac:dyDescent="0.25">
      <c r="A430" s="9" t="s">
        <v>3553</v>
      </c>
      <c r="B430" s="9" t="s">
        <v>3554</v>
      </c>
      <c r="C430" s="9" t="s">
        <v>3555</v>
      </c>
      <c r="D430" s="9" t="s">
        <v>3517</v>
      </c>
      <c r="E430" s="9" t="s">
        <v>2619</v>
      </c>
      <c r="F430" s="9" t="s">
        <v>169</v>
      </c>
      <c r="G430" s="9" t="s">
        <v>144</v>
      </c>
      <c r="H430" s="9" t="s">
        <v>145</v>
      </c>
      <c r="I430" s="9" t="s">
        <v>40</v>
      </c>
      <c r="J430" s="9">
        <v>10287</v>
      </c>
      <c r="K430" s="9" t="s">
        <v>3556</v>
      </c>
      <c r="L430" s="9" t="s">
        <v>42</v>
      </c>
      <c r="M430" s="10">
        <v>1.8402777777777778E-2</v>
      </c>
      <c r="N430" s="9" t="s">
        <v>127</v>
      </c>
      <c r="O430" s="9" t="s">
        <v>3557</v>
      </c>
      <c r="P430" s="9" t="s">
        <v>45</v>
      </c>
      <c r="Q430" s="10">
        <v>2.2685185185185191E-3</v>
      </c>
      <c r="R430" s="9" t="s">
        <v>46</v>
      </c>
      <c r="S430" s="10">
        <v>0.34946759259259258</v>
      </c>
      <c r="T430" s="9">
        <v>137.78299999999999</v>
      </c>
      <c r="U430" s="9">
        <v>21.29</v>
      </c>
      <c r="V430" s="10">
        <v>0.2696412037037037</v>
      </c>
      <c r="W430" s="10">
        <v>5.0925925925925923E-2</v>
      </c>
      <c r="X430" s="10">
        <v>0</v>
      </c>
      <c r="Y430" s="9">
        <v>0</v>
      </c>
      <c r="Z430" s="9">
        <v>0</v>
      </c>
      <c r="AA430" s="9">
        <v>0</v>
      </c>
      <c r="AB430" s="9">
        <v>0</v>
      </c>
      <c r="AC430" s="9">
        <v>0</v>
      </c>
      <c r="AD430" s="9">
        <v>0</v>
      </c>
      <c r="AE430" s="9" t="s">
        <v>139</v>
      </c>
      <c r="AF430" s="9" t="s">
        <v>3558</v>
      </c>
      <c r="AG430" s="9" t="s">
        <v>3559</v>
      </c>
      <c r="AH430" s="9">
        <v>6.2768949999999997</v>
      </c>
      <c r="AI430" s="9">
        <v>-75.573032999999995</v>
      </c>
      <c r="AJ430" s="9" t="s">
        <v>3560</v>
      </c>
      <c r="AK430" s="9">
        <v>6.290654</v>
      </c>
      <c r="AL430" s="9">
        <v>-75.546259000000006</v>
      </c>
      <c r="AM430" s="26">
        <f t="shared" si="7"/>
        <v>0</v>
      </c>
    </row>
    <row r="431" spans="1:39" ht="15" x14ac:dyDescent="0.25">
      <c r="A431" s="9" t="s">
        <v>3561</v>
      </c>
      <c r="B431" s="9" t="s">
        <v>3562</v>
      </c>
      <c r="C431" s="9" t="s">
        <v>3563</v>
      </c>
      <c r="D431" s="9" t="s">
        <v>3517</v>
      </c>
      <c r="E431" s="9" t="s">
        <v>2619</v>
      </c>
      <c r="F431" s="9" t="s">
        <v>169</v>
      </c>
      <c r="G431" s="9" t="s">
        <v>152</v>
      </c>
      <c r="H431" s="9" t="s">
        <v>153</v>
      </c>
      <c r="I431" s="9" t="s">
        <v>40</v>
      </c>
      <c r="J431" s="9">
        <v>4074</v>
      </c>
      <c r="K431" s="9" t="s">
        <v>3564</v>
      </c>
      <c r="L431" s="9" t="s">
        <v>42</v>
      </c>
      <c r="M431" s="10">
        <v>1.157407407407407E-5</v>
      </c>
      <c r="N431" s="9" t="s">
        <v>65</v>
      </c>
      <c r="O431" s="9" t="s">
        <v>3565</v>
      </c>
      <c r="P431" s="9" t="s">
        <v>45</v>
      </c>
      <c r="Q431" s="10">
        <v>2.6064814814814811E-2</v>
      </c>
      <c r="R431" s="9" t="s">
        <v>129</v>
      </c>
      <c r="S431" s="10">
        <v>0.35940972222222223</v>
      </c>
      <c r="T431" s="9">
        <v>54.756</v>
      </c>
      <c r="U431" s="9">
        <v>14.83</v>
      </c>
      <c r="V431" s="10">
        <v>0.15384259259259259</v>
      </c>
      <c r="W431" s="10">
        <v>5.4386574074074073E-2</v>
      </c>
      <c r="X431" s="10">
        <v>0.16236111111111109</v>
      </c>
      <c r="Y431" s="9">
        <v>1</v>
      </c>
      <c r="Z431" s="9">
        <v>1</v>
      </c>
      <c r="AA431" s="9">
        <v>1</v>
      </c>
      <c r="AB431" s="9">
        <v>1</v>
      </c>
      <c r="AC431" s="9">
        <v>1</v>
      </c>
      <c r="AD431" s="9">
        <v>2</v>
      </c>
      <c r="AE431" s="9" t="s">
        <v>130</v>
      </c>
      <c r="AF431" s="9" t="s">
        <v>3566</v>
      </c>
      <c r="AG431" s="9" t="s">
        <v>3567</v>
      </c>
      <c r="AH431" s="9">
        <v>6.225562</v>
      </c>
      <c r="AI431" s="9">
        <v>-75.599442999999994</v>
      </c>
      <c r="AJ431" s="9" t="s">
        <v>3568</v>
      </c>
      <c r="AK431" s="9">
        <v>6.2518099999999999</v>
      </c>
      <c r="AL431" s="9">
        <v>-75.551732000000001</v>
      </c>
      <c r="AM431" s="27">
        <f t="shared" si="7"/>
        <v>0</v>
      </c>
    </row>
    <row r="432" spans="1:39" ht="15" x14ac:dyDescent="0.25">
      <c r="A432" s="9" t="s">
        <v>3569</v>
      </c>
      <c r="B432" s="9" t="s">
        <v>3570</v>
      </c>
      <c r="C432" s="9" t="s">
        <v>3571</v>
      </c>
      <c r="D432" s="9" t="s">
        <v>3517</v>
      </c>
      <c r="E432" s="9" t="s">
        <v>2619</v>
      </c>
      <c r="F432" s="9" t="s">
        <v>169</v>
      </c>
      <c r="G432" s="9" t="s">
        <v>89</v>
      </c>
      <c r="H432" s="9" t="s">
        <v>90</v>
      </c>
      <c r="I432" s="9" t="s">
        <v>40</v>
      </c>
      <c r="J432" s="9">
        <v>3900</v>
      </c>
      <c r="K432" s="9" t="s">
        <v>3572</v>
      </c>
      <c r="L432" s="9" t="s">
        <v>42</v>
      </c>
      <c r="M432" s="10">
        <v>1.447916666666667E-2</v>
      </c>
      <c r="N432" s="9" t="s">
        <v>127</v>
      </c>
      <c r="O432" s="9" t="s">
        <v>3573</v>
      </c>
      <c r="P432" s="9" t="s">
        <v>45</v>
      </c>
      <c r="Q432" s="10">
        <v>9.7453703703703695E-3</v>
      </c>
      <c r="R432" s="9" t="s">
        <v>46</v>
      </c>
      <c r="S432" s="10">
        <v>0.33806712962962959</v>
      </c>
      <c r="T432" s="9">
        <v>49.66</v>
      </c>
      <c r="U432" s="9">
        <v>9.57</v>
      </c>
      <c r="V432" s="10">
        <v>0.21622685185185189</v>
      </c>
      <c r="W432" s="10">
        <v>0.12761574074074081</v>
      </c>
      <c r="X432" s="10">
        <v>0</v>
      </c>
      <c r="Y432" s="9">
        <v>0</v>
      </c>
      <c r="Z432" s="9">
        <v>0</v>
      </c>
      <c r="AA432" s="9">
        <v>0</v>
      </c>
      <c r="AB432" s="9">
        <v>0</v>
      </c>
      <c r="AC432" s="9">
        <v>0</v>
      </c>
      <c r="AD432" s="9">
        <v>0</v>
      </c>
      <c r="AE432" s="9" t="s">
        <v>139</v>
      </c>
      <c r="AF432" s="9" t="s">
        <v>3574</v>
      </c>
      <c r="AG432" s="9" t="s">
        <v>3575</v>
      </c>
      <c r="AH432" s="9">
        <v>6.226667</v>
      </c>
      <c r="AI432" s="9">
        <v>-75.599209000000002</v>
      </c>
      <c r="AJ432" s="9" t="s">
        <v>3576</v>
      </c>
      <c r="AK432" s="9">
        <v>6.2786090000000003</v>
      </c>
      <c r="AL432" s="9">
        <v>-75.569281000000004</v>
      </c>
      <c r="AM432" s="26">
        <f t="shared" si="7"/>
        <v>0</v>
      </c>
    </row>
    <row r="433" spans="1:40" ht="15" x14ac:dyDescent="0.25">
      <c r="A433" s="9" t="s">
        <v>3577</v>
      </c>
      <c r="B433" s="9" t="s">
        <v>3578</v>
      </c>
      <c r="C433" s="9" t="s">
        <v>3579</v>
      </c>
      <c r="D433" s="9" t="s">
        <v>3517</v>
      </c>
      <c r="E433" s="9" t="s">
        <v>2619</v>
      </c>
      <c r="F433" s="9" t="s">
        <v>169</v>
      </c>
      <c r="G433" s="9" t="s">
        <v>105</v>
      </c>
      <c r="H433" s="9" t="s">
        <v>106</v>
      </c>
      <c r="I433" s="9" t="s">
        <v>40</v>
      </c>
      <c r="J433" s="9">
        <v>2874</v>
      </c>
      <c r="K433" s="9" t="s">
        <v>3580</v>
      </c>
      <c r="L433" s="9" t="s">
        <v>42</v>
      </c>
      <c r="M433" s="10">
        <v>2.8599537037037041E-2</v>
      </c>
      <c r="N433" s="9" t="s">
        <v>127</v>
      </c>
      <c r="O433" s="9" t="s">
        <v>3581</v>
      </c>
      <c r="P433" s="9" t="s">
        <v>45</v>
      </c>
      <c r="Q433" s="10">
        <v>1.7951388888888892E-2</v>
      </c>
      <c r="R433" s="9" t="s">
        <v>56</v>
      </c>
      <c r="S433" s="10">
        <v>0.3439814814814815</v>
      </c>
      <c r="T433" s="9">
        <v>44.32</v>
      </c>
      <c r="U433" s="9">
        <v>5.9</v>
      </c>
      <c r="V433" s="10">
        <v>0.31299768518518523</v>
      </c>
      <c r="W433" s="10">
        <v>0.22974537037037041</v>
      </c>
      <c r="X433" s="10">
        <v>0</v>
      </c>
      <c r="Y433" s="9">
        <v>0</v>
      </c>
      <c r="Z433" s="9">
        <v>0</v>
      </c>
      <c r="AA433" s="9">
        <v>0</v>
      </c>
      <c r="AB433" s="9">
        <v>0</v>
      </c>
      <c r="AC433" s="9">
        <v>0</v>
      </c>
      <c r="AD433" s="9">
        <v>4</v>
      </c>
      <c r="AE433" s="9" t="s">
        <v>139</v>
      </c>
      <c r="AF433" s="9" t="s">
        <v>3582</v>
      </c>
      <c r="AG433" s="9" t="s">
        <v>3583</v>
      </c>
      <c r="AH433" s="9">
        <v>6.2256359999999997</v>
      </c>
      <c r="AI433" s="9">
        <v>-75.599136000000001</v>
      </c>
      <c r="AJ433" s="9" t="s">
        <v>3584</v>
      </c>
      <c r="AK433" s="9">
        <v>6.2582329999999997</v>
      </c>
      <c r="AL433" s="9">
        <v>-75.615763999999999</v>
      </c>
      <c r="AM433" s="26">
        <f t="shared" si="7"/>
        <v>1.7951388888888892E-2</v>
      </c>
    </row>
    <row r="434" spans="1:40" ht="15" x14ac:dyDescent="0.25">
      <c r="A434" s="9" t="s">
        <v>3585</v>
      </c>
      <c r="B434" s="9" t="s">
        <v>3586</v>
      </c>
      <c r="C434" s="9" t="s">
        <v>3587</v>
      </c>
      <c r="D434" s="9" t="s">
        <v>3517</v>
      </c>
      <c r="E434" s="9" t="s">
        <v>2619</v>
      </c>
      <c r="F434" s="9" t="s">
        <v>169</v>
      </c>
      <c r="G434" s="9" t="s">
        <v>124</v>
      </c>
      <c r="H434" s="9" t="s">
        <v>125</v>
      </c>
      <c r="I434" s="9" t="s">
        <v>115</v>
      </c>
      <c r="J434" s="9">
        <v>4300</v>
      </c>
      <c r="K434" s="9" t="s">
        <v>3588</v>
      </c>
      <c r="L434" s="9" t="s">
        <v>117</v>
      </c>
      <c r="M434" s="10">
        <v>4.1956018518518517E-2</v>
      </c>
      <c r="N434" s="9" t="s">
        <v>127</v>
      </c>
      <c r="O434" s="9" t="s">
        <v>3589</v>
      </c>
      <c r="P434" s="9" t="s">
        <v>119</v>
      </c>
      <c r="Q434" s="10">
        <v>2.4293981481481479E-2</v>
      </c>
      <c r="R434" s="9" t="s">
        <v>129</v>
      </c>
      <c r="S434" s="10">
        <v>0.31624999999999998</v>
      </c>
      <c r="T434" s="9">
        <v>61.747999999999998</v>
      </c>
      <c r="U434" s="9">
        <v>10.79</v>
      </c>
      <c r="V434" s="10">
        <v>0.23841435185185189</v>
      </c>
      <c r="W434" s="10">
        <v>9.3958333333333338E-2</v>
      </c>
      <c r="X434" s="10">
        <v>2.8148148148148151E-2</v>
      </c>
      <c r="Y434" s="9">
        <v>1</v>
      </c>
      <c r="Z434" s="9">
        <v>1</v>
      </c>
      <c r="AA434" s="9">
        <v>1</v>
      </c>
      <c r="AB434" s="9">
        <v>1</v>
      </c>
      <c r="AC434" s="9">
        <v>0</v>
      </c>
      <c r="AD434" s="9">
        <v>0</v>
      </c>
      <c r="AE434" s="9" t="s">
        <v>130</v>
      </c>
      <c r="AF434" s="9" t="s">
        <v>3590</v>
      </c>
      <c r="AG434" s="9" t="s">
        <v>3591</v>
      </c>
      <c r="AH434" s="9">
        <v>6.2267419999999998</v>
      </c>
      <c r="AI434" s="9">
        <v>-75.599952999999999</v>
      </c>
      <c r="AJ434" s="9" t="s">
        <v>3592</v>
      </c>
      <c r="AK434" s="9">
        <v>6.2727170000000001</v>
      </c>
      <c r="AL434" s="9">
        <v>-75.601748000000001</v>
      </c>
      <c r="AM434" s="27">
        <f t="shared" si="7"/>
        <v>0</v>
      </c>
    </row>
    <row r="435" spans="1:40" ht="15" x14ac:dyDescent="0.25">
      <c r="A435" s="9" t="s">
        <v>3593</v>
      </c>
      <c r="B435" s="9" t="s">
        <v>3594</v>
      </c>
      <c r="C435" s="9" t="s">
        <v>3595</v>
      </c>
      <c r="D435" s="9" t="s">
        <v>3517</v>
      </c>
      <c r="E435" s="9" t="s">
        <v>2619</v>
      </c>
      <c r="F435" s="9" t="s">
        <v>169</v>
      </c>
      <c r="G435" s="9" t="s">
        <v>72</v>
      </c>
      <c r="H435" s="9" t="s">
        <v>73</v>
      </c>
      <c r="I435" s="9" t="s">
        <v>115</v>
      </c>
      <c r="J435" s="9">
        <v>2754</v>
      </c>
      <c r="K435" s="9" t="s">
        <v>3596</v>
      </c>
      <c r="L435" s="9" t="s">
        <v>117</v>
      </c>
      <c r="M435" s="10">
        <v>5.0092592592592591E-2</v>
      </c>
      <c r="N435" s="9" t="s">
        <v>127</v>
      </c>
      <c r="O435" s="9" t="s">
        <v>3597</v>
      </c>
      <c r="P435" s="9" t="s">
        <v>119</v>
      </c>
      <c r="Q435" s="10">
        <v>4.0081018518518523E-2</v>
      </c>
      <c r="R435" s="9" t="s">
        <v>56</v>
      </c>
      <c r="S435" s="10">
        <v>0.26001157407407399</v>
      </c>
      <c r="T435" s="9">
        <v>39.378</v>
      </c>
      <c r="U435" s="9">
        <v>7.93</v>
      </c>
      <c r="V435" s="10">
        <v>0.20679398148148151</v>
      </c>
      <c r="W435" s="10">
        <v>0.16332175925925929</v>
      </c>
      <c r="X435" s="10">
        <v>0.12752314814814811</v>
      </c>
      <c r="Y435" s="9">
        <v>1</v>
      </c>
      <c r="Z435" s="9">
        <v>1</v>
      </c>
      <c r="AA435" s="9">
        <v>1</v>
      </c>
      <c r="AB435" s="9">
        <v>1</v>
      </c>
      <c r="AC435" s="9">
        <v>1</v>
      </c>
      <c r="AD435" s="9">
        <v>1</v>
      </c>
      <c r="AE435" s="9" t="s">
        <v>139</v>
      </c>
      <c r="AF435" s="9" t="s">
        <v>3598</v>
      </c>
      <c r="AG435" s="9" t="s">
        <v>3599</v>
      </c>
      <c r="AH435" s="9">
        <v>6.2256910000000003</v>
      </c>
      <c r="AI435" s="9">
        <v>-75.599361000000002</v>
      </c>
      <c r="AJ435" s="9" t="s">
        <v>3600</v>
      </c>
      <c r="AK435" s="9">
        <v>6.237171</v>
      </c>
      <c r="AL435" s="9">
        <v>-75.558699000000004</v>
      </c>
      <c r="AM435" s="26">
        <f t="shared" si="7"/>
        <v>4.0081018518518523E-2</v>
      </c>
    </row>
    <row r="436" spans="1:40" ht="15" x14ac:dyDescent="0.25">
      <c r="A436" s="9" t="s">
        <v>3601</v>
      </c>
      <c r="B436" s="9" t="s">
        <v>3602</v>
      </c>
      <c r="C436" s="9" t="s">
        <v>3603</v>
      </c>
      <c r="D436" s="9" t="s">
        <v>3517</v>
      </c>
      <c r="E436" s="9" t="s">
        <v>2619</v>
      </c>
      <c r="F436" s="9" t="s">
        <v>169</v>
      </c>
      <c r="G436" s="9" t="s">
        <v>80</v>
      </c>
      <c r="H436" s="9" t="s">
        <v>81</v>
      </c>
      <c r="I436" s="9" t="s">
        <v>115</v>
      </c>
      <c r="J436" s="9">
        <v>3896</v>
      </c>
      <c r="K436" s="9" t="s">
        <v>3604</v>
      </c>
      <c r="L436" s="9" t="s">
        <v>117</v>
      </c>
      <c r="M436" s="10">
        <v>7.1931944444444439E-3</v>
      </c>
      <c r="N436" s="9" t="s">
        <v>65</v>
      </c>
      <c r="O436" s="9" t="s">
        <v>3605</v>
      </c>
      <c r="P436" s="9" t="s">
        <v>119</v>
      </c>
      <c r="Q436" s="10">
        <v>4.9714085648148137E-2</v>
      </c>
      <c r="R436" s="9" t="s">
        <v>56</v>
      </c>
      <c r="S436" s="10">
        <v>0.1930927199074074</v>
      </c>
      <c r="T436" s="9">
        <v>25.995999999999999</v>
      </c>
      <c r="U436" s="9">
        <v>31.53</v>
      </c>
      <c r="V436" s="10">
        <v>3.4351481481481448E-2</v>
      </c>
      <c r="W436" s="10">
        <v>1.5496296296296291E-3</v>
      </c>
      <c r="X436" s="10">
        <v>4.1787037037037036E-3</v>
      </c>
      <c r="Y436" s="9">
        <v>0</v>
      </c>
      <c r="Z436" s="9">
        <v>0</v>
      </c>
      <c r="AA436" s="9">
        <v>0</v>
      </c>
      <c r="AB436" s="9">
        <v>0</v>
      </c>
      <c r="AC436" s="9">
        <v>0</v>
      </c>
      <c r="AD436" s="9">
        <v>11</v>
      </c>
      <c r="AE436" s="9" t="s">
        <v>67</v>
      </c>
      <c r="AF436" s="9" t="s">
        <v>3606</v>
      </c>
      <c r="AG436" s="9" t="s">
        <v>3607</v>
      </c>
      <c r="AH436" s="9">
        <v>6.2592449999999999</v>
      </c>
      <c r="AI436" s="9">
        <v>-75.621055999999996</v>
      </c>
      <c r="AJ436" s="9" t="s">
        <v>3608</v>
      </c>
      <c r="AK436" s="9">
        <v>6.2699030000000002</v>
      </c>
      <c r="AL436" s="9">
        <v>-75.653419</v>
      </c>
      <c r="AM436" s="26">
        <f t="shared" si="7"/>
        <v>4.9714085648148137E-2</v>
      </c>
      <c r="AN436" s="1" t="s">
        <v>3625</v>
      </c>
    </row>
    <row r="437" spans="1:40" ht="15" x14ac:dyDescent="0.25">
      <c r="A437" s="9" t="s">
        <v>3609</v>
      </c>
      <c r="B437" s="9" t="s">
        <v>3610</v>
      </c>
      <c r="C437" s="9" t="s">
        <v>3611</v>
      </c>
      <c r="D437" s="9" t="s">
        <v>3517</v>
      </c>
      <c r="E437" s="9" t="s">
        <v>2619</v>
      </c>
      <c r="F437" s="9" t="s">
        <v>169</v>
      </c>
      <c r="G437" s="9" t="s">
        <v>160</v>
      </c>
      <c r="H437" s="9" t="s">
        <v>161</v>
      </c>
      <c r="I437" s="9" t="s">
        <v>115</v>
      </c>
      <c r="J437" s="9">
        <v>9577</v>
      </c>
      <c r="K437" s="9" t="s">
        <v>3612</v>
      </c>
      <c r="L437" s="9" t="s">
        <v>117</v>
      </c>
      <c r="M437" s="10">
        <v>2.5949074074074079E-2</v>
      </c>
      <c r="N437" s="9" t="s">
        <v>127</v>
      </c>
      <c r="O437" s="9" t="s">
        <v>3613</v>
      </c>
      <c r="P437" s="9" t="s">
        <v>119</v>
      </c>
      <c r="Q437" s="10">
        <v>1.689814814814815E-3</v>
      </c>
      <c r="R437" s="9" t="s">
        <v>46</v>
      </c>
      <c r="S437" s="10">
        <v>0.27763888888888888</v>
      </c>
      <c r="T437" s="9">
        <v>63.25</v>
      </c>
      <c r="U437" s="9">
        <v>13.34</v>
      </c>
      <c r="V437" s="10">
        <v>0.19760256944444449</v>
      </c>
      <c r="W437" s="10">
        <v>0.13977430555555559</v>
      </c>
      <c r="X437" s="10">
        <v>0</v>
      </c>
      <c r="Y437" s="9">
        <v>0</v>
      </c>
      <c r="Z437" s="9">
        <v>0</v>
      </c>
      <c r="AA437" s="9">
        <v>0</v>
      </c>
      <c r="AB437" s="9">
        <v>0</v>
      </c>
      <c r="AC437" s="9">
        <v>0</v>
      </c>
      <c r="AD437" s="9">
        <v>4</v>
      </c>
      <c r="AE437" s="9" t="s">
        <v>139</v>
      </c>
      <c r="AF437" s="9" t="s">
        <v>3614</v>
      </c>
      <c r="AG437" s="9" t="s">
        <v>3615</v>
      </c>
      <c r="AH437" s="9">
        <v>6.2601269999999998</v>
      </c>
      <c r="AI437" s="9">
        <v>-75.597471999999996</v>
      </c>
      <c r="AJ437" s="9" t="s">
        <v>3616</v>
      </c>
      <c r="AK437" s="9">
        <v>6.2736099999999997</v>
      </c>
      <c r="AL437" s="9">
        <v>-75.593002999999996</v>
      </c>
      <c r="AM437" s="27">
        <f t="shared" si="7"/>
        <v>0</v>
      </c>
    </row>
    <row r="438" spans="1:40" ht="15" x14ac:dyDescent="0.25">
      <c r="A438" s="9" t="s">
        <v>3617</v>
      </c>
      <c r="B438" s="9" t="s">
        <v>3618</v>
      </c>
      <c r="C438" s="9" t="s">
        <v>3619</v>
      </c>
      <c r="D438" s="9" t="s">
        <v>3517</v>
      </c>
      <c r="E438" s="9" t="s">
        <v>2619</v>
      </c>
      <c r="F438" s="9" t="s">
        <v>169</v>
      </c>
      <c r="G438" s="9" t="s">
        <v>97</v>
      </c>
      <c r="H438" s="9" t="s">
        <v>98</v>
      </c>
      <c r="I438" s="9" t="s">
        <v>115</v>
      </c>
      <c r="J438" s="9">
        <v>2489</v>
      </c>
      <c r="K438" s="9" t="s">
        <v>3620</v>
      </c>
      <c r="L438" s="9" t="s">
        <v>117</v>
      </c>
      <c r="M438" s="10">
        <v>3.3506944444444443E-2</v>
      </c>
      <c r="N438" s="9" t="s">
        <v>127</v>
      </c>
      <c r="O438" s="9" t="s">
        <v>3621</v>
      </c>
      <c r="P438" s="9" t="s">
        <v>119</v>
      </c>
      <c r="Q438" s="10">
        <v>5.8101851851851856E-3</v>
      </c>
      <c r="R438" s="9" t="s">
        <v>46</v>
      </c>
      <c r="S438" s="10">
        <v>0.28931712962962958</v>
      </c>
      <c r="T438" s="9">
        <v>34.802999999999997</v>
      </c>
      <c r="U438" s="9">
        <v>8.58</v>
      </c>
      <c r="V438" s="10">
        <v>0.16898148148148151</v>
      </c>
      <c r="W438" s="10">
        <v>0.1141550925925926</v>
      </c>
      <c r="X438" s="10">
        <v>0</v>
      </c>
      <c r="Y438" s="9">
        <v>0</v>
      </c>
      <c r="Z438" s="9">
        <v>0</v>
      </c>
      <c r="AA438" s="9">
        <v>0</v>
      </c>
      <c r="AB438" s="9">
        <v>0</v>
      </c>
      <c r="AC438" s="9">
        <v>0</v>
      </c>
      <c r="AD438" s="9">
        <v>1</v>
      </c>
      <c r="AE438" s="9" t="s">
        <v>139</v>
      </c>
      <c r="AF438" s="9" t="s">
        <v>3622</v>
      </c>
      <c r="AG438" s="9" t="s">
        <v>3623</v>
      </c>
      <c r="AH438" s="9">
        <v>6.2256330000000002</v>
      </c>
      <c r="AI438" s="9">
        <v>-75.599463999999998</v>
      </c>
      <c r="AJ438" s="9" t="s">
        <v>3624</v>
      </c>
      <c r="AK438" s="9">
        <v>6.304074</v>
      </c>
      <c r="AL438" s="9">
        <v>-75.582063000000005</v>
      </c>
      <c r="AM438" s="26">
        <f t="shared" si="7"/>
        <v>0</v>
      </c>
    </row>
    <row r="439" spans="1:40" ht="15" x14ac:dyDescent="0.25">
      <c r="A439" s="9" t="s">
        <v>3626</v>
      </c>
      <c r="B439" s="9" t="s">
        <v>3627</v>
      </c>
      <c r="C439" s="9" t="s">
        <v>3628</v>
      </c>
      <c r="D439" s="9" t="s">
        <v>3629</v>
      </c>
      <c r="E439" s="9" t="s">
        <v>2619</v>
      </c>
      <c r="F439" s="9" t="s">
        <v>315</v>
      </c>
      <c r="G439" s="9" t="s">
        <v>38</v>
      </c>
      <c r="H439" s="9" t="s">
        <v>39</v>
      </c>
      <c r="I439" s="9" t="s">
        <v>40</v>
      </c>
      <c r="J439" s="9">
        <v>3254</v>
      </c>
      <c r="K439" s="9" t="s">
        <v>3630</v>
      </c>
      <c r="L439" s="9" t="s">
        <v>42</v>
      </c>
      <c r="M439" s="10">
        <v>2.358796296296296E-2</v>
      </c>
      <c r="N439" s="9" t="s">
        <v>43</v>
      </c>
      <c r="O439" s="9" t="s">
        <v>3631</v>
      </c>
      <c r="P439" s="9" t="s">
        <v>45</v>
      </c>
      <c r="Q439" s="10">
        <v>4.409722222222222E-3</v>
      </c>
      <c r="R439" s="9" t="s">
        <v>46</v>
      </c>
      <c r="S439" s="10">
        <v>0.31415509259259261</v>
      </c>
      <c r="T439" s="9">
        <v>43.69</v>
      </c>
      <c r="U439" s="9">
        <v>11.49</v>
      </c>
      <c r="V439" s="10">
        <v>0.1584837962962963</v>
      </c>
      <c r="W439" s="10">
        <v>9.313657407407408E-2</v>
      </c>
      <c r="X439" s="10">
        <v>0</v>
      </c>
      <c r="Y439" s="9">
        <v>0</v>
      </c>
      <c r="Z439" s="9">
        <v>0</v>
      </c>
      <c r="AA439" s="9">
        <v>0</v>
      </c>
      <c r="AB439" s="9">
        <v>0</v>
      </c>
      <c r="AC439" s="9">
        <v>0</v>
      </c>
      <c r="AD439" s="9">
        <v>1</v>
      </c>
      <c r="AE439" s="9" t="s">
        <v>47</v>
      </c>
      <c r="AF439" s="9" t="s">
        <v>3632</v>
      </c>
      <c r="AG439" s="9" t="s">
        <v>3633</v>
      </c>
      <c r="AH439" s="9">
        <v>6.2032530000000001</v>
      </c>
      <c r="AI439" s="9">
        <v>-75.600690999999998</v>
      </c>
      <c r="AJ439" s="9" t="s">
        <v>3634</v>
      </c>
      <c r="AK439" s="9">
        <v>6.2300930000000001</v>
      </c>
      <c r="AL439" s="9">
        <v>-75.599960999999993</v>
      </c>
      <c r="AM439" s="26">
        <f t="shared" si="7"/>
        <v>2.358796296296296E-2</v>
      </c>
    </row>
    <row r="440" spans="1:40" ht="15" x14ac:dyDescent="0.25">
      <c r="A440" s="9" t="s">
        <v>3635</v>
      </c>
      <c r="B440" s="9" t="s">
        <v>3636</v>
      </c>
      <c r="C440" s="9" t="s">
        <v>3637</v>
      </c>
      <c r="D440" s="9" t="s">
        <v>3629</v>
      </c>
      <c r="E440" s="9" t="s">
        <v>2619</v>
      </c>
      <c r="F440" s="9" t="s">
        <v>315</v>
      </c>
      <c r="G440" s="9" t="s">
        <v>52</v>
      </c>
      <c r="H440" s="9" t="s">
        <v>53</v>
      </c>
      <c r="I440" s="9" t="s">
        <v>40</v>
      </c>
      <c r="J440" s="9">
        <v>1989</v>
      </c>
      <c r="K440" s="9" t="s">
        <v>3638</v>
      </c>
      <c r="L440" s="9" t="s">
        <v>42</v>
      </c>
      <c r="M440" s="10">
        <v>1.832175925925926E-2</v>
      </c>
      <c r="N440" s="9" t="s">
        <v>127</v>
      </c>
      <c r="O440" s="9" t="s">
        <v>3639</v>
      </c>
      <c r="P440" s="9" t="s">
        <v>45</v>
      </c>
      <c r="Q440" s="10">
        <v>1.6793981481481479E-2</v>
      </c>
      <c r="R440" s="9" t="s">
        <v>129</v>
      </c>
      <c r="S440" s="10">
        <v>0.36844907407407412</v>
      </c>
      <c r="T440" s="9">
        <v>24.337</v>
      </c>
      <c r="U440" s="9">
        <v>6.7</v>
      </c>
      <c r="V440" s="10">
        <v>0.15137731481481481</v>
      </c>
      <c r="W440" s="10">
        <v>0.1083912037037037</v>
      </c>
      <c r="X440" s="10">
        <v>5.0347222222222234E-3</v>
      </c>
      <c r="Y440" s="9">
        <v>0</v>
      </c>
      <c r="Z440" s="9">
        <v>0</v>
      </c>
      <c r="AA440" s="9">
        <v>0</v>
      </c>
      <c r="AB440" s="9">
        <v>0</v>
      </c>
      <c r="AC440" s="9">
        <v>0</v>
      </c>
      <c r="AD440" s="9">
        <v>0</v>
      </c>
      <c r="AE440" s="9" t="s">
        <v>130</v>
      </c>
      <c r="AF440" s="9" t="s">
        <v>3640</v>
      </c>
      <c r="AG440" s="9" t="s">
        <v>3641</v>
      </c>
      <c r="AH440" s="9">
        <v>6.2253959999999999</v>
      </c>
      <c r="AI440" s="9">
        <v>-75.599064999999996</v>
      </c>
      <c r="AJ440" s="9" t="s">
        <v>3642</v>
      </c>
      <c r="AK440" s="9">
        <v>6.2475329999999998</v>
      </c>
      <c r="AL440" s="9">
        <v>-75.614945000000006</v>
      </c>
      <c r="AM440" s="26">
        <f t="shared" si="7"/>
        <v>0</v>
      </c>
    </row>
    <row r="441" spans="1:40" ht="15" x14ac:dyDescent="0.25">
      <c r="A441" s="9" t="s">
        <v>3643</v>
      </c>
      <c r="B441" s="9" t="s">
        <v>3644</v>
      </c>
      <c r="C441" s="9" t="s">
        <v>3645</v>
      </c>
      <c r="D441" s="9" t="s">
        <v>3629</v>
      </c>
      <c r="E441" s="9" t="s">
        <v>2619</v>
      </c>
      <c r="F441" s="9" t="s">
        <v>315</v>
      </c>
      <c r="G441" s="9" t="s">
        <v>62</v>
      </c>
      <c r="H441" s="9" t="s">
        <v>63</v>
      </c>
      <c r="I441" s="9" t="s">
        <v>40</v>
      </c>
      <c r="J441" s="9">
        <v>2866</v>
      </c>
      <c r="K441" s="9" t="s">
        <v>3646</v>
      </c>
      <c r="L441" s="9" t="s">
        <v>42</v>
      </c>
      <c r="M441" s="10">
        <v>6.030092592592593E-3</v>
      </c>
      <c r="N441" s="9" t="s">
        <v>65</v>
      </c>
      <c r="O441" s="9" t="s">
        <v>3647</v>
      </c>
      <c r="P441" s="9" t="s">
        <v>45</v>
      </c>
      <c r="Q441" s="10">
        <v>9.6134259259259253E-2</v>
      </c>
      <c r="R441" s="9" t="s">
        <v>56</v>
      </c>
      <c r="S441" s="10">
        <v>0.24322916666666669</v>
      </c>
      <c r="T441" s="9">
        <v>36.524000000000001</v>
      </c>
      <c r="U441" s="9">
        <v>9.73</v>
      </c>
      <c r="V441" s="10">
        <v>0.15640046296296289</v>
      </c>
      <c r="W441" s="10">
        <v>8.2372685185185188E-2</v>
      </c>
      <c r="X441" s="10">
        <v>0</v>
      </c>
      <c r="Y441" s="9">
        <v>0</v>
      </c>
      <c r="Z441" s="9">
        <v>0</v>
      </c>
      <c r="AA441" s="9">
        <v>0</v>
      </c>
      <c r="AB441" s="9">
        <v>0</v>
      </c>
      <c r="AC441" s="9">
        <v>0</v>
      </c>
      <c r="AD441" s="9">
        <v>1</v>
      </c>
      <c r="AE441" s="9" t="s">
        <v>67</v>
      </c>
      <c r="AF441" s="9" t="s">
        <v>3648</v>
      </c>
      <c r="AG441" s="9" t="s">
        <v>3649</v>
      </c>
      <c r="AH441" s="9">
        <v>6.2258699999999996</v>
      </c>
      <c r="AI441" s="9">
        <v>-75.599429999999998</v>
      </c>
      <c r="AJ441" s="9" t="s">
        <v>3650</v>
      </c>
      <c r="AK441" s="9">
        <v>6.3046309999999997</v>
      </c>
      <c r="AL441" s="9">
        <v>-75.577946999999995</v>
      </c>
      <c r="AM441" s="27">
        <f t="shared" si="7"/>
        <v>9.6134259259259253E-2</v>
      </c>
    </row>
    <row r="442" spans="1:40" ht="15" x14ac:dyDescent="0.25">
      <c r="A442" s="9" t="s">
        <v>3651</v>
      </c>
      <c r="B442" s="9" t="s">
        <v>3652</v>
      </c>
      <c r="C442" s="9" t="s">
        <v>3653</v>
      </c>
      <c r="D442" s="9" t="s">
        <v>3629</v>
      </c>
      <c r="E442" s="9" t="s">
        <v>2619</v>
      </c>
      <c r="F442" s="9" t="s">
        <v>315</v>
      </c>
      <c r="G442" s="9" t="s">
        <v>135</v>
      </c>
      <c r="H442" s="9" t="s">
        <v>136</v>
      </c>
      <c r="I442" s="9" t="s">
        <v>40</v>
      </c>
      <c r="J442" s="9">
        <v>2470</v>
      </c>
      <c r="K442" s="9" t="s">
        <v>3654</v>
      </c>
      <c r="L442" s="9" t="s">
        <v>42</v>
      </c>
      <c r="M442" s="10">
        <v>1.1226851851851849E-3</v>
      </c>
      <c r="N442" s="9" t="s">
        <v>65</v>
      </c>
      <c r="O442" s="9" t="s">
        <v>3655</v>
      </c>
      <c r="P442" s="9" t="s">
        <v>45</v>
      </c>
      <c r="Q442" s="10">
        <v>2.1990740740740742E-3</v>
      </c>
      <c r="R442" s="9" t="s">
        <v>46</v>
      </c>
      <c r="S442" s="10">
        <v>0.33665509259259258</v>
      </c>
      <c r="T442" s="9">
        <v>41.499000000000002</v>
      </c>
      <c r="U442" s="9">
        <v>12.76</v>
      </c>
      <c r="V442" s="10">
        <v>0.13548611111111111</v>
      </c>
      <c r="W442" s="10">
        <v>7.2210648148148149E-2</v>
      </c>
      <c r="X442" s="10">
        <v>0</v>
      </c>
      <c r="Y442" s="9">
        <v>0</v>
      </c>
      <c r="Z442" s="9">
        <v>0</v>
      </c>
      <c r="AA442" s="9">
        <v>0</v>
      </c>
      <c r="AB442" s="9">
        <v>0</v>
      </c>
      <c r="AC442" s="9">
        <v>0</v>
      </c>
      <c r="AD442" s="9">
        <v>7</v>
      </c>
      <c r="AE442" s="9" t="s">
        <v>84</v>
      </c>
      <c r="AF442" s="9" t="s">
        <v>2832</v>
      </c>
      <c r="AG442" s="9" t="s">
        <v>3656</v>
      </c>
      <c r="AH442" s="9">
        <v>6.2447650000000001</v>
      </c>
      <c r="AI442" s="9">
        <v>-75.570937999999998</v>
      </c>
      <c r="AJ442" s="9" t="s">
        <v>3657</v>
      </c>
      <c r="AK442" s="9">
        <v>6.2430890000000003</v>
      </c>
      <c r="AL442" s="9">
        <v>-75.548852999999994</v>
      </c>
      <c r="AM442" s="26">
        <f t="shared" si="7"/>
        <v>0</v>
      </c>
    </row>
    <row r="443" spans="1:40" ht="15" x14ac:dyDescent="0.25">
      <c r="A443" s="9" t="s">
        <v>3658</v>
      </c>
      <c r="B443" s="9" t="s">
        <v>3659</v>
      </c>
      <c r="C443" s="9" t="s">
        <v>3660</v>
      </c>
      <c r="D443" s="9" t="s">
        <v>3629</v>
      </c>
      <c r="E443" s="9" t="s">
        <v>2619</v>
      </c>
      <c r="F443" s="9" t="s">
        <v>315</v>
      </c>
      <c r="G443" s="9" t="s">
        <v>144</v>
      </c>
      <c r="H443" s="9" t="s">
        <v>145</v>
      </c>
      <c r="I443" s="9" t="s">
        <v>40</v>
      </c>
      <c r="J443" s="9">
        <v>7427</v>
      </c>
      <c r="K443" s="9" t="s">
        <v>3661</v>
      </c>
      <c r="L443" s="9" t="s">
        <v>42</v>
      </c>
      <c r="M443" s="10">
        <v>1.5810185185185181E-2</v>
      </c>
      <c r="N443" s="9" t="s">
        <v>127</v>
      </c>
      <c r="O443" s="9" t="s">
        <v>3662</v>
      </c>
      <c r="P443" s="9" t="s">
        <v>45</v>
      </c>
      <c r="Q443" s="10">
        <v>1.172453703703704E-2</v>
      </c>
      <c r="R443" s="9" t="s">
        <v>56</v>
      </c>
      <c r="S443" s="10">
        <v>0.33741898148148147</v>
      </c>
      <c r="T443" s="9">
        <v>98.212999999999994</v>
      </c>
      <c r="U443" s="9">
        <v>15.72</v>
      </c>
      <c r="V443" s="10">
        <v>0.2603935185185185</v>
      </c>
      <c r="W443" s="10">
        <v>7.5127314814814813E-2</v>
      </c>
      <c r="X443" s="10">
        <v>0</v>
      </c>
      <c r="Y443" s="9">
        <v>0</v>
      </c>
      <c r="Z443" s="9">
        <v>0</v>
      </c>
      <c r="AA443" s="9">
        <v>0</v>
      </c>
      <c r="AB443" s="9">
        <v>0</v>
      </c>
      <c r="AC443" s="9">
        <v>0</v>
      </c>
      <c r="AD443" s="9">
        <v>0</v>
      </c>
      <c r="AE443" s="9" t="s">
        <v>139</v>
      </c>
      <c r="AF443" s="9" t="s">
        <v>3663</v>
      </c>
      <c r="AG443" s="9" t="s">
        <v>3664</v>
      </c>
      <c r="AH443" s="9">
        <v>6.2728659999999996</v>
      </c>
      <c r="AI443" s="9">
        <v>-75.574477999999999</v>
      </c>
      <c r="AJ443" s="9" t="s">
        <v>3665</v>
      </c>
      <c r="AK443" s="9">
        <v>6.2728700000000002</v>
      </c>
      <c r="AL443" s="9">
        <v>-75.574524999999994</v>
      </c>
      <c r="AM443" s="26">
        <f t="shared" si="7"/>
        <v>1.172453703703704E-2</v>
      </c>
    </row>
    <row r="444" spans="1:40" ht="15" x14ac:dyDescent="0.25">
      <c r="A444" s="9" t="s">
        <v>3666</v>
      </c>
      <c r="B444" s="9" t="s">
        <v>3667</v>
      </c>
      <c r="C444" s="9" t="s">
        <v>3668</v>
      </c>
      <c r="D444" s="9" t="s">
        <v>3629</v>
      </c>
      <c r="E444" s="9" t="s">
        <v>2619</v>
      </c>
      <c r="F444" s="9" t="s">
        <v>315</v>
      </c>
      <c r="G444" s="9" t="s">
        <v>152</v>
      </c>
      <c r="H444" s="9" t="s">
        <v>153</v>
      </c>
      <c r="I444" s="9" t="s">
        <v>40</v>
      </c>
      <c r="J444" s="9">
        <v>2361</v>
      </c>
      <c r="K444" s="9" t="s">
        <v>3669</v>
      </c>
      <c r="L444" s="9" t="s">
        <v>42</v>
      </c>
      <c r="M444" s="10">
        <v>9.9537037037037042E-4</v>
      </c>
      <c r="N444" s="9" t="s">
        <v>65</v>
      </c>
      <c r="O444" s="9" t="s">
        <v>3670</v>
      </c>
      <c r="P444" s="9" t="s">
        <v>45</v>
      </c>
      <c r="Q444" s="10">
        <v>0.16025462962962961</v>
      </c>
      <c r="R444" s="9" t="s">
        <v>56</v>
      </c>
      <c r="S444" s="10">
        <v>0.17208333333333331</v>
      </c>
      <c r="T444" s="9">
        <v>30.536000000000001</v>
      </c>
      <c r="U444" s="9">
        <v>9.1</v>
      </c>
      <c r="V444" s="10">
        <v>0.1398726851851852</v>
      </c>
      <c r="W444" s="10">
        <v>7.9618055555555553E-2</v>
      </c>
      <c r="X444" s="10">
        <v>0</v>
      </c>
      <c r="Y444" s="9">
        <v>0</v>
      </c>
      <c r="Z444" s="9">
        <v>0</v>
      </c>
      <c r="AA444" s="9">
        <v>0</v>
      </c>
      <c r="AB444" s="9">
        <v>0</v>
      </c>
      <c r="AC444" s="9">
        <v>0</v>
      </c>
      <c r="AD444" s="9">
        <v>1</v>
      </c>
      <c r="AE444" s="9" t="s">
        <v>67</v>
      </c>
      <c r="AF444" s="9" t="s">
        <v>3671</v>
      </c>
      <c r="AG444" s="9" t="s">
        <v>3672</v>
      </c>
      <c r="AH444" s="9">
        <v>6.2255229999999999</v>
      </c>
      <c r="AI444" s="9">
        <v>-75.598996999999997</v>
      </c>
      <c r="AJ444" s="9" t="s">
        <v>3673</v>
      </c>
      <c r="AK444" s="9">
        <v>6.2518479999999998</v>
      </c>
      <c r="AL444" s="9">
        <v>-75.551895000000002</v>
      </c>
      <c r="AM444" s="26">
        <f t="shared" si="7"/>
        <v>0.16025462962962961</v>
      </c>
    </row>
    <row r="445" spans="1:40" ht="15" x14ac:dyDescent="0.25">
      <c r="A445" s="9" t="s">
        <v>3674</v>
      </c>
      <c r="B445" s="9" t="s">
        <v>3675</v>
      </c>
      <c r="C445" s="9" t="s">
        <v>3676</v>
      </c>
      <c r="D445" s="9" t="s">
        <v>3629</v>
      </c>
      <c r="E445" s="9" t="s">
        <v>2619</v>
      </c>
      <c r="F445" s="9" t="s">
        <v>315</v>
      </c>
      <c r="G445" s="9" t="s">
        <v>89</v>
      </c>
      <c r="H445" s="9" t="s">
        <v>90</v>
      </c>
      <c r="I445" s="9" t="s">
        <v>40</v>
      </c>
      <c r="J445" s="9">
        <v>2655</v>
      </c>
      <c r="K445" s="9" t="s">
        <v>3677</v>
      </c>
      <c r="L445" s="9" t="s">
        <v>42</v>
      </c>
      <c r="M445" s="10">
        <v>0.15334490740740739</v>
      </c>
      <c r="N445" s="9" t="s">
        <v>43</v>
      </c>
      <c r="O445" s="9" t="s">
        <v>3678</v>
      </c>
      <c r="P445" s="9" t="s">
        <v>45</v>
      </c>
      <c r="Q445" s="10">
        <v>4.3055555555555564E-3</v>
      </c>
      <c r="R445" s="9" t="s">
        <v>46</v>
      </c>
      <c r="S445" s="10">
        <v>0.17568287037037039</v>
      </c>
      <c r="T445" s="9">
        <v>34.792000000000002</v>
      </c>
      <c r="U445" s="9">
        <v>12.26</v>
      </c>
      <c r="V445" s="10">
        <v>0.1182638888888889</v>
      </c>
      <c r="W445" s="10">
        <v>4.4780092592592587E-2</v>
      </c>
      <c r="X445" s="10">
        <v>0</v>
      </c>
      <c r="Y445" s="9">
        <v>0</v>
      </c>
      <c r="Z445" s="9">
        <v>0</v>
      </c>
      <c r="AA445" s="9">
        <v>0</v>
      </c>
      <c r="AB445" s="9">
        <v>0</v>
      </c>
      <c r="AC445" s="9">
        <v>0</v>
      </c>
      <c r="AD445" s="9">
        <v>0</v>
      </c>
      <c r="AE445" s="9" t="s">
        <v>47</v>
      </c>
      <c r="AF445" s="9" t="s">
        <v>3679</v>
      </c>
      <c r="AG445" s="9" t="s">
        <v>3680</v>
      </c>
      <c r="AH445" s="9">
        <v>6.2575839999999996</v>
      </c>
      <c r="AI445" s="9">
        <v>-75.561882999999995</v>
      </c>
      <c r="AJ445" s="9" t="s">
        <v>3681</v>
      </c>
      <c r="AK445" s="9">
        <v>6.2783480000000003</v>
      </c>
      <c r="AL445" s="9">
        <v>-75.569460000000007</v>
      </c>
      <c r="AM445" s="27">
        <f t="shared" si="7"/>
        <v>0.15334490740740739</v>
      </c>
    </row>
    <row r="446" spans="1:40" ht="15" x14ac:dyDescent="0.25">
      <c r="A446" s="9" t="s">
        <v>3682</v>
      </c>
      <c r="B446" s="9" t="s">
        <v>3683</v>
      </c>
      <c r="C446" s="9" t="s">
        <v>3684</v>
      </c>
      <c r="D446" s="9" t="s">
        <v>3629</v>
      </c>
      <c r="E446" s="9" t="s">
        <v>2619</v>
      </c>
      <c r="F446" s="9" t="s">
        <v>315</v>
      </c>
      <c r="G446" s="9" t="s">
        <v>105</v>
      </c>
      <c r="H446" s="9" t="s">
        <v>106</v>
      </c>
      <c r="I446" s="9" t="s">
        <v>40</v>
      </c>
      <c r="J446" s="9">
        <v>2645</v>
      </c>
      <c r="K446" s="9" t="s">
        <v>3685</v>
      </c>
      <c r="L446" s="9" t="s">
        <v>42</v>
      </c>
      <c r="M446" s="10">
        <v>1.7326388888888891E-2</v>
      </c>
      <c r="N446" s="9" t="s">
        <v>43</v>
      </c>
      <c r="O446" s="9" t="s">
        <v>3686</v>
      </c>
      <c r="P446" s="9" t="s">
        <v>45</v>
      </c>
      <c r="Q446" s="10">
        <v>3.5763888888888889E-3</v>
      </c>
      <c r="R446" s="9" t="s">
        <v>46</v>
      </c>
      <c r="S446" s="10">
        <v>0.31958333333333327</v>
      </c>
      <c r="T446" s="9">
        <v>33.097000000000001</v>
      </c>
      <c r="U446" s="9">
        <v>5.53</v>
      </c>
      <c r="V446" s="10">
        <v>0.24956018518518519</v>
      </c>
      <c r="W446" s="10">
        <v>0.17658564814814809</v>
      </c>
      <c r="X446" s="10">
        <v>5.5833333333333332E-2</v>
      </c>
      <c r="Y446" s="9">
        <v>1</v>
      </c>
      <c r="Z446" s="9">
        <v>1</v>
      </c>
      <c r="AA446" s="9">
        <v>1</v>
      </c>
      <c r="AB446" s="9">
        <v>1</v>
      </c>
      <c r="AC446" s="9">
        <v>1</v>
      </c>
      <c r="AD446" s="9">
        <v>1</v>
      </c>
      <c r="AE446" s="9" t="s">
        <v>47</v>
      </c>
      <c r="AF446" s="9" t="s">
        <v>3687</v>
      </c>
      <c r="AG446" s="9" t="s">
        <v>3688</v>
      </c>
      <c r="AH446" s="9">
        <v>6.2255500000000001</v>
      </c>
      <c r="AI446" s="9">
        <v>-75.599144999999993</v>
      </c>
      <c r="AJ446" s="9" t="s">
        <v>3689</v>
      </c>
      <c r="AK446" s="9">
        <v>6.2586539999999999</v>
      </c>
      <c r="AL446" s="9">
        <v>-75.616274000000004</v>
      </c>
      <c r="AM446" s="26">
        <f t="shared" si="7"/>
        <v>1.7326388888888891E-2</v>
      </c>
    </row>
    <row r="447" spans="1:40" ht="15" x14ac:dyDescent="0.25">
      <c r="A447" s="9" t="s">
        <v>3690</v>
      </c>
      <c r="B447" s="9" t="s">
        <v>3691</v>
      </c>
      <c r="C447" s="9" t="s">
        <v>3692</v>
      </c>
      <c r="D447" s="9" t="s">
        <v>3629</v>
      </c>
      <c r="E447" s="9" t="s">
        <v>2619</v>
      </c>
      <c r="F447" s="9" t="s">
        <v>315</v>
      </c>
      <c r="G447" s="9" t="s">
        <v>113</v>
      </c>
      <c r="H447" s="9" t="s">
        <v>114</v>
      </c>
      <c r="I447" s="9" t="s">
        <v>40</v>
      </c>
      <c r="J447" s="9">
        <v>2087</v>
      </c>
      <c r="K447" s="9" t="s">
        <v>3693</v>
      </c>
      <c r="L447" s="9" t="s">
        <v>42</v>
      </c>
      <c r="M447" s="10">
        <v>4.8032407407407407E-3</v>
      </c>
      <c r="N447" s="9" t="s">
        <v>65</v>
      </c>
      <c r="O447" s="9" t="s">
        <v>3694</v>
      </c>
      <c r="P447" s="9" t="s">
        <v>45</v>
      </c>
      <c r="Q447" s="10">
        <v>5.9375000000000001E-3</v>
      </c>
      <c r="R447" s="9" t="s">
        <v>46</v>
      </c>
      <c r="S447" s="10">
        <v>0.33219907407407412</v>
      </c>
      <c r="T447" s="9">
        <v>27.123000000000001</v>
      </c>
      <c r="U447" s="9">
        <v>4.01</v>
      </c>
      <c r="V447" s="10">
        <v>0.2817824074074074</v>
      </c>
      <c r="W447" s="10">
        <v>0.22500000000000001</v>
      </c>
      <c r="X447" s="10">
        <v>0</v>
      </c>
      <c r="Y447" s="9">
        <v>0</v>
      </c>
      <c r="Z447" s="9">
        <v>0</v>
      </c>
      <c r="AA447" s="9">
        <v>0</v>
      </c>
      <c r="AB447" s="9">
        <v>0</v>
      </c>
      <c r="AC447" s="9">
        <v>0</v>
      </c>
      <c r="AD447" s="9">
        <v>4</v>
      </c>
      <c r="AE447" s="9" t="s">
        <v>84</v>
      </c>
      <c r="AF447" s="9" t="s">
        <v>1602</v>
      </c>
      <c r="AG447" s="9" t="s">
        <v>3695</v>
      </c>
      <c r="AH447" s="9">
        <v>6.2337309999999997</v>
      </c>
      <c r="AI447" s="9">
        <v>-75.602238</v>
      </c>
      <c r="AJ447" s="9" t="s">
        <v>3696</v>
      </c>
      <c r="AK447" s="9">
        <v>6.2474550000000004</v>
      </c>
      <c r="AL447" s="9">
        <v>-75.578222999999994</v>
      </c>
      <c r="AM447" s="26">
        <f t="shared" si="7"/>
        <v>0</v>
      </c>
    </row>
    <row r="448" spans="1:40" ht="15" x14ac:dyDescent="0.25">
      <c r="A448" s="9" t="s">
        <v>3697</v>
      </c>
      <c r="B448" s="9" t="s">
        <v>3698</v>
      </c>
      <c r="C448" s="9" t="s">
        <v>3699</v>
      </c>
      <c r="D448" s="9" t="s">
        <v>3629</v>
      </c>
      <c r="E448" s="9" t="s">
        <v>2619</v>
      </c>
      <c r="F448" s="9" t="s">
        <v>315</v>
      </c>
      <c r="G448" s="9" t="s">
        <v>124</v>
      </c>
      <c r="H448" s="9" t="s">
        <v>125</v>
      </c>
      <c r="I448" s="9" t="s">
        <v>115</v>
      </c>
      <c r="J448" s="9">
        <v>4583</v>
      </c>
      <c r="K448" s="9" t="s">
        <v>3700</v>
      </c>
      <c r="L448" s="9" t="s">
        <v>117</v>
      </c>
      <c r="M448" s="10">
        <v>3.5856481481481482E-2</v>
      </c>
      <c r="N448" s="9" t="s">
        <v>127</v>
      </c>
      <c r="O448" s="9" t="s">
        <v>3701</v>
      </c>
      <c r="P448" s="9" t="s">
        <v>119</v>
      </c>
      <c r="Q448" s="10">
        <v>6.8055555555555551E-3</v>
      </c>
      <c r="R448" s="9" t="s">
        <v>46</v>
      </c>
      <c r="S448" s="10">
        <v>0.29266203703703703</v>
      </c>
      <c r="T448" s="9">
        <v>57.735999999999997</v>
      </c>
      <c r="U448" s="9">
        <v>11.68</v>
      </c>
      <c r="V448" s="10">
        <v>0.20599537037037041</v>
      </c>
      <c r="W448" s="10">
        <v>7.8113425925925919E-2</v>
      </c>
      <c r="X448" s="10">
        <v>8.9004629629629625E-3</v>
      </c>
      <c r="Y448" s="9">
        <v>1</v>
      </c>
      <c r="Z448" s="9">
        <v>0</v>
      </c>
      <c r="AA448" s="9">
        <v>0</v>
      </c>
      <c r="AB448" s="9">
        <v>0</v>
      </c>
      <c r="AC448" s="9">
        <v>0</v>
      </c>
      <c r="AD448" s="9">
        <v>0</v>
      </c>
      <c r="AE448" s="9" t="s">
        <v>139</v>
      </c>
      <c r="AF448" s="9" t="s">
        <v>3702</v>
      </c>
      <c r="AG448" s="9" t="s">
        <v>3703</v>
      </c>
      <c r="AH448" s="9">
        <v>6.2310679999999996</v>
      </c>
      <c r="AI448" s="9">
        <v>-75.601834999999994</v>
      </c>
      <c r="AJ448" s="9" t="s">
        <v>3704</v>
      </c>
      <c r="AK448" s="9">
        <v>6.2725330000000001</v>
      </c>
      <c r="AL448" s="9">
        <v>-75.601930999999993</v>
      </c>
      <c r="AM448" s="26">
        <f t="shared" si="7"/>
        <v>0</v>
      </c>
    </row>
    <row r="449" spans="1:39" ht="15" x14ac:dyDescent="0.25">
      <c r="A449" s="9" t="s">
        <v>3705</v>
      </c>
      <c r="B449" s="9" t="s">
        <v>3706</v>
      </c>
      <c r="C449" s="9" t="s">
        <v>3707</v>
      </c>
      <c r="D449" s="9" t="s">
        <v>3629</v>
      </c>
      <c r="E449" s="9" t="s">
        <v>2619</v>
      </c>
      <c r="F449" s="9" t="s">
        <v>315</v>
      </c>
      <c r="G449" s="9" t="s">
        <v>72</v>
      </c>
      <c r="H449" s="9" t="s">
        <v>73</v>
      </c>
      <c r="I449" s="9" t="s">
        <v>115</v>
      </c>
      <c r="J449" s="9">
        <v>2268</v>
      </c>
      <c r="K449" s="9" t="s">
        <v>3708</v>
      </c>
      <c r="L449" s="9" t="s">
        <v>117</v>
      </c>
      <c r="M449" s="10">
        <v>5.7418981481481481E-2</v>
      </c>
      <c r="N449" s="9" t="s">
        <v>127</v>
      </c>
      <c r="O449" s="9" t="s">
        <v>3709</v>
      </c>
      <c r="P449" s="9" t="s">
        <v>119</v>
      </c>
      <c r="Q449" s="10">
        <v>0.12162037037037041</v>
      </c>
      <c r="R449" s="9" t="s">
        <v>56</v>
      </c>
      <c r="S449" s="10">
        <v>0.18579861111111109</v>
      </c>
      <c r="T449" s="9">
        <v>31.108000000000001</v>
      </c>
      <c r="U449" s="9">
        <v>9.2899999999999991</v>
      </c>
      <c r="V449" s="10">
        <v>0.13958333333333331</v>
      </c>
      <c r="W449" s="10">
        <v>9.7025462962962966E-2</v>
      </c>
      <c r="X449" s="10">
        <v>0</v>
      </c>
      <c r="Y449" s="9">
        <v>0</v>
      </c>
      <c r="Z449" s="9">
        <v>0</v>
      </c>
      <c r="AA449" s="9">
        <v>0</v>
      </c>
      <c r="AB449" s="9">
        <v>0</v>
      </c>
      <c r="AC449" s="9">
        <v>0</v>
      </c>
      <c r="AD449" s="9">
        <v>0</v>
      </c>
      <c r="AE449" s="9" t="s">
        <v>139</v>
      </c>
      <c r="AF449" s="9" t="s">
        <v>3710</v>
      </c>
      <c r="AG449" s="9" t="s">
        <v>3711</v>
      </c>
      <c r="AH449" s="9">
        <v>6.2258310000000003</v>
      </c>
      <c r="AI449" s="9">
        <v>-75.599080000000001</v>
      </c>
      <c r="AJ449" s="9" t="s">
        <v>3712</v>
      </c>
      <c r="AK449" s="9">
        <v>6.2369149999999998</v>
      </c>
      <c r="AL449" s="9">
        <v>-75.558753999999993</v>
      </c>
      <c r="AM449" s="27">
        <f t="shared" si="7"/>
        <v>0.12162037037037041</v>
      </c>
    </row>
    <row r="450" spans="1:39" ht="15" x14ac:dyDescent="0.25">
      <c r="A450" s="9" t="s">
        <v>3715</v>
      </c>
      <c r="B450" s="9" t="s">
        <v>3716</v>
      </c>
      <c r="C450" s="9" t="s">
        <v>3717</v>
      </c>
      <c r="D450" s="9" t="s">
        <v>3629</v>
      </c>
      <c r="E450" s="9" t="s">
        <v>2619</v>
      </c>
      <c r="F450" s="9" t="s">
        <v>315</v>
      </c>
      <c r="G450" s="9" t="s">
        <v>160</v>
      </c>
      <c r="H450" s="9" t="s">
        <v>161</v>
      </c>
      <c r="I450" s="9" t="s">
        <v>115</v>
      </c>
      <c r="J450" s="9">
        <v>10573</v>
      </c>
      <c r="K450" s="9" t="s">
        <v>3718</v>
      </c>
      <c r="L450" s="9" t="s">
        <v>117</v>
      </c>
      <c r="M450" s="10">
        <v>3.6288692129629631E-2</v>
      </c>
      <c r="N450" s="9" t="s">
        <v>127</v>
      </c>
      <c r="O450" s="9" t="s">
        <v>3719</v>
      </c>
      <c r="P450" s="9" t="s">
        <v>119</v>
      </c>
      <c r="Q450" s="10">
        <v>2.6696643518518519E-3</v>
      </c>
      <c r="R450" s="9" t="s">
        <v>46</v>
      </c>
      <c r="S450" s="10">
        <v>0.28895835648148149</v>
      </c>
      <c r="T450" s="9">
        <v>53.040999999999997</v>
      </c>
      <c r="U450" s="9">
        <v>12.73</v>
      </c>
      <c r="V450" s="10">
        <v>0.1736332986111111</v>
      </c>
      <c r="W450" s="10">
        <v>0.12728898148148149</v>
      </c>
      <c r="X450" s="10">
        <v>4.0856597222222223E-3</v>
      </c>
      <c r="Y450" s="9">
        <v>0</v>
      </c>
      <c r="Z450" s="9">
        <v>0</v>
      </c>
      <c r="AA450" s="9">
        <v>0</v>
      </c>
      <c r="AB450" s="9">
        <v>0</v>
      </c>
      <c r="AC450" s="9">
        <v>0</v>
      </c>
      <c r="AD450" s="9">
        <v>2</v>
      </c>
      <c r="AE450" s="9" t="s">
        <v>139</v>
      </c>
      <c r="AF450" s="9" t="s">
        <v>3720</v>
      </c>
      <c r="AG450" s="9" t="s">
        <v>3721</v>
      </c>
      <c r="AH450" s="9">
        <v>6.2266570000000003</v>
      </c>
      <c r="AI450" s="9">
        <v>-75.599265000000003</v>
      </c>
      <c r="AJ450" s="9" t="s">
        <v>3722</v>
      </c>
      <c r="AK450" s="9">
        <v>6.2684519999999999</v>
      </c>
      <c r="AL450" s="9">
        <v>-75.599154999999996</v>
      </c>
      <c r="AM450" s="26">
        <f t="shared" si="7"/>
        <v>0</v>
      </c>
    </row>
    <row r="451" spans="1:39" ht="15" x14ac:dyDescent="0.25">
      <c r="A451" s="9" t="s">
        <v>3723</v>
      </c>
      <c r="B451" s="9" t="s">
        <v>3724</v>
      </c>
      <c r="C451" s="9" t="s">
        <v>3725</v>
      </c>
      <c r="D451" s="9" t="s">
        <v>3629</v>
      </c>
      <c r="E451" s="9" t="s">
        <v>2619</v>
      </c>
      <c r="F451" s="9" t="s">
        <v>315</v>
      </c>
      <c r="G451" s="9" t="s">
        <v>97</v>
      </c>
      <c r="H451" s="9" t="s">
        <v>98</v>
      </c>
      <c r="I451" s="9" t="s">
        <v>115</v>
      </c>
      <c r="J451" s="9">
        <v>1713</v>
      </c>
      <c r="K451" s="9" t="s">
        <v>3726</v>
      </c>
      <c r="L451" s="9" t="s">
        <v>117</v>
      </c>
      <c r="M451" s="10">
        <v>1.8101851851851852E-2</v>
      </c>
      <c r="N451" s="9" t="s">
        <v>43</v>
      </c>
      <c r="O451" s="9" t="s">
        <v>3727</v>
      </c>
      <c r="P451" s="9" t="s">
        <v>119</v>
      </c>
      <c r="Q451" s="10">
        <v>8.9236111111111113E-3</v>
      </c>
      <c r="R451" s="9" t="s">
        <v>46</v>
      </c>
      <c r="S451" s="10">
        <v>0.22297453703703701</v>
      </c>
      <c r="T451" s="9">
        <v>25.247</v>
      </c>
      <c r="U451" s="9">
        <v>7.48</v>
      </c>
      <c r="V451" s="10">
        <v>0.14072916666666671</v>
      </c>
      <c r="W451" s="10">
        <v>9.9722222222222226E-2</v>
      </c>
      <c r="X451" s="10">
        <v>0</v>
      </c>
      <c r="Y451" s="9">
        <v>0</v>
      </c>
      <c r="Z451" s="9">
        <v>0</v>
      </c>
      <c r="AA451" s="9">
        <v>0</v>
      </c>
      <c r="AB451" s="9">
        <v>0</v>
      </c>
      <c r="AC451" s="9">
        <v>0</v>
      </c>
      <c r="AD451" s="9">
        <v>0</v>
      </c>
      <c r="AE451" s="9" t="s">
        <v>47</v>
      </c>
      <c r="AF451" s="9" t="s">
        <v>3728</v>
      </c>
      <c r="AG451" s="9" t="s">
        <v>3729</v>
      </c>
      <c r="AH451" s="9">
        <v>6.2227800000000002</v>
      </c>
      <c r="AI451" s="9">
        <v>-75.598579999999998</v>
      </c>
      <c r="AJ451" s="9" t="s">
        <v>3730</v>
      </c>
      <c r="AK451" s="9">
        <v>6.3050860000000002</v>
      </c>
      <c r="AL451" s="9">
        <v>-75.581832000000006</v>
      </c>
      <c r="AM451" s="26">
        <f t="shared" si="7"/>
        <v>1.8101851851851852E-2</v>
      </c>
    </row>
    <row r="452" spans="1:39" ht="15" x14ac:dyDescent="0.25">
      <c r="A452" s="9" t="s">
        <v>3731</v>
      </c>
      <c r="B452" s="9" t="s">
        <v>3732</v>
      </c>
      <c r="C452" s="9" t="s">
        <v>3733</v>
      </c>
      <c r="D452" s="9" t="s">
        <v>3629</v>
      </c>
      <c r="E452" s="9" t="s">
        <v>2619</v>
      </c>
      <c r="F452" s="9" t="s">
        <v>315</v>
      </c>
      <c r="G452" s="9" t="s">
        <v>80</v>
      </c>
      <c r="H452" s="9" t="s">
        <v>81</v>
      </c>
      <c r="I452" s="9" t="s">
        <v>115</v>
      </c>
      <c r="J452" s="9">
        <v>6057</v>
      </c>
      <c r="K452" s="9" t="s">
        <v>3734</v>
      </c>
      <c r="L452" s="9" t="s">
        <v>117</v>
      </c>
      <c r="M452" s="10">
        <v>4.1765972222222222E-3</v>
      </c>
      <c r="N452" s="9" t="s">
        <v>65</v>
      </c>
      <c r="O452" s="9" t="s">
        <v>3713</v>
      </c>
      <c r="P452" s="9" t="s">
        <v>119</v>
      </c>
      <c r="Q452" s="10">
        <v>4.9383217592592586E-3</v>
      </c>
      <c r="R452" s="9" t="s">
        <v>46</v>
      </c>
      <c r="S452" s="10">
        <v>0.24088508101851849</v>
      </c>
      <c r="T452" s="9">
        <v>44.335000000000001</v>
      </c>
      <c r="U452" s="9">
        <v>19.84</v>
      </c>
      <c r="V452" s="10">
        <v>9.3103379629629904E-2</v>
      </c>
      <c r="W452" s="10">
        <v>3.9449340277777772E-2</v>
      </c>
      <c r="X452" s="10">
        <v>0</v>
      </c>
      <c r="Y452" s="9">
        <v>0</v>
      </c>
      <c r="Z452" s="9">
        <v>0</v>
      </c>
      <c r="AA452" s="9">
        <v>0</v>
      </c>
      <c r="AB452" s="9">
        <v>0</v>
      </c>
      <c r="AC452" s="9">
        <v>0</v>
      </c>
      <c r="AD452" s="9">
        <v>11</v>
      </c>
      <c r="AE452" s="9" t="s">
        <v>84</v>
      </c>
      <c r="AF452" s="9" t="s">
        <v>190</v>
      </c>
      <c r="AG452" s="9" t="s">
        <v>3735</v>
      </c>
      <c r="AH452" s="9">
        <v>6.2382499999999999</v>
      </c>
      <c r="AI452" s="9">
        <v>-75.602973000000006</v>
      </c>
      <c r="AJ452" s="9" t="s">
        <v>3714</v>
      </c>
      <c r="AK452" s="9">
        <v>6.2592230000000004</v>
      </c>
      <c r="AL452" s="9">
        <v>-75.620935000000003</v>
      </c>
      <c r="AM452" s="26">
        <f t="shared" si="7"/>
        <v>0</v>
      </c>
    </row>
    <row r="453" spans="1:39" ht="15" x14ac:dyDescent="0.25">
      <c r="A453" s="9" t="s">
        <v>3736</v>
      </c>
      <c r="B453" s="9" t="s">
        <v>3737</v>
      </c>
      <c r="C453" s="9" t="s">
        <v>3738</v>
      </c>
      <c r="D453" s="9" t="s">
        <v>3739</v>
      </c>
      <c r="E453" s="9" t="s">
        <v>2619</v>
      </c>
      <c r="F453" s="9" t="s">
        <v>406</v>
      </c>
      <c r="G453" s="9" t="s">
        <v>52</v>
      </c>
      <c r="H453" s="9" t="s">
        <v>53</v>
      </c>
      <c r="I453" s="9" t="s">
        <v>40</v>
      </c>
      <c r="J453" s="9">
        <v>2879</v>
      </c>
      <c r="K453" s="9" t="s">
        <v>3740</v>
      </c>
      <c r="L453" s="9" t="s">
        <v>42</v>
      </c>
      <c r="M453" s="10">
        <v>5.7638888888888887E-3</v>
      </c>
      <c r="N453" s="9" t="s">
        <v>65</v>
      </c>
      <c r="O453" s="9" t="s">
        <v>3741</v>
      </c>
      <c r="P453" s="9" t="s">
        <v>413</v>
      </c>
      <c r="Q453" s="10">
        <v>9.2245370370370363E-3</v>
      </c>
      <c r="R453" s="9" t="s">
        <v>46</v>
      </c>
      <c r="S453" s="10">
        <v>0.31596064814814823</v>
      </c>
      <c r="T453" s="9">
        <v>37.860999999999997</v>
      </c>
      <c r="U453" s="9">
        <v>5.88</v>
      </c>
      <c r="V453" s="10">
        <v>0.26834490740740741</v>
      </c>
      <c r="W453" s="10">
        <v>0.21083333333333329</v>
      </c>
      <c r="X453" s="10">
        <v>0</v>
      </c>
      <c r="Y453" s="9">
        <v>0</v>
      </c>
      <c r="Z453" s="9">
        <v>0</v>
      </c>
      <c r="AA453" s="9">
        <v>0</v>
      </c>
      <c r="AB453" s="9">
        <v>0</v>
      </c>
      <c r="AC453" s="9">
        <v>0</v>
      </c>
      <c r="AD453" s="9">
        <v>2</v>
      </c>
      <c r="AE453" s="9" t="s">
        <v>84</v>
      </c>
      <c r="AF453" s="9" t="s">
        <v>1384</v>
      </c>
      <c r="AG453" s="9" t="s">
        <v>3742</v>
      </c>
      <c r="AH453" s="9">
        <v>6.2256669999999996</v>
      </c>
      <c r="AI453" s="9">
        <v>-75.599476999999993</v>
      </c>
      <c r="AJ453" s="9" t="s">
        <v>3743</v>
      </c>
      <c r="AK453" s="9">
        <v>6.2285339999999998</v>
      </c>
      <c r="AL453" s="9">
        <v>-75.577226999999993</v>
      </c>
      <c r="AM453" s="27">
        <f t="shared" si="7"/>
        <v>0</v>
      </c>
    </row>
    <row r="454" spans="1:39" ht="15" x14ac:dyDescent="0.25">
      <c r="A454" s="9" t="s">
        <v>3744</v>
      </c>
      <c r="B454" s="9" t="s">
        <v>3745</v>
      </c>
      <c r="C454" s="9" t="s">
        <v>3746</v>
      </c>
      <c r="D454" s="9" t="s">
        <v>3739</v>
      </c>
      <c r="E454" s="9" t="s">
        <v>2619</v>
      </c>
      <c r="F454" s="9" t="s">
        <v>406</v>
      </c>
      <c r="G454" s="9" t="s">
        <v>62</v>
      </c>
      <c r="H454" s="9" t="s">
        <v>63</v>
      </c>
      <c r="I454" s="9" t="s">
        <v>40</v>
      </c>
      <c r="J454" s="9">
        <v>3657</v>
      </c>
      <c r="K454" s="9" t="s">
        <v>3747</v>
      </c>
      <c r="L454" s="9" t="s">
        <v>42</v>
      </c>
      <c r="M454" s="10">
        <v>1.3657407407407409E-3</v>
      </c>
      <c r="N454" s="9" t="s">
        <v>65</v>
      </c>
      <c r="O454" s="9" t="s">
        <v>3748</v>
      </c>
      <c r="P454" s="9" t="s">
        <v>413</v>
      </c>
      <c r="Q454" s="10">
        <v>9.2245370370370366E-2</v>
      </c>
      <c r="R454" s="9" t="s">
        <v>56</v>
      </c>
      <c r="S454" s="10">
        <v>0.22162037037037041</v>
      </c>
      <c r="T454" s="9">
        <v>61.594999999999999</v>
      </c>
      <c r="U454" s="9">
        <v>14.46</v>
      </c>
      <c r="V454" s="10">
        <v>0.17753472222222219</v>
      </c>
      <c r="W454" s="10">
        <v>0.1110648148148148</v>
      </c>
      <c r="X454" s="10">
        <v>0</v>
      </c>
      <c r="Y454" s="9">
        <v>0</v>
      </c>
      <c r="Z454" s="9">
        <v>0</v>
      </c>
      <c r="AA454" s="9">
        <v>0</v>
      </c>
      <c r="AB454" s="9">
        <v>0</v>
      </c>
      <c r="AC454" s="9">
        <v>0</v>
      </c>
      <c r="AD454" s="9">
        <v>2</v>
      </c>
      <c r="AE454" s="9" t="s">
        <v>67</v>
      </c>
      <c r="AF454" s="9" t="s">
        <v>3749</v>
      </c>
      <c r="AG454" s="9" t="s">
        <v>3750</v>
      </c>
      <c r="AH454" s="9">
        <v>6.2258149999999999</v>
      </c>
      <c r="AI454" s="9">
        <v>-75.599408999999994</v>
      </c>
      <c r="AJ454" s="9" t="s">
        <v>3751</v>
      </c>
      <c r="AK454" s="9">
        <v>6.2902979999999999</v>
      </c>
      <c r="AL454" s="9">
        <v>-75.558481999999998</v>
      </c>
      <c r="AM454" s="26">
        <f t="shared" ref="AM454:AM494" si="8">IF(N454="INICIO TARDÍO",M454,0)+IF(R454="TERMINÓ ANTES",Q454,0)</f>
        <v>9.2245370370370366E-2</v>
      </c>
    </row>
    <row r="455" spans="1:39" ht="15" x14ac:dyDescent="0.25">
      <c r="A455" s="9" t="s">
        <v>3752</v>
      </c>
      <c r="B455" s="9" t="s">
        <v>3753</v>
      </c>
      <c r="C455" s="9" t="s">
        <v>3754</v>
      </c>
      <c r="D455" s="9" t="s">
        <v>3739</v>
      </c>
      <c r="E455" s="9" t="s">
        <v>2619</v>
      </c>
      <c r="F455" s="9" t="s">
        <v>406</v>
      </c>
      <c r="G455" s="9" t="s">
        <v>144</v>
      </c>
      <c r="H455" s="9" t="s">
        <v>145</v>
      </c>
      <c r="I455" s="9" t="s">
        <v>40</v>
      </c>
      <c r="J455" s="9">
        <v>8202</v>
      </c>
      <c r="K455" s="9" t="s">
        <v>3755</v>
      </c>
      <c r="L455" s="9" t="s">
        <v>42</v>
      </c>
      <c r="M455" s="10">
        <v>1.6898148148148152E-2</v>
      </c>
      <c r="N455" s="9" t="s">
        <v>127</v>
      </c>
      <c r="O455" s="9" t="s">
        <v>3756</v>
      </c>
      <c r="P455" s="9" t="s">
        <v>413</v>
      </c>
      <c r="Q455" s="10">
        <v>4.1550925925925922E-3</v>
      </c>
      <c r="R455" s="9" t="s">
        <v>46</v>
      </c>
      <c r="S455" s="10">
        <v>0.32524305555555549</v>
      </c>
      <c r="T455" s="9">
        <v>110.121</v>
      </c>
      <c r="U455" s="9">
        <v>17.78</v>
      </c>
      <c r="V455" s="10">
        <v>0.25802083333333331</v>
      </c>
      <c r="W455" s="10">
        <v>6.1759259259259257E-2</v>
      </c>
      <c r="X455" s="10">
        <v>0</v>
      </c>
      <c r="Y455" s="9">
        <v>0</v>
      </c>
      <c r="Z455" s="9">
        <v>0</v>
      </c>
      <c r="AA455" s="9">
        <v>0</v>
      </c>
      <c r="AB455" s="9">
        <v>0</v>
      </c>
      <c r="AC455" s="9">
        <v>0</v>
      </c>
      <c r="AD455" s="9">
        <v>0</v>
      </c>
      <c r="AE455" s="9" t="s">
        <v>139</v>
      </c>
      <c r="AF455" s="9" t="s">
        <v>3757</v>
      </c>
      <c r="AG455" s="9" t="s">
        <v>3758</v>
      </c>
      <c r="AH455" s="9">
        <v>6.2727560000000002</v>
      </c>
      <c r="AI455" s="9">
        <v>-75.574511999999999</v>
      </c>
      <c r="AJ455" s="9" t="s">
        <v>3759</v>
      </c>
      <c r="AK455" s="9">
        <v>6.2727890000000004</v>
      </c>
      <c r="AL455" s="9">
        <v>-75.574415999999999</v>
      </c>
      <c r="AM455" s="26">
        <f t="shared" si="8"/>
        <v>0</v>
      </c>
    </row>
    <row r="456" spans="1:39" ht="15" x14ac:dyDescent="0.25">
      <c r="A456" s="9" t="s">
        <v>3760</v>
      </c>
      <c r="B456" s="9" t="s">
        <v>3761</v>
      </c>
      <c r="C456" s="9" t="s">
        <v>3762</v>
      </c>
      <c r="D456" s="9" t="s">
        <v>3739</v>
      </c>
      <c r="E456" s="9" t="s">
        <v>2619</v>
      </c>
      <c r="F456" s="9" t="s">
        <v>406</v>
      </c>
      <c r="G456" s="9" t="s">
        <v>152</v>
      </c>
      <c r="H456" s="9" t="s">
        <v>153</v>
      </c>
      <c r="I456" s="9" t="s">
        <v>40</v>
      </c>
      <c r="J456" s="9">
        <v>2372</v>
      </c>
      <c r="K456" s="9" t="s">
        <v>3763</v>
      </c>
      <c r="L456" s="9" t="s">
        <v>42</v>
      </c>
      <c r="M456" s="10">
        <v>4.2430555555555548E-2</v>
      </c>
      <c r="N456" s="9" t="s">
        <v>127</v>
      </c>
      <c r="O456" s="9" t="s">
        <v>3764</v>
      </c>
      <c r="P456" s="9" t="s">
        <v>413</v>
      </c>
      <c r="Q456" s="10">
        <v>5.5787037037037038E-2</v>
      </c>
      <c r="R456" s="9" t="s">
        <v>56</v>
      </c>
      <c r="S456" s="10">
        <v>0.2991435185185185</v>
      </c>
      <c r="T456" s="9">
        <v>28.603000000000002</v>
      </c>
      <c r="U456" s="9">
        <v>5.0199999999999996</v>
      </c>
      <c r="V456" s="10">
        <v>0.23751157407407411</v>
      </c>
      <c r="W456" s="10">
        <v>0.1792361111111111</v>
      </c>
      <c r="X456" s="10">
        <v>0</v>
      </c>
      <c r="Y456" s="9">
        <v>0</v>
      </c>
      <c r="Z456" s="9">
        <v>0</v>
      </c>
      <c r="AA456" s="9">
        <v>0</v>
      </c>
      <c r="AB456" s="9">
        <v>0</v>
      </c>
      <c r="AC456" s="9">
        <v>0</v>
      </c>
      <c r="AD456" s="9">
        <v>0</v>
      </c>
      <c r="AE456" s="9" t="s">
        <v>139</v>
      </c>
      <c r="AF456" s="9" t="s">
        <v>3765</v>
      </c>
      <c r="AG456" s="9" t="s">
        <v>3766</v>
      </c>
      <c r="AH456" s="9">
        <v>6.2539730000000002</v>
      </c>
      <c r="AI456" s="9">
        <v>-75.588212999999996</v>
      </c>
      <c r="AJ456" s="9" t="s">
        <v>3767</v>
      </c>
      <c r="AK456" s="9">
        <v>6.2518599999999998</v>
      </c>
      <c r="AL456" s="9">
        <v>-75.551798000000005</v>
      </c>
      <c r="AM456" s="26">
        <f t="shared" si="8"/>
        <v>5.5787037037037038E-2</v>
      </c>
    </row>
    <row r="457" spans="1:39" ht="15" x14ac:dyDescent="0.25">
      <c r="A457" s="9" t="s">
        <v>3768</v>
      </c>
      <c r="B457" s="9" t="s">
        <v>3769</v>
      </c>
      <c r="C457" s="9" t="s">
        <v>3770</v>
      </c>
      <c r="D457" s="9" t="s">
        <v>3739</v>
      </c>
      <c r="E457" s="9" t="s">
        <v>2619</v>
      </c>
      <c r="F457" s="9" t="s">
        <v>406</v>
      </c>
      <c r="G457" s="9" t="s">
        <v>89</v>
      </c>
      <c r="H457" s="9" t="s">
        <v>90</v>
      </c>
      <c r="I457" s="9" t="s">
        <v>40</v>
      </c>
      <c r="J457" s="9">
        <v>3150</v>
      </c>
      <c r="K457" s="9" t="s">
        <v>3771</v>
      </c>
      <c r="L457" s="9" t="s">
        <v>42</v>
      </c>
      <c r="M457" s="10">
        <v>8.4259259259259253E-3</v>
      </c>
      <c r="N457" s="9" t="s">
        <v>65</v>
      </c>
      <c r="O457" s="9" t="s">
        <v>3772</v>
      </c>
      <c r="P457" s="9" t="s">
        <v>413</v>
      </c>
      <c r="Q457" s="10">
        <v>1.0995370370370371E-3</v>
      </c>
      <c r="R457" s="9" t="s">
        <v>46</v>
      </c>
      <c r="S457" s="10">
        <v>0.31982638888888892</v>
      </c>
      <c r="T457" s="9">
        <v>39.674999999999997</v>
      </c>
      <c r="U457" s="9">
        <v>7.7</v>
      </c>
      <c r="V457" s="10">
        <v>0.21479166666666669</v>
      </c>
      <c r="W457" s="10">
        <v>0.1312615740740741</v>
      </c>
      <c r="X457" s="10">
        <v>0</v>
      </c>
      <c r="Y457" s="9">
        <v>0</v>
      </c>
      <c r="Z457" s="9">
        <v>0</v>
      </c>
      <c r="AA457" s="9">
        <v>0</v>
      </c>
      <c r="AB457" s="9">
        <v>0</v>
      </c>
      <c r="AC457" s="9">
        <v>0</v>
      </c>
      <c r="AD457" s="9">
        <v>0</v>
      </c>
      <c r="AE457" s="9" t="s">
        <v>84</v>
      </c>
      <c r="AF457" s="9" t="s">
        <v>352</v>
      </c>
      <c r="AG457" s="9" t="s">
        <v>3773</v>
      </c>
      <c r="AH457" s="9">
        <v>6.2266349999999999</v>
      </c>
      <c r="AI457" s="9">
        <v>-75.599202000000005</v>
      </c>
      <c r="AJ457" s="9" t="s">
        <v>3774</v>
      </c>
      <c r="AK457" s="9">
        <v>6.2486269999999999</v>
      </c>
      <c r="AL457" s="9">
        <v>-75.565270999999996</v>
      </c>
      <c r="AM457" s="27">
        <f t="shared" si="8"/>
        <v>0</v>
      </c>
    </row>
    <row r="458" spans="1:39" ht="15" x14ac:dyDescent="0.25">
      <c r="A458" s="9" t="s">
        <v>3775</v>
      </c>
      <c r="B458" s="9" t="s">
        <v>3776</v>
      </c>
      <c r="C458" s="9" t="s">
        <v>3777</v>
      </c>
      <c r="D458" s="9" t="s">
        <v>3778</v>
      </c>
      <c r="E458" s="9" t="s">
        <v>2619</v>
      </c>
      <c r="F458" s="9" t="s">
        <v>455</v>
      </c>
      <c r="G458" s="9" t="s">
        <v>52</v>
      </c>
      <c r="H458" s="9" t="s">
        <v>53</v>
      </c>
      <c r="I458" s="9" t="s">
        <v>40</v>
      </c>
      <c r="J458" s="9">
        <v>2845</v>
      </c>
      <c r="K458" s="9" t="s">
        <v>3779</v>
      </c>
      <c r="L458" s="9" t="s">
        <v>42</v>
      </c>
      <c r="M458" s="10">
        <v>7.7199074074074071E-3</v>
      </c>
      <c r="N458" s="9" t="s">
        <v>65</v>
      </c>
      <c r="O458" s="9" t="s">
        <v>3780</v>
      </c>
      <c r="P458" s="9" t="s">
        <v>413</v>
      </c>
      <c r="Q458" s="10">
        <v>8.9004629629629625E-3</v>
      </c>
      <c r="R458" s="9" t="s">
        <v>46</v>
      </c>
      <c r="S458" s="10">
        <v>0.2958796296296296</v>
      </c>
      <c r="T458" s="9">
        <v>37.237000000000002</v>
      </c>
      <c r="U458" s="9">
        <v>7.14</v>
      </c>
      <c r="V458" s="10">
        <v>0.21743055555555549</v>
      </c>
      <c r="W458" s="10">
        <v>0.1638310185185185</v>
      </c>
      <c r="X458" s="10">
        <v>0</v>
      </c>
      <c r="Y458" s="9">
        <v>0</v>
      </c>
      <c r="Z458" s="9">
        <v>0</v>
      </c>
      <c r="AA458" s="9">
        <v>0</v>
      </c>
      <c r="AB458" s="9">
        <v>0</v>
      </c>
      <c r="AC458" s="9">
        <v>0</v>
      </c>
      <c r="AD458" s="9">
        <v>1</v>
      </c>
      <c r="AE458" s="9" t="s">
        <v>84</v>
      </c>
      <c r="AF458" s="9" t="s">
        <v>324</v>
      </c>
      <c r="AG458" s="9" t="s">
        <v>3781</v>
      </c>
      <c r="AH458" s="9">
        <v>6.2475709999999998</v>
      </c>
      <c r="AI458" s="9">
        <v>-75.614759000000006</v>
      </c>
      <c r="AJ458" s="9" t="s">
        <v>3782</v>
      </c>
      <c r="AK458" s="9">
        <v>6.2461289999999998</v>
      </c>
      <c r="AL458" s="9">
        <v>-75.609532999999999</v>
      </c>
      <c r="AM458" s="26">
        <f t="shared" si="8"/>
        <v>0</v>
      </c>
    </row>
    <row r="459" spans="1:39" ht="15" x14ac:dyDescent="0.25">
      <c r="A459" s="9" t="s">
        <v>3783</v>
      </c>
      <c r="B459" s="9" t="s">
        <v>3784</v>
      </c>
      <c r="C459" s="9" t="s">
        <v>3785</v>
      </c>
      <c r="D459" s="9" t="s">
        <v>3739</v>
      </c>
      <c r="E459" s="9" t="s">
        <v>2619</v>
      </c>
      <c r="F459" s="9" t="s">
        <v>406</v>
      </c>
      <c r="G459" s="9" t="s">
        <v>105</v>
      </c>
      <c r="H459" s="9" t="s">
        <v>106</v>
      </c>
      <c r="I459" s="9" t="s">
        <v>40</v>
      </c>
      <c r="J459" s="9">
        <v>1913</v>
      </c>
      <c r="K459" s="9" t="s">
        <v>3786</v>
      </c>
      <c r="L459" s="9" t="s">
        <v>42</v>
      </c>
      <c r="M459" s="10">
        <v>2.704861111111111E-2</v>
      </c>
      <c r="N459" s="9" t="s">
        <v>43</v>
      </c>
      <c r="O459" s="9" t="s">
        <v>3787</v>
      </c>
      <c r="P459" s="9" t="s">
        <v>413</v>
      </c>
      <c r="Q459" s="10">
        <v>2.3495370370370371E-2</v>
      </c>
      <c r="R459" s="9" t="s">
        <v>129</v>
      </c>
      <c r="S459" s="10">
        <v>0.30894675925925918</v>
      </c>
      <c r="T459" s="9">
        <v>26.805</v>
      </c>
      <c r="U459" s="9">
        <v>4.25</v>
      </c>
      <c r="V459" s="10">
        <v>0.26273148148148151</v>
      </c>
      <c r="W459" s="10">
        <v>0.2278472222222222</v>
      </c>
      <c r="X459" s="10">
        <v>3.2233796296296302E-2</v>
      </c>
      <c r="Y459" s="9">
        <v>1</v>
      </c>
      <c r="Z459" s="9">
        <v>1</v>
      </c>
      <c r="AA459" s="9">
        <v>1</v>
      </c>
      <c r="AB459" s="9">
        <v>1</v>
      </c>
      <c r="AC459" s="9">
        <v>0</v>
      </c>
      <c r="AD459" s="9">
        <v>1</v>
      </c>
      <c r="AE459" s="9" t="s">
        <v>130</v>
      </c>
      <c r="AF459" s="9" t="s">
        <v>3788</v>
      </c>
      <c r="AG459" s="9" t="s">
        <v>3789</v>
      </c>
      <c r="AH459" s="9">
        <v>6.2255779999999996</v>
      </c>
      <c r="AI459" s="9">
        <v>-75.599352999999994</v>
      </c>
      <c r="AJ459" s="9" t="s">
        <v>3790</v>
      </c>
      <c r="AK459" s="9">
        <v>6.2585470000000001</v>
      </c>
      <c r="AL459" s="9">
        <v>-75.616319000000004</v>
      </c>
      <c r="AM459" s="26">
        <f t="shared" si="8"/>
        <v>2.704861111111111E-2</v>
      </c>
    </row>
    <row r="460" spans="1:39" ht="15" x14ac:dyDescent="0.25">
      <c r="A460" s="9" t="s">
        <v>3791</v>
      </c>
      <c r="B460" s="9" t="s">
        <v>3792</v>
      </c>
      <c r="C460" s="9" t="s">
        <v>3793</v>
      </c>
      <c r="D460" s="9" t="s">
        <v>3739</v>
      </c>
      <c r="E460" s="9" t="s">
        <v>2619</v>
      </c>
      <c r="F460" s="9" t="s">
        <v>406</v>
      </c>
      <c r="G460" s="9" t="s">
        <v>113</v>
      </c>
      <c r="H460" s="9" t="s">
        <v>114</v>
      </c>
      <c r="I460" s="9" t="s">
        <v>115</v>
      </c>
      <c r="J460" s="9">
        <v>1921</v>
      </c>
      <c r="K460" s="9" t="s">
        <v>3794</v>
      </c>
      <c r="L460" s="9" t="s">
        <v>117</v>
      </c>
      <c r="M460" s="10">
        <v>2.34375E-2</v>
      </c>
      <c r="N460" s="9" t="s">
        <v>43</v>
      </c>
      <c r="O460" s="9" t="s">
        <v>3795</v>
      </c>
      <c r="P460" s="9" t="s">
        <v>119</v>
      </c>
      <c r="Q460" s="10">
        <v>2.704861111111111E-2</v>
      </c>
      <c r="R460" s="9" t="s">
        <v>56</v>
      </c>
      <c r="S460" s="10">
        <v>0.19951388888888891</v>
      </c>
      <c r="T460" s="9">
        <v>26.501999999999999</v>
      </c>
      <c r="U460" s="9">
        <v>9.1199999999999992</v>
      </c>
      <c r="V460" s="10">
        <v>0.1211111111111111</v>
      </c>
      <c r="W460" s="10">
        <v>7.9814814814814811E-2</v>
      </c>
      <c r="X460" s="10">
        <v>0</v>
      </c>
      <c r="Y460" s="9">
        <v>0</v>
      </c>
      <c r="Z460" s="9">
        <v>0</v>
      </c>
      <c r="AA460" s="9">
        <v>0</v>
      </c>
      <c r="AB460" s="9">
        <v>0</v>
      </c>
      <c r="AC460" s="9">
        <v>0</v>
      </c>
      <c r="AD460" s="9">
        <v>0</v>
      </c>
      <c r="AE460" s="9" t="s">
        <v>57</v>
      </c>
      <c r="AF460" s="9" t="s">
        <v>3796</v>
      </c>
      <c r="AG460" s="9" t="s">
        <v>3797</v>
      </c>
      <c r="AH460" s="9">
        <v>6.2531860000000004</v>
      </c>
      <c r="AI460" s="9">
        <v>-75.609388999999993</v>
      </c>
      <c r="AJ460" s="9" t="s">
        <v>3798</v>
      </c>
      <c r="AK460" s="9">
        <v>6.2456120000000004</v>
      </c>
      <c r="AL460" s="9">
        <v>-75.616991999999996</v>
      </c>
      <c r="AM460" s="26">
        <f t="shared" si="8"/>
        <v>5.0486111111111107E-2</v>
      </c>
    </row>
    <row r="461" spans="1:39" ht="15" x14ac:dyDescent="0.25">
      <c r="A461" s="9" t="s">
        <v>3799</v>
      </c>
      <c r="B461" s="9" t="s">
        <v>3800</v>
      </c>
      <c r="C461" s="9" t="s">
        <v>3801</v>
      </c>
      <c r="D461" s="9" t="s">
        <v>3739</v>
      </c>
      <c r="E461" s="9" t="s">
        <v>2619</v>
      </c>
      <c r="F461" s="9" t="s">
        <v>406</v>
      </c>
      <c r="G461" s="9" t="s">
        <v>124</v>
      </c>
      <c r="H461" s="9" t="s">
        <v>125</v>
      </c>
      <c r="I461" s="9" t="s">
        <v>115</v>
      </c>
      <c r="J461" s="9">
        <v>4145</v>
      </c>
      <c r="K461" s="9" t="s">
        <v>3802</v>
      </c>
      <c r="L461" s="9" t="s">
        <v>117</v>
      </c>
      <c r="M461" s="10">
        <v>1.005787037037037E-2</v>
      </c>
      <c r="N461" s="9" t="s">
        <v>65</v>
      </c>
      <c r="O461" s="9" t="s">
        <v>3803</v>
      </c>
      <c r="P461" s="9" t="s">
        <v>119</v>
      </c>
      <c r="Q461" s="10">
        <v>6.3888888888888893E-3</v>
      </c>
      <c r="R461" s="9" t="s">
        <v>46</v>
      </c>
      <c r="S461" s="10">
        <v>0.26644675925925931</v>
      </c>
      <c r="T461" s="9">
        <v>52.917999999999999</v>
      </c>
      <c r="U461" s="9">
        <v>12.21</v>
      </c>
      <c r="V461" s="10">
        <v>0.18057870370370371</v>
      </c>
      <c r="W461" s="10">
        <v>6.8483796296296293E-2</v>
      </c>
      <c r="X461" s="10">
        <v>9.9074074074074082E-3</v>
      </c>
      <c r="Y461" s="9">
        <v>1</v>
      </c>
      <c r="Z461" s="9">
        <v>0</v>
      </c>
      <c r="AA461" s="9">
        <v>0</v>
      </c>
      <c r="AB461" s="9">
        <v>0</v>
      </c>
      <c r="AC461" s="9">
        <v>0</v>
      </c>
      <c r="AD461" s="9">
        <v>0</v>
      </c>
      <c r="AE461" s="9" t="s">
        <v>84</v>
      </c>
      <c r="AF461" s="9" t="s">
        <v>3016</v>
      </c>
      <c r="AG461" s="9" t="s">
        <v>3804</v>
      </c>
      <c r="AH461" s="9">
        <v>6.2724849999999996</v>
      </c>
      <c r="AI461" s="9">
        <v>-75.602199999999996</v>
      </c>
      <c r="AJ461" s="9" t="s">
        <v>3805</v>
      </c>
      <c r="AK461" s="9">
        <v>6.2733270000000001</v>
      </c>
      <c r="AL461" s="9">
        <v>-75.602160999999995</v>
      </c>
      <c r="AM461" s="26">
        <f t="shared" si="8"/>
        <v>0</v>
      </c>
    </row>
    <row r="462" spans="1:39" ht="15" x14ac:dyDescent="0.25">
      <c r="A462" s="9" t="s">
        <v>3806</v>
      </c>
      <c r="B462" s="9" t="s">
        <v>3807</v>
      </c>
      <c r="C462" s="9" t="s">
        <v>3808</v>
      </c>
      <c r="D462" s="9" t="s">
        <v>3739</v>
      </c>
      <c r="E462" s="9" t="s">
        <v>2619</v>
      </c>
      <c r="F462" s="9" t="s">
        <v>406</v>
      </c>
      <c r="G462" s="9" t="s">
        <v>135</v>
      </c>
      <c r="H462" s="9" t="s">
        <v>136</v>
      </c>
      <c r="I462" s="9" t="s">
        <v>115</v>
      </c>
      <c r="J462" s="9">
        <v>3996</v>
      </c>
      <c r="K462" s="9" t="s">
        <v>3809</v>
      </c>
      <c r="L462" s="9" t="s">
        <v>117</v>
      </c>
      <c r="M462" s="10">
        <v>7.4548611111111107E-2</v>
      </c>
      <c r="N462" s="9" t="s">
        <v>127</v>
      </c>
      <c r="O462" s="9" t="s">
        <v>3810</v>
      </c>
      <c r="P462" s="9" t="s">
        <v>119</v>
      </c>
      <c r="Q462" s="10">
        <v>4.4444444444444436E-3</v>
      </c>
      <c r="R462" s="9" t="s">
        <v>46</v>
      </c>
      <c r="S462" s="10">
        <v>0.32010416666666669</v>
      </c>
      <c r="T462" s="9">
        <v>57.21</v>
      </c>
      <c r="U462" s="9">
        <v>20.12</v>
      </c>
      <c r="V462" s="10">
        <v>0.1184722222222222</v>
      </c>
      <c r="W462" s="10">
        <v>4.8379629629629627E-2</v>
      </c>
      <c r="X462" s="10">
        <v>0</v>
      </c>
      <c r="Y462" s="9">
        <v>0</v>
      </c>
      <c r="Z462" s="9">
        <v>0</v>
      </c>
      <c r="AA462" s="9">
        <v>0</v>
      </c>
      <c r="AB462" s="9">
        <v>0</v>
      </c>
      <c r="AC462" s="9">
        <v>0</v>
      </c>
      <c r="AD462" s="9">
        <v>3</v>
      </c>
      <c r="AE462" s="9" t="s">
        <v>139</v>
      </c>
      <c r="AF462" s="9" t="s">
        <v>3811</v>
      </c>
      <c r="AG462" s="9" t="s">
        <v>3812</v>
      </c>
      <c r="AH462" s="9">
        <v>6.2746550000000001</v>
      </c>
      <c r="AI462" s="9">
        <v>-75.540584999999993</v>
      </c>
      <c r="AJ462" s="9" t="s">
        <v>3813</v>
      </c>
      <c r="AK462" s="9">
        <v>6.2527340000000002</v>
      </c>
      <c r="AL462" s="9">
        <v>-75.556585999999996</v>
      </c>
      <c r="AM462" s="26">
        <f t="shared" si="8"/>
        <v>0</v>
      </c>
    </row>
    <row r="463" spans="1:39" ht="15" x14ac:dyDescent="0.25">
      <c r="A463" s="9" t="s">
        <v>3814</v>
      </c>
      <c r="B463" s="9" t="s">
        <v>3815</v>
      </c>
      <c r="C463" s="9" t="s">
        <v>3816</v>
      </c>
      <c r="D463" s="9" t="s">
        <v>3739</v>
      </c>
      <c r="E463" s="9" t="s">
        <v>2619</v>
      </c>
      <c r="F463" s="9" t="s">
        <v>406</v>
      </c>
      <c r="G463" s="9" t="s">
        <v>72</v>
      </c>
      <c r="H463" s="9" t="s">
        <v>73</v>
      </c>
      <c r="I463" s="9" t="s">
        <v>115</v>
      </c>
      <c r="J463" s="9">
        <v>1461</v>
      </c>
      <c r="K463" s="9" t="s">
        <v>3817</v>
      </c>
      <c r="L463" s="9" t="s">
        <v>117</v>
      </c>
      <c r="M463" s="10">
        <v>2.9629629629629628E-3</v>
      </c>
      <c r="N463" s="9" t="s">
        <v>65</v>
      </c>
      <c r="O463" s="9" t="s">
        <v>3818</v>
      </c>
      <c r="P463" s="9" t="s">
        <v>119</v>
      </c>
      <c r="Q463" s="10">
        <v>4.386574074074074E-2</v>
      </c>
      <c r="R463" s="9" t="s">
        <v>56</v>
      </c>
      <c r="S463" s="10">
        <v>0.20909722222222221</v>
      </c>
      <c r="T463" s="9">
        <v>22.146999999999998</v>
      </c>
      <c r="U463" s="9">
        <v>6.21</v>
      </c>
      <c r="V463" s="10">
        <v>0.14871527777777779</v>
      </c>
      <c r="W463" s="10">
        <v>0.1218402777777778</v>
      </c>
      <c r="X463" s="10">
        <v>1.6168981481481479E-2</v>
      </c>
      <c r="Y463" s="9">
        <v>1</v>
      </c>
      <c r="Z463" s="9">
        <v>1</v>
      </c>
      <c r="AA463" s="9">
        <v>0</v>
      </c>
      <c r="AB463" s="9">
        <v>0</v>
      </c>
      <c r="AC463" s="9">
        <v>0</v>
      </c>
      <c r="AD463" s="9">
        <v>2</v>
      </c>
      <c r="AE463" s="9" t="s">
        <v>67</v>
      </c>
      <c r="AF463" s="9" t="s">
        <v>3819</v>
      </c>
      <c r="AG463" s="9" t="s">
        <v>3820</v>
      </c>
      <c r="AH463" s="9">
        <v>6.2382650000000002</v>
      </c>
      <c r="AI463" s="9">
        <v>-75.560159999999996</v>
      </c>
      <c r="AJ463" s="9" t="s">
        <v>3821</v>
      </c>
      <c r="AK463" s="9">
        <v>6.2370900000000002</v>
      </c>
      <c r="AL463" s="9">
        <v>-75.558795000000003</v>
      </c>
      <c r="AM463" s="26">
        <f t="shared" si="8"/>
        <v>4.386574074074074E-2</v>
      </c>
    </row>
    <row r="464" spans="1:39" ht="15" x14ac:dyDescent="0.25">
      <c r="A464" s="9" t="s">
        <v>3822</v>
      </c>
      <c r="B464" s="9" t="s">
        <v>3823</v>
      </c>
      <c r="C464" s="9" t="s">
        <v>3824</v>
      </c>
      <c r="D464" s="9" t="s">
        <v>3739</v>
      </c>
      <c r="E464" s="9" t="s">
        <v>2619</v>
      </c>
      <c r="F464" s="9" t="s">
        <v>406</v>
      </c>
      <c r="G464" s="9" t="s">
        <v>80</v>
      </c>
      <c r="H464" s="9" t="s">
        <v>81</v>
      </c>
      <c r="I464" s="9" t="s">
        <v>115</v>
      </c>
      <c r="J464" s="9">
        <v>4420</v>
      </c>
      <c r="K464" s="9" t="s">
        <v>3825</v>
      </c>
      <c r="L464" s="9" t="s">
        <v>117</v>
      </c>
      <c r="M464" s="10">
        <v>9.4690625E-3</v>
      </c>
      <c r="N464" s="9" t="s">
        <v>65</v>
      </c>
      <c r="O464" s="9" t="s">
        <v>3826</v>
      </c>
      <c r="P464" s="9" t="s">
        <v>119</v>
      </c>
      <c r="Q464" s="10">
        <v>4.7883680555555553E-3</v>
      </c>
      <c r="R464" s="9" t="s">
        <v>46</v>
      </c>
      <c r="S464" s="10">
        <v>0.23574256944444441</v>
      </c>
      <c r="T464" s="9">
        <v>30.524000000000001</v>
      </c>
      <c r="U464" s="9">
        <v>18.13</v>
      </c>
      <c r="V464" s="10">
        <v>7.0145706018518647E-2</v>
      </c>
      <c r="W464" s="10">
        <v>2.9791041666666671E-2</v>
      </c>
      <c r="X464" s="10">
        <v>0</v>
      </c>
      <c r="Y464" s="9">
        <v>0</v>
      </c>
      <c r="Z464" s="9">
        <v>0</v>
      </c>
      <c r="AA464" s="9">
        <v>0</v>
      </c>
      <c r="AB464" s="9">
        <v>0</v>
      </c>
      <c r="AC464" s="9">
        <v>0</v>
      </c>
      <c r="AD464" s="9">
        <v>9</v>
      </c>
      <c r="AE464" s="9" t="s">
        <v>84</v>
      </c>
      <c r="AF464" s="9" t="s">
        <v>3008</v>
      </c>
      <c r="AG464" s="9" t="s">
        <v>3827</v>
      </c>
      <c r="AH464" s="9">
        <v>6.2468779999999997</v>
      </c>
      <c r="AI464" s="9">
        <v>-75.554066000000006</v>
      </c>
      <c r="AJ464" s="9" t="s">
        <v>3828</v>
      </c>
      <c r="AK464" s="9">
        <v>6.2554270000000001</v>
      </c>
      <c r="AL464" s="9">
        <v>-75.620604</v>
      </c>
      <c r="AM464" s="26">
        <f t="shared" si="8"/>
        <v>0</v>
      </c>
    </row>
    <row r="465" spans="1:39" ht="15" x14ac:dyDescent="0.25">
      <c r="A465" s="9" t="s">
        <v>3829</v>
      </c>
      <c r="B465" s="9" t="s">
        <v>3830</v>
      </c>
      <c r="C465" s="9" t="s">
        <v>3831</v>
      </c>
      <c r="D465" s="9" t="s">
        <v>3739</v>
      </c>
      <c r="E465" s="9" t="s">
        <v>2619</v>
      </c>
      <c r="F465" s="9" t="s">
        <v>406</v>
      </c>
      <c r="G465" s="9" t="s">
        <v>160</v>
      </c>
      <c r="H465" s="9" t="s">
        <v>161</v>
      </c>
      <c r="I465" s="9" t="s">
        <v>115</v>
      </c>
      <c r="J465" s="9">
        <v>9998</v>
      </c>
      <c r="K465" s="9" t="s">
        <v>3832</v>
      </c>
      <c r="L465" s="9" t="s">
        <v>117</v>
      </c>
      <c r="M465" s="10">
        <v>7.3650694444444441E-3</v>
      </c>
      <c r="N465" s="9" t="s">
        <v>65</v>
      </c>
      <c r="O465" s="9" t="s">
        <v>3833</v>
      </c>
      <c r="P465" s="9" t="s">
        <v>119</v>
      </c>
      <c r="Q465" s="10">
        <v>1.651223379629629E-2</v>
      </c>
      <c r="R465" s="9" t="s">
        <v>129</v>
      </c>
      <c r="S465" s="10">
        <v>0.27387730324074072</v>
      </c>
      <c r="T465" s="9">
        <v>57.17</v>
      </c>
      <c r="U465" s="9">
        <v>12.85</v>
      </c>
      <c r="V465" s="10">
        <v>0.18532579861111109</v>
      </c>
      <c r="W465" s="10">
        <v>0.12942263888888891</v>
      </c>
      <c r="X465" s="10">
        <v>1.2048587962962961E-2</v>
      </c>
      <c r="Y465" s="9">
        <v>1</v>
      </c>
      <c r="Z465" s="9">
        <v>1</v>
      </c>
      <c r="AA465" s="9">
        <v>0</v>
      </c>
      <c r="AB465" s="9">
        <v>0</v>
      </c>
      <c r="AC465" s="9">
        <v>0</v>
      </c>
      <c r="AD465" s="9">
        <v>1</v>
      </c>
      <c r="AE465" s="9" t="s">
        <v>130</v>
      </c>
      <c r="AF465" s="9" t="s">
        <v>3834</v>
      </c>
      <c r="AG465" s="9" t="s">
        <v>3835</v>
      </c>
      <c r="AH465" s="9">
        <v>6.2674969999999997</v>
      </c>
      <c r="AI465" s="9">
        <v>-75.598056999999997</v>
      </c>
      <c r="AJ465" s="9" t="s">
        <v>3836</v>
      </c>
      <c r="AK465" s="9">
        <v>6.2796070000000004</v>
      </c>
      <c r="AL465" s="9">
        <v>-75.570876999999996</v>
      </c>
      <c r="AM465" s="26">
        <f t="shared" si="8"/>
        <v>0</v>
      </c>
    </row>
    <row r="466" spans="1:39" ht="15" x14ac:dyDescent="0.25">
      <c r="A466" s="9" t="s">
        <v>3837</v>
      </c>
      <c r="B466" s="9" t="s">
        <v>3838</v>
      </c>
      <c r="C466" s="9" t="s">
        <v>3839</v>
      </c>
      <c r="D466" s="9" t="s">
        <v>3739</v>
      </c>
      <c r="E466" s="9" t="s">
        <v>2619</v>
      </c>
      <c r="F466" s="9" t="s">
        <v>406</v>
      </c>
      <c r="G466" s="9" t="s">
        <v>97</v>
      </c>
      <c r="H466" s="9" t="s">
        <v>98</v>
      </c>
      <c r="I466" s="9" t="s">
        <v>115</v>
      </c>
      <c r="J466" s="9">
        <v>1850</v>
      </c>
      <c r="K466" s="9" t="s">
        <v>3840</v>
      </c>
      <c r="L466" s="9" t="s">
        <v>117</v>
      </c>
      <c r="M466" s="10">
        <v>6.5277777777777782E-3</v>
      </c>
      <c r="N466" s="9" t="s">
        <v>65</v>
      </c>
      <c r="O466" s="9" t="s">
        <v>3841</v>
      </c>
      <c r="P466" s="9" t="s">
        <v>119</v>
      </c>
      <c r="Q466" s="10">
        <v>1.25462962962963E-2</v>
      </c>
      <c r="R466" s="9" t="s">
        <v>129</v>
      </c>
      <c r="S466" s="10">
        <v>0.25601851851851848</v>
      </c>
      <c r="T466" s="9">
        <v>23.943999999999999</v>
      </c>
      <c r="U466" s="9">
        <v>5.92</v>
      </c>
      <c r="V466" s="10">
        <v>0.1686458333333333</v>
      </c>
      <c r="W466" s="10">
        <v>0.1337962962962963</v>
      </c>
      <c r="X466" s="10">
        <v>0</v>
      </c>
      <c r="Y466" s="9">
        <v>0</v>
      </c>
      <c r="Z466" s="9">
        <v>0</v>
      </c>
      <c r="AA466" s="9">
        <v>0</v>
      </c>
      <c r="AB466" s="9">
        <v>0</v>
      </c>
      <c r="AC466" s="9">
        <v>0</v>
      </c>
      <c r="AD466" s="9">
        <v>0</v>
      </c>
      <c r="AE466" s="9" t="s">
        <v>130</v>
      </c>
      <c r="AF466" s="9" t="s">
        <v>3842</v>
      </c>
      <c r="AG466" s="9" t="s">
        <v>3843</v>
      </c>
      <c r="AH466" s="9">
        <v>6.3060479999999997</v>
      </c>
      <c r="AI466" s="9">
        <v>-75.581988999999993</v>
      </c>
      <c r="AJ466" s="9" t="s">
        <v>3844</v>
      </c>
      <c r="AK466" s="9">
        <v>6.3065259999999999</v>
      </c>
      <c r="AL466" s="9">
        <v>-75.581993999999995</v>
      </c>
      <c r="AM466" s="26">
        <f t="shared" si="8"/>
        <v>0</v>
      </c>
    </row>
    <row r="467" spans="1:39" ht="15" x14ac:dyDescent="0.25">
      <c r="A467" s="9" t="s">
        <v>3845</v>
      </c>
      <c r="B467" s="9" t="s">
        <v>3846</v>
      </c>
      <c r="C467" s="9" t="s">
        <v>3847</v>
      </c>
      <c r="D467" s="9" t="s">
        <v>3778</v>
      </c>
      <c r="E467" s="9" t="s">
        <v>2619</v>
      </c>
      <c r="F467" s="9" t="s">
        <v>455</v>
      </c>
      <c r="G467" s="9" t="s">
        <v>152</v>
      </c>
      <c r="H467" s="9" t="s">
        <v>153</v>
      </c>
      <c r="I467" s="9" t="s">
        <v>115</v>
      </c>
      <c r="J467" s="9">
        <v>2462</v>
      </c>
      <c r="K467" s="9" t="s">
        <v>3848</v>
      </c>
      <c r="L467" s="9" t="s">
        <v>117</v>
      </c>
      <c r="M467" s="10">
        <v>4.7916666666666663E-3</v>
      </c>
      <c r="N467" s="9" t="s">
        <v>65</v>
      </c>
      <c r="O467" s="9" t="s">
        <v>3849</v>
      </c>
      <c r="P467" s="9" t="s">
        <v>119</v>
      </c>
      <c r="Q467" s="10">
        <v>2.177083333333333E-2</v>
      </c>
      <c r="R467" s="9" t="s">
        <v>56</v>
      </c>
      <c r="S467" s="10">
        <v>0.22343750000000001</v>
      </c>
      <c r="T467" s="9">
        <v>30.571000000000002</v>
      </c>
      <c r="U467" s="9">
        <v>7.48</v>
      </c>
      <c r="V467" s="10">
        <v>0.17021990740740739</v>
      </c>
      <c r="W467" s="10">
        <v>0.10240740740740741</v>
      </c>
      <c r="X467" s="10">
        <v>0</v>
      </c>
      <c r="Y467" s="9">
        <v>0</v>
      </c>
      <c r="Z467" s="9">
        <v>0</v>
      </c>
      <c r="AA467" s="9">
        <v>0</v>
      </c>
      <c r="AB467" s="9">
        <v>0</v>
      </c>
      <c r="AC467" s="9">
        <v>0</v>
      </c>
      <c r="AD467" s="9">
        <v>0</v>
      </c>
      <c r="AE467" s="9" t="s">
        <v>67</v>
      </c>
      <c r="AF467" s="9" t="s">
        <v>3850</v>
      </c>
      <c r="AG467" s="9" t="s">
        <v>3851</v>
      </c>
      <c r="AH467" s="9">
        <v>6.251703</v>
      </c>
      <c r="AI467" s="9">
        <v>-75.551666999999995</v>
      </c>
      <c r="AJ467" s="9" t="s">
        <v>3852</v>
      </c>
      <c r="AK467" s="9">
        <v>6.3108180000000003</v>
      </c>
      <c r="AL467" s="9">
        <v>-75.566104999999993</v>
      </c>
      <c r="AM467" s="26">
        <f t="shared" si="8"/>
        <v>2.177083333333333E-2</v>
      </c>
    </row>
    <row r="468" spans="1:39" ht="15" x14ac:dyDescent="0.25">
      <c r="A468" s="9" t="s">
        <v>3853</v>
      </c>
      <c r="B468" s="9" t="s">
        <v>3854</v>
      </c>
      <c r="C468" s="9" t="s">
        <v>3855</v>
      </c>
      <c r="D468" s="9" t="s">
        <v>3856</v>
      </c>
      <c r="E468" s="9" t="s">
        <v>2619</v>
      </c>
      <c r="F468" s="9" t="s">
        <v>508</v>
      </c>
      <c r="G468" s="9" t="s">
        <v>38</v>
      </c>
      <c r="H468" s="9" t="s">
        <v>39</v>
      </c>
      <c r="I468" s="9" t="s">
        <v>40</v>
      </c>
      <c r="J468" s="9">
        <v>3246</v>
      </c>
      <c r="K468" s="9" t="s">
        <v>3857</v>
      </c>
      <c r="L468" s="9" t="s">
        <v>42</v>
      </c>
      <c r="M468" s="10">
        <v>1.7175925925925921E-2</v>
      </c>
      <c r="N468" s="9" t="s">
        <v>43</v>
      </c>
      <c r="O468" s="9" t="s">
        <v>3858</v>
      </c>
      <c r="P468" s="9" t="s">
        <v>45</v>
      </c>
      <c r="Q468" s="10">
        <v>1.273148148148148E-3</v>
      </c>
      <c r="R468" s="9" t="s">
        <v>46</v>
      </c>
      <c r="S468" s="10">
        <v>0.31743055555555549</v>
      </c>
      <c r="T468" s="9">
        <v>44.567</v>
      </c>
      <c r="U468" s="9">
        <v>8.93</v>
      </c>
      <c r="V468" s="10">
        <v>0.2078703703703704</v>
      </c>
      <c r="W468" s="10">
        <v>0.14473379629629629</v>
      </c>
      <c r="X468" s="10">
        <v>1.480324074074074E-2</v>
      </c>
      <c r="Y468" s="9">
        <v>1</v>
      </c>
      <c r="Z468" s="9">
        <v>1</v>
      </c>
      <c r="AA468" s="9">
        <v>0</v>
      </c>
      <c r="AB468" s="9">
        <v>0</v>
      </c>
      <c r="AC468" s="9">
        <v>0</v>
      </c>
      <c r="AD468" s="9">
        <v>0</v>
      </c>
      <c r="AE468" s="9" t="s">
        <v>47</v>
      </c>
      <c r="AF468" s="9" t="s">
        <v>3859</v>
      </c>
      <c r="AG468" s="9" t="s">
        <v>3860</v>
      </c>
      <c r="AH468" s="9">
        <v>6.2034229999999999</v>
      </c>
      <c r="AI468" s="9">
        <v>-75.600454999999997</v>
      </c>
      <c r="AJ468" s="9" t="s">
        <v>3861</v>
      </c>
      <c r="AK468" s="9">
        <v>6.2256689999999999</v>
      </c>
      <c r="AL468" s="9">
        <v>-75.599110999999994</v>
      </c>
      <c r="AM468" s="26">
        <f t="shared" si="8"/>
        <v>1.7175925925925921E-2</v>
      </c>
    </row>
    <row r="469" spans="1:39" ht="15" x14ac:dyDescent="0.25">
      <c r="A469" s="9" t="s">
        <v>3862</v>
      </c>
      <c r="B469" s="9" t="s">
        <v>3863</v>
      </c>
      <c r="C469" s="9" t="s">
        <v>3864</v>
      </c>
      <c r="D469" s="9" t="s">
        <v>3856</v>
      </c>
      <c r="E469" s="9" t="s">
        <v>2619</v>
      </c>
      <c r="F469" s="9" t="s">
        <v>508</v>
      </c>
      <c r="G469" s="9" t="s">
        <v>52</v>
      </c>
      <c r="H469" s="9" t="s">
        <v>53</v>
      </c>
      <c r="I469" s="9" t="s">
        <v>40</v>
      </c>
      <c r="J469" s="9">
        <v>1424</v>
      </c>
      <c r="K469" s="9" t="s">
        <v>3865</v>
      </c>
      <c r="L469" s="9" t="s">
        <v>42</v>
      </c>
      <c r="M469" s="10">
        <v>7.2106481481481483E-3</v>
      </c>
      <c r="N469" s="9" t="s">
        <v>65</v>
      </c>
      <c r="O469" s="9" t="s">
        <v>3866</v>
      </c>
      <c r="P469" s="9" t="s">
        <v>45</v>
      </c>
      <c r="Q469" s="10">
        <v>2.488425925925926E-3</v>
      </c>
      <c r="R469" s="9" t="s">
        <v>46</v>
      </c>
      <c r="S469" s="10">
        <v>0.32861111111111108</v>
      </c>
      <c r="T469" s="9">
        <v>21.260999999999999</v>
      </c>
      <c r="U469" s="9">
        <v>4.5</v>
      </c>
      <c r="V469" s="10">
        <v>0.19696759259259261</v>
      </c>
      <c r="W469" s="10">
        <v>0.17226851851851849</v>
      </c>
      <c r="X469" s="10">
        <v>6.5659722222222217E-2</v>
      </c>
      <c r="Y469" s="9">
        <v>1</v>
      </c>
      <c r="Z469" s="9">
        <v>1</v>
      </c>
      <c r="AA469" s="9">
        <v>1</v>
      </c>
      <c r="AB469" s="9">
        <v>1</v>
      </c>
      <c r="AC469" s="9">
        <v>1</v>
      </c>
      <c r="AD469" s="9">
        <v>2</v>
      </c>
      <c r="AE469" s="9" t="s">
        <v>84</v>
      </c>
      <c r="AF469" s="9" t="s">
        <v>2894</v>
      </c>
      <c r="AG469" s="9" t="s">
        <v>3867</v>
      </c>
      <c r="AH469" s="9">
        <v>6.2256390000000001</v>
      </c>
      <c r="AI469" s="9">
        <v>-75.599331000000006</v>
      </c>
      <c r="AJ469" s="9" t="s">
        <v>3868</v>
      </c>
      <c r="AK469" s="9">
        <v>6.2256850000000004</v>
      </c>
      <c r="AL469" s="9">
        <v>-75.599348000000006</v>
      </c>
      <c r="AM469" s="26">
        <f t="shared" si="8"/>
        <v>0</v>
      </c>
    </row>
    <row r="470" spans="1:39" ht="15" x14ac:dyDescent="0.25">
      <c r="A470" s="9" t="s">
        <v>3869</v>
      </c>
      <c r="B470" s="9" t="s">
        <v>3870</v>
      </c>
      <c r="C470" s="9" t="s">
        <v>3871</v>
      </c>
      <c r="D470" s="9" t="s">
        <v>3856</v>
      </c>
      <c r="E470" s="9" t="s">
        <v>2619</v>
      </c>
      <c r="F470" s="9" t="s">
        <v>508</v>
      </c>
      <c r="G470" s="9" t="s">
        <v>62</v>
      </c>
      <c r="H470" s="9" t="s">
        <v>63</v>
      </c>
      <c r="I470" s="9" t="s">
        <v>40</v>
      </c>
      <c r="J470" s="9">
        <v>4292</v>
      </c>
      <c r="K470" s="9" t="s">
        <v>3872</v>
      </c>
      <c r="L470" s="9" t="s">
        <v>42</v>
      </c>
      <c r="M470" s="10">
        <v>1.207175925925926E-2</v>
      </c>
      <c r="N470" s="9" t="s">
        <v>43</v>
      </c>
      <c r="O470" s="9" t="s">
        <v>3873</v>
      </c>
      <c r="P470" s="9" t="s">
        <v>45</v>
      </c>
      <c r="Q470" s="10">
        <v>9.4247685185185184E-2</v>
      </c>
      <c r="R470" s="9" t="s">
        <v>129</v>
      </c>
      <c r="S470" s="10">
        <v>0.41550925925925919</v>
      </c>
      <c r="T470" s="9">
        <v>62.101999999999997</v>
      </c>
      <c r="U470" s="9">
        <v>7.83</v>
      </c>
      <c r="V470" s="10">
        <v>0.33065972222222217</v>
      </c>
      <c r="W470" s="10">
        <v>0.25177083333333328</v>
      </c>
      <c r="X470" s="10">
        <v>5.1041666666666666E-3</v>
      </c>
      <c r="Y470" s="9">
        <v>0</v>
      </c>
      <c r="Z470" s="9">
        <v>0</v>
      </c>
      <c r="AA470" s="9">
        <v>0</v>
      </c>
      <c r="AB470" s="9">
        <v>0</v>
      </c>
      <c r="AC470" s="9">
        <v>0</v>
      </c>
      <c r="AD470" s="9">
        <v>3</v>
      </c>
      <c r="AE470" s="9" t="s">
        <v>130</v>
      </c>
      <c r="AF470" s="9" t="s">
        <v>3874</v>
      </c>
      <c r="AG470" s="9" t="s">
        <v>3875</v>
      </c>
      <c r="AH470" s="9">
        <v>6.2256299999999998</v>
      </c>
      <c r="AI470" s="9">
        <v>-75.599422000000004</v>
      </c>
      <c r="AJ470" s="9" t="s">
        <v>3876</v>
      </c>
      <c r="AK470" s="9">
        <v>6.3102330000000002</v>
      </c>
      <c r="AL470" s="9">
        <v>-75.578072000000006</v>
      </c>
      <c r="AM470" s="26">
        <f t="shared" si="8"/>
        <v>1.207175925925926E-2</v>
      </c>
    </row>
    <row r="471" spans="1:39" ht="15" x14ac:dyDescent="0.25">
      <c r="A471" s="9" t="s">
        <v>3877</v>
      </c>
      <c r="B471" s="9" t="s">
        <v>3878</v>
      </c>
      <c r="C471" s="9" t="s">
        <v>3879</v>
      </c>
      <c r="D471" s="9" t="s">
        <v>3856</v>
      </c>
      <c r="E471" s="9" t="s">
        <v>2619</v>
      </c>
      <c r="F471" s="9" t="s">
        <v>508</v>
      </c>
      <c r="G471" s="9" t="s">
        <v>144</v>
      </c>
      <c r="H471" s="9" t="s">
        <v>145</v>
      </c>
      <c r="I471" s="9" t="s">
        <v>40</v>
      </c>
      <c r="J471" s="9">
        <v>5994</v>
      </c>
      <c r="K471" s="9" t="s">
        <v>3880</v>
      </c>
      <c r="L471" s="9" t="s">
        <v>42</v>
      </c>
      <c r="M471" s="10">
        <v>2.9629629629629628E-3</v>
      </c>
      <c r="N471" s="9" t="s">
        <v>65</v>
      </c>
      <c r="O471" s="9" t="s">
        <v>3881</v>
      </c>
      <c r="P471" s="9" t="s">
        <v>45</v>
      </c>
      <c r="Q471" s="10">
        <v>4.9652777777777777E-3</v>
      </c>
      <c r="R471" s="9" t="s">
        <v>46</v>
      </c>
      <c r="S471" s="10">
        <v>0.33133101851851848</v>
      </c>
      <c r="T471" s="9">
        <v>80.067999999999998</v>
      </c>
      <c r="U471" s="9">
        <v>13.72</v>
      </c>
      <c r="V471" s="10">
        <v>0.24310185185185179</v>
      </c>
      <c r="W471" s="10">
        <v>9.8518518518518519E-2</v>
      </c>
      <c r="X471" s="10">
        <v>0</v>
      </c>
      <c r="Y471" s="9">
        <v>0</v>
      </c>
      <c r="Z471" s="9">
        <v>0</v>
      </c>
      <c r="AA471" s="9">
        <v>0</v>
      </c>
      <c r="AB471" s="9">
        <v>0</v>
      </c>
      <c r="AC471" s="9">
        <v>0</v>
      </c>
      <c r="AD471" s="9">
        <v>0</v>
      </c>
      <c r="AE471" s="9" t="s">
        <v>84</v>
      </c>
      <c r="AF471" s="9" t="s">
        <v>352</v>
      </c>
      <c r="AG471" s="9" t="s">
        <v>3882</v>
      </c>
      <c r="AH471" s="9">
        <v>6.2257020000000001</v>
      </c>
      <c r="AI471" s="9">
        <v>-75.599575000000002</v>
      </c>
      <c r="AJ471" s="9" t="s">
        <v>3883</v>
      </c>
      <c r="AK471" s="9">
        <v>6.2904960000000001</v>
      </c>
      <c r="AL471" s="9">
        <v>-75.546454999999995</v>
      </c>
      <c r="AM471" s="26">
        <f t="shared" si="8"/>
        <v>0</v>
      </c>
    </row>
    <row r="472" spans="1:39" ht="15" x14ac:dyDescent="0.25">
      <c r="A472" s="9" t="s">
        <v>3884</v>
      </c>
      <c r="B472" s="9" t="s">
        <v>3885</v>
      </c>
      <c r="C472" s="9" t="s">
        <v>3886</v>
      </c>
      <c r="D472" s="9" t="s">
        <v>3856</v>
      </c>
      <c r="E472" s="9" t="s">
        <v>2619</v>
      </c>
      <c r="F472" s="9" t="s">
        <v>508</v>
      </c>
      <c r="G472" s="9" t="s">
        <v>89</v>
      </c>
      <c r="H472" s="9" t="s">
        <v>90</v>
      </c>
      <c r="I472" s="9" t="s">
        <v>40</v>
      </c>
      <c r="J472" s="9">
        <v>3233</v>
      </c>
      <c r="K472" s="9" t="s">
        <v>3887</v>
      </c>
      <c r="L472" s="9" t="s">
        <v>42</v>
      </c>
      <c r="M472" s="10">
        <v>6.4583333333333333E-3</v>
      </c>
      <c r="N472" s="9" t="s">
        <v>65</v>
      </c>
      <c r="O472" s="9" t="s">
        <v>3888</v>
      </c>
      <c r="P472" s="9" t="s">
        <v>45</v>
      </c>
      <c r="Q472" s="10">
        <v>0.10381944444444451</v>
      </c>
      <c r="R472" s="9" t="s">
        <v>56</v>
      </c>
      <c r="S472" s="10">
        <v>0.22305555555555559</v>
      </c>
      <c r="T472" s="9">
        <v>42.648000000000003</v>
      </c>
      <c r="U472" s="9">
        <v>10.73</v>
      </c>
      <c r="V472" s="10">
        <v>0.16562499999999999</v>
      </c>
      <c r="W472" s="10">
        <v>8.7974537037037032E-2</v>
      </c>
      <c r="X472" s="10">
        <v>2.4062500000000001E-2</v>
      </c>
      <c r="Y472" s="9">
        <v>1</v>
      </c>
      <c r="Z472" s="9">
        <v>1</v>
      </c>
      <c r="AA472" s="9">
        <v>1</v>
      </c>
      <c r="AB472" s="9">
        <v>0</v>
      </c>
      <c r="AC472" s="9">
        <v>0</v>
      </c>
      <c r="AD472" s="9">
        <v>0</v>
      </c>
      <c r="AE472" s="9" t="s">
        <v>67</v>
      </c>
      <c r="AF472" s="9" t="s">
        <v>3889</v>
      </c>
      <c r="AG472" s="9" t="s">
        <v>3890</v>
      </c>
      <c r="AH472" s="9">
        <v>6.2269459999999999</v>
      </c>
      <c r="AI472" s="9">
        <v>-75.599124000000003</v>
      </c>
      <c r="AJ472" s="9" t="s">
        <v>3891</v>
      </c>
      <c r="AK472" s="9">
        <v>6.282292</v>
      </c>
      <c r="AL472" s="9">
        <v>-75.563462999999999</v>
      </c>
      <c r="AM472" s="26">
        <f t="shared" si="8"/>
        <v>0.10381944444444451</v>
      </c>
    </row>
    <row r="473" spans="1:39" ht="15" x14ac:dyDescent="0.25">
      <c r="A473" s="9" t="s">
        <v>3892</v>
      </c>
      <c r="B473" s="9" t="s">
        <v>3893</v>
      </c>
      <c r="C473" s="9" t="s">
        <v>3894</v>
      </c>
      <c r="D473" s="9" t="s">
        <v>3856</v>
      </c>
      <c r="E473" s="9" t="s">
        <v>2619</v>
      </c>
      <c r="F473" s="9" t="s">
        <v>508</v>
      </c>
      <c r="G473" s="9" t="s">
        <v>113</v>
      </c>
      <c r="H473" s="9" t="s">
        <v>114</v>
      </c>
      <c r="I473" s="9" t="s">
        <v>115</v>
      </c>
      <c r="J473" s="9">
        <v>2587</v>
      </c>
      <c r="K473" s="9" t="s">
        <v>3895</v>
      </c>
      <c r="L473" s="9" t="s">
        <v>117</v>
      </c>
      <c r="M473" s="10">
        <v>9.0856481481481483E-3</v>
      </c>
      <c r="N473" s="9" t="s">
        <v>65</v>
      </c>
      <c r="O473" s="9" t="s">
        <v>3896</v>
      </c>
      <c r="P473" s="9" t="s">
        <v>119</v>
      </c>
      <c r="Q473" s="10">
        <v>1.712962962962963E-3</v>
      </c>
      <c r="R473" s="9" t="s">
        <v>46</v>
      </c>
      <c r="S473" s="10">
        <v>0.23920138888888889</v>
      </c>
      <c r="T473" s="9">
        <v>36.43</v>
      </c>
      <c r="U473" s="9">
        <v>8.6300000000000008</v>
      </c>
      <c r="V473" s="10">
        <v>0.1758912037037037</v>
      </c>
      <c r="W473" s="10">
        <v>0.11684027777777781</v>
      </c>
      <c r="X473" s="10">
        <v>0</v>
      </c>
      <c r="Y473" s="9">
        <v>0</v>
      </c>
      <c r="Z473" s="9">
        <v>0</v>
      </c>
      <c r="AA473" s="9">
        <v>0</v>
      </c>
      <c r="AB473" s="9">
        <v>0</v>
      </c>
      <c r="AC473" s="9">
        <v>0</v>
      </c>
      <c r="AD473" s="9">
        <v>2</v>
      </c>
      <c r="AE473" s="9" t="s">
        <v>84</v>
      </c>
      <c r="AF473" s="9" t="s">
        <v>1384</v>
      </c>
      <c r="AG473" s="9" t="s">
        <v>3897</v>
      </c>
      <c r="AH473" s="9">
        <v>6.2591720000000004</v>
      </c>
      <c r="AI473" s="9">
        <v>-75.600713999999996</v>
      </c>
      <c r="AJ473" s="9" t="s">
        <v>3898</v>
      </c>
      <c r="AK473" s="9">
        <v>6.2478290000000003</v>
      </c>
      <c r="AL473" s="9">
        <v>-75.615061999999995</v>
      </c>
      <c r="AM473" s="26">
        <f t="shared" si="8"/>
        <v>0</v>
      </c>
    </row>
    <row r="474" spans="1:39" ht="15" x14ac:dyDescent="0.25">
      <c r="A474" s="9" t="s">
        <v>3899</v>
      </c>
      <c r="B474" s="9" t="s">
        <v>3900</v>
      </c>
      <c r="C474" s="9" t="s">
        <v>3901</v>
      </c>
      <c r="D474" s="9" t="s">
        <v>3856</v>
      </c>
      <c r="E474" s="9" t="s">
        <v>2619</v>
      </c>
      <c r="F474" s="9" t="s">
        <v>508</v>
      </c>
      <c r="G474" s="9" t="s">
        <v>124</v>
      </c>
      <c r="H474" s="9" t="s">
        <v>125</v>
      </c>
      <c r="I474" s="9" t="s">
        <v>115</v>
      </c>
      <c r="J474" s="9">
        <v>5039</v>
      </c>
      <c r="K474" s="9" t="s">
        <v>3902</v>
      </c>
      <c r="L474" s="9" t="s">
        <v>117</v>
      </c>
      <c r="M474" s="10">
        <v>5.3761574074074073E-2</v>
      </c>
      <c r="N474" s="9" t="s">
        <v>127</v>
      </c>
      <c r="O474" s="9" t="s">
        <v>3903</v>
      </c>
      <c r="P474" s="9" t="s">
        <v>119</v>
      </c>
      <c r="Q474" s="10">
        <v>1.667824074074074E-2</v>
      </c>
      <c r="R474" s="9" t="s">
        <v>129</v>
      </c>
      <c r="S474" s="10">
        <v>0.32043981481481482</v>
      </c>
      <c r="T474" s="9">
        <v>67.727000000000004</v>
      </c>
      <c r="U474" s="9">
        <v>13.5</v>
      </c>
      <c r="V474" s="10">
        <v>0.20905092592592589</v>
      </c>
      <c r="W474" s="10">
        <v>8.9733796296296298E-2</v>
      </c>
      <c r="X474" s="10">
        <v>1.7349537037037038E-2</v>
      </c>
      <c r="Y474" s="9">
        <v>1</v>
      </c>
      <c r="Z474" s="9">
        <v>1</v>
      </c>
      <c r="AA474" s="9">
        <v>0</v>
      </c>
      <c r="AB474" s="9">
        <v>0</v>
      </c>
      <c r="AC474" s="9">
        <v>0</v>
      </c>
      <c r="AD474" s="9">
        <v>0</v>
      </c>
      <c r="AE474" s="9" t="s">
        <v>130</v>
      </c>
      <c r="AF474" s="9" t="s">
        <v>3904</v>
      </c>
      <c r="AG474" s="9" t="s">
        <v>3905</v>
      </c>
      <c r="AH474" s="9">
        <v>6.2278919999999998</v>
      </c>
      <c r="AI474" s="9">
        <v>-75.599327000000002</v>
      </c>
      <c r="AJ474" s="9" t="s">
        <v>3906</v>
      </c>
      <c r="AK474" s="9">
        <v>6.2726980000000001</v>
      </c>
      <c r="AL474" s="9">
        <v>-75.602052</v>
      </c>
      <c r="AM474" s="26">
        <f t="shared" si="8"/>
        <v>0</v>
      </c>
    </row>
    <row r="475" spans="1:39" ht="15" x14ac:dyDescent="0.25">
      <c r="A475" s="9" t="s">
        <v>3907</v>
      </c>
      <c r="B475" s="9" t="s">
        <v>3908</v>
      </c>
      <c r="C475" s="9" t="s">
        <v>3909</v>
      </c>
      <c r="D475" s="9" t="s">
        <v>3856</v>
      </c>
      <c r="E475" s="9" t="s">
        <v>2619</v>
      </c>
      <c r="F475" s="9" t="s">
        <v>508</v>
      </c>
      <c r="G475" s="9" t="s">
        <v>135</v>
      </c>
      <c r="H475" s="9" t="s">
        <v>136</v>
      </c>
      <c r="I475" s="9" t="s">
        <v>115</v>
      </c>
      <c r="J475" s="9">
        <v>1276</v>
      </c>
      <c r="K475" s="9" t="s">
        <v>3910</v>
      </c>
      <c r="L475" s="9" t="s">
        <v>117</v>
      </c>
      <c r="M475" s="10">
        <v>3.4560185185185187E-2</v>
      </c>
      <c r="N475" s="9" t="s">
        <v>127</v>
      </c>
      <c r="O475" s="9" t="s">
        <v>3911</v>
      </c>
      <c r="P475" s="9" t="s">
        <v>119</v>
      </c>
      <c r="Q475" s="10">
        <v>8.86574074074074E-3</v>
      </c>
      <c r="R475" s="9" t="s">
        <v>46</v>
      </c>
      <c r="S475" s="10">
        <v>0.27569444444444452</v>
      </c>
      <c r="T475" s="9">
        <v>35.518999999999998</v>
      </c>
      <c r="U475" s="9">
        <v>8.77</v>
      </c>
      <c r="V475" s="10">
        <v>0.1688078703703704</v>
      </c>
      <c r="W475" s="10">
        <v>9.4421296296296295E-2</v>
      </c>
      <c r="X475" s="10">
        <v>0</v>
      </c>
      <c r="Y475" s="9">
        <v>0</v>
      </c>
      <c r="Z475" s="9">
        <v>0</v>
      </c>
      <c r="AA475" s="9">
        <v>0</v>
      </c>
      <c r="AB475" s="9">
        <v>0</v>
      </c>
      <c r="AC475" s="9">
        <v>0</v>
      </c>
      <c r="AD475" s="9">
        <v>6</v>
      </c>
      <c r="AE475" s="9" t="s">
        <v>139</v>
      </c>
      <c r="AF475" s="9" t="s">
        <v>3912</v>
      </c>
      <c r="AG475" s="9" t="s">
        <v>3913</v>
      </c>
      <c r="AH475" s="9">
        <v>6.2280410000000002</v>
      </c>
      <c r="AI475" s="9">
        <v>-75.596376000000006</v>
      </c>
      <c r="AJ475" s="9" t="s">
        <v>3914</v>
      </c>
      <c r="AK475" s="9">
        <v>6.2725470000000003</v>
      </c>
      <c r="AL475" s="9">
        <v>-75.540334000000001</v>
      </c>
      <c r="AM475" s="26">
        <f t="shared" si="8"/>
        <v>0</v>
      </c>
    </row>
    <row r="476" spans="1:39" ht="15" x14ac:dyDescent="0.25">
      <c r="A476" s="9" t="s">
        <v>3915</v>
      </c>
      <c r="B476" s="9" t="s">
        <v>3916</v>
      </c>
      <c r="C476" s="9" t="s">
        <v>3917</v>
      </c>
      <c r="D476" s="9" t="s">
        <v>3856</v>
      </c>
      <c r="E476" s="9" t="s">
        <v>2619</v>
      </c>
      <c r="F476" s="9" t="s">
        <v>508</v>
      </c>
      <c r="G476" s="9" t="s">
        <v>72</v>
      </c>
      <c r="H476" s="9" t="s">
        <v>73</v>
      </c>
      <c r="I476" s="9" t="s">
        <v>115</v>
      </c>
      <c r="J476" s="9">
        <v>2385</v>
      </c>
      <c r="K476" s="9" t="s">
        <v>3918</v>
      </c>
      <c r="L476" s="9" t="s">
        <v>117</v>
      </c>
      <c r="M476" s="10">
        <v>5.903935185185185E-2</v>
      </c>
      <c r="N476" s="9" t="s">
        <v>127</v>
      </c>
      <c r="O476" s="9" t="s">
        <v>3919</v>
      </c>
      <c r="P476" s="9" t="s">
        <v>119</v>
      </c>
      <c r="Q476" s="10">
        <v>7.2337962962962965E-2</v>
      </c>
      <c r="R476" s="9" t="s">
        <v>56</v>
      </c>
      <c r="S476" s="10">
        <v>0.23670138888888889</v>
      </c>
      <c r="T476" s="9">
        <v>33.832999999999998</v>
      </c>
      <c r="U476" s="9">
        <v>6.8</v>
      </c>
      <c r="V476" s="10">
        <v>0.20729166666666671</v>
      </c>
      <c r="W476" s="10">
        <v>0.16829861111111111</v>
      </c>
      <c r="X476" s="10">
        <v>0</v>
      </c>
      <c r="Y476" s="9">
        <v>0</v>
      </c>
      <c r="Z476" s="9">
        <v>0</v>
      </c>
      <c r="AA476" s="9">
        <v>0</v>
      </c>
      <c r="AB476" s="9">
        <v>0</v>
      </c>
      <c r="AC476" s="9">
        <v>0</v>
      </c>
      <c r="AD476" s="9">
        <v>1</v>
      </c>
      <c r="AE476" s="9" t="s">
        <v>139</v>
      </c>
      <c r="AF476" s="9" t="s">
        <v>3920</v>
      </c>
      <c r="AG476" s="9" t="s">
        <v>3921</v>
      </c>
      <c r="AH476" s="9">
        <v>6.2259380000000002</v>
      </c>
      <c r="AI476" s="9">
        <v>-75.599412000000001</v>
      </c>
      <c r="AJ476" s="9" t="s">
        <v>3922</v>
      </c>
      <c r="AK476" s="9">
        <v>6.2369620000000001</v>
      </c>
      <c r="AL476" s="9">
        <v>-75.558886000000001</v>
      </c>
      <c r="AM476" s="26">
        <f t="shared" si="8"/>
        <v>7.2337962962962965E-2</v>
      </c>
    </row>
    <row r="477" spans="1:39" ht="15" x14ac:dyDescent="0.25">
      <c r="A477" s="9" t="s">
        <v>3923</v>
      </c>
      <c r="B477" s="9" t="s">
        <v>3924</v>
      </c>
      <c r="C477" s="9" t="s">
        <v>3925</v>
      </c>
      <c r="D477" s="9" t="s">
        <v>3856</v>
      </c>
      <c r="E477" s="9" t="s">
        <v>2619</v>
      </c>
      <c r="F477" s="9" t="s">
        <v>508</v>
      </c>
      <c r="G477" s="9" t="s">
        <v>80</v>
      </c>
      <c r="H477" s="9" t="s">
        <v>81</v>
      </c>
      <c r="I477" s="9" t="s">
        <v>115</v>
      </c>
      <c r="J477" s="9">
        <v>6726</v>
      </c>
      <c r="K477" s="9" t="s">
        <v>3926</v>
      </c>
      <c r="L477" s="9" t="s">
        <v>117</v>
      </c>
      <c r="M477" s="10">
        <v>4.223369212962963E-2</v>
      </c>
      <c r="N477" s="9" t="s">
        <v>127</v>
      </c>
      <c r="O477" s="9" t="s">
        <v>3927</v>
      </c>
      <c r="P477" s="9" t="s">
        <v>119</v>
      </c>
      <c r="Q477" s="10">
        <v>5.0814583333333337E-3</v>
      </c>
      <c r="R477" s="9" t="s">
        <v>46</v>
      </c>
      <c r="S477" s="10">
        <v>0.28715223379629629</v>
      </c>
      <c r="T477" s="9">
        <v>46.881999999999998</v>
      </c>
      <c r="U477" s="9">
        <v>19.25</v>
      </c>
      <c r="V477" s="10">
        <v>0.10148484953703669</v>
      </c>
      <c r="W477" s="10">
        <v>4.2849513888888878E-2</v>
      </c>
      <c r="X477" s="10">
        <v>0</v>
      </c>
      <c r="Y477" s="9">
        <v>0</v>
      </c>
      <c r="Z477" s="9">
        <v>0</v>
      </c>
      <c r="AA477" s="9">
        <v>0</v>
      </c>
      <c r="AB477" s="9">
        <v>0</v>
      </c>
      <c r="AC477" s="9">
        <v>0</v>
      </c>
      <c r="AD477" s="9">
        <v>13</v>
      </c>
      <c r="AE477" s="9" t="s">
        <v>139</v>
      </c>
      <c r="AF477" s="9" t="s">
        <v>3928</v>
      </c>
      <c r="AG477" s="9" t="s">
        <v>3929</v>
      </c>
      <c r="AH477" s="9">
        <v>6.2257300000000004</v>
      </c>
      <c r="AI477" s="9">
        <v>-75.599359000000007</v>
      </c>
      <c r="AJ477" s="9" t="s">
        <v>3930</v>
      </c>
      <c r="AK477" s="9">
        <v>6.2593240000000003</v>
      </c>
      <c r="AL477" s="9">
        <v>-75.620675000000006</v>
      </c>
      <c r="AM477" s="26">
        <f t="shared" si="8"/>
        <v>0</v>
      </c>
    </row>
    <row r="478" spans="1:39" ht="15" x14ac:dyDescent="0.25">
      <c r="A478" s="9" t="s">
        <v>3931</v>
      </c>
      <c r="B478" s="9" t="s">
        <v>3932</v>
      </c>
      <c r="C478" s="9" t="s">
        <v>3933</v>
      </c>
      <c r="D478" s="9" t="s">
        <v>3856</v>
      </c>
      <c r="E478" s="9" t="s">
        <v>2619</v>
      </c>
      <c r="F478" s="9" t="s">
        <v>508</v>
      </c>
      <c r="G478" s="9" t="s">
        <v>152</v>
      </c>
      <c r="H478" s="9" t="s">
        <v>153</v>
      </c>
      <c r="I478" s="9" t="s">
        <v>115</v>
      </c>
      <c r="J478" s="9">
        <v>5092</v>
      </c>
      <c r="K478" s="9" t="s">
        <v>3934</v>
      </c>
      <c r="L478" s="9" t="s">
        <v>117</v>
      </c>
      <c r="M478" s="10">
        <v>4.5335648148148153E-2</v>
      </c>
      <c r="N478" s="9" t="s">
        <v>127</v>
      </c>
      <c r="O478" s="9" t="s">
        <v>3935</v>
      </c>
      <c r="P478" s="9" t="s">
        <v>119</v>
      </c>
      <c r="Q478" s="10">
        <v>3.7037037037037041E-4</v>
      </c>
      <c r="R478" s="9" t="s">
        <v>46</v>
      </c>
      <c r="S478" s="10">
        <v>0.29570601851851852</v>
      </c>
      <c r="T478" s="9">
        <v>77.704999999999998</v>
      </c>
      <c r="U478" s="9">
        <v>14.9</v>
      </c>
      <c r="V478" s="10">
        <v>0.21728009259259259</v>
      </c>
      <c r="W478" s="10">
        <v>0.1166898148148148</v>
      </c>
      <c r="X478" s="10">
        <v>1.180555555555556E-2</v>
      </c>
      <c r="Y478" s="9">
        <v>1</v>
      </c>
      <c r="Z478" s="9">
        <v>1</v>
      </c>
      <c r="AA478" s="9">
        <v>0</v>
      </c>
      <c r="AB478" s="9">
        <v>0</v>
      </c>
      <c r="AC478" s="9">
        <v>0</v>
      </c>
      <c r="AD478" s="9">
        <v>0</v>
      </c>
      <c r="AE478" s="9" t="s">
        <v>139</v>
      </c>
      <c r="AF478" s="9" t="s">
        <v>3936</v>
      </c>
      <c r="AG478" s="9" t="s">
        <v>3937</v>
      </c>
      <c r="AH478" s="9">
        <v>6.225638</v>
      </c>
      <c r="AI478" s="9">
        <v>-75.599412000000001</v>
      </c>
      <c r="AJ478" s="9" t="s">
        <v>3938</v>
      </c>
      <c r="AK478" s="9">
        <v>6.2518820000000002</v>
      </c>
      <c r="AL478" s="9">
        <v>-75.551742000000004</v>
      </c>
      <c r="AM478" s="26">
        <f t="shared" si="8"/>
        <v>0</v>
      </c>
    </row>
    <row r="479" spans="1:39" ht="15" x14ac:dyDescent="0.25">
      <c r="A479" s="9" t="s">
        <v>3939</v>
      </c>
      <c r="B479" s="9" t="s">
        <v>3940</v>
      </c>
      <c r="C479" s="9" t="s">
        <v>3941</v>
      </c>
      <c r="D479" s="9" t="s">
        <v>3856</v>
      </c>
      <c r="E479" s="9" t="s">
        <v>2619</v>
      </c>
      <c r="F479" s="9" t="s">
        <v>508</v>
      </c>
      <c r="G479" s="9" t="s">
        <v>160</v>
      </c>
      <c r="H479" s="9" t="s">
        <v>161</v>
      </c>
      <c r="I479" s="9" t="s">
        <v>115</v>
      </c>
      <c r="J479" s="9">
        <v>10766</v>
      </c>
      <c r="K479" s="9" t="s">
        <v>3942</v>
      </c>
      <c r="L479" s="9" t="s">
        <v>117</v>
      </c>
      <c r="M479" s="10">
        <v>3.5478287037037037E-2</v>
      </c>
      <c r="N479" s="9" t="s">
        <v>127</v>
      </c>
      <c r="O479" s="9" t="s">
        <v>3943</v>
      </c>
      <c r="P479" s="9" t="s">
        <v>119</v>
      </c>
      <c r="Q479" s="10">
        <v>3.1094907407407408E-3</v>
      </c>
      <c r="R479" s="9" t="s">
        <v>46</v>
      </c>
      <c r="S479" s="10">
        <v>0.28858777777777778</v>
      </c>
      <c r="T479" s="9">
        <v>47.392000000000003</v>
      </c>
      <c r="U479" s="9">
        <v>12.16</v>
      </c>
      <c r="V479" s="10">
        <v>0.16239189814814831</v>
      </c>
      <c r="W479" s="10">
        <v>0.13039340277777781</v>
      </c>
      <c r="X479" s="10">
        <v>0</v>
      </c>
      <c r="Y479" s="9">
        <v>0</v>
      </c>
      <c r="Z479" s="9">
        <v>0</v>
      </c>
      <c r="AA479" s="9">
        <v>0</v>
      </c>
      <c r="AB479" s="9">
        <v>0</v>
      </c>
      <c r="AC479" s="9">
        <v>0</v>
      </c>
      <c r="AD479" s="9">
        <v>4</v>
      </c>
      <c r="AE479" s="9" t="s">
        <v>139</v>
      </c>
      <c r="AF479" s="9" t="s">
        <v>3944</v>
      </c>
      <c r="AG479" s="9" t="s">
        <v>3945</v>
      </c>
      <c r="AH479" s="9">
        <v>6.2256099999999996</v>
      </c>
      <c r="AI479" s="9">
        <v>-75.599924999999999</v>
      </c>
      <c r="AJ479" s="9" t="s">
        <v>3946</v>
      </c>
      <c r="AK479" s="9">
        <v>6.2686149999999996</v>
      </c>
      <c r="AL479" s="9">
        <v>-75.599490000000003</v>
      </c>
      <c r="AM479" s="26">
        <f t="shared" si="8"/>
        <v>0</v>
      </c>
    </row>
    <row r="480" spans="1:39" ht="15" x14ac:dyDescent="0.25">
      <c r="A480" s="9" t="s">
        <v>3947</v>
      </c>
      <c r="B480" s="9" t="s">
        <v>3948</v>
      </c>
      <c r="C480" s="9" t="s">
        <v>3949</v>
      </c>
      <c r="D480" s="9" t="s">
        <v>3856</v>
      </c>
      <c r="E480" s="9" t="s">
        <v>2619</v>
      </c>
      <c r="F480" s="9" t="s">
        <v>508</v>
      </c>
      <c r="G480" s="9" t="s">
        <v>97</v>
      </c>
      <c r="H480" s="9" t="s">
        <v>98</v>
      </c>
      <c r="I480" s="9" t="s">
        <v>115</v>
      </c>
      <c r="J480" s="9">
        <v>2086</v>
      </c>
      <c r="K480" s="9" t="s">
        <v>3950</v>
      </c>
      <c r="L480" s="9" t="s">
        <v>117</v>
      </c>
      <c r="M480" s="10">
        <v>1.7650462962962962E-2</v>
      </c>
      <c r="N480" s="9" t="s">
        <v>43</v>
      </c>
      <c r="O480" s="9" t="s">
        <v>3951</v>
      </c>
      <c r="P480" s="9" t="s">
        <v>119</v>
      </c>
      <c r="Q480" s="10">
        <v>3.4930555555555548E-2</v>
      </c>
      <c r="R480" s="9" t="s">
        <v>56</v>
      </c>
      <c r="S480" s="10">
        <v>0.19741898148148149</v>
      </c>
      <c r="T480" s="9">
        <v>28.238</v>
      </c>
      <c r="U480" s="9">
        <v>8.11</v>
      </c>
      <c r="V480" s="10">
        <v>0.14512731481481481</v>
      </c>
      <c r="W480" s="10">
        <v>9.1122685185185182E-2</v>
      </c>
      <c r="X480" s="10">
        <v>0</v>
      </c>
      <c r="Y480" s="9">
        <v>0</v>
      </c>
      <c r="Z480" s="9">
        <v>0</v>
      </c>
      <c r="AA480" s="9">
        <v>0</v>
      </c>
      <c r="AB480" s="9">
        <v>0</v>
      </c>
      <c r="AC480" s="9">
        <v>0</v>
      </c>
      <c r="AD480" s="9">
        <v>1</v>
      </c>
      <c r="AE480" s="9" t="s">
        <v>57</v>
      </c>
      <c r="AF480" s="9" t="s">
        <v>3952</v>
      </c>
      <c r="AG480" s="9" t="s">
        <v>3953</v>
      </c>
      <c r="AH480" s="9">
        <v>6.2228089999999998</v>
      </c>
      <c r="AI480" s="9">
        <v>-75.598541999999995</v>
      </c>
      <c r="AJ480" s="9" t="s">
        <v>3954</v>
      </c>
      <c r="AK480" s="9">
        <v>6.3052380000000001</v>
      </c>
      <c r="AL480" s="9">
        <v>-75.577174999999997</v>
      </c>
      <c r="AM480" s="26">
        <f t="shared" si="8"/>
        <v>5.2581018518518513E-2</v>
      </c>
    </row>
    <row r="481" spans="1:40" ht="15" x14ac:dyDescent="0.25">
      <c r="A481" s="9" t="s">
        <v>3955</v>
      </c>
      <c r="B481" s="9" t="s">
        <v>3956</v>
      </c>
      <c r="C481" s="9" t="s">
        <v>3957</v>
      </c>
      <c r="D481" s="9" t="s">
        <v>3856</v>
      </c>
      <c r="E481" s="9" t="s">
        <v>2619</v>
      </c>
      <c r="F481" s="9" t="s">
        <v>508</v>
      </c>
      <c r="G481" s="9" t="s">
        <v>105</v>
      </c>
      <c r="H481" s="9" t="s">
        <v>106</v>
      </c>
      <c r="I481" s="9" t="s">
        <v>115</v>
      </c>
      <c r="J481" s="9">
        <v>2564</v>
      </c>
      <c r="K481" s="9" t="s">
        <v>3958</v>
      </c>
      <c r="L481" s="9" t="s">
        <v>117</v>
      </c>
      <c r="M481" s="10">
        <v>2.104166666666667E-2</v>
      </c>
      <c r="N481" s="9" t="s">
        <v>43</v>
      </c>
      <c r="O481" s="9" t="s">
        <v>3959</v>
      </c>
      <c r="P481" s="9" t="s">
        <v>119</v>
      </c>
      <c r="Q481" s="10">
        <v>1.006944444444444E-3</v>
      </c>
      <c r="R481" s="9" t="s">
        <v>46</v>
      </c>
      <c r="S481" s="10">
        <v>0.22996527777777781</v>
      </c>
      <c r="T481" s="9">
        <v>68.587999999999994</v>
      </c>
      <c r="U481" s="9">
        <v>19.579999999999998</v>
      </c>
      <c r="V481" s="10">
        <v>0.1459375</v>
      </c>
      <c r="W481" s="10">
        <v>5.8981481481481482E-2</v>
      </c>
      <c r="X481" s="10">
        <v>0</v>
      </c>
      <c r="Y481" s="9">
        <v>0</v>
      </c>
      <c r="Z481" s="9">
        <v>0</v>
      </c>
      <c r="AA481" s="9">
        <v>0</v>
      </c>
      <c r="AB481" s="9">
        <v>0</v>
      </c>
      <c r="AC481" s="9">
        <v>0</v>
      </c>
      <c r="AD481" s="9">
        <v>1</v>
      </c>
      <c r="AE481" s="9" t="s">
        <v>47</v>
      </c>
      <c r="AF481" s="9" t="s">
        <v>3960</v>
      </c>
      <c r="AG481" s="9" t="s">
        <v>3961</v>
      </c>
      <c r="AH481" s="9">
        <v>6.258216</v>
      </c>
      <c r="AI481" s="9">
        <v>-75.622231999999997</v>
      </c>
      <c r="AJ481" s="9" t="s">
        <v>3962</v>
      </c>
      <c r="AK481" s="9">
        <v>6.2584609999999996</v>
      </c>
      <c r="AL481" s="9">
        <v>-75.615835000000004</v>
      </c>
      <c r="AM481" s="26">
        <f t="shared" si="8"/>
        <v>2.104166666666667E-2</v>
      </c>
    </row>
    <row r="482" spans="1:40" ht="15" x14ac:dyDescent="0.25">
      <c r="A482" s="9" t="s">
        <v>3963</v>
      </c>
      <c r="B482" s="9" t="s">
        <v>3964</v>
      </c>
      <c r="C482" s="9" t="s">
        <v>3965</v>
      </c>
      <c r="D482" s="9" t="s">
        <v>3966</v>
      </c>
      <c r="E482" s="9" t="s">
        <v>2619</v>
      </c>
      <c r="F482" s="9" t="s">
        <v>37</v>
      </c>
      <c r="G482" s="9" t="s">
        <v>38</v>
      </c>
      <c r="H482" s="9" t="s">
        <v>39</v>
      </c>
      <c r="I482" s="9" t="s">
        <v>40</v>
      </c>
      <c r="J482" s="9">
        <v>1765</v>
      </c>
      <c r="K482" s="9" t="s">
        <v>3967</v>
      </c>
      <c r="L482" s="9" t="s">
        <v>42</v>
      </c>
      <c r="M482" s="10">
        <v>2.704861111111111E-2</v>
      </c>
      <c r="N482" s="9" t="s">
        <v>127</v>
      </c>
      <c r="O482" s="9" t="s">
        <v>3968</v>
      </c>
      <c r="P482" s="9" t="s">
        <v>45</v>
      </c>
      <c r="Q482" s="10">
        <v>2.0833333333333329E-3</v>
      </c>
      <c r="R482" s="9" t="s">
        <v>46</v>
      </c>
      <c r="S482" s="10">
        <v>0.35829861111111111</v>
      </c>
      <c r="T482" s="9">
        <v>23.791</v>
      </c>
      <c r="U482" s="9">
        <v>3.44</v>
      </c>
      <c r="V482" s="10">
        <v>0.28827546296296302</v>
      </c>
      <c r="W482" s="10">
        <v>0.25462962962962971</v>
      </c>
      <c r="X482" s="10">
        <v>0</v>
      </c>
      <c r="Y482" s="9">
        <v>0</v>
      </c>
      <c r="Z482" s="9">
        <v>0</v>
      </c>
      <c r="AA482" s="9">
        <v>0</v>
      </c>
      <c r="AB482" s="9">
        <v>0</v>
      </c>
      <c r="AC482" s="9">
        <v>0</v>
      </c>
      <c r="AD482" s="9">
        <v>3</v>
      </c>
      <c r="AE482" s="9" t="s">
        <v>139</v>
      </c>
      <c r="AF482" s="9" t="s">
        <v>3969</v>
      </c>
      <c r="AG482" s="9" t="s">
        <v>3970</v>
      </c>
      <c r="AH482" s="9">
        <v>6.2257189999999998</v>
      </c>
      <c r="AI482" s="9">
        <v>-75.599436999999995</v>
      </c>
      <c r="AJ482" s="9" t="s">
        <v>3971</v>
      </c>
      <c r="AK482" s="9">
        <v>6.2503039999999999</v>
      </c>
      <c r="AL482" s="9">
        <v>-75.599763999999993</v>
      </c>
      <c r="AM482" s="26">
        <f t="shared" si="8"/>
        <v>0</v>
      </c>
    </row>
    <row r="483" spans="1:40" ht="15" x14ac:dyDescent="0.25">
      <c r="A483" s="9" t="s">
        <v>3972</v>
      </c>
      <c r="B483" s="9" t="s">
        <v>3973</v>
      </c>
      <c r="C483" s="9" t="s">
        <v>3974</v>
      </c>
      <c r="D483" s="9" t="s">
        <v>3966</v>
      </c>
      <c r="E483" s="9" t="s">
        <v>2619</v>
      </c>
      <c r="F483" s="9" t="s">
        <v>37</v>
      </c>
      <c r="G483" s="9" t="s">
        <v>52</v>
      </c>
      <c r="H483" s="9" t="s">
        <v>53</v>
      </c>
      <c r="I483" s="9" t="s">
        <v>40</v>
      </c>
      <c r="J483" s="9">
        <v>1765</v>
      </c>
      <c r="K483" s="9" t="s">
        <v>3967</v>
      </c>
      <c r="L483" s="9" t="s">
        <v>42</v>
      </c>
      <c r="M483" s="10">
        <v>2.704861111111111E-2</v>
      </c>
      <c r="N483" s="9" t="s">
        <v>127</v>
      </c>
      <c r="O483" s="9" t="s">
        <v>3968</v>
      </c>
      <c r="P483" s="9" t="s">
        <v>45</v>
      </c>
      <c r="Q483" s="10">
        <v>2.0833333333333329E-3</v>
      </c>
      <c r="R483" s="9" t="s">
        <v>46</v>
      </c>
      <c r="S483" s="10">
        <v>0.35829861111111111</v>
      </c>
      <c r="T483" s="9">
        <v>23.791</v>
      </c>
      <c r="U483" s="9">
        <v>3.44</v>
      </c>
      <c r="V483" s="10">
        <v>0.28827546296296302</v>
      </c>
      <c r="W483" s="10">
        <v>0.25462962962962971</v>
      </c>
      <c r="X483" s="10">
        <v>0</v>
      </c>
      <c r="Y483" s="9">
        <v>0</v>
      </c>
      <c r="Z483" s="9">
        <v>0</v>
      </c>
      <c r="AA483" s="9">
        <v>0</v>
      </c>
      <c r="AB483" s="9">
        <v>0</v>
      </c>
      <c r="AC483" s="9">
        <v>0</v>
      </c>
      <c r="AD483" s="9">
        <v>3</v>
      </c>
      <c r="AE483" s="9" t="s">
        <v>139</v>
      </c>
      <c r="AF483" s="9" t="s">
        <v>3969</v>
      </c>
      <c r="AG483" s="9" t="s">
        <v>3970</v>
      </c>
      <c r="AH483" s="9">
        <v>6.2257189999999998</v>
      </c>
      <c r="AI483" s="9">
        <v>-75.599436999999995</v>
      </c>
      <c r="AJ483" s="9" t="s">
        <v>3971</v>
      </c>
      <c r="AK483" s="9">
        <v>6.2503039999999999</v>
      </c>
      <c r="AL483" s="9">
        <v>-75.599763999999993</v>
      </c>
      <c r="AM483" s="26">
        <f t="shared" si="8"/>
        <v>0</v>
      </c>
    </row>
    <row r="484" spans="1:40" ht="15" x14ac:dyDescent="0.25">
      <c r="A484" s="9" t="s">
        <v>3975</v>
      </c>
      <c r="B484" s="9" t="s">
        <v>3976</v>
      </c>
      <c r="C484" s="9" t="s">
        <v>3977</v>
      </c>
      <c r="D484" s="9" t="s">
        <v>3966</v>
      </c>
      <c r="E484" s="9" t="s">
        <v>2619</v>
      </c>
      <c r="F484" s="9" t="s">
        <v>37</v>
      </c>
      <c r="G484" s="9" t="s">
        <v>144</v>
      </c>
      <c r="H484" s="9" t="s">
        <v>145</v>
      </c>
      <c r="I484" s="9" t="s">
        <v>40</v>
      </c>
      <c r="J484" s="9">
        <v>8095</v>
      </c>
      <c r="K484" s="9" t="s">
        <v>3978</v>
      </c>
      <c r="L484" s="9" t="s">
        <v>42</v>
      </c>
      <c r="M484" s="10">
        <v>3.6203703703703703E-2</v>
      </c>
      <c r="N484" s="9" t="s">
        <v>127</v>
      </c>
      <c r="O484" s="9" t="s">
        <v>3979</v>
      </c>
      <c r="P484" s="9" t="s">
        <v>45</v>
      </c>
      <c r="Q484" s="10">
        <v>1.8518518518518519E-3</v>
      </c>
      <c r="R484" s="9" t="s">
        <v>46</v>
      </c>
      <c r="S484" s="10">
        <v>0.36768518518518523</v>
      </c>
      <c r="T484" s="9">
        <v>109.85599999999999</v>
      </c>
      <c r="U484" s="9">
        <v>15.16</v>
      </c>
      <c r="V484" s="10">
        <v>0.30186342592592591</v>
      </c>
      <c r="W484" s="10">
        <v>7.3865740740740746E-2</v>
      </c>
      <c r="X484" s="10">
        <v>0</v>
      </c>
      <c r="Y484" s="9">
        <v>0</v>
      </c>
      <c r="Z484" s="9">
        <v>0</v>
      </c>
      <c r="AA484" s="9">
        <v>0</v>
      </c>
      <c r="AB484" s="9">
        <v>0</v>
      </c>
      <c r="AC484" s="9">
        <v>0</v>
      </c>
      <c r="AD484" s="9">
        <v>1</v>
      </c>
      <c r="AE484" s="9" t="s">
        <v>139</v>
      </c>
      <c r="AF484" s="9" t="s">
        <v>3980</v>
      </c>
      <c r="AG484" s="9" t="s">
        <v>3981</v>
      </c>
      <c r="AH484" s="9">
        <v>6.2905749999999996</v>
      </c>
      <c r="AI484" s="9">
        <v>-75.546308999999994</v>
      </c>
      <c r="AJ484" s="9" t="s">
        <v>3982</v>
      </c>
      <c r="AK484" s="9">
        <v>6.2728120000000001</v>
      </c>
      <c r="AL484" s="9">
        <v>-75.574382</v>
      </c>
      <c r="AM484" s="26">
        <f t="shared" si="8"/>
        <v>0</v>
      </c>
    </row>
    <row r="485" spans="1:40" ht="15" x14ac:dyDescent="0.25">
      <c r="A485" s="9" t="s">
        <v>3983</v>
      </c>
      <c r="B485" s="9" t="s">
        <v>3984</v>
      </c>
      <c r="C485" s="9" t="s">
        <v>3985</v>
      </c>
      <c r="D485" s="9" t="s">
        <v>3966</v>
      </c>
      <c r="E485" s="9" t="s">
        <v>2619</v>
      </c>
      <c r="F485" s="9" t="s">
        <v>37</v>
      </c>
      <c r="G485" s="9" t="s">
        <v>89</v>
      </c>
      <c r="H485" s="9" t="s">
        <v>90</v>
      </c>
      <c r="I485" s="9" t="s">
        <v>40</v>
      </c>
      <c r="J485" s="9">
        <v>3683</v>
      </c>
      <c r="K485" s="9" t="s">
        <v>3986</v>
      </c>
      <c r="L485" s="9" t="s">
        <v>42</v>
      </c>
      <c r="M485" s="10">
        <v>5.3356481481481484E-3</v>
      </c>
      <c r="N485" s="9" t="s">
        <v>65</v>
      </c>
      <c r="O485" s="9" t="s">
        <v>3987</v>
      </c>
      <c r="P485" s="9" t="s">
        <v>45</v>
      </c>
      <c r="Q485" s="10">
        <v>5.3125000000000004E-3</v>
      </c>
      <c r="R485" s="9" t="s">
        <v>46</v>
      </c>
      <c r="S485" s="10">
        <v>0.3439814814814815</v>
      </c>
      <c r="T485" s="9">
        <v>43.228999999999999</v>
      </c>
      <c r="U485" s="9">
        <v>9.1199999999999992</v>
      </c>
      <c r="V485" s="10">
        <v>0.1975462962962963</v>
      </c>
      <c r="W485" s="10">
        <v>0.1106712962962963</v>
      </c>
      <c r="X485" s="10">
        <v>0</v>
      </c>
      <c r="Y485" s="9">
        <v>0</v>
      </c>
      <c r="Z485" s="9">
        <v>0</v>
      </c>
      <c r="AA485" s="9">
        <v>0</v>
      </c>
      <c r="AB485" s="9">
        <v>0</v>
      </c>
      <c r="AC485" s="9">
        <v>0</v>
      </c>
      <c r="AD485" s="9">
        <v>1</v>
      </c>
      <c r="AE485" s="9" t="s">
        <v>84</v>
      </c>
      <c r="AF485" s="9" t="s">
        <v>324</v>
      </c>
      <c r="AG485" s="9" t="s">
        <v>3988</v>
      </c>
      <c r="AH485" s="9">
        <v>6.2266640000000004</v>
      </c>
      <c r="AI485" s="9">
        <v>-75.599209999999999</v>
      </c>
      <c r="AJ485" s="9" t="s">
        <v>3989</v>
      </c>
      <c r="AK485" s="9">
        <v>6.2796599999999998</v>
      </c>
      <c r="AL485" s="9">
        <v>-75.572286000000005</v>
      </c>
      <c r="AM485" s="26">
        <f t="shared" si="8"/>
        <v>0</v>
      </c>
    </row>
    <row r="486" spans="1:40" ht="15" x14ac:dyDescent="0.25">
      <c r="A486" s="9" t="s">
        <v>3990</v>
      </c>
      <c r="B486" s="9" t="s">
        <v>3991</v>
      </c>
      <c r="C486" s="9" t="s">
        <v>3992</v>
      </c>
      <c r="D486" s="9" t="s">
        <v>3966</v>
      </c>
      <c r="E486" s="9" t="s">
        <v>2619</v>
      </c>
      <c r="F486" s="9" t="s">
        <v>37</v>
      </c>
      <c r="G486" s="9" t="s">
        <v>113</v>
      </c>
      <c r="H486" s="9" t="s">
        <v>114</v>
      </c>
      <c r="I486" s="9" t="s">
        <v>115</v>
      </c>
      <c r="J486" s="9">
        <v>687</v>
      </c>
      <c r="K486" s="9" t="s">
        <v>3993</v>
      </c>
      <c r="L486" s="9" t="s">
        <v>117</v>
      </c>
      <c r="M486" s="10">
        <v>3.5995370370370369E-3</v>
      </c>
      <c r="N486" s="9" t="s">
        <v>65</v>
      </c>
      <c r="O486" s="9" t="s">
        <v>3994</v>
      </c>
      <c r="P486" s="9" t="s">
        <v>119</v>
      </c>
      <c r="Q486" s="10">
        <v>9.8611111111111108E-2</v>
      </c>
      <c r="R486" s="9" t="s">
        <v>56</v>
      </c>
      <c r="S486" s="10">
        <v>0.14778935185185191</v>
      </c>
      <c r="T486" s="9">
        <v>10.305</v>
      </c>
      <c r="U486" s="9">
        <v>6.32</v>
      </c>
      <c r="V486" s="10">
        <v>6.7962962962962961E-2</v>
      </c>
      <c r="W486" s="10">
        <v>4.7245370370370368E-2</v>
      </c>
      <c r="X486" s="10">
        <v>0</v>
      </c>
      <c r="Y486" s="9">
        <v>0</v>
      </c>
      <c r="Z486" s="9">
        <v>0</v>
      </c>
      <c r="AA486" s="9">
        <v>0</v>
      </c>
      <c r="AB486" s="9">
        <v>0</v>
      </c>
      <c r="AC486" s="9">
        <v>0</v>
      </c>
      <c r="AD486" s="9">
        <v>0</v>
      </c>
      <c r="AE486" s="9" t="s">
        <v>67</v>
      </c>
      <c r="AF486" s="9" t="s">
        <v>3995</v>
      </c>
      <c r="AG486" s="9" t="s">
        <v>3996</v>
      </c>
      <c r="AH486" s="9">
        <v>6.2478800000000003</v>
      </c>
      <c r="AI486" s="9">
        <v>-75.615136000000007</v>
      </c>
      <c r="AJ486" s="9" t="s">
        <v>3997</v>
      </c>
      <c r="AK486" s="9">
        <v>6.2084429999999999</v>
      </c>
      <c r="AL486" s="9">
        <v>-75.591436999999999</v>
      </c>
      <c r="AM486" s="26">
        <f t="shared" si="8"/>
        <v>9.8611111111111108E-2</v>
      </c>
      <c r="AN486" s="1" t="s">
        <v>4061</v>
      </c>
    </row>
    <row r="487" spans="1:40" ht="15" x14ac:dyDescent="0.25">
      <c r="A487" s="9" t="s">
        <v>3998</v>
      </c>
      <c r="B487" s="9" t="s">
        <v>3999</v>
      </c>
      <c r="C487" s="9" t="s">
        <v>4000</v>
      </c>
      <c r="D487" s="9" t="s">
        <v>3966</v>
      </c>
      <c r="E487" s="9" t="s">
        <v>2619</v>
      </c>
      <c r="F487" s="9" t="s">
        <v>37</v>
      </c>
      <c r="G487" s="9" t="s">
        <v>124</v>
      </c>
      <c r="H487" s="9" t="s">
        <v>125</v>
      </c>
      <c r="I487" s="9" t="s">
        <v>115</v>
      </c>
      <c r="J487" s="9">
        <v>3634</v>
      </c>
      <c r="K487" s="9" t="s">
        <v>4001</v>
      </c>
      <c r="L487" s="9" t="s">
        <v>117</v>
      </c>
      <c r="M487" s="10">
        <v>3.7569444444444447E-2</v>
      </c>
      <c r="N487" s="9" t="s">
        <v>127</v>
      </c>
      <c r="O487" s="9" t="s">
        <v>4002</v>
      </c>
      <c r="P487" s="9" t="s">
        <v>119</v>
      </c>
      <c r="Q487" s="10">
        <v>3.123842592592593E-2</v>
      </c>
      <c r="R487" s="9" t="s">
        <v>129</v>
      </c>
      <c r="S487" s="10">
        <v>0.31880787037037039</v>
      </c>
      <c r="T487" s="9">
        <v>42.472999999999999</v>
      </c>
      <c r="U487" s="9">
        <v>9.33</v>
      </c>
      <c r="V487" s="10">
        <v>0.18966435185185179</v>
      </c>
      <c r="W487" s="10">
        <v>5.8761574074074077E-2</v>
      </c>
      <c r="X487" s="10">
        <v>2.778935185185185E-2</v>
      </c>
      <c r="Y487" s="9">
        <v>1</v>
      </c>
      <c r="Z487" s="9">
        <v>1</v>
      </c>
      <c r="AA487" s="9">
        <v>1</v>
      </c>
      <c r="AB487" s="9">
        <v>1</v>
      </c>
      <c r="AC487" s="9">
        <v>0</v>
      </c>
      <c r="AD487" s="9">
        <v>0</v>
      </c>
      <c r="AE487" s="9" t="s">
        <v>130</v>
      </c>
      <c r="AF487" s="9" t="s">
        <v>4003</v>
      </c>
      <c r="AG487" s="9" t="s">
        <v>4004</v>
      </c>
      <c r="AH487" s="9">
        <v>6.2395740000000002</v>
      </c>
      <c r="AI487" s="9">
        <v>-75.576549</v>
      </c>
      <c r="AJ487" s="9" t="s">
        <v>4005</v>
      </c>
      <c r="AK487" s="9">
        <v>6.2729270000000001</v>
      </c>
      <c r="AL487" s="9">
        <v>-75.601972000000004</v>
      </c>
      <c r="AM487" s="26">
        <f t="shared" si="8"/>
        <v>0</v>
      </c>
      <c r="AN487" s="1" t="s">
        <v>4061</v>
      </c>
    </row>
    <row r="488" spans="1:40" ht="15" x14ac:dyDescent="0.25">
      <c r="A488" s="9" t="s">
        <v>4006</v>
      </c>
      <c r="B488" s="9" t="s">
        <v>4007</v>
      </c>
      <c r="C488" s="9" t="s">
        <v>4008</v>
      </c>
      <c r="D488" s="9" t="s">
        <v>3966</v>
      </c>
      <c r="E488" s="9" t="s">
        <v>2619</v>
      </c>
      <c r="F488" s="9" t="s">
        <v>37</v>
      </c>
      <c r="G488" s="9" t="s">
        <v>135</v>
      </c>
      <c r="H488" s="9" t="s">
        <v>136</v>
      </c>
      <c r="I488" s="9" t="s">
        <v>115</v>
      </c>
      <c r="J488" s="9">
        <v>1388</v>
      </c>
      <c r="K488" s="9" t="s">
        <v>4009</v>
      </c>
      <c r="L488" s="9" t="s">
        <v>117</v>
      </c>
      <c r="M488" s="10">
        <v>5.5150462962962957E-2</v>
      </c>
      <c r="N488" s="9" t="s">
        <v>127</v>
      </c>
      <c r="O488" s="9" t="s">
        <v>4010</v>
      </c>
      <c r="P488" s="9" t="s">
        <v>119</v>
      </c>
      <c r="Q488" s="10">
        <v>1.097222222222222E-2</v>
      </c>
      <c r="R488" s="9" t="s">
        <v>56</v>
      </c>
      <c r="S488" s="10">
        <v>0.29417824074074073</v>
      </c>
      <c r="T488" s="9">
        <v>32.619999999999997</v>
      </c>
      <c r="U488" s="9">
        <v>8.5399999999999991</v>
      </c>
      <c r="V488" s="10">
        <v>0.15917824074074069</v>
      </c>
      <c r="W488" s="10">
        <v>0.1160069444444444</v>
      </c>
      <c r="X488" s="10">
        <v>0</v>
      </c>
      <c r="Y488" s="9">
        <v>0</v>
      </c>
      <c r="Z488" s="9">
        <v>0</v>
      </c>
      <c r="AA488" s="9">
        <v>0</v>
      </c>
      <c r="AB488" s="9">
        <v>0</v>
      </c>
      <c r="AC488" s="9">
        <v>0</v>
      </c>
      <c r="AD488" s="9">
        <v>2</v>
      </c>
      <c r="AE488" s="9" t="s">
        <v>139</v>
      </c>
      <c r="AF488" s="9" t="s">
        <v>4011</v>
      </c>
      <c r="AG488" s="9" t="s">
        <v>4012</v>
      </c>
      <c r="AH488" s="9">
        <v>6.2251979999999998</v>
      </c>
      <c r="AI488" s="9">
        <v>-75.599367999999998</v>
      </c>
      <c r="AJ488" s="9" t="s">
        <v>4013</v>
      </c>
      <c r="AK488" s="9">
        <v>6.2782410000000004</v>
      </c>
      <c r="AL488" s="9">
        <v>-75.538990999999996</v>
      </c>
      <c r="AM488" s="26">
        <f t="shared" si="8"/>
        <v>1.097222222222222E-2</v>
      </c>
      <c r="AN488" s="1" t="s">
        <v>4061</v>
      </c>
    </row>
    <row r="489" spans="1:40" ht="15" x14ac:dyDescent="0.25">
      <c r="A489" s="9" t="s">
        <v>4014</v>
      </c>
      <c r="B489" s="9" t="s">
        <v>4015</v>
      </c>
      <c r="C489" s="9" t="s">
        <v>4016</v>
      </c>
      <c r="D489" s="9" t="s">
        <v>3966</v>
      </c>
      <c r="E489" s="9" t="s">
        <v>2619</v>
      </c>
      <c r="F489" s="9" t="s">
        <v>37</v>
      </c>
      <c r="G489" s="9" t="s">
        <v>72</v>
      </c>
      <c r="H489" s="9" t="s">
        <v>73</v>
      </c>
      <c r="I489" s="9" t="s">
        <v>115</v>
      </c>
      <c r="J489" s="9">
        <v>2446</v>
      </c>
      <c r="K489" s="9" t="s">
        <v>4017</v>
      </c>
      <c r="L489" s="9" t="s">
        <v>117</v>
      </c>
      <c r="M489" s="10">
        <v>5.6377314814814818E-2</v>
      </c>
      <c r="N489" s="9" t="s">
        <v>127</v>
      </c>
      <c r="O489" s="9" t="s">
        <v>4018</v>
      </c>
      <c r="P489" s="9" t="s">
        <v>119</v>
      </c>
      <c r="Q489" s="10">
        <v>7.2581018518518517E-2</v>
      </c>
      <c r="R489" s="9" t="s">
        <v>56</v>
      </c>
      <c r="S489" s="10">
        <v>0.23379629629629631</v>
      </c>
      <c r="T489" s="9">
        <v>33.841000000000001</v>
      </c>
      <c r="U489" s="9">
        <v>7.35</v>
      </c>
      <c r="V489" s="10">
        <v>0.1917824074074074</v>
      </c>
      <c r="W489" s="10">
        <v>0.1427083333333333</v>
      </c>
      <c r="X489" s="10">
        <v>0</v>
      </c>
      <c r="Y489" s="9">
        <v>0</v>
      </c>
      <c r="Z489" s="9">
        <v>0</v>
      </c>
      <c r="AA489" s="9">
        <v>0</v>
      </c>
      <c r="AB489" s="9">
        <v>0</v>
      </c>
      <c r="AC489" s="9">
        <v>0</v>
      </c>
      <c r="AD489" s="9">
        <v>1</v>
      </c>
      <c r="AE489" s="9" t="s">
        <v>139</v>
      </c>
      <c r="AF489" s="9" t="s">
        <v>4019</v>
      </c>
      <c r="AG489" s="9" t="s">
        <v>4020</v>
      </c>
      <c r="AH489" s="9">
        <v>6.2256929999999997</v>
      </c>
      <c r="AI489" s="9">
        <v>-75.599402999999995</v>
      </c>
      <c r="AJ489" s="9" t="s">
        <v>4021</v>
      </c>
      <c r="AK489" s="9">
        <v>6.2369880000000002</v>
      </c>
      <c r="AL489" s="9">
        <v>-75.558808999999997</v>
      </c>
      <c r="AM489" s="26">
        <f t="shared" si="8"/>
        <v>7.2581018518518517E-2</v>
      </c>
      <c r="AN489" s="1" t="s">
        <v>4061</v>
      </c>
    </row>
    <row r="490" spans="1:40" ht="15" x14ac:dyDescent="0.25">
      <c r="A490" s="9" t="s">
        <v>4022</v>
      </c>
      <c r="B490" s="9" t="s">
        <v>4023</v>
      </c>
      <c r="C490" s="9" t="s">
        <v>4024</v>
      </c>
      <c r="D490" s="9" t="s">
        <v>3966</v>
      </c>
      <c r="E490" s="9" t="s">
        <v>2619</v>
      </c>
      <c r="F490" s="9" t="s">
        <v>37</v>
      </c>
      <c r="G490" s="9" t="s">
        <v>80</v>
      </c>
      <c r="H490" s="9" t="s">
        <v>81</v>
      </c>
      <c r="I490" s="9" t="s">
        <v>115</v>
      </c>
      <c r="J490" s="9">
        <v>2743</v>
      </c>
      <c r="K490" s="9" t="s">
        <v>4025</v>
      </c>
      <c r="L490" s="9" t="s">
        <v>117</v>
      </c>
      <c r="M490" s="10">
        <v>6.922083333333333E-3</v>
      </c>
      <c r="N490" s="9" t="s">
        <v>65</v>
      </c>
      <c r="O490" s="9" t="s">
        <v>4026</v>
      </c>
      <c r="P490" s="9" t="s">
        <v>119</v>
      </c>
      <c r="Q490" s="10">
        <v>7.4099884259259258E-3</v>
      </c>
      <c r="R490" s="9" t="s">
        <v>46</v>
      </c>
      <c r="S490" s="10">
        <v>0.2356679282407407</v>
      </c>
      <c r="T490" s="9">
        <v>19.832000000000001</v>
      </c>
      <c r="U490" s="9">
        <v>7.34</v>
      </c>
      <c r="V490" s="10">
        <v>0.11260608796296299</v>
      </c>
      <c r="W490" s="10">
        <v>8.8518946759259268E-2</v>
      </c>
      <c r="X490" s="10">
        <v>0</v>
      </c>
      <c r="Y490" s="9">
        <v>0</v>
      </c>
      <c r="Z490" s="9">
        <v>0</v>
      </c>
      <c r="AA490" s="9">
        <v>0</v>
      </c>
      <c r="AB490" s="9">
        <v>0</v>
      </c>
      <c r="AC490" s="9">
        <v>0</v>
      </c>
      <c r="AD490" s="9">
        <v>9</v>
      </c>
      <c r="AE490" s="9" t="s">
        <v>84</v>
      </c>
      <c r="AF490" s="9" t="s">
        <v>3008</v>
      </c>
      <c r="AG490" s="9" t="s">
        <v>4027</v>
      </c>
      <c r="AH490" s="9">
        <v>6.2497939999999996</v>
      </c>
      <c r="AI490" s="9">
        <v>-75.584761</v>
      </c>
      <c r="AJ490" s="9" t="s">
        <v>4028</v>
      </c>
      <c r="AK490" s="9">
        <v>6.2594909999999997</v>
      </c>
      <c r="AL490" s="9">
        <v>-75.620588999999995</v>
      </c>
      <c r="AM490" s="26">
        <f t="shared" si="8"/>
        <v>0</v>
      </c>
      <c r="AN490" s="1" t="s">
        <v>4061</v>
      </c>
    </row>
    <row r="491" spans="1:40" ht="15" x14ac:dyDescent="0.25">
      <c r="A491" s="9" t="s">
        <v>4029</v>
      </c>
      <c r="B491" s="9" t="s">
        <v>4030</v>
      </c>
      <c r="C491" s="9" t="s">
        <v>4031</v>
      </c>
      <c r="D491" s="9" t="s">
        <v>3966</v>
      </c>
      <c r="E491" s="9" t="s">
        <v>2619</v>
      </c>
      <c r="F491" s="9" t="s">
        <v>37</v>
      </c>
      <c r="G491" s="9" t="s">
        <v>152</v>
      </c>
      <c r="H491" s="9" t="s">
        <v>153</v>
      </c>
      <c r="I491" s="9" t="s">
        <v>115</v>
      </c>
      <c r="J491" s="9">
        <v>1733</v>
      </c>
      <c r="K491" s="9" t="s">
        <v>4032</v>
      </c>
      <c r="L491" s="9" t="s">
        <v>117</v>
      </c>
      <c r="M491" s="10">
        <v>2.4560185185185181E-2</v>
      </c>
      <c r="N491" s="9" t="s">
        <v>43</v>
      </c>
      <c r="O491" s="9" t="s">
        <v>4033</v>
      </c>
      <c r="P491" s="9" t="s">
        <v>119</v>
      </c>
      <c r="Q491" s="10">
        <v>1.238425925925926E-3</v>
      </c>
      <c r="R491" s="9" t="s">
        <v>46</v>
      </c>
      <c r="S491" s="10">
        <v>0.22667824074074069</v>
      </c>
      <c r="T491" s="9">
        <v>22.762</v>
      </c>
      <c r="U491" s="9">
        <v>7.37</v>
      </c>
      <c r="V491" s="10">
        <v>0.12864583333333329</v>
      </c>
      <c r="W491" s="10">
        <v>9.2326388888888888E-2</v>
      </c>
      <c r="X491" s="10">
        <v>2.3773148148148151E-2</v>
      </c>
      <c r="Y491" s="9">
        <v>1</v>
      </c>
      <c r="Z491" s="9">
        <v>1</v>
      </c>
      <c r="AA491" s="9">
        <v>1</v>
      </c>
      <c r="AB491" s="9">
        <v>0</v>
      </c>
      <c r="AC491" s="9">
        <v>0</v>
      </c>
      <c r="AD491" s="9">
        <v>0</v>
      </c>
      <c r="AE491" s="9" t="s">
        <v>47</v>
      </c>
      <c r="AF491" s="9" t="s">
        <v>4034</v>
      </c>
      <c r="AG491" s="9" t="s">
        <v>4035</v>
      </c>
      <c r="AH491" s="9">
        <v>6.2517300000000002</v>
      </c>
      <c r="AI491" s="9">
        <v>-75.551739999999995</v>
      </c>
      <c r="AJ491" s="9" t="s">
        <v>4036</v>
      </c>
      <c r="AK491" s="9">
        <v>6.2517500000000004</v>
      </c>
      <c r="AL491" s="9">
        <v>-75.551732000000001</v>
      </c>
      <c r="AM491" s="26">
        <f t="shared" si="8"/>
        <v>2.4560185185185181E-2</v>
      </c>
      <c r="AN491" s="1" t="s">
        <v>4061</v>
      </c>
    </row>
    <row r="492" spans="1:40" ht="15" x14ac:dyDescent="0.25">
      <c r="A492" s="9" t="s">
        <v>4037</v>
      </c>
      <c r="B492" s="9" t="s">
        <v>4038</v>
      </c>
      <c r="C492" s="9" t="s">
        <v>4039</v>
      </c>
      <c r="D492" s="9" t="s">
        <v>3966</v>
      </c>
      <c r="E492" s="9" t="s">
        <v>2619</v>
      </c>
      <c r="F492" s="9" t="s">
        <v>37</v>
      </c>
      <c r="G492" s="9" t="s">
        <v>160</v>
      </c>
      <c r="H492" s="9" t="s">
        <v>161</v>
      </c>
      <c r="I492" s="9" t="s">
        <v>115</v>
      </c>
      <c r="J492" s="9">
        <v>11933</v>
      </c>
      <c r="K492" s="9" t="s">
        <v>4040</v>
      </c>
      <c r="L492" s="9" t="s">
        <v>117</v>
      </c>
      <c r="M492" s="10">
        <v>4.9263182870370369E-2</v>
      </c>
      <c r="N492" s="9" t="s">
        <v>127</v>
      </c>
      <c r="O492" s="9" t="s">
        <v>4041</v>
      </c>
      <c r="P492" s="9" t="s">
        <v>119</v>
      </c>
      <c r="Q492" s="10">
        <v>2.600231481481482E-3</v>
      </c>
      <c r="R492" s="9" t="s">
        <v>46</v>
      </c>
      <c r="S492" s="10">
        <v>0.30186341435185182</v>
      </c>
      <c r="T492" s="9">
        <v>58.390999999999998</v>
      </c>
      <c r="U492" s="9">
        <v>15.05</v>
      </c>
      <c r="V492" s="10">
        <v>0.16161192129629631</v>
      </c>
      <c r="W492" s="10">
        <v>0.11307856481481481</v>
      </c>
      <c r="X492" s="10">
        <v>0</v>
      </c>
      <c r="Y492" s="9">
        <v>0</v>
      </c>
      <c r="Z492" s="9">
        <v>0</v>
      </c>
      <c r="AA492" s="9">
        <v>0</v>
      </c>
      <c r="AB492" s="9">
        <v>0</v>
      </c>
      <c r="AC492" s="9">
        <v>0</v>
      </c>
      <c r="AD492" s="9">
        <v>3</v>
      </c>
      <c r="AE492" s="9" t="s">
        <v>139</v>
      </c>
      <c r="AF492" s="9" t="s">
        <v>4042</v>
      </c>
      <c r="AG492" s="9" t="s">
        <v>4043</v>
      </c>
      <c r="AH492" s="9">
        <v>6.2266649999999997</v>
      </c>
      <c r="AI492" s="9">
        <v>-75.599373</v>
      </c>
      <c r="AJ492" s="9" t="s">
        <v>4044</v>
      </c>
      <c r="AK492" s="9">
        <v>6.2685899999999997</v>
      </c>
      <c r="AL492" s="9">
        <v>-75.599512000000004</v>
      </c>
      <c r="AM492" s="26">
        <f t="shared" si="8"/>
        <v>0</v>
      </c>
      <c r="AN492" s="1" t="s">
        <v>4061</v>
      </c>
    </row>
    <row r="493" spans="1:40" ht="15" x14ac:dyDescent="0.25">
      <c r="A493" s="9" t="s">
        <v>4045</v>
      </c>
      <c r="B493" s="9" t="s">
        <v>4046</v>
      </c>
      <c r="C493" s="9" t="s">
        <v>4047</v>
      </c>
      <c r="D493" s="9" t="s">
        <v>3966</v>
      </c>
      <c r="E493" s="9" t="s">
        <v>2619</v>
      </c>
      <c r="F493" s="9" t="s">
        <v>37</v>
      </c>
      <c r="G493" s="9" t="s">
        <v>97</v>
      </c>
      <c r="H493" s="9" t="s">
        <v>98</v>
      </c>
      <c r="I493" s="9" t="s">
        <v>115</v>
      </c>
      <c r="J493" s="9">
        <v>1895</v>
      </c>
      <c r="K493" s="9" t="s">
        <v>4048</v>
      </c>
      <c r="L493" s="9" t="s">
        <v>117</v>
      </c>
      <c r="M493" s="10">
        <v>5.0462962962962961E-3</v>
      </c>
      <c r="N493" s="9" t="s">
        <v>65</v>
      </c>
      <c r="O493" s="9" t="s">
        <v>4049</v>
      </c>
      <c r="P493" s="9" t="s">
        <v>119</v>
      </c>
      <c r="Q493" s="10">
        <v>5.9201388888888887E-2</v>
      </c>
      <c r="R493" s="9" t="s">
        <v>56</v>
      </c>
      <c r="S493" s="10">
        <v>0.1857523148148148</v>
      </c>
      <c r="T493" s="9">
        <v>23.581</v>
      </c>
      <c r="U493" s="9">
        <v>9.57</v>
      </c>
      <c r="V493" s="10">
        <v>0.102662037037037</v>
      </c>
      <c r="W493" s="10">
        <v>5.6643518518518517E-2</v>
      </c>
      <c r="X493" s="10">
        <v>0</v>
      </c>
      <c r="Y493" s="9">
        <v>0</v>
      </c>
      <c r="Z493" s="9">
        <v>0</v>
      </c>
      <c r="AA493" s="9">
        <v>0</v>
      </c>
      <c r="AB493" s="9">
        <v>0</v>
      </c>
      <c r="AC493" s="9">
        <v>0</v>
      </c>
      <c r="AD493" s="9">
        <v>0</v>
      </c>
      <c r="AE493" s="9" t="s">
        <v>67</v>
      </c>
      <c r="AF493" s="9" t="s">
        <v>4050</v>
      </c>
      <c r="AG493" s="9" t="s">
        <v>4051</v>
      </c>
      <c r="AH493" s="9">
        <v>6.222747</v>
      </c>
      <c r="AI493" s="9">
        <v>-75.598646000000002</v>
      </c>
      <c r="AJ493" s="9" t="s">
        <v>4052</v>
      </c>
      <c r="AK493" s="9">
        <v>6.2405150000000003</v>
      </c>
      <c r="AL493" s="9">
        <v>-75.552284999999998</v>
      </c>
      <c r="AM493" s="26">
        <f t="shared" si="8"/>
        <v>5.9201388888888887E-2</v>
      </c>
      <c r="AN493" s="1" t="s">
        <v>4061</v>
      </c>
    </row>
    <row r="494" spans="1:40" ht="15" x14ac:dyDescent="0.25">
      <c r="A494" s="9" t="s">
        <v>4053</v>
      </c>
      <c r="B494" s="9" t="s">
        <v>4054</v>
      </c>
      <c r="C494" s="9" t="s">
        <v>4055</v>
      </c>
      <c r="D494" s="9" t="s">
        <v>3966</v>
      </c>
      <c r="E494" s="9" t="s">
        <v>2619</v>
      </c>
      <c r="F494" s="9" t="s">
        <v>37</v>
      </c>
      <c r="G494" s="9" t="s">
        <v>105</v>
      </c>
      <c r="H494" s="9" t="s">
        <v>106</v>
      </c>
      <c r="I494" s="9" t="s">
        <v>115</v>
      </c>
      <c r="J494" s="9">
        <v>6</v>
      </c>
      <c r="K494" s="9" t="s">
        <v>4056</v>
      </c>
      <c r="L494" s="9" t="s">
        <v>117</v>
      </c>
      <c r="M494" s="10">
        <v>1.3310185185185181E-3</v>
      </c>
      <c r="N494" s="9" t="s">
        <v>65</v>
      </c>
      <c r="O494" s="9" t="s">
        <v>4057</v>
      </c>
      <c r="P494" s="9" t="s">
        <v>119</v>
      </c>
      <c r="Q494" s="10">
        <v>0.25105324074074081</v>
      </c>
      <c r="R494" s="9" t="s">
        <v>56</v>
      </c>
      <c r="S494" s="10">
        <v>2.7777777777777778E-4</v>
      </c>
      <c r="T494" s="9">
        <v>7.8E-2</v>
      </c>
      <c r="U494" s="9">
        <v>11.75</v>
      </c>
      <c r="V494" s="10">
        <v>2.7777777777777778E-4</v>
      </c>
      <c r="W494" s="10">
        <v>9.2592592592592588E-5</v>
      </c>
      <c r="X494" s="10">
        <v>0</v>
      </c>
      <c r="Y494" s="9">
        <v>0</v>
      </c>
      <c r="Z494" s="9">
        <v>0</v>
      </c>
      <c r="AA494" s="9">
        <v>0</v>
      </c>
      <c r="AB494" s="9">
        <v>0</v>
      </c>
      <c r="AC494" s="9">
        <v>0</v>
      </c>
      <c r="AD494" s="9">
        <v>0</v>
      </c>
      <c r="AE494" s="9" t="s">
        <v>67</v>
      </c>
      <c r="AF494" s="9" t="s">
        <v>4058</v>
      </c>
      <c r="AG494" s="9" t="s">
        <v>4059</v>
      </c>
      <c r="AH494" s="9">
        <v>6.258146</v>
      </c>
      <c r="AI494" s="9">
        <v>-75.615330999999998</v>
      </c>
      <c r="AJ494" s="9" t="s">
        <v>4060</v>
      </c>
      <c r="AK494" s="9">
        <v>6.258648</v>
      </c>
      <c r="AL494" s="9">
        <v>-75.615716000000006</v>
      </c>
      <c r="AM494" s="26">
        <f t="shared" si="8"/>
        <v>0.25105324074074081</v>
      </c>
      <c r="AN494" s="1" t="s">
        <v>4061</v>
      </c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2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2026-10-21T20:37:40Z</dcterms:modified>
</cp:coreProperties>
</file>