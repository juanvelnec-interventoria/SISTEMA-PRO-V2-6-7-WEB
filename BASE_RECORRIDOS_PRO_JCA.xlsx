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9C2A09BC-3327-45EB-B8D3-2E2574CCAE94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8" r:id="rId8"/>
    <pivotCache cacheId="17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69" i="2" l="1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<sst xmlns="http://schemas.openxmlformats.org/spreadsheetml/2006/main" count="4405" uniqueCount="1597">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</sst>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0" fillId="0" borderId="0" xfId="0" applyNumberFormat="1"/>
    <xf numFmtId="0" fontId="10" fillId="0" borderId="0" xfId="0" applyNumberFormat="1" applyFont="1"/>
    <xf numFmtId="0" fontId="10" fillId="0" borderId="0" xfId="0" pivotButton="1" applyFont="1"/>
    <xf numFmtId="0" fontId="10" fillId="0" borderId="0" xfId="0" applyFont="1" applyAlignment="1">
      <alignment horizontal="left"/>
    </xf>
    <xf numFmtId="0" fontId="10" fillId="0" borderId="0" xfId="0" applyFont="1"/>
  </cellXfs>
  <cellStyles count="1">
    <cellStyle name="Normal" xfId="0" builtinId="0"/>
  </cellStyles>
  <dxfs count="128"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6" formatCode="h:mm:ss"/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70">
      <pivotArea outline="0" collapsedLevelsAreSubtotals="1" fieldPosition="0"/>
    </format>
    <format dxfId="69">
      <pivotArea field="6" type="button" dataOnly="0" labelOnly="1" outline="0" axis="axisRow" fieldPosition="0"/>
    </format>
    <format dxfId="6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67">
      <pivotArea dataOnly="0" labelOnly="1" grandRow="1" outline="0" fieldPosition="0"/>
    </format>
    <format dxfId="66">
      <pivotArea dataOnly="0" labelOnly="1" grandCol="1" outline="0" fieldPosition="0"/>
    </format>
    <format dxfId="65">
      <pivotArea outline="0" collapsedLevelsAreSubtotals="1" fieldPosition="0"/>
    </format>
    <format dxfId="64">
      <pivotArea field="6" type="button" dataOnly="0" labelOnly="1" outline="0" axis="axisRow" fieldPosition="0"/>
    </format>
    <format dxfId="6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62">
      <pivotArea dataOnly="0" labelOnly="1" grandRow="1" outline="0" fieldPosition="0"/>
    </format>
    <format dxfId="61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82">
      <pivotArea outline="0" collapsedLevelsAreSubtotals="1" fieldPosition="0"/>
    </format>
    <format dxfId="81">
      <pivotArea field="6" type="button" dataOnly="0" labelOnly="1" outline="0" axis="axisRow" fieldPosition="0"/>
    </format>
    <format dxfId="8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9">
      <pivotArea dataOnly="0" labelOnly="1" grandRow="1" outline="0" fieldPosition="0"/>
    </format>
    <format dxfId="78">
      <pivotArea dataOnly="0" labelOnly="1" fieldPosition="0">
        <references count="1">
          <reference field="17" count="0"/>
        </references>
      </pivotArea>
    </format>
    <format dxfId="77">
      <pivotArea dataOnly="0" labelOnly="1" grandCol="1" outline="0" fieldPosition="0"/>
    </format>
    <format dxfId="76">
      <pivotArea outline="0" collapsedLevelsAreSubtotals="1" fieldPosition="0"/>
    </format>
    <format dxfId="75">
      <pivotArea field="6" type="button" dataOnly="0" labelOnly="1" outline="0" axis="axisRow" fieldPosition="0"/>
    </format>
    <format dxfId="7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3">
      <pivotArea dataOnly="0" labelOnly="1" grandRow="1" outline="0" fieldPosition="0"/>
    </format>
    <format dxfId="72">
      <pivotArea dataOnly="0" labelOnly="1" fieldPosition="0">
        <references count="1">
          <reference field="17" count="0"/>
        </references>
      </pivotArea>
    </format>
    <format dxfId="71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92">
      <pivotArea outline="0" collapsedLevelsAreSubtotals="1" fieldPosition="0"/>
    </format>
    <format dxfId="91">
      <pivotArea field="6" type="button" dataOnly="0" labelOnly="1" outline="0" axis="axisRow" fieldPosition="0"/>
    </format>
    <format dxfId="9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9">
      <pivotArea dataOnly="0" labelOnly="1" grandRow="1" outline="0" fieldPosition="0"/>
    </format>
    <format dxfId="88">
      <pivotArea dataOnly="0" labelOnly="1" grandCol="1" outline="0" fieldPosition="0"/>
    </format>
    <format dxfId="87">
      <pivotArea outline="0" collapsedLevelsAreSubtotals="1" fieldPosition="0"/>
    </format>
    <format dxfId="86">
      <pivotArea field="6" type="button" dataOnly="0" labelOnly="1" outline="0" axis="axisRow" fieldPosition="0"/>
    </format>
    <format dxfId="8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4">
      <pivotArea dataOnly="0" labelOnly="1" grandRow="1" outline="0" fieldPosition="0"/>
    </format>
    <format dxfId="83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93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3" totalsRowShown="0" headerRowDxfId="127" dataDxfId="126">
  <autoFilter ref="A1:AF1048573" xr:uid="{07721E28-36B5-4676-BFC5-097A3B63190A}"/>
  <tableColumns count="32">
    <tableColumn id="1" xr3:uid="{BFACFB74-E6A6-4648-B0DA-7D6E1FC88A79}" name="ID" dataDxfId="125"/>
    <tableColumn id="2" xr3:uid="{B67B24E0-3585-47FC-A130-8F37C8640BC4}" name="Archivo" dataDxfId="124"/>
    <tableColumn id="3" xr3:uid="{FB279346-C755-48B1-8385-D755BC44DB7E}" name="Hash SHA256" dataDxfId="123"/>
    <tableColumn id="4" xr3:uid="{CF629B59-A100-4AAB-B74C-3B554EAB3BF0}" name="Fecha" dataDxfId="122"/>
    <tableColumn id="5" xr3:uid="{EE06BA6F-C164-4ECD-A655-515F1957578E}" name="Año-Mes" dataDxfId="121"/>
    <tableColumn id="6" xr3:uid="{FD8842D0-7E34-4084-9BAA-A564E135D8FF}" name="Día" dataDxfId="120"/>
    <tableColumn id="7" xr3:uid="{16772661-0D26-4A9C-B574-83DD257F64D2}" name="Técnico" dataDxfId="119"/>
    <tableColumn id="8" xr3:uid="{DC69C448-58B8-4806-B949-BF996984F186}" name="Iniciales" dataDxfId="118"/>
    <tableColumn id="9" xr3:uid="{3962F890-58B4-4EE6-ABA8-850EB1190D27}" name="Turno" dataDxfId="117"/>
    <tableColumn id="10" xr3:uid="{E92FA341-3BD4-4B2B-AC2C-BF72D43C66CC}" name="Puntos GPS" dataDxfId="116"/>
    <tableColumn id="11" xr3:uid="{72021E2E-2F98-4204-8978-705D7AD09594}" name="Inicio Colombia" dataDxfId="115"/>
    <tableColumn id="12" xr3:uid="{54D84601-2999-47A1-A65E-57823F56F2ED}" name="Inicio programado" dataDxfId="114"/>
    <tableColumn id="13" xr3:uid="{640E6A33-50AC-4461-84B0-EB0F59FBE07B}" name="Diferencia inicio" dataDxfId="113"/>
    <tableColumn id="14" xr3:uid="{DDCE6D58-3D24-45B9-861B-84CCB46683A5}" name="Estado inicio" dataDxfId="112"/>
    <tableColumn id="15" xr3:uid="{E1697B5C-5781-44C1-8EDA-6F1ACE3F4029}" name="Fin Colombia" dataDxfId="111"/>
    <tableColumn id="16" xr3:uid="{787745CA-B360-44D9-9446-ECB14730130D}" name="Fin programado" dataDxfId="110"/>
    <tableColumn id="17" xr3:uid="{46398A77-17CC-4A5A-AC54-FC4D4EE9907E}" name="Diferencia fin" dataDxfId="109"/>
    <tableColumn id="18" xr3:uid="{4941E755-E9FD-4193-9F96-E53315DB8EBE}" name="Estado fin" dataDxfId="108"/>
    <tableColumn id="19" xr3:uid="{E263D8E6-044C-4AE9-A18B-8B14B2EAB3DA}" name="Duración" dataDxfId="107"/>
    <tableColumn id="20" xr3:uid="{BB91D378-A483-49A2-A76B-BD54043F6607}" name="Kilómetros" dataDxfId="106"/>
    <tableColumn id="21" xr3:uid="{192BB6F7-4294-4FAF-B104-6552C0F61A57}" name="Velocidad promedio (km/h)" dataDxfId="105"/>
    <tableColumn id="22" xr3:uid="{6F9489E0-14AF-4D91-9AEE-1CE65B9112C6}" name="Tiempo movimiento" dataDxfId="104"/>
    <tableColumn id="23" xr3:uid="{50092D24-4EA6-441E-B7D6-414B951B9F9F}" name="Movimiento lento" dataDxfId="103"/>
    <tableColumn id="24" xr3:uid="{CF339310-E34C-43C1-90CE-9F433AAB70F1}" name="Tiempo permanencias" dataDxfId="102"/>
    <tableColumn id="25" xr3:uid="{6FD925EC-EAEC-45E6-B136-F56F435E59B8}" name="Paradas &gt;=10 min" dataDxfId="101"/>
    <tableColumn id="26" xr3:uid="{52AB8528-3A79-479D-A997-E53B6084B61F}" name="Paradas &gt;=15 min" dataDxfId="100"/>
    <tableColumn id="27" xr3:uid="{1BA0A59E-7816-42F2-B5AB-3B78137E0F49}" name="Paradas &gt;=30 min" dataDxfId="99"/>
    <tableColumn id="28" xr3:uid="{47D5247A-657B-4B5B-9D22-259A6A45A563}" name="Paradas &gt;=40 min" dataDxfId="98"/>
    <tableColumn id="29" xr3:uid="{4B192CBD-58A3-4F70-BE72-992210A8D8A7}" name="Paradas &gt;=60 min" dataDxfId="97"/>
    <tableColumn id="30" xr3:uid="{80E38742-5940-41B4-BC40-12884D5F6DF3}" name="Huecos GPS &gt;=10 min" dataDxfId="96"/>
    <tableColumn id="31" xr3:uid="{A9D280E3-B898-4F0B-AB54-4F5DDCE469DA}" name="Estado recorrido" dataDxfId="95"/>
    <tableColumn id="32" xr3:uid="{2D572601-C46B-4498-95CD-858FD080879D}" name="Observaciones" dataDxfId="9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 s="32">
        <v>8</v>
      </c>
      <c r="C8" s="32">
        <v>4</v>
      </c>
      <c r="D8" s="32">
        <v>2</v>
      </c>
      <c r="E8" s="32">
        <v>14</v>
      </c>
    </row>
    <row r="9" spans="1:5" x14ac:dyDescent="0.25">
      <c r="A9" s="6" t="s">
        <v>124</v>
      </c>
      <c r="B9" s="32">
        <v>10</v>
      </c>
      <c r="C9" s="32">
        <v>2</v>
      </c>
      <c r="D9" s="32">
        <v>1</v>
      </c>
      <c r="E9" s="32">
        <v>13</v>
      </c>
    </row>
    <row r="10" spans="1:5" x14ac:dyDescent="0.25">
      <c r="A10" s="6" t="s">
        <v>113</v>
      </c>
      <c r="B10" s="32">
        <v>1</v>
      </c>
      <c r="C10" s="32">
        <v>5</v>
      </c>
      <c r="D10" s="32">
        <v>9</v>
      </c>
      <c r="E10" s="32">
        <v>15</v>
      </c>
    </row>
    <row r="11" spans="1:5" x14ac:dyDescent="0.25">
      <c r="A11" s="6" t="s">
        <v>62</v>
      </c>
      <c r="B11" s="32">
        <v>1</v>
      </c>
      <c r="C11" s="32">
        <v>11</v>
      </c>
      <c r="D11" s="32">
        <v>1</v>
      </c>
      <c r="E11" s="32">
        <v>13</v>
      </c>
    </row>
    <row r="12" spans="1:5" x14ac:dyDescent="0.25">
      <c r="A12" s="6" t="s">
        <v>135</v>
      </c>
      <c r="B12" s="32">
        <v>7</v>
      </c>
      <c r="C12" s="32">
        <v>2</v>
      </c>
      <c r="D12" s="32">
        <v>3</v>
      </c>
      <c r="E12" s="32">
        <v>12</v>
      </c>
    </row>
    <row r="13" spans="1:5" x14ac:dyDescent="0.25">
      <c r="A13" s="6" t="s">
        <v>97</v>
      </c>
      <c r="B13" s="32"/>
      <c r="C13" s="32">
        <v>11</v>
      </c>
      <c r="D13" s="32">
        <v>2</v>
      </c>
      <c r="E13" s="32">
        <v>13</v>
      </c>
    </row>
    <row r="14" spans="1:5" x14ac:dyDescent="0.25">
      <c r="A14" s="6" t="s">
        <v>38</v>
      </c>
      <c r="B14" s="32">
        <v>1</v>
      </c>
      <c r="C14" s="32">
        <v>2</v>
      </c>
      <c r="D14" s="32">
        <v>10</v>
      </c>
      <c r="E14" s="32">
        <v>13</v>
      </c>
    </row>
    <row r="15" spans="1:5" x14ac:dyDescent="0.25">
      <c r="A15" s="6" t="s">
        <v>144</v>
      </c>
      <c r="B15" s="32">
        <v>8</v>
      </c>
      <c r="C15" s="32">
        <v>1</v>
      </c>
      <c r="D15" s="32">
        <v>3</v>
      </c>
      <c r="E15" s="32">
        <v>12</v>
      </c>
    </row>
    <row r="16" spans="1:5" x14ac:dyDescent="0.25">
      <c r="A16" s="6" t="s">
        <v>72</v>
      </c>
      <c r="B16" s="32">
        <v>3</v>
      </c>
      <c r="C16" s="32">
        <v>5</v>
      </c>
      <c r="D16" s="32">
        <v>5</v>
      </c>
      <c r="E16" s="32">
        <v>13</v>
      </c>
    </row>
    <row r="17" spans="1:5" x14ac:dyDescent="0.25">
      <c r="A17" s="6" t="s">
        <v>89</v>
      </c>
      <c r="B17" s="32">
        <v>6</v>
      </c>
      <c r="C17" s="32">
        <v>4</v>
      </c>
      <c r="D17" s="32">
        <v>4</v>
      </c>
      <c r="E17" s="32">
        <v>14</v>
      </c>
    </row>
    <row r="18" spans="1:5" x14ac:dyDescent="0.25">
      <c r="A18" s="6" t="s">
        <v>152</v>
      </c>
      <c r="B18" s="32">
        <v>8</v>
      </c>
      <c r="C18" s="32">
        <v>2</v>
      </c>
      <c r="D18" s="32">
        <v>1</v>
      </c>
      <c r="E18" s="32">
        <v>11</v>
      </c>
    </row>
    <row r="19" spans="1:5" x14ac:dyDescent="0.25">
      <c r="A19" s="6" t="s">
        <v>80</v>
      </c>
      <c r="B19" s="32">
        <v>1</v>
      </c>
      <c r="C19" s="32">
        <v>10</v>
      </c>
      <c r="D19" s="32">
        <v>2</v>
      </c>
      <c r="E19" s="32">
        <v>13</v>
      </c>
    </row>
    <row r="20" spans="1:5" x14ac:dyDescent="0.25">
      <c r="A20" s="6" t="s">
        <v>160</v>
      </c>
      <c r="B20" s="32">
        <v>12</v>
      </c>
      <c r="C20" s="32"/>
      <c r="D20" s="32"/>
      <c r="E20" s="32">
        <v>12</v>
      </c>
    </row>
    <row r="21" spans="1:5" x14ac:dyDescent="0.25">
      <c r="A21" s="6" t="s">
        <v>105</v>
      </c>
      <c r="B21" s="32">
        <v>1</v>
      </c>
      <c r="C21" s="32">
        <v>5</v>
      </c>
      <c r="D21" s="32">
        <v>7</v>
      </c>
      <c r="E21" s="32">
        <v>13</v>
      </c>
    </row>
    <row r="22" spans="1:5" x14ac:dyDescent="0.25">
      <c r="A22" s="6" t="s">
        <v>263</v>
      </c>
      <c r="B22" s="32">
        <v>67</v>
      </c>
      <c r="C22" s="32">
        <v>64</v>
      </c>
      <c r="D22" s="32">
        <v>50</v>
      </c>
      <c r="E22" s="3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 s="32">
        <v>7</v>
      </c>
      <c r="C59" s="32">
        <v>7</v>
      </c>
      <c r="D59" s="32"/>
      <c r="E59" s="32">
        <v>14</v>
      </c>
    </row>
    <row r="60" spans="1:5" x14ac:dyDescent="0.25">
      <c r="A60" s="6" t="s">
        <v>124</v>
      </c>
      <c r="B60" s="32">
        <v>6</v>
      </c>
      <c r="C60" s="32">
        <v>1</v>
      </c>
      <c r="D60" s="32">
        <v>6</v>
      </c>
      <c r="E60" s="32">
        <v>13</v>
      </c>
    </row>
    <row r="61" spans="1:5" x14ac:dyDescent="0.25">
      <c r="A61" s="6" t="s">
        <v>113</v>
      </c>
      <c r="B61" s="32">
        <v>3</v>
      </c>
      <c r="C61" s="32">
        <v>9</v>
      </c>
      <c r="D61" s="32">
        <v>3</v>
      </c>
      <c r="E61" s="32">
        <v>15</v>
      </c>
    </row>
    <row r="62" spans="1:5" x14ac:dyDescent="0.25">
      <c r="A62" s="6" t="s">
        <v>62</v>
      </c>
      <c r="B62" s="32"/>
      <c r="C62" s="32">
        <v>13</v>
      </c>
      <c r="D62" s="32"/>
      <c r="E62" s="32">
        <v>13</v>
      </c>
    </row>
    <row r="63" spans="1:5" x14ac:dyDescent="0.25">
      <c r="A63" s="6" t="s">
        <v>135</v>
      </c>
      <c r="B63" s="32">
        <v>10</v>
      </c>
      <c r="C63" s="32">
        <v>2</v>
      </c>
      <c r="D63" s="32"/>
      <c r="E63" s="32">
        <v>12</v>
      </c>
    </row>
    <row r="64" spans="1:5" x14ac:dyDescent="0.25">
      <c r="A64" s="6" t="s">
        <v>97</v>
      </c>
      <c r="B64" s="32">
        <v>3</v>
      </c>
      <c r="C64" s="32">
        <v>9</v>
      </c>
      <c r="D64" s="32">
        <v>1</v>
      </c>
      <c r="E64" s="32">
        <v>13</v>
      </c>
    </row>
    <row r="65" spans="1:5" x14ac:dyDescent="0.25">
      <c r="A65" s="6" t="s">
        <v>38</v>
      </c>
      <c r="B65" s="32">
        <v>7</v>
      </c>
      <c r="C65" s="32">
        <v>3</v>
      </c>
      <c r="D65" s="32">
        <v>3</v>
      </c>
      <c r="E65" s="32">
        <v>13</v>
      </c>
    </row>
    <row r="66" spans="1:5" x14ac:dyDescent="0.25">
      <c r="A66" s="6" t="s">
        <v>144</v>
      </c>
      <c r="B66" s="32">
        <v>9</v>
      </c>
      <c r="C66" s="32">
        <v>2</v>
      </c>
      <c r="D66" s="32">
        <v>1</v>
      </c>
      <c r="E66" s="32">
        <v>12</v>
      </c>
    </row>
    <row r="67" spans="1:5" x14ac:dyDescent="0.25">
      <c r="A67" s="6" t="s">
        <v>72</v>
      </c>
      <c r="B67" s="32"/>
      <c r="C67" s="32">
        <v>13</v>
      </c>
      <c r="D67" s="32"/>
      <c r="E67" s="32">
        <v>13</v>
      </c>
    </row>
    <row r="68" spans="1:5" x14ac:dyDescent="0.25">
      <c r="A68" s="6" t="s">
        <v>89</v>
      </c>
      <c r="B68" s="32">
        <v>7</v>
      </c>
      <c r="C68" s="32">
        <v>3</v>
      </c>
      <c r="D68" s="32">
        <v>4</v>
      </c>
      <c r="E68" s="32">
        <v>14</v>
      </c>
    </row>
    <row r="69" spans="1:5" x14ac:dyDescent="0.25">
      <c r="A69" s="6" t="s">
        <v>152</v>
      </c>
      <c r="B69" s="32">
        <v>2</v>
      </c>
      <c r="C69" s="32">
        <v>9</v>
      </c>
      <c r="D69" s="32"/>
      <c r="E69" s="32">
        <v>11</v>
      </c>
    </row>
    <row r="70" spans="1:5" x14ac:dyDescent="0.25">
      <c r="A70" s="6" t="s">
        <v>80</v>
      </c>
      <c r="B70" s="32">
        <v>11</v>
      </c>
      <c r="C70" s="32">
        <v>1</v>
      </c>
      <c r="D70" s="32">
        <v>1</v>
      </c>
      <c r="E70" s="32">
        <v>13</v>
      </c>
    </row>
    <row r="71" spans="1:5" x14ac:dyDescent="0.25">
      <c r="A71" s="6" t="s">
        <v>160</v>
      </c>
      <c r="B71" s="32">
        <v>10</v>
      </c>
      <c r="C71" s="32"/>
      <c r="D71" s="32">
        <v>2</v>
      </c>
      <c r="E71" s="32">
        <v>12</v>
      </c>
    </row>
    <row r="72" spans="1:5" x14ac:dyDescent="0.25">
      <c r="A72" s="6" t="s">
        <v>105</v>
      </c>
      <c r="B72" s="32">
        <v>6</v>
      </c>
      <c r="C72" s="32">
        <v>7</v>
      </c>
      <c r="D72" s="32"/>
      <c r="E72" s="32">
        <v>13</v>
      </c>
    </row>
    <row r="73" spans="1:5" x14ac:dyDescent="0.25">
      <c r="A73" s="6" t="s">
        <v>263</v>
      </c>
      <c r="B73" s="32">
        <v>81</v>
      </c>
      <c r="C73" s="32">
        <v>79</v>
      </c>
      <c r="D73" s="32">
        <v>21</v>
      </c>
      <c r="E73" s="32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36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36" t="s">
        <v>56</v>
      </c>
      <c r="M108" s="36" t="s">
        <v>263</v>
      </c>
      <c r="N108" s="20"/>
      <c r="O108" s="20"/>
      <c r="P108" s="20"/>
      <c r="W108" s="34" t="s">
        <v>262</v>
      </c>
      <c r="X108" t="s">
        <v>43</v>
      </c>
      <c r="Y108" s="36" t="s">
        <v>263</v>
      </c>
      <c r="AI108" s="35" t="s">
        <v>52</v>
      </c>
      <c r="AJ108" s="33">
        <v>10</v>
      </c>
    </row>
    <row r="109" spans="1:36" ht="18" x14ac:dyDescent="0.25">
      <c r="A109" s="6" t="s">
        <v>52</v>
      </c>
      <c r="B109" s="32">
        <v>606.1869999999999</v>
      </c>
      <c r="C109" s="32"/>
      <c r="D109" s="32">
        <v>606.1869999999999</v>
      </c>
      <c r="K109" s="35" t="s">
        <v>52</v>
      </c>
      <c r="L109" s="33">
        <v>7</v>
      </c>
      <c r="M109" s="33">
        <v>7</v>
      </c>
      <c r="N109" s="20"/>
      <c r="O109" s="20"/>
      <c r="P109" s="20"/>
      <c r="W109" s="35" t="s">
        <v>52</v>
      </c>
      <c r="X109" s="33">
        <v>2</v>
      </c>
      <c r="Y109" s="33">
        <v>2</v>
      </c>
      <c r="AI109" s="35" t="s">
        <v>124</v>
      </c>
      <c r="AJ109" s="33">
        <v>9</v>
      </c>
    </row>
    <row r="110" spans="1:36" ht="18" x14ac:dyDescent="0.25">
      <c r="A110" s="6" t="s">
        <v>124</v>
      </c>
      <c r="B110" s="32"/>
      <c r="C110" s="32">
        <v>629.04100000000005</v>
      </c>
      <c r="D110" s="32">
        <v>629.04100000000005</v>
      </c>
      <c r="K110" s="35" t="s">
        <v>124</v>
      </c>
      <c r="L110" s="33">
        <v>1</v>
      </c>
      <c r="M110" s="33">
        <v>1</v>
      </c>
      <c r="N110" s="20"/>
      <c r="O110" s="20"/>
      <c r="P110" s="20"/>
      <c r="W110" s="35" t="s">
        <v>124</v>
      </c>
      <c r="X110" s="33">
        <v>1</v>
      </c>
      <c r="Y110" s="33">
        <v>1</v>
      </c>
      <c r="AI110" s="35" t="s">
        <v>113</v>
      </c>
      <c r="AJ110" s="33">
        <v>11</v>
      </c>
    </row>
    <row r="111" spans="1:36" ht="18" x14ac:dyDescent="0.25">
      <c r="A111" s="6" t="s">
        <v>113</v>
      </c>
      <c r="B111" s="32">
        <v>399.06900000000002</v>
      </c>
      <c r="C111" s="32">
        <v>165.02199999999999</v>
      </c>
      <c r="D111" s="32">
        <v>564.09100000000001</v>
      </c>
      <c r="K111" s="35" t="s">
        <v>113</v>
      </c>
      <c r="L111" s="33">
        <v>9</v>
      </c>
      <c r="M111" s="33">
        <v>9</v>
      </c>
      <c r="N111" s="20"/>
      <c r="O111" s="20"/>
      <c r="P111" s="20"/>
      <c r="W111" s="35" t="s">
        <v>113</v>
      </c>
      <c r="X111" s="33">
        <v>9</v>
      </c>
      <c r="Y111" s="33">
        <v>9</v>
      </c>
      <c r="AI111" s="35" t="s">
        <v>62</v>
      </c>
      <c r="AJ111" s="33">
        <v>9</v>
      </c>
    </row>
    <row r="112" spans="1:36" ht="18" x14ac:dyDescent="0.25">
      <c r="A112" s="6" t="s">
        <v>62</v>
      </c>
      <c r="B112" s="32">
        <v>722.3309999999999</v>
      </c>
      <c r="C112" s="32"/>
      <c r="D112" s="32">
        <v>722.3309999999999</v>
      </c>
      <c r="K112" s="35" t="s">
        <v>62</v>
      </c>
      <c r="L112" s="33">
        <v>13</v>
      </c>
      <c r="M112" s="33">
        <v>13</v>
      </c>
      <c r="N112" s="20"/>
      <c r="O112" s="20"/>
      <c r="P112" s="20"/>
      <c r="W112" s="35" t="s">
        <v>62</v>
      </c>
      <c r="X112" s="33">
        <v>1</v>
      </c>
      <c r="Y112" s="33">
        <v>1</v>
      </c>
      <c r="AI112" s="35" t="s">
        <v>135</v>
      </c>
      <c r="AJ112" s="33">
        <v>8</v>
      </c>
    </row>
    <row r="113" spans="1:36" ht="18" x14ac:dyDescent="0.25">
      <c r="A113" s="6" t="s">
        <v>135</v>
      </c>
      <c r="B113" s="32"/>
      <c r="C113" s="32">
        <v>399.66999999999996</v>
      </c>
      <c r="D113" s="32">
        <v>399.66999999999996</v>
      </c>
      <c r="K113" s="35" t="s">
        <v>135</v>
      </c>
      <c r="L113" s="33">
        <v>2</v>
      </c>
      <c r="M113" s="33">
        <v>2</v>
      </c>
      <c r="N113" s="20"/>
      <c r="O113" s="20"/>
      <c r="P113" s="20"/>
      <c r="W113" s="35" t="s">
        <v>135</v>
      </c>
      <c r="X113" s="33">
        <v>3</v>
      </c>
      <c r="Y113" s="33">
        <v>3</v>
      </c>
      <c r="AI113" s="35" t="s">
        <v>97</v>
      </c>
      <c r="AJ113" s="33">
        <v>9</v>
      </c>
    </row>
    <row r="114" spans="1:36" ht="18" x14ac:dyDescent="0.25">
      <c r="A114" s="6" t="s">
        <v>97</v>
      </c>
      <c r="B114" s="32">
        <v>469.54300000000001</v>
      </c>
      <c r="C114" s="32"/>
      <c r="D114" s="32">
        <v>469.54300000000001</v>
      </c>
      <c r="K114" s="35" t="s">
        <v>97</v>
      </c>
      <c r="L114" s="33">
        <v>9</v>
      </c>
      <c r="M114" s="33">
        <v>9</v>
      </c>
      <c r="N114" s="20"/>
      <c r="O114" s="20"/>
      <c r="P114" s="20"/>
      <c r="W114" s="35" t="s">
        <v>97</v>
      </c>
      <c r="X114" s="33">
        <v>2</v>
      </c>
      <c r="Y114" s="33">
        <v>2</v>
      </c>
      <c r="AI114" s="35" t="s">
        <v>38</v>
      </c>
      <c r="AJ114" s="33">
        <v>9</v>
      </c>
    </row>
    <row r="115" spans="1:36" ht="18" x14ac:dyDescent="0.25">
      <c r="A115" s="6" t="s">
        <v>38</v>
      </c>
      <c r="B115" s="32">
        <v>684.553</v>
      </c>
      <c r="C115" s="32"/>
      <c r="D115" s="32">
        <v>684.553</v>
      </c>
      <c r="K115" s="35" t="s">
        <v>38</v>
      </c>
      <c r="L115" s="33">
        <v>3</v>
      </c>
      <c r="M115" s="33">
        <v>3</v>
      </c>
      <c r="N115" s="20"/>
      <c r="O115" s="20"/>
      <c r="P115" s="20"/>
      <c r="W115" s="35" t="s">
        <v>38</v>
      </c>
      <c r="X115" s="33">
        <v>10</v>
      </c>
      <c r="Y115" s="33">
        <v>10</v>
      </c>
      <c r="AI115" s="35" t="s">
        <v>144</v>
      </c>
      <c r="AJ115" s="33">
        <v>8</v>
      </c>
    </row>
    <row r="116" spans="1:36" ht="18" x14ac:dyDescent="0.25">
      <c r="A116" s="6" t="s">
        <v>144</v>
      </c>
      <c r="B116" s="32"/>
      <c r="C116" s="32">
        <v>919.75</v>
      </c>
      <c r="D116" s="32">
        <v>919.75</v>
      </c>
      <c r="K116" s="35" t="s">
        <v>144</v>
      </c>
      <c r="L116" s="33">
        <v>2</v>
      </c>
      <c r="M116" s="33">
        <v>2</v>
      </c>
      <c r="N116" s="20"/>
      <c r="O116" s="20"/>
      <c r="P116" s="20"/>
      <c r="W116" s="35" t="s">
        <v>144</v>
      </c>
      <c r="X116" s="33">
        <v>3</v>
      </c>
      <c r="Y116" s="33">
        <v>3</v>
      </c>
      <c r="AI116" s="35" t="s">
        <v>72</v>
      </c>
      <c r="AJ116" s="33">
        <v>9</v>
      </c>
    </row>
    <row r="117" spans="1:36" ht="18" x14ac:dyDescent="0.25">
      <c r="A117" s="6" t="s">
        <v>72</v>
      </c>
      <c r="B117" s="32">
        <v>492.46</v>
      </c>
      <c r="C117" s="32"/>
      <c r="D117" s="32">
        <v>492.46</v>
      </c>
      <c r="K117" s="35" t="s">
        <v>72</v>
      </c>
      <c r="L117" s="33">
        <v>13</v>
      </c>
      <c r="M117" s="33">
        <v>13</v>
      </c>
      <c r="N117" s="20"/>
      <c r="O117" s="20"/>
      <c r="P117" s="20"/>
      <c r="W117" s="35" t="s">
        <v>72</v>
      </c>
      <c r="X117" s="33">
        <v>5</v>
      </c>
      <c r="Y117" s="33">
        <v>5</v>
      </c>
      <c r="AI117" s="35" t="s">
        <v>89</v>
      </c>
      <c r="AJ117" s="33">
        <v>9</v>
      </c>
    </row>
    <row r="118" spans="1:36" ht="18" x14ac:dyDescent="0.25">
      <c r="A118" s="6" t="s">
        <v>89</v>
      </c>
      <c r="B118" s="32">
        <v>1062.953</v>
      </c>
      <c r="C118" s="32"/>
      <c r="D118" s="32">
        <v>1062.953</v>
      </c>
      <c r="K118" s="35" t="s">
        <v>89</v>
      </c>
      <c r="L118" s="33">
        <v>3</v>
      </c>
      <c r="M118" s="33">
        <v>3</v>
      </c>
      <c r="N118" s="20"/>
      <c r="O118" s="20"/>
      <c r="P118" s="20"/>
      <c r="W118" s="35" t="s">
        <v>89</v>
      </c>
      <c r="X118" s="33">
        <v>4</v>
      </c>
      <c r="Y118" s="33">
        <v>4</v>
      </c>
      <c r="AI118" s="35" t="s">
        <v>152</v>
      </c>
      <c r="AJ118" s="33">
        <v>7</v>
      </c>
    </row>
    <row r="119" spans="1:36" ht="18" x14ac:dyDescent="0.25">
      <c r="A119" s="6" t="s">
        <v>152</v>
      </c>
      <c r="B119" s="32"/>
      <c r="C119" s="32">
        <v>394.79400000000004</v>
      </c>
      <c r="D119" s="32">
        <v>394.79400000000004</v>
      </c>
      <c r="K119" s="35" t="s">
        <v>152</v>
      </c>
      <c r="L119" s="33">
        <v>9</v>
      </c>
      <c r="M119" s="33">
        <v>9</v>
      </c>
      <c r="N119" s="20"/>
      <c r="O119" s="20"/>
      <c r="P119" s="20"/>
      <c r="W119" s="35" t="s">
        <v>152</v>
      </c>
      <c r="X119" s="33">
        <v>1</v>
      </c>
      <c r="Y119" s="33">
        <v>1</v>
      </c>
      <c r="AI119" s="35" t="s">
        <v>80</v>
      </c>
      <c r="AJ119" s="33">
        <v>10</v>
      </c>
    </row>
    <row r="120" spans="1:36" ht="18" x14ac:dyDescent="0.25">
      <c r="A120" s="6" t="s">
        <v>80</v>
      </c>
      <c r="B120" s="32">
        <v>522.69000000000005</v>
      </c>
      <c r="C120" s="32">
        <v>45.506</v>
      </c>
      <c r="D120" s="32">
        <v>568.19600000000003</v>
      </c>
      <c r="K120" s="35" t="s">
        <v>80</v>
      </c>
      <c r="L120" s="33">
        <v>1</v>
      </c>
      <c r="M120" s="33">
        <v>1</v>
      </c>
      <c r="N120" s="20"/>
      <c r="O120" s="20"/>
      <c r="P120" s="20"/>
      <c r="W120" s="35" t="s">
        <v>80</v>
      </c>
      <c r="X120" s="33">
        <v>2</v>
      </c>
      <c r="Y120" s="33">
        <v>2</v>
      </c>
      <c r="AI120" s="6" t="s">
        <v>160</v>
      </c>
      <c r="AJ120" s="33">
        <v>8</v>
      </c>
    </row>
    <row r="121" spans="1:36" ht="18" x14ac:dyDescent="0.25">
      <c r="A121" s="6" t="s">
        <v>160</v>
      </c>
      <c r="B121" s="32"/>
      <c r="C121" s="32">
        <v>646.245</v>
      </c>
      <c r="D121" s="32">
        <v>646.245</v>
      </c>
      <c r="K121" s="35" t="s">
        <v>105</v>
      </c>
      <c r="L121" s="33">
        <v>7</v>
      </c>
      <c r="M121" s="33">
        <v>7</v>
      </c>
      <c r="N121" s="20"/>
      <c r="O121" s="20"/>
      <c r="P121" s="20"/>
      <c r="W121" s="35" t="s">
        <v>105</v>
      </c>
      <c r="X121" s="33">
        <v>7</v>
      </c>
      <c r="Y121" s="33">
        <v>7</v>
      </c>
      <c r="AI121" s="35" t="s">
        <v>105</v>
      </c>
      <c r="AJ121" s="33">
        <v>9</v>
      </c>
    </row>
    <row r="122" spans="1:36" ht="18" x14ac:dyDescent="0.25">
      <c r="A122" s="6" t="s">
        <v>105</v>
      </c>
      <c r="B122" s="32">
        <v>377.77300000000008</v>
      </c>
      <c r="C122" s="32">
        <v>46.487000000000002</v>
      </c>
      <c r="D122" s="32">
        <v>424.2600000000001</v>
      </c>
      <c r="K122" s="35" t="s">
        <v>263</v>
      </c>
      <c r="L122" s="33">
        <v>79</v>
      </c>
      <c r="M122" s="33">
        <v>79</v>
      </c>
      <c r="N122" s="20"/>
      <c r="O122" s="20"/>
      <c r="P122" s="20"/>
      <c r="W122" s="35" t="s">
        <v>263</v>
      </c>
      <c r="X122" s="33">
        <v>50</v>
      </c>
      <c r="Y122" s="33">
        <v>50</v>
      </c>
      <c r="AI122" s="35" t="s">
        <v>263</v>
      </c>
      <c r="AJ122" s="33">
        <v>125</v>
      </c>
    </row>
    <row r="123" spans="1:36" ht="18" x14ac:dyDescent="0.25">
      <c r="A123" s="6" t="s">
        <v>263</v>
      </c>
      <c r="B123" s="32">
        <v>5337.5590000000002</v>
      </c>
      <c r="C123" s="32">
        <v>3246.5149999999999</v>
      </c>
      <c r="D123" s="32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30"/>
  <sheetViews>
    <sheetView tabSelected="1" zoomScale="80" zoomScaleNormal="80" workbookViewId="0">
      <pane ySplit="1" topLeftCell="A165" activePane="bottomLeft" state="frozen"/>
      <selection pane="bottomLeft" activeCell="AN184" sqref="AN184"/>
    </sheetView>
  </sheetViews>
  <sheetFormatPr baseColWidth="10" defaultColWidth="9.140625" defaultRowHeight="14.25" x14ac:dyDescent="0.25"/>
  <cols>
    <col min="1" max="1" width="20" style="9" customWidth="1"/>
    <col min="2" max="2" width="28.140625" style="9" customWidth="1"/>
    <col min="3" max="3" width="17" style="9" customWidth="1"/>
    <col min="4" max="4" width="11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77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N178" s="9"/>
    </row>
    <row r="179" spans="1:40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N179" s="9" t="s">
        <v>1596</v>
      </c>
    </row>
    <row r="180" spans="1:40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N180" s="9"/>
    </row>
    <row r="181" spans="1:40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N181" s="9"/>
    </row>
    <row r="182" spans="1:40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N182" s="9"/>
    </row>
    <row r="183" spans="1:40" x14ac:dyDescent="0.25">
      <c r="AN183" s="9"/>
    </row>
    <row r="184" spans="1:40" x14ac:dyDescent="0.25">
      <c r="AN184" s="9"/>
    </row>
    <row r="185" spans="1:40" x14ac:dyDescent="0.25">
      <c r="AN185" s="9"/>
    </row>
    <row r="186" spans="1:40" x14ac:dyDescent="0.25">
      <c r="AN186" s="9"/>
    </row>
    <row r="187" spans="1:40" x14ac:dyDescent="0.25">
      <c r="AN187" s="9"/>
    </row>
    <row r="188" spans="1:40" x14ac:dyDescent="0.25">
      <c r="AN188" s="9"/>
    </row>
    <row r="189" spans="1:40" x14ac:dyDescent="0.25">
      <c r="AN189" s="9"/>
    </row>
    <row r="190" spans="1:40" x14ac:dyDescent="0.25">
      <c r="AN190" s="9"/>
    </row>
    <row r="191" spans="1:40" x14ac:dyDescent="0.25">
      <c r="AN191" s="9"/>
    </row>
    <row r="192" spans="1:40" x14ac:dyDescent="0.25">
      <c r="AN192" s="9"/>
    </row>
    <row r="193" spans="40:40" x14ac:dyDescent="0.25">
      <c r="AN193" s="9"/>
    </row>
    <row r="194" spans="40:40" x14ac:dyDescent="0.25">
      <c r="AN194" s="9"/>
    </row>
    <row r="195" spans="40:40" x14ac:dyDescent="0.25">
      <c r="AN195" s="9"/>
    </row>
    <row r="196" spans="40:40" x14ac:dyDescent="0.25">
      <c r="AN196" s="9"/>
    </row>
    <row r="197" spans="40:40" x14ac:dyDescent="0.25">
      <c r="AN197" s="9"/>
    </row>
    <row r="198" spans="40:40" x14ac:dyDescent="0.25">
      <c r="AN198" s="9"/>
    </row>
    <row r="199" spans="40:40" x14ac:dyDescent="0.25">
      <c r="AN199" s="9"/>
    </row>
    <row r="200" spans="40:40" x14ac:dyDescent="0.25">
      <c r="AN200" s="9"/>
    </row>
    <row r="201" spans="40:40" x14ac:dyDescent="0.25">
      <c r="AN201" s="9"/>
    </row>
    <row r="202" spans="40:40" x14ac:dyDescent="0.25">
      <c r="AN202" s="9"/>
    </row>
    <row r="203" spans="40:40" x14ac:dyDescent="0.25">
      <c r="AN203" s="9"/>
    </row>
    <row r="204" spans="40:40" x14ac:dyDescent="0.25">
      <c r="AN204" s="9"/>
    </row>
    <row r="205" spans="40:40" x14ac:dyDescent="0.25">
      <c r="AN205" s="9"/>
    </row>
    <row r="206" spans="40:40" x14ac:dyDescent="0.25">
      <c r="AN206" s="9"/>
    </row>
    <row r="207" spans="40:40" x14ac:dyDescent="0.25">
      <c r="AN207" s="9"/>
    </row>
    <row r="208" spans="40:40" x14ac:dyDescent="0.25">
      <c r="AN208" s="9"/>
    </row>
    <row r="209" spans="40:40" x14ac:dyDescent="0.25">
      <c r="AN209" s="9"/>
    </row>
    <row r="210" spans="40:40" x14ac:dyDescent="0.25">
      <c r="AN210" s="9"/>
    </row>
    <row r="211" spans="40:40" x14ac:dyDescent="0.25">
      <c r="AN211" s="9"/>
    </row>
    <row r="212" spans="40:40" x14ac:dyDescent="0.25">
      <c r="AN212" s="9"/>
    </row>
    <row r="213" spans="40:40" x14ac:dyDescent="0.25">
      <c r="AN213" s="9"/>
    </row>
    <row r="214" spans="40:40" x14ac:dyDescent="0.25">
      <c r="AN214" s="9"/>
    </row>
    <row r="215" spans="40:40" x14ac:dyDescent="0.25">
      <c r="AN215" s="9"/>
    </row>
    <row r="216" spans="40:40" x14ac:dyDescent="0.25">
      <c r="AN216" s="9"/>
    </row>
    <row r="217" spans="40:40" x14ac:dyDescent="0.25">
      <c r="AN217" s="9"/>
    </row>
    <row r="218" spans="40:40" x14ac:dyDescent="0.25">
      <c r="AN218" s="9"/>
    </row>
    <row r="219" spans="40:40" x14ac:dyDescent="0.25">
      <c r="AN219" s="9"/>
    </row>
    <row r="220" spans="40:40" x14ac:dyDescent="0.25">
      <c r="AN220" s="9"/>
    </row>
    <row r="221" spans="40:40" x14ac:dyDescent="0.25">
      <c r="AN221" s="9"/>
    </row>
    <row r="222" spans="40:40" x14ac:dyDescent="0.25">
      <c r="AN222" s="9"/>
    </row>
    <row r="223" spans="40:40" x14ac:dyDescent="0.25">
      <c r="AN223" s="9"/>
    </row>
    <row r="224" spans="40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  <row r="330" spans="40:40" x14ac:dyDescent="0.25">
      <c r="AN330" s="9"/>
    </row>
  </sheetData>
  <phoneticPr fontId="4" type="noConversion"/>
  <conditionalFormatting sqref="N1:N1048576">
    <cfRule type="cellIs" dxfId="60" priority="2" operator="equal">
      <formula>"INICIO ANTES DEL HORARIO"</formula>
    </cfRule>
    <cfRule type="cellIs" dxfId="59" priority="5" operator="equal">
      <formula>"INICIO CUMPLE"</formula>
    </cfRule>
    <cfRule type="cellIs" dxfId="58" priority="6" operator="equal">
      <formula>"INICIO TARDÍO"</formula>
    </cfRule>
  </conditionalFormatting>
  <conditionalFormatting sqref="R1:R1048573">
    <cfRule type="cellIs" dxfId="57" priority="1" operator="equal">
      <formula>"TERMINÓ DESPUÉS"</formula>
    </cfRule>
    <cfRule type="cellIs" dxfId="56" priority="3" operator="equal">
      <formula>"TERMINÓ ANTES"</formula>
    </cfRule>
    <cfRule type="cellIs" dxfId="55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2026-09-19T01:22:36Z</dcterms:modified>
</cp:coreProperties>
</file>