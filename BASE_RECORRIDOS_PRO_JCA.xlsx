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383C988D-11CD-43E9-83CB-7AAE8BB908D5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 iterateDelta="1E-4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52" i="2" l="1"/>
  <c r="AM553" i="2"/>
  <c r="AM554" i="2"/>
  <c r="AM555" i="2"/>
  <c r="AM556" i="2"/>
  <c r="AM557" i="2"/>
  <c r="AM558" i="2"/>
  <c r="AM551" i="2"/>
  <c r="AM545" i="2"/>
  <c r="AM546" i="2"/>
  <c r="AM547" i="2"/>
  <c r="AM548" i="2"/>
  <c r="AM549" i="2"/>
  <c r="AM550" i="2"/>
  <c r="AM538" i="2"/>
  <c r="AM539" i="2"/>
  <c r="AM540" i="2"/>
  <c r="AM541" i="2"/>
  <c r="AM542" i="2"/>
  <c r="AM543" i="2"/>
  <c r="AM544" i="2"/>
  <c r="AM532" i="2"/>
  <c r="AM533" i="2"/>
  <c r="AM534" i="2"/>
  <c r="AM535" i="2"/>
  <c r="AM536" i="2"/>
  <c r="AM537" i="2"/>
  <c r="AM526" i="2"/>
  <c r="AM527" i="2"/>
  <c r="AM528" i="2"/>
  <c r="AM529" i="2"/>
  <c r="AM530" i="2"/>
  <c r="AM531" i="2"/>
  <c r="AM521" i="2"/>
  <c r="AM522" i="2"/>
  <c r="AM523" i="2"/>
  <c r="AM524" i="2"/>
  <c r="AM525" i="2"/>
  <c r="AM514" i="2"/>
  <c r="AM515" i="2"/>
  <c r="AM516" i="2"/>
  <c r="AM517" i="2"/>
  <c r="AM518" i="2"/>
  <c r="AM519" i="2"/>
  <c r="AM520" i="2"/>
  <c r="AM507" i="2"/>
  <c r="AM508" i="2"/>
  <c r="AM509" i="2"/>
  <c r="AM510" i="2"/>
  <c r="AM511" i="2"/>
  <c r="AM512" i="2"/>
  <c r="AM513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486" i="2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<sst xmlns="http://schemas.openxmlformats.org/spreadsheetml/2006/main" count="11587" uniqueCount="4575">
  <si>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</si>
  <si>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</si>
  <si>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</si>
  <si>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</si>
  <si>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</si>
  <si>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</si>
  <si>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</si>
  <si>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</si>
  <si>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</si>
  <si>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</si>
  <si>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</si>
  <si>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</si>
  <si>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</si>
  <si>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</si>
  <si>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</si>
  <si>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</si>
  <si>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</si>
  <si>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</si>
  <si>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</si>
  <si>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</si>
  <si>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</si>
  <si>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</si>
  <si>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</si>
  <si>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</si>
  <si>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</si>
  <si>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</si>
  <si>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</si>
  <si>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</si>
  <si>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</si>
  <si>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</si>
  <si>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</si>
  <si>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</si>
  <si>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</si>
  <si>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</si>
  <si>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</si>
  <si>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</si>
  <si>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</si>
  <si>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</si>
  <si>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</si>
  <si>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</si>
  <si>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</si>
  <si>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</si>
  <si>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</si>
  <si>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</si>
  <si>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</si>
  <si>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</si>
  <si>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</si>
  <si>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</si>
  <si>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</si>
  <si>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</si>
  <si>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</si>
  <si>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</si>
  <si>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</si>
  <si>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</si>
  <si>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</si>
  <si>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</si>
  <si>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</si>
  <si>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</si>
  <si>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</si>
  <si>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</si>
  <si>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</si>
  <si>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</si>
  <si>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</si>
  <si>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</si>
  <si>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</si>
  <si>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</si>
  <si>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</si>
  <si>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</si>
  <si>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</si>
  <si>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</si>
  <si>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</si>
  <si>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</si>
  <si>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</si>
  <si>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</si>
  <si>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</si>
  <si>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</si>
  <si>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</si>
  <si>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</si>
  <si>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</si>
  <si>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</si>
  <si>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</si>
  <si>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</si>
  <si>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</si>
  <si>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</si>
  <si>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</si>
  <si>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</si>
  <si>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</si>
  <si>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</si>
  <si>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</si>
  <si>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</si>
  <si>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</si>
  <si>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</si>
  <si>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</si>
  <si>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</si>
  <si>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</si>
  <si>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</si>
  <si>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</si>
  <si>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</si>
  <si>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</si>
  <si>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</si>
  <si>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</si>
  <si>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</si>
  <si>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</si>
  <si>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</si>
  <si>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</si>
  <si>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</si>
  <si>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</si>
  <si>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</si>
  <si>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</si>
  <si>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</si>
  <si>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</si>
  <si>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</si>
  <si>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</si>
  <si>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</si>
  <si>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</si>
  <si>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</si>
  <si>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</si>
  <si>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</si>
  <si>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</si>
  <si>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</si>
  <si>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</si>
  <si>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</si>
  <si>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</si>
  <si>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</si>
  <si>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</si>
  <si>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</si>
  <si>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</si>
  <si>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</si>
  <si>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</si>
  <si>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</si>
  <si>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</si>
  <si>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</si>
  <si>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</si>
  <si>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</si>
  <si>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</si>
  <si>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</si>
  <si>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</si>
  <si>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</si>
  <si>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</si>
  <si>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</si>
  <si>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</si>
  <si>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</si>
  <si>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</si>
  <si>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</si>
  <si>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</si>
  <si>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</si>
  <si>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</si>
  <si>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</si>
  <si>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</si>
  <si>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</si>
  <si>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</si>
  <si>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</si>
  <si>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</si>
  <si>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</si>
  <si>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</si>
  <si>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</si>
  <si>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</si>
  <si>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</si>
  <si>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</si>
  <si>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</si>
  <si>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</si>
  <si>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</si>
  <si>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</si>
  <si>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</si>
  <si>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</si>
  <si>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</si>
  <si>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</si>
  <si>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</si>
  <si>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</si>
  <si>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</si>
  <si>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</si>
  <si>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</si>
  <si>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</si>
  <si>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</si>
  <si>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</si>
  <si>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</si>
  <si>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</si>
  <si>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</si>
  <si>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</si>
  <si>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</si>
  <si>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</si>
  <si>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</si>
  <si>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</si>
  <si>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</si>
  <si>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</si>
  <si>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</si>
  <si>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</si>
  <si>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</si>
  <si>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</si>
  <si>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</si>
  <si>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</si>
  <si>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</si>
  <si>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</si>
  <si>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</si>
  <si>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</si>
  <si>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</si>
  <si>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</si>
  <si>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</si>
  <si>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</si>
  <si>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</si>
  <si>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</si>
  <si>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</si>
  <si>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</si>
  <si>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</si>
  <si>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</si>
  <si>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</si>
  <si>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</si>
  <si>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</si>
  <si>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</si>
  <si>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</si>
  <si>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</si>
  <si>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</si>
  <si>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</si>
  <si>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</si>
  <si>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</si>
  <si>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</si>
  <si>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</si>
  <si>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</si>
  <si>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</si>
  <si>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</si>
  <si>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</si>
  <si>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</si>
  <si>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</si>
  <si>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</si>
  <si>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</si>
  <si>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</si>
  <si>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</si>
  <si>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</si>
  <si>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</si>
  <si>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</si>
  <si>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</si>
  <si>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</si>
  <si>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</si>
  <si>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</si>
  <si>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</si>
  <si>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</si>
  <si>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</si>
  <si>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</si>
  <si>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</si>
  <si>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</si>
  <si>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</si>
  <si>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</si>
  <si>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</si>
  <si>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</si>
  <si>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</si>
  <si>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</si>
  <si>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</si>
  <si>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</si>
  <si>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</si>
  <si>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</si>
  <si>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</si>
  <si>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</si>
  <si>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</si>
  <si>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</si>
  <si>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</si>
  <si>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</si>
  <si>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</si>
  <si>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</si>
  <si>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</si>
  <si>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</si>
  <si>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</si>
  <si>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</si>
  <si>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</si>
  <si>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</si>
  <si>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</si>
  <si>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</si>
  <si>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</si>
  <si>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</si>
  <si>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</si>
  <si>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</si>
  <si>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</si>
  <si>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</si>
  <si>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</si>
  <si>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</si>
  <si>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</si>
  <si>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</si>
  <si>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</si>
  <si>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</si>
  <si>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</si>
  <si>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</si>
  <si>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</si>
  <si>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</si>
  <si>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</si>
  <si>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</si>
  <si>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</si>
  <si>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</si>
  <si>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</si>
  <si>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</si>
  <si>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</si>
  <si>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</si>
  <si>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</si>
  <si>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</si>
  <si>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</si>
  <si>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</si>
  <si>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</si>
  <si>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</si>
  <si>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</si>
  <si>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</si>
  <si>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</si>
  <si>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</si>
  <si>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</si>
  <si>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</si>
  <si>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</si>
  <si>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</si>
  <si>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</si>
  <si>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</si>
  <si>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</si>
  <si>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</si>
  <si>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</si>
  <si>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</si>
  <si>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</si>
  <si>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</si>
  <si>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</si>
  <si>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</si>
  <si>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</si>
  <si>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</si>
  <si>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</si>
  <si>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</si>
  <si>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</si>
  <si>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</si>
  <si>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</si>
  <si>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</si>
  <si>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</si>
  <si>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</si>
  <si>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</si>
  <si>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</si>
  <si>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</si>
  <si>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</si>
  <si>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</si>
  <si>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</si>
  <si>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</si>
  <si>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</si>
  <si>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</si>
  <si>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</si>
  <si>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</si>
  <si>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</si>
  <si>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</si>
  <si>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</si>
  <si>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</si>
  <si>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</si>
  <si>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</si>
  <si>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</si>
  <si>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</si>
  <si>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</si>
  <si>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</si>
  <si>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</si>
  <si>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</si>
  <si>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</si>
  <si>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</si>
  <si>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</si>
  <si>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</si>
  <si>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</si>
  <si>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</si>
  <si>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</si>
  <si>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</si>
  <si>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</si>
  <si>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</si>
  <si>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</si>
  <si>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</si>
  <si>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</si>
  <si>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</si>
  <si>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</si>
  <si>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</si>
  <si>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</si>
  <si>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</si>
  <si>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</si>
  <si>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</si>
  <si>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</si>
  <si>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</si>
  <si>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</si>
  <si>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</si>
  <si>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</si>
  <si>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</si>
  <si>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</si>
  <si>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</si>
  <si>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</si>
  <si>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</si>
  <si>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</si>
  <si>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</si>
  <si>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</si>
  <si>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</si>
  <si>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</si>
  <si>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</si>
  <si>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</si>
  <si>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</si>
  <si>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</si>
  <si>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</si>
  <si>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</si>
  <si>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</si>
  <si>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</si>
  <si>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</si>
  <si>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</si>
  <si>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</si>
  <si>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</si>
  <si>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</si>
  <si>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</si>
  <si>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</si>
  <si>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</si>
  <si>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</si>
  <si>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</si>
  <si>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</si>
  <si>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</si>
  <si>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</si>
  <si>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</si>
  <si>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</si>
  <si>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</si>
  <si>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</si>
  <si>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</si>
  <si>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</si>
  <si>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</si>
  <si>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</si>
  <si>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</si>
  <si>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</si>
  <si>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</si>
  <si>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</si>
  <si>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</si>
  <si>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</si>
  <si>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</si>
  <si>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</si>
  <si>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</si>
  <si>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</si>
  <si>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</si>
  <si>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</si>
  <si>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</si>
  <si>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</si>
  <si>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</si>
  <si>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</si>
  <si>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</si>
  <si>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</si>
  <si>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</si>
  <si>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</si>
  <si>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</si>
  <si>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</si>
  <si>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</si>
  <si>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</si>
  <si>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</si>
  <si>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</si>
  <si>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</si>
  <si>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</si>
  <si>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</si>
  <si>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</si>
  <si>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</si>
  <si>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</si>
  <si>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</si>
  <si>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</si>
  <si>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</si>
  <si>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</si>
  <si>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</si>
  <si>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</si>
  <si>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</si>
  <si>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</si>
  <si>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</si>
  <si>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</si>
  <si>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</si>
  <si>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</si>
  <si>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</si>
  <si>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</si>
  <si>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</si>
  <si>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</si>
  <si>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</si>
  <si>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</si>
  <si>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</si>
  <si>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</si>
  <si>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</si>
  <si>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</si>
  <si>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</si>
  <si>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</si>
  <si>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</si>
  <si>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</si>
  <si>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</si>
  <si>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</si>
  <si>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</si>
  <si>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</si>
  <si>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</si>
  <si>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</si>
  <si>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</si>
  <si>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</si>
  <si>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</si>
  <si>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</si>
  <si>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</si>
  <si>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</si>
  <si>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</si>
  <si>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</si>
  <si>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</si>
  <si>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</si>
  <si>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</si>
  <si>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</si>
  <si>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</si>
  <si>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</si>
  <si>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</si>
  <si>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</si>
  <si>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</si>
  <si>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</si>
  <si>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</si>
  <si>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</si>
  <si>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</si>
  <si>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</si>
  <si>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</si>
  <si>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</si>
  <si>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</si>
  <si>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</si>
  <si>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</si>
  <si>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</si>
  <si>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</si>
  <si>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</si>
  <si>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</si>
  <si>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</si>
  <si>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</si>
  <si>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</si>
  <si>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</si>
  <si>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</si>
  <si>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</si>
  <si>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</si>
  <si>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</si>
  <si>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</si>
  <si>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</si>
  <si>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</si>
  <si>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</si>
  <si>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</si>
  <si>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</si>
  <si>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</si>
  <si>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</si>
  <si>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</si>
  <si>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</si>
  <si>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</si>
  <si>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</si>
  <si>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</si>
  <si>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</si>
  <si>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</si>
  <si>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</si>
  <si>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</si>
  <si>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</si>
  <si>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</si>
  <si>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</si>
  <si>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</si>
  <si>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</si>
  <si>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</si>
  <si>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</si>
  <si>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</si>
  <si>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</si>
  <si>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</si>
  <si>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</si>
  <si>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</si>
  <si>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</si>
  <si>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</si>
  <si>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</si>
  <si>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</si>
  <si>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</si>
  <si>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</si>
  <si>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</si>
  <si>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</si>
  <si>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</si>
  <si>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</si>
  <si>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</si>
  <si>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</si>
  <si>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</si>
  <si>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</si>
  <si>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</si>
  <si>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</si>
  <si>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</si>
  <si>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</si>
  <si>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</si>
  <si>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</si>
  <si>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</si>
  <si>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</si>
  <si>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</si>
  <si>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</si>
  <si>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</si>
  <si>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</si>
  <si>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</si>
  <si>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</si>
  <si>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</si>
  <si>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</si>
  <si>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</si>
  <si>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</si>
  <si>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</si>
  <si>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</si>
  <si>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</si>
  <si>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</si>
  <si>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</si>
  <si>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</si>
  <si>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</si>
  <si>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</si>
  <si>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</si>
  <si>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</si>
  <si>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</si>
  <si>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</si>
  <si>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</si>
  <si>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</si>
  <si>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</si>
  <si>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</si>
  <si>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</si>
  <si>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</si>
  <si>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</si>
  <si>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</si>
  <si>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</si>
  <si>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</si>
  <si>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</si>
  <si>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</si>
  <si>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</si>
  <si>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</si>
  <si>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</si>
  <si>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</si>
  <si>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</si>
  <si>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</si>
  <si>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</si>
  <si>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</si>
  <si>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</si>
  <si>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</si>
  <si>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</si>
  <si>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</si>
  <si>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</si>
  <si>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</si>
  <si>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</si>
  <si>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</si>
  <si>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</si>
  <si>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</si>
  <si>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</si>
  <si>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</si>
  <si>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</si>
  <si>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</si>
  <si>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</si>
  <si>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</si>
  <si>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</si>
  <si>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</si>
  <si>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</si>
  <si>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</si>
  <si>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</si>
  <si>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</si>
  <si>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</si>
  <si>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</si>
  <si>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</si>
  <si>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</si>
  <si>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</si>
  <si>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</si>
  <si>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</si>
  <si>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</si>
  <si>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</si>
  <si>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</si>
  <si>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</si>
  <si>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</si>
  <si>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</si>
  <si>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</si>
  <si>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</si>
  <si>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</si>
  <si>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</si>
  <si>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</si>
  <si>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</si>
  <si>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</si>
  <si>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</si>
  <si>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</si>
  <si>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</si>
  <si>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</si>
  <si>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</si>
  <si>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</si>
  <si>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</si>
  <si>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</si>
  <si>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</si>
  <si>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</si>
  <si>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</si>
  <si>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</si>
  <si>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</si>
  <si>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</si>
  <si>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</si>
  <si>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</si>
  <si>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</si>
  <si>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</si>
  <si>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</si>
  <si>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</si>
  <si>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</si>
  <si>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</si>
  <si>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</si>
  <si>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</si>
  <si>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</si>
  <si>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</si>
  <si>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</si>
  <si>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</si>
  <si>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</si>
  <si>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</si>
  <si>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</si>
  <si>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</si>
  <si>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</si>
  <si>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</si>
  <si>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</si>
  <si>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</si>
  <si>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</si>
  <si>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</si>
  <si>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</si>
  <si>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</si>
  <si>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</si>
  <si>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</si>
  <si>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</si>
  <si>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</si>
  <si>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</si>
  <si>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</si>
  <si>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</si>
  <si>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</si>
  <si>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</si>
  <si>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</si>
  <si>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</si>
  <si>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</si>
  <si>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</si>
  <si>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</si>
  <si>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</si>
  <si>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</si>
  <si>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</si>
  <si>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</si>
  <si>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</si>
  <si>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</si>
  <si>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</si>
  <si>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</si>
  <si>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</si>
  <si>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</si>
  <si>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</si>
  <si>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</si>
  <si>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</si>
  <si>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</si>
  <si>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</si>
  <si>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</si>
  <si>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</si>
  <si>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</si>
  <si>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</si>
  <si>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</si>
  <si>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</si>
  <si>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</si>
  <si>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</si>
  <si>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</si>
  <si>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</si>
  <si>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</si>
  <si>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</si>
  <si>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</si>
  <si>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</si>
  <si>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</si>
  <si>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</si>
  <si>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</si>
  <si>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</si>
  <si>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</si>
  <si>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</si>
  <si>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</si>
  <si>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</si>
  <si>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</si>
  <si>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</si>
  <si>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</si>
  <si>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</si>
  <si>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</si>
  <si>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</si>
  <si>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</si>
  <si>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</si>
  <si>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</si>
  <si>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</si>
  <si>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</si>
  <si>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</si>
  <si>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</si>
  <si>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</si>
  <si>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</si>
  <si>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</si>
  <si>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</si>
  <si>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</si>
  <si>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</si>
  <si>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</si>
  <si>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</si>
  <si>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</si>
  <si>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</si>
  <si>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</si>
  <si>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</si>
  <si>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</si>
  <si>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</si>
  <si>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</si>
  <si>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</si>
  <si>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</si>
  <si>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</si>
  <si>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</si>
  <si>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</si>
  <si>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</si>
  <si>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</si>
  <si>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</si>
  <si>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</si>
  <si>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</si>
  <si>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</si>
  <si>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</si>
  <si>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</si>
  <si>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</si>
  <si>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</si>
  <si>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</si>
  <si>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</si>
  <si>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</si>
  <si>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</si>
  <si>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</si>
  <si>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</si>
  <si>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</si>
  <si>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</si>
  <si>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</si>
  <si>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</si>
  <si>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</si>
  <si>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</si>
  <si>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</si>
  <si>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</si>
  <si>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</si>
  <si>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</si>
  <si>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</si>
  <si>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</si>
  <si>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</si>
  <si>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</si>
  <si>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</si>
  <si>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</si>
  <si>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</si>
  <si>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</si>
  <si>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</si>
  <si>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</si>
  <si>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</si>
  <si>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</si>
  <si>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</si>
  <si>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</si>
  <si>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</si>
  <si>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</si>
  <si>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</si>
  <si>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</si>
  <si>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</si>
  <si>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</si>
  <si>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</si>
  <si>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</si>
  <si>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</si>
  <si>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</si>
  <si>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</si>
  <si>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</si>
  <si>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</si>
  <si>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</si>
  <si>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</si>
  <si>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</si>
  <si>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</si>
  <si>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</si>
  <si>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</si>
  <si>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</si>
  <si>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</si>
  <si>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</si>
  <si>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</si>
  <si>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</si>
  <si>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</si>
  <si>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</si>
  <si>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</si>
  <si>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</si>
  <si>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</si>
  <si>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</si>
  <si>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</si>
  <si>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</si>
  <si>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</si>
  <si>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</si>
  <si>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</si>
  <si>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</si>
  <si>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</si>
  <si>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</si>
  <si>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</si>
  <si>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</si>
  <si>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</si>
  <si>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</si>
  <si>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</si>
  <si>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</si>
  <si>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</si>
  <si>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</si>
  <si>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</si>
  <si>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</si>
  <si>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</si>
  <si>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</si>
  <si>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</si>
  <si>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</si>
  <si>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</si>
  <si>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</si>
  <si>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</si>
  <si>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</si>
  <si>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</si>
  <si>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</si>
  <si>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</si>
  <si>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</si>
  <si>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</si>
  <si>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</si>
  <si>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</si>
  <si>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</si>
  <si>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</si>
  <si>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</si>
  <si>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</si>
  <si>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</si>
  <si>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</si>
  <si>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</si>
  <si>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</si>
  <si>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</si>
  <si>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</si>
  <si>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</si>
  <si>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</si>
  <si>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</si>
  <si>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</si>
  <si>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</si>
  <si>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</si>
  <si>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</si>
  <si>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</si>
  <si>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</si>
  <si>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</si>
  <si>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</si>
  <si>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</si>
  <si>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</si>
  <si>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</si>
  <si>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</si>
  <si>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</si>
  <si>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</si>
  <si>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</si>
  <si>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</si>
  <si>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</si>
  <si>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</si>
  <si>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</si>
  <si>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</si>
  <si>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</si>
  <si>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</si>
  <si>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</si>
  <si>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</si>
  <si>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</si>
  <si>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</si>
  <si>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</si>
  <si>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</si>
  <si>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</si>
  <si>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</si>
  <si>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</si>
  <si>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</si>
  <si>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</si>
  <si>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</si>
  <si>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</si>
  <si>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</si>
  <si>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</si>
  <si>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</si>
  <si>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</si>
  <si>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</si>
  <si>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</si>
  <si>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</si>
  <si>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</si>
  <si>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</si>
  <si>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</si>
  <si>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</si>
  <si>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</si>
  <si>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</si>
  <si>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</si>
  <si>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</si>
  <si>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</si>
  <si>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</si>
  <si>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</si>
  <si>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</si>
  <si>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</si>
  <si>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</si>
  <si>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</si>
  <si>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</si>
  <si>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</si>
  <si>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</si>
  <si>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</si>
  <si>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</si>
  <si>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</si>
  <si>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</si>
  <si>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</si>
  <si>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</si>
  <si>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</si>
  <si>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</si>
  <si>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</si>
  <si>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</si>
  <si>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</si>
  <si>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</si>
  <si>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</si>
  <si>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</si>
  <si>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</si>
  <si>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</si>
  <si>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</si>
  <si>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</si>
  <si>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</si>
  <si>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</si>
  <si>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</si>
  <si>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</si>
  <si>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</si>
  <si>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</si>
  <si>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</si>
  <si>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</si>
  <si>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</si>
  <si>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</si>
  <si>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</si>
  <si>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</si>
  <si>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</si>
  <si>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</si>
  <si>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</si>
  <si>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</si>
  <si>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</si>
  <si>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</si>
  <si>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</si>
  <si>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</si>
  <si>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</si>
  <si>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</si>
  <si>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</si>
  <si>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</si>
  <si>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</si>
  <si>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</si>
  <si>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</si>
  <si>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</si>
  <si>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</si>
  <si>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</si>
  <si>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</si>
  <si>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</si>
  <si>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</si>
  <si>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</si>
  <si>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</si>
  <si>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</si>
  <si>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</si>
  <si>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</si>
  <si>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</si>
  <si>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</si>
  <si>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</si>
  <si>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</si>
  <si>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</si>
  <si>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</si>
  <si>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</si>
  <si>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</si>
  <si>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</si>
  <si>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</si>
  <si>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</si>
  <si>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</si>
  <si>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</si>
  <si>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</si>
  <si>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</si>
  <si>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</si>
  <si>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</si>
  <si>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</si>
  <si>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</si>
  <si>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</si>
  <si>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</si>
  <si>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</si>
  <si>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</si>
  <si>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</si>
  <si>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</si>
  <si>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</si>
  <si>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</si>
  <si>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</si>
  <si>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</si>
  <si>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</si>
  <si>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</si>
  <si>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</si>
  <si>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</si>
  <si>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</si>
  <si>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</si>
  <si>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</si>
  <si>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</si>
  <si>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</si>
  <si>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</si>
  <si>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</si>
  <si>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</si>
  <si>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</si>
  <si>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</si>
  <si>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</si>
  <si>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</si>
  <si>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</si>
  <si>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</si>
  <si>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</si>
  <si>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</si>
  <si>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</si>
  <si>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</si>
  <si>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</si>
  <si>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</si>
  <si>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</si>
  <si>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</si>
  <si>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</si>
  <si>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</si>
  <si>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</si>
  <si>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</si>
  <si>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</si>
  <si>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</si>
  <si>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</si>
  <si>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</si>
  <si>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</si>
  <si>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</si>
  <si>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</si>
  <si>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</si>
  <si>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</si>
  <si>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</si>
  <si>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</si>
  <si>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</si>
  <si>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</si>
  <si>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</si>
  <si>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</si>
  <si>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</si>
  <si>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</si>
  <si>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</si>
  <si>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</si>
  <si>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</si>
  <si>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</si>
  <si>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</si>
  <si>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</si>
  <si>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</si>
  <si>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</si>
  <si>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</si>
  <si>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</si>
  <si>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</si>
  <si>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</si>
  <si>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</si>
  <si>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</si>
  <si>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</si>
  <si>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</si>
  <si>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</si>
  <si>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</si>
  <si>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</si>
  <si>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</si>
  <si>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</si>
  <si>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</si>
  <si>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</si>
  <si>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</si>
  <si>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</si>
  <si>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</si>
  <si>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</si>
  <si>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</si>
  <si>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</si>
  <si>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</si>
  <si>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</si>
  <si>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</si>
  <si>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</si>
  <si>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</si>
  <si>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</si>
  <si>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</si>
  <si>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</si>
  <si>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</si>
  <si>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</si>
  <si>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</si>
  <si>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</si>
  <si>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</si>
  <si>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</si>
  <si>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</si>
  <si>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</si>
  <si>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</si>
  <si>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</si>
  <si>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</si>
  <si>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</si>
  <si>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</si>
  <si>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</si>
  <si>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</si>
  <si>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</si>
  <si>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</si>
  <si>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</si>
  <si>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</si>
  <si>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</si>
  <si>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</si>
  <si>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</si>
  <si>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</si>
  <si>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</si>
  <si>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</si>
  <si>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</si>
  <si>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</si>
  <si>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</si>
  <si>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</si>
  <si>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</si>
  <si>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</si>
  <si>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</si>
  <si>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</si>
  <si>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</si>
  <si>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</si>
  <si>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</si>
  <si>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</si>
  <si>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</si>
  <si>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</si>
  <si>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</si>
  <si>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</si>
  <si>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</si>
  <si>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</si>
  <si>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</si>
  <si>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</si>
  <si>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</si>
  <si>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</si>
  <si>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</si>
  <si>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</si>
  <si>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</si>
  <si>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</si>
  <si>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</si>
  <si>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</si>
  <si>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</si>
  <si>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</si>
  <si>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</si>
  <si>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</si>
  <si>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</si>
  <si>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</si>
  <si>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</si>
  <si>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</si>
  <si>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</si>
  <si>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</si>
  <si>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</si>
  <si>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</si>
  <si>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</si>
  <si>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</si>
  <si>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</si>
  <si>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</si>
  <si>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</si>
  <si>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</si>
  <si>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</si>
  <si>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</si>
  <si>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</si>
  <si>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</si>
  <si>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</si>
  <si>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</si>
  <si>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</si>
  <si>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</si>
  <si>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</si>
  <si>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</si>
  <si>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</si>
  <si>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</si>
  <si>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</si>
  <si>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</si>
  <si>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</si>
  <si>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</si>
  <si>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</si>
  <si>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</si>
  <si>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</si>
  <si>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</si>
  <si>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</si>
  <si>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</si>
  <si>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</si>
  <si>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</si>
  <si>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</si>
  <si>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</si>
  <si>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</si>
  <si>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</si>
  <si>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</si>
  <si>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</si>
  <si>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</si>
  <si>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</si>
  <si>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</si>
  <si>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</si>
  <si>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</si>
  <si>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</si>
  <si>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</si>
  <si>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</si>
  <si>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</si>
  <si>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</si>
  <si>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</si>
  <si>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</si>
  <si>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</si>
  <si>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</si>
  <si>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</si>
  <si>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</si>
  <si>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</si>
  <si>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</si>
  <si>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</si>
  <si>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</si>
  <si>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</si>
  <si>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</si>
  <si>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</si>
  <si>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</si>
  <si>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</si>
  <si>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</si>
  <si>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</si>
  <si>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</si>
  <si>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</si>
  <si>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</si>
  <si>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</si>
  <si>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</si>
  <si>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</si>
  <si>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</si>
  <si>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</si>
  <si>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</si>
  <si>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</si>
  <si>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</si>
  <si>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</si>
  <si>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</si>
  <si>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</si>
  <si>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</si>
  <si>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</si>
  <si>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</si>
  <si>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</si>
  <si>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</si>
  <si>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</si>
  <si>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</si>
  <si>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</si>
  <si>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</si>
  <si>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</si>
  <si>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</si>
  <si>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</si>
  <si>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</si>
  <si>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</si>
  <si>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</si>
  <si>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</si>
  <si>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</si>
  <si>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</si>
  <si>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</si>
  <si>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</si>
  <si>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</si>
  <si>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</si>
  <si>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</si>
  <si>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</si>
  <si>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</si>
  <si>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</si>
  <si>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</si>
  <si>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</si>
  <si>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</si>
  <si>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</si>
  <si>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</si>
  <si>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</si>
  <si>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</si>
  <si>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</si>
  <si>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</si>
  <si>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</si>
  <si>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</si>
  <si>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</si>
  <si>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</si>
  <si>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</si>
  <si>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</si>
  <si>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</si>
  <si>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</si>
  <si>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</si>
  <si>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</si>
  <si>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</si>
  <si>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</si>
  <si>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</si>
  <si>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</si>
  <si>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</si>
  <si>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</si>
  <si>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</si>
  <si>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</si>
  <si>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</si>
  <si>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</si>
  <si>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</si>
  <si>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</si>
  <si>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</si>
  <si>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</si>
  <si>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</si>
  <si>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</si>
  <si>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</si>
  <si>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</si>
  <si>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</si>
  <si>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</si>
  <si>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</si>
  <si>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</si>
  <si>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</si>
  <si>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</si>
  <si>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</si>
  <si>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</si>
  <si>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</si>
  <si>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</si>
  <si>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</si>
  <si>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</si>
  <si>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</si>
  <si>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</si>
  <si>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</si>
  <si>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</si>
  <si>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</si>
  <si>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</si>
  <si>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</si>
  <si>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</si>
  <si>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</si>
  <si>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</si>
  <si>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</si>
  <si>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</si>
  <si>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</si>
  <si>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</si>
  <si>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</si>
  <si>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</si>
  <si>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</si>
  <si>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</si>
  <si>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</si>
  <si>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</si>
  <si>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</si>
  <si>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</si>
  <si>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</si>
  <si>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</si>
  <si>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</si>
  <si>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</si>
  <si>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</si>
  <si>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</si>
  <si>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</si>
  <si>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</si>
  <si>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</si>
  <si>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</si>
  <si>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</si>
  <si>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</si>
  <si>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</si>
  <si>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</si>
  <si>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</si>
  <si>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</si>
  <si>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</si>
  <si>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</si>
  <si>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</si>
  <si>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</si>
  <si>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</si>
  <si>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</si>
  <si>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</si>
  <si>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</si>
  <si>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</si>
  <si>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</si>
  <si>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</si>
  <si>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</si>
  <si>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</si>
  <si>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</si>
  <si>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</si>
  <si>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</si>
  <si>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</si>
  <si>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</si>
  <si>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</si>
  <si>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</si>
  <si>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</si>
  <si>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</si>
  <si>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</si>
  <si>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</si>
  <si>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</si>
  <si>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</si>
  <si>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</si>
  <si>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</si>
  <si>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</si>
  <si>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</si>
  <si>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</si>
  <si>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</si>
  <si>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</si>
  <si>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</si>
  <si>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</si>
  <si>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</si>
  <si>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</si>
  <si>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</si>
  <si>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</si>
  <si>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</si>
  <si>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</si>
  <si>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</si>
  <si>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</si>
  <si>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</si>
  <si>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</si>
  <si>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</si>
  <si>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</si>
  <si>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</si>
  <si>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</si>
  <si>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</si>
  <si>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</si>
  <si>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</si>
  <si>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</si>
  <si>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</si>
  <si>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</si>
  <si>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</si>
  <si>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</si>
  <si>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</si>
  <si>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</si>
  <si>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</si>
  <si>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</si>
  <si>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</si>
  <si>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</si>
  <si>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</si>
  <si>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</si>
  <si>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</si>
  <si>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</si>
  <si>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</si>
  <si>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</si>
  <si>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</si>
  <si>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</si>
  <si>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</si>
  <si>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</si>
  <si>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</si>
  <si>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</si>
  <si>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</si>
  <si>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</si>
  <si>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</si>
  <si>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</si>
  <si>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</si>
  <si>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</si>
  <si>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</si>
  <si>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</si>
  <si>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</si>
  <si>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</si>
  <si>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</si>
  <si>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</si>
  <si>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</si>
  <si>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</si>
  <si>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</si>
  <si>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</si>
  <si>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</si>
  <si>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</si>
  <si>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</si>
  <si>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</si>
  <si>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</si>
  <si>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</si>
  <si>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</si>
  <si>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</si>
  <si>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</si>
  <si>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</si>
  <si>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</si>
  <si>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</si>
  <si>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</si>
  <si>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</si>
  <si>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</si>
  <si>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</si>
  <si>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</si>
  <si>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</si>
  <si>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</si>
  <si>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</si>
  <si>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</si>
  <si>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</si>
  <si>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</si>
  <si>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</si>
  <si>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</si>
  <si>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</si>
  <si>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</si>
  <si>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</si>
  <si>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</si>
  <si>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</si>
  <si>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</si>
  <si>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</si>
  <si>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</si>
  <si>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</si>
  <si>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</si>
  <si>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</si>
  <si>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</si>
  <si>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</si>
  <si>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</si>
  <si>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</si>
  <si>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</si>
  <si>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</si>
  <si>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</si>
  <si>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</si>
  <si>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</si>
  <si>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</si>
  <si>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</si>
  <si>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</si>
  <si>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</si>
  <si>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</si>
  <si>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</si>
  <si>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</si>
  <si>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</si>
  <si>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</si>
  <si>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</si>
  <si>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</si>
  <si>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</si>
  <si>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</si>
  <si>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</si>
  <si>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</si>
  <si>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</si>
  <si>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</si>
  <si>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</si>
  <si>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</si>
  <si>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</si>
  <si>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</si>
  <si>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</si>
  <si>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</si>
  <si>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</si>
  <si>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</si>
  <si>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</si>
  <si>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</si>
  <si>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</si>
  <si>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</si>
  <si>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</si>
  <si>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</si>
  <si>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</si>
  <si>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</si>
  <si>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</si>
  <si>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</si>
  <si>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</si>
  <si>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</si>
  <si>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</si>
  <si>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</si>
  <si>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</si>
  <si>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</si>
  <si>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</si>
  <si>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</si>
  <si>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</si>
  <si>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</si>
  <si>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</si>
  <si>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</si>
  <si>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</si>
  <si>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</si>
  <si>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</si>
  <si>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</si>
  <si>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</si>
  <si>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</si>
  <si>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</si>
  <si>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</si>
  <si>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</si>
  <si>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</si>
  <si>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</si>
  <si>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</si>
  <si>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</si>
  <si>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</si>
  <si>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</si>
  <si>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</si>
  <si>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</si>
  <si>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</si>
  <si>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</si>
  <si>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</si>
  <si>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</si>
  <si>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</si>
  <si>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</si>
  <si>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</si>
  <si>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</si>
  <si>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</si>
  <si>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</si>
  <si>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</si>
  <si>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</si>
  <si>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</si>
  <si>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</si>
  <si>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</si>
  <si>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</si>
  <si>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</si>
  <si>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</si>
  <si>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</si>
  <si>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</si>
  <si>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</si>
  <si>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</si>
  <si>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</si>
  <si>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</si>
  <si>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</si>
  <si>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</si>
  <si>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</si>
  <si>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</si>
  <si>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</si>
  <si>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</si>
  <si>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</si>
  <si>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</si>
  <si>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</si>
  <si>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</si>
  <si>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</si>
  <si>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</si>
  <si>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</si>
  <si>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</si>
  <si>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</si>
  <si>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</si>
  <si>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</si>
  <si>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</si>
  <si>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</si>
  <si>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</si>
  <si>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</si>
  <si>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</si>
  <si>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</si>
  <si>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</si>
  <si>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</si>
  <si>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</si>
  <si>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</si>
  <si>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</si>
  <si>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</si>
  <si>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</si>
  <si>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</si>
  <si>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</si>
  <si>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</si>
  <si>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</si>
  <si>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</si>
  <si>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</si>
  <si>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</si>
  <si>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</si>
  <si>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</si>
  <si>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</si>
  <si>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</si>
  <si>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</si>
  <si>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</si>
  <si>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</si>
  <si>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</si>
  <si>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</si>
  <si>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</si>
  <si>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</si>
  <si>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</si>
  <si>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</si>
  <si>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</si>
  <si>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</si>
  <si>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</si>
  <si>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</si>
  <si>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</si>
  <si>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</si>
  <si>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</si>
  <si>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</si>
  <si>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</si>
  <si>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</si>
  <si>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</si>
  <si>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</si>
  <si>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</si>
  <si>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</si>
  <si>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</si>
  <si>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</si>
  <si>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</si>
  <si>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</si>
  <si>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</si>
  <si>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</si>
  <si>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</si>
  <si>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</si>
  <si>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</si>
  <si>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</si>
  <si>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</si>
  <si>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</si>
  <si>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</si>
  <si>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</si>
  <si>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</si>
  <si>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</si>
  <si>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</si>
  <si>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</si>
  <si>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</si>
  <si>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</si>
  <si>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</si>
  <si>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</si>
  <si>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</si>
  <si>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</si>
  <si>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</si>
  <si>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</si>
  <si>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</si>
  <si>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</si>
  <si>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</si>
  <si>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</si>
  <si>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</si>
  <si>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</si>
  <si>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</si>
  <si>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</si>
  <si>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</si>
  <si>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</si>
  <si>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</si>
  <si>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</si>
  <si>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</si>
  <si>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</si>
  <si>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</si>
  <si>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</si>
  <si>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</si>
  <si>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</si>
  <si>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</si>
  <si>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</si>
  <si>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</si>
  <si>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</si>
  <si>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</si>
  <si>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</si>
  <si>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</si>
  <si>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</si>
  <si>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</si>
  <si>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</si>
  <si>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</si>
  <si>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</si>
  <si>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</si>
  <si>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</si>
  <si>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</si>
  <si>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</si>
  <si>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</si>
  <si>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</si>
  <si>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</si>
  <si>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</si>
  <si>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</si>
  <si>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</si>
  <si>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</si>
  <si>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</si>
  <si>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</si>
  <si>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</si>
  <si>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</si>
  <si>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</si>
  <si>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</si>
  <si>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</si>
  <si>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</si>
  <si>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</si>
  <si>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</si>
  <si>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</si>
  <si>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</si>
  <si>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</si>
  <si>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</si>
  <si>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</si>
  <si>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</si>
  <si>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</si>
  <si>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</si>
  <si>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</si>
  <si>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</si>
  <si>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</si>
  <si>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</si>
  <si>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</si>
  <si>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</si>
  <si>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</si>
  <si>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</si>
  <si>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</si>
  <si>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</si>
  <si>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</si>
  <si>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</si>
  <si>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</si>
  <si>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</si>
  <si>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</si>
  <si>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</si>
  <si>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</si>
  <si>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</si>
  <si>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</si>
  <si>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</si>
  <si>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</si>
  <si>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</si>
  <si>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</si>
  <si>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</si>
  <si>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</si>
  <si>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</si>
  <si>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</si>
  <si>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</si>
  <si>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</si>
  <si>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</si>
  <si>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</si>
  <si>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</si>
  <si>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</si>
  <si>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</si>
  <si>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</si>
  <si>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</si>
  <si>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</si>
  <si>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</si>
  <si>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</si>
  <si>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</si>
  <si>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</si>
  <si>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</si>
  <si>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</si>
  <si>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</si>
  <si>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</si>
  <si>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</si>
  <si>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</si>
  <si>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</si>
  <si>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</si>
  <si>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</si>
  <si>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</si>
  <si>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</si>
  <si>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</si>
  <si>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</si>
  <si>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</si>
  <si>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</si>
  <si>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</si>
  <si>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</si>
  <si>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</si>
  <si>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</si>
  <si>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</si>
  <si>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</si>
  <si>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</si>
  <si>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</si>
  <si>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</si>
  <si>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</si>
  <si>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</si>
  <si>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</si>
  <si>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</si>
  <si>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</si>
  <si>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</si>
  <si>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</si>
  <si>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</si>
  <si>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</si>
  <si>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</si>
  <si>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</si>
  <si>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</si>
  <si>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</si>
  <si>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</si>
  <si>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</si>
  <si>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</si>
  <si>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</si>
  <si>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</si>
  <si>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</si>
  <si>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</si>
  <si>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</si>
  <si>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</si>
  <si>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</si>
  <si>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</si>
  <si>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</si>
  <si>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</si>
  <si>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</si>
  <si>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</si>
  <si>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</si>
  <si>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</si>
  <si>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</si>
  <si>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</si>
  <si>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</si>
  <si>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</si>
  <si>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</si>
  <si>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</si>
  <si>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</si>
  <si>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</si>
  <si>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</si>
  <si>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</si>
  <si>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</si>
  <si>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</si>
  <si>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</si>
  <si>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</si>
  <si>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</si>
  <si>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</si>
  <si>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</si>
  <si>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</si>
  <si>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</si>
  <si>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</si>
  <si>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</si>
  <si>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</si>
  <si>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</si>
  <si>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</si>
  <si>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</si>
  <si>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</si>
  <si>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</si>
  <si>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</si>
  <si>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</si>
  <si>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</si>
  <si>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</si>
  <si>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</si>
  <si>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</si>
  <si>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</si>
  <si>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</si>
  <si>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</si>
  <si>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</si>
  <si>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</si>
  <si>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</si>
  <si>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</si>
  <si>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</si>
  <si>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</si>
  <si>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</si>
  <si>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</si>
  <si>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</si>
  <si>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</si>
  <si>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</si>
  <si>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</si>
  <si>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</si>
  <si>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</si>
  <si>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</si>
  <si>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</si>
  <si>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</si>
  <si>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</si>
  <si>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</si>
  <si>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</si>
  <si>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</si>
  <si>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</si>
  <si>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</si>
  <si>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</si>
  <si>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</si>
  <si>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</si>
  <si>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</si>
  <si>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</si>
  <si>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</si>
  <si>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</si>
  <si>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</si>
  <si>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</si>
  <si>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</si>
  <si>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</si>
  <si>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</si>
  <si>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</si>
  <si>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</si>
  <si>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</si>
  <si>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</si>
  <si>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</si>
  <si>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</si>
  <si>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</si>
  <si>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</si>
  <si>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</si>
  <si>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</si>
  <si>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</si>
  <si>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</si>
  <si>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</si>
  <si>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</si>
  <si>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</si>
  <si>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</si>
  <si>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</si>
  <si>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</si>
  <si>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</si>
  <si>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</si>
  <si>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</si>
  <si>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</si>
  <si>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</si>
  <si>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</si>
  <si>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</si>
  <si>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</si>
  <si>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</si>
  <si>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</si>
  <si>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</si>
  <si>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</si>
  <si>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</si>
  <si>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</si>
  <si>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</si>
  <si>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</si>
  <si>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</si>
  <si>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</si>
  <si>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</si>
  <si>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</si>
  <si>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</si>
  <si>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</si>
  <si>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</si>
  <si>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</si>
  <si>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</si>
  <si>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</si>
  <si>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</si>
  <si>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</si>
  <si>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</si>
  <si>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</si>
  <si>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</si>
  <si>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</si>
  <si>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</si>
  <si>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</si>
  <si>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</si>
  <si>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</si>
  <si>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</si>
  <si>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</si>
  <si>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</si>
  <si>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</si>
  <si>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</si>
  <si>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</si>
  <si>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</si>
  <si>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</si>
  <si>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</si>
  <si>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</si>
  <si>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</si>
  <si>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</si>
  <si>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</si>
  <si>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</si>
  <si>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</si>
  <si>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</si>
  <si>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</si>
  <si>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</si>
  <si>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</si>
  <si>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</si>
  <si>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</si>
  <si>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</si>
  <si>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</si>
  <si>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</si>
  <si>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</si>
  <si>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</si>
  <si>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</si>
  <si>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</si>
  <si>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</si>
  <si>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</si>
  <si>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</si>
  <si>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</si>
  <si>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</si>
  <si>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</si>
  <si>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</si>
  <si>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</si>
  <si>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</si>
  <si>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</si>
  <si>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</si>
  <si>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</si>
  <si>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</si>
  <si>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</si>
  <si>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</si>
  <si>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</si>
  <si>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</si>
  <si>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</si>
  <si>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</si>
  <si>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</si>
  <si>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</si>
  <si>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</si>
  <si>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</si>
  <si>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</si>
  <si>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</si>
  <si>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</si>
  <si>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</si>
  <si>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</si>
  <si>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</si>
  <si>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</si>
  <si>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</si>
  <si>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</si>
  <si>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</si>
  <si>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</si>
  <si>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</si>
  <si>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</si>
  <si>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</si>
  <si>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</si>
  <si>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</si>
  <si>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</si>
  <si>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</si>
  <si>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</si>
  <si>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</si>
  <si>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</si>
  <si>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</si>
  <si>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</si>
  <si>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</si>
  <si>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</si>
  <si>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</si>
  <si>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</si>
  <si>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</si>
  <si>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</si>
  <si>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</si>
  <si>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</si>
  <si>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</si>
  <si>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</si>
  <si>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</si>
  <si>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</si>
  <si>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</si>
  <si>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</si>
  <si>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</si>
  <si>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</si>
  <si>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</si>
  <si>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</si>
  <si>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</si>
  <si>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</si>
  <si>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</si>
  <si>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</si>
  <si>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</si>
  <si>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</si>
  <si>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</si>
  <si>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</si>
  <si>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</si>
  <si>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</si>
  <si>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</si>
  <si>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</si>
  <si>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</si>
  <si>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</si>
  <si>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</si>
  <si>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</si>
  <si>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</si>
  <si>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</si>
  <si>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</si>
  <si>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</si>
  <si>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</si>
  <si>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</si>
  <si>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</si>
  <si>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</si>
  <si>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</si>
  <si>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</si>
  <si>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</si>
  <si>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</si>
  <si>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</si>
  <si>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</si>
  <si>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</si>
  <si>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</si>
  <si>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</si>
  <si>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</si>
  <si>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</si>
  <si>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</si>
  <si>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</si>
  <si>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</si>
  <si>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</si>
  <si>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</si>
  <si>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</si>
  <si>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</si>
  <si>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</si>
  <si>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</si>
  <si>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</si>
  <si>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</si>
  <si>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</si>
  <si>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</si>
  <si>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</si>
  <si>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</si>
  <si>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</si>
  <si>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</si>
  <si>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</si>
  <si>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</si>
  <si>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</si>
  <si>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</si>
  <si>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</si>
  <si>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</si>
  <si>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</si>
  <si>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</si>
  <si>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</si>
  <si>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</si>
  <si>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</si>
  <si>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</si>
  <si>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</si>
  <si>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</si>
  <si>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</si>
  <si>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</si>
  <si>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</si>
  <si>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</si>
  <si>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</si>
  <si>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</si>
  <si>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</si>
  <si>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</si>
  <si>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</si>
  <si>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</si>
  <si>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</si>
  <si>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</si>
  <si>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</si>
  <si>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</si>
  <si>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</si>
  <si>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</si>
  <si>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</si>
  <si>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</si>
  <si>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</si>
  <si>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</si>
  <si>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</si>
  <si>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</si>
  <si>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</si>
  <si>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</si>
  <si>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</si>
  <si>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</si>
  <si>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</si>
  <si>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</si>
  <si>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</si>
  <si>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</si>
  <si>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</si>
  <si>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</si>
  <si>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</si>
  <si>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</si>
  <si>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</si>
  <si>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</si>
  <si>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</si>
  <si>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</si>
  <si>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</si>
  <si>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</si>
  <si>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</si>
  <si>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</si>
  <si>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</si>
  <si>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</si>
  <si>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</si>
  <si>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</si>
  <si>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</si>
  <si>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</si>
  <si>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</si>
  <si>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</si>
  <si>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</si>
  <si>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</si>
  <si>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</si>
  <si>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</si>
  <si>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</si>
  <si>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</si>
  <si>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</si>
  <si>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</si>
  <si>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</si>
  <si>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</si>
  <si>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</si>
  <si>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</si>
  <si>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</si>
  <si>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</si>
  <si>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</si>
  <si>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</si>
  <si>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</si>
  <si>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</si>
  <si>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</si>
  <si>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</si>
  <si>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</si>
  <si>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</si>
  <si>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</si>
  <si>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</si>
  <si>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</si>
  <si>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</si>
  <si>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</si>
  <si>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</si>
  <si>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</si>
  <si>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</si>
  <si>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</si>
  <si>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</si>
  <si>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</si>
  <si>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</si>
  <si>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</si>
  <si>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</si>
  <si>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</si>
  <si>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</si>
  <si>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</si>
  <si>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</si>
  <si>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</si>
  <si>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</si>
  <si>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</si>
  <si>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</si>
  <si>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</si>
  <si>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</si>
  <si>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</si>
  <si>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</si>
  <si>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</si>
  <si>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</si>
  <si>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</si>
  <si>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</si>
  <si>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</si>
  <si>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</si>
  <si>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</si>
  <si>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</si>
  <si>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</si>
  <si>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</si>
  <si>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</si>
  <si>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</si>
  <si>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</si>
  <si>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</si>
  <si>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</si>
  <si>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</si>
  <si>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</si>
  <si>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</si>
  <si>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</si>
  <si>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</si>
  <si>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</si>
  <si>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</si>
  <si>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</si>
  <si>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</si>
  <si>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</si>
  <si>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</si>
  <si>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</si>
  <si>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</si>
  <si>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</si>
  <si>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</si>
  <si>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</si>
  <si>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</si>
  <si>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</si>
  <si>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</si>
  <si>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</si>
  <si>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</si>
  <si>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</si>
  <si>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</si>
  <si>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</si>
  <si>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</si>
  <si>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</si>
  <si>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</si>
  <si>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</si>
  <si>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</si>
  <si>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</si>
  <si>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</si>
  <si>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</si>
  <si>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</si>
  <si>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</si>
  <si>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</si>
  <si>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</si>
  <si>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</si>
  <si>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</si>
  <si>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</si>
  <si>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</si>
  <si>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</si>
  <si>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</si>
  <si>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</si>
  <si>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</si>
  <si>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</si>
  <si>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</si>
  <si>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</si>
  <si>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</si>
  <si>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</si>
  <si>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</si>
  <si>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</si>
  <si>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</si>
  <si>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</si>
  <si>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</si>
  <si>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</si>
  <si>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</si>
  <si>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</si>
  <si>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</si>
  <si>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</si>
  <si>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</si>
  <si>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</si>
  <si>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</si>
  <si>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</si>
  <si>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</si>
  <si>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</si>
  <si>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</si>
  <si>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</si>
  <si>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</si>
  <si>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</si>
  <si>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</si>
  <si>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</si>
  <si>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</si>
  <si>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</si>
  <si>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</si>
  <si>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</si>
  <si>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</si>
  <si>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</si>
  <si>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</si>
  <si>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</si>
  <si>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</si>
  <si>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</si>
  <si>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</si>
  <si>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</si>
  <si>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</si>
  <si>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</si>
  <si>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</si>
  <si>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</si>
  <si>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</si>
  <si>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</si>
  <si>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</si>
  <si>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</si>
  <si>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</si>
  <si>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</si>
  <si>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</si>
  <si>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</si>
  <si>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</si>
  <si>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</si>
  <si>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</si>
  <si>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</si>
  <si>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</si>
  <si>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</si>
  <si>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</si>
  <si>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</si>
  <si>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</si>
  <si>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</si>
  <si>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</si>
  <si>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</si>
  <si>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</si>
  <si>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</si>
  <si>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</si>
  <si>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</si>
  <si>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</si>
  <si>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</si>
  <si>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</si>
  <si>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</si>
  <si>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</si>
  <si>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</si>
  <si>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</si>
  <si>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</si>
  <si>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</si>
  <si>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</si>
  <si>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</si>
  <si>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</si>
  <si>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</si>
  <si>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</si>
  <si>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</si>
  <si>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</si>
  <si>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</si>
  <si>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</si>
  <si>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</si>
  <si>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</si>
  <si>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</si>
  <si>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</si>
  <si>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</si>
  <si>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</si>
  <si>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</si>
  <si>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</si>
  <si>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</si>
  <si>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</si>
  <si>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</si>
  <si>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</si>
  <si>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</si>
  <si>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</si>
  <si>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</si>
  <si>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</si>
  <si>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</si>
  <si>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</si>
  <si>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</si>
  <si>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</si>
  <si>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</si>
  <si>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</si>
  <si>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</si>
  <si>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</si>
  <si>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</si>
  <si>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</si>
  <si>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</si>
  <si>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</si>
  <si>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</si>
  <si>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</si>
  <si>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</si>
  <si>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</si>
  <si>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</si>
  <si>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</si>
  <si>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</si>
  <si>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</si>
  <si>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</si>
  <si>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</si>
  <si>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</si>
  <si>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</si>
  <si>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</si>
  <si>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</si>
  <si>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</si>
  <si>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</si>
  <si>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</si>
  <si>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</si>
  <si>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</si>
  <si>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</si>
  <si>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</si>
  <si>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</si>
  <si>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</si>
  <si>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</si>
  <si>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</si>
  <si>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</si>
  <si>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</si>
  <si>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</si>
  <si>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</si>
  <si>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</si>
  <si>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</si>
  <si>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</si>
  <si>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</si>
  <si>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</si>
  <si>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</si>
  <si>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</si>
  <si>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</si>
  <si>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</si>
  <si>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</si>
  <si>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</si>
  <si>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</si>
  <si>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</si>
  <si>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</si>
  <si>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</si>
  <si>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</si>
  <si>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</si>
  <si>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</si>
  <si>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</si>
  <si>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</si>
  <si>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</si>
  <si>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</si>
  <si>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</si>
  <si>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</si>
  <si>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</si>
  <si>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</si>
  <si>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</si>
  <si>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</si>
  <si>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</si>
  <si>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</si>
  <si>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</si>
  <si>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</si>
  <si>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</si>
  <si>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</si>
  <si>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</si>
  <si>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</si>
  <si>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</si>
  <si>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</si>
  <si>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</si>
  <si>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</si>
  <si>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</si>
  <si>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</si>
  <si>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</si>
  <si>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</si>
  <si>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</si>
  <si>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</si>
  <si>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</si>
  <si>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</si>
  <si>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</si>
  <si>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</si>
  <si>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</si>
  <si>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</si>
  <si>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</si>
  <si>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</si>
  <si>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</si>
  <si>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</si>
  <si>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</si>
  <si>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</si>
  <si>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</si>
  <si>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</si>
  <si>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</si>
  <si>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</si>
  <si>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</si>
  <si>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</si>
  <si>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</si>
  <si>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</si>
  <si>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</si>
  <si>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</si>
  <si>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</si>
  <si>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</si>
  <si>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</si>
  <si>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</si>
  <si>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</si>
  <si>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</si>
  <si>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</si>
  <si>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</si>
  <si>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</si>
  <si>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</si>
  <si>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</si>
  <si>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</si>
  <si>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</si>
  <si>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</si>
  <si>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</si>
  <si>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</si>
  <si>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</si>
  <si>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</si>
  <si>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</si>
  <si>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</si>
  <si>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</si>
  <si>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</si>
  <si>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</si>
  <si>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</si>
  <si>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</si>
  <si>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</si>
  <si>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</si>
  <si>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</si>
  <si>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</si>
  <si>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</si>
  <si>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</si>
  <si>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</si>
  <si>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</si>
  <si>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</si>
  <si>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</si>
  <si>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</si>
  <si>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</si>
  <si>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</si>
  <si>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</si>
  <si>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</si>
  <si>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</si>
  <si>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</si>
  <si>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</si>
  <si>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</si>
  <si>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</si>
  <si>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</si>
  <si>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</si>
  <si>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</si>
  <si>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</si>
  <si>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</si>
  <si>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</si>
  <si>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</si>
  <si>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</si>
  <si>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</si>
  <si>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</si>
  <si>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</si>
  <si>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</si>
  <si>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</si>
  <si>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</si>
  <si>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</si>
  <si>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</si>
  <si>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</si>
  <si>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</si>
  <si>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</si>
  <si>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</si>
  <si>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</si>
  <si>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</si>
  <si>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</si>
  <si>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</si>
  <si>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</si>
  <si>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</si>
  <si>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</si>
  <si>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</si>
  <si>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</si>
  <si>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</si>
  <si>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</si>
  <si>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</si>
  <si>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</si>
  <si>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</si>
  <si>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</si>
  <si>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</si>
  <si>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</si>
  <si>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</si>
  <si>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</si>
  <si>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</si>
  <si>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</si>
  <si>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</si>
  <si>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</si>
  <si>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</si>
  <si>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</si>
  <si>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</si>
  <si>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</si>
  <si>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</si>
  <si>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</si>
  <si>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</si>
  <si>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</si>
  <si>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</si>
  <si>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</si>
  <si>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</si>
  <si>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</si>
  <si>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</si>
  <si>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</si>
  <si>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</si>
  <si>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</si>
  <si>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</si>
  <si>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</si>
  <si>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</si>
  <si>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</si>
  <si>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</si>
  <si>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</si>
  <si>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</si>
  <si>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</si>
  <si>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</si>
  <si>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</si>
  <si>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</si>
  <si>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</si>
  <si>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</si>
  <si>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</si>
  <si>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</si>
  <si>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</si>
  <si>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</si>
  <si>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</si>
  <si>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</si>
  <si>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</si>
  <si>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</si>
  <si>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</si>
  <si>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</si>
  <si>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</si>
  <si>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</si>
  <si>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</si>
  <si>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</si>
  <si>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</si>
  <si>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</si>
  <si>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</si>
  <si>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</si>
  <si>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</si>
  <si>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</si>
  <si>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</si>
  <si>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</si>
  <si>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</si>
  <si>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</si>
  <si>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</si>
  <si>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</si>
  <si>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</si>
  <si>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</si>
  <si>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</si>
  <si>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</si>
  <si>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</si>
  <si>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</si>
  <si>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</si>
  <si>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</si>
  <si>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</si>
  <si>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</si>
  <si>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</si>
  <si>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</si>
  <si>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</si>
  <si>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</si>
  <si>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</si>
  <si>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</si>
  <si>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</si>
  <si>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</si>
  <si>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</si>
  <si>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</si>
  <si>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</si>
  <si>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</si>
  <si>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</si>
  <si>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</si>
  <si>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</si>
  <si>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</si>
  <si>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</si>
  <si>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</si>
  <si>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</si>
  <si>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</si>
  <si>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</si>
  <si>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</si>
  <si>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</si>
  <si>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</si>
  <si>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</si>
  <si>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</si>
  <si>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</si>
  <si>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</si>
  <si>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</si>
  <si>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</si>
  <si>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</si>
  <si>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</si>
  <si>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</si>
  <si>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</si>
  <si>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</si>
  <si>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</si>
  <si>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</si>
  <si>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</si>
  <si>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</si>
  <si>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</si>
  <si>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</si>
  <si>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</si>
  <si>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</si>
  <si>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</si>
  <si>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</si>
  <si>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</si>
  <si>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</si>
  <si>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</si>
  <si>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</si>
  <si>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</si>
  <si>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</si>
  <si>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</si>
  <si>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</si>
  <si>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</si>
  <si>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</si>
  <si>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</si>
  <si>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</si>
  <si>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</si>
  <si>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</si>
  <si>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</si>
  <si>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</si>
  <si>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</si>
  <si>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</si>
  <si>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</si>
  <si>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</si>
  <si>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</si>
  <si>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</si>
  <si>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</si>
  <si>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</si>
  <si>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</si>
  <si>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</si>
  <si>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</si>
  <si>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</si>
  <si>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</si>
  <si>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</si>
  <si>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</si>
  <si>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</si>
  <si>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</si>
  <si>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</si>
  <si>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</si>
  <si>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</si>
  <si>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</si>
  <si>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</si>
  <si>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</si>
  <si>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</si>
  <si>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</si>
  <si>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</si>
  <si>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</si>
  <si>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</si>
  <si>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</si>
  <si>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</si>
  <si>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</si>
  <si>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</si>
  <si>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</si>
  <si>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</si>
  <si>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</si>
  <si>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</si>
  <si>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</si>
  <si>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</si>
  <si>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</si>
  <si>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</si>
  <si>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</si>
  <si>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</si>
  <si>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</si>
  <si>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</si>
  <si>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</si>
  <si>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</si>
  <si>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</si>
  <si>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</si>
  <si>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</si>
  <si>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</si>
  <si>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</si>
  <si>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</si>
  <si>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</si>
  <si>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</si>
  <si>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</si>
  <si>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</si>
  <si>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</si>
  <si>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</si>
  <si>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</si>
  <si>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</si>
  <si>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</si>
  <si>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</si>
  <si>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</si>
  <si>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</si>
  <si>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</si>
  <si>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</si>
  <si>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</si>
  <si>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</si>
  <si>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</si>
  <si>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</si>
  <si>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</si>
  <si>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</si>
  <si>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</si>
  <si>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</si>
  <si>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</si>
  <si>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</si>
  <si>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</si>
  <si>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</si>
  <si>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</si>
  <si>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</si>
  <si>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</si>
  <si>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</si>
  <si>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</si>
  <si>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</si>
  <si>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</si>
  <si>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</si>
  <si>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</si>
  <si>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</si>
  <si>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</si>
  <si>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</si>
  <si>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</si>
  <si>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</si>
  <si>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</si>
  <si>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</si>
  <si>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</si>
  <si>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</si>
  <si>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</si>
  <si>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</si>
  <si>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</si>
  <si>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</si>
  <si>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</si>
  <si>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</si>
  <si>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</si>
  <si>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</si>
  <si>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</si>
  <si>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</si>
  <si>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</si>
  <si>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</si>
  <si>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</si>
  <si>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</si>
  <si>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</si>
  <si>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</si>
  <si>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</si>
  <si>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</si>
  <si>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</si>
  <si>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</si>
  <si>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</si>
  <si>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</si>
  <si>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</si>
  <si>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</si>
  <si>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</si>
  <si>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</si>
  <si>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</si>
  <si>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</si>
  <si>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</si>
  <si>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</si>
  <si>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</si>
  <si>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</si>
  <si>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</si>
  <si>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</si>
  <si>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</si>
  <si>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</si>
  <si>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</si>
  <si>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</si>
  <si>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</si>
  <si>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</si>
  <si>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</si>
  <si>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</si>
  <si>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</si>
  <si>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</si>
  <si>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</si>
  <si>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</si>
  <si>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</si>
  <si>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</si>
  <si>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</si>
  <si>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</si>
  <si>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</si>
  <si>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</si>
  <si>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</si>
  <si>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</si>
  <si>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</si>
  <si>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</si>
  <si>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</si>
  <si>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</si>
  <si>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</si>
  <si>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</si>
  <si>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</si>
  <si>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</si>
  <si>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</si>
  <si>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</si>
  <si>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</si>
  <si>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</si>
  <si>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</si>
  <si>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</si>
  <si>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</si>
  <si>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</si>
  <si>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</si>
  <si>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</si>
  <si>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</si>
  <si>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</si>
  <si>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</si>
  <si>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</si>
  <si>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</si>
  <si>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</si>
  <si>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</si>
  <si>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</si>
  <si>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</si>
  <si>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</si>
  <si>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</si>
  <si>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</si>
  <si>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</si>
  <si>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</si>
  <si>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</si>
  <si>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</si>
  <si>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</si>
  <si>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</si>
  <si>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</si>
  <si>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</si>
  <si>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</si>
  <si>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</si>
  <si>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</si>
  <si>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</si>
  <si>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</si>
  <si>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</si>
  <si>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</si>
  <si>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</si>
  <si>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</si>
  <si>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</si>
  <si>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</si>
  <si>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</si>
  <si>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</si>
  <si>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</si>
  <si>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</si>
  <si>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</si>
  <si>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</si>
  <si>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</si>
  <si>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</si>
  <si>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</si>
  <si>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</si>
  <si>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</si>
  <si>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</si>
  <si>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</si>
  <si>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</si>
  <si>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</si>
  <si>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</si>
  <si>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</si>
  <si>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</si>
  <si>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</si>
  <si>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</si>
  <si>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</si>
  <si>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</si>
  <si>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</si>
  <si>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</si>
  <si>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</si>
  <si>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</si>
  <si>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</si>
  <si>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</si>
  <si>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</si>
  <si>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</si>
  <si>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</si>
  <si>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</si>
  <si>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</si>
  <si>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</si>
  <si>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</si>
  <si>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</si>
  <si>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</si>
  <si>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</si>
  <si>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</si>
  <si>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</si>
  <si>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</si>
  <si>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</si>
  <si>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</si>
  <si>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</si>
  <si>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</si>
  <si>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</si>
  <si>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</si>
  <si>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</si>
  <si>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</si>
  <si>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</si>
  <si>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</si>
  <si>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</si>
  <si>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</si>
  <si>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</si>
  <si>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</si>
  <si>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</si>
  <si>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</si>
  <si>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</si>
  <si>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</si>
  <si>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</si>
  <si>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</si>
  <si>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</si>
  <si>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</si>
  <si>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</si>
  <si>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</si>
  <si>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</si>
  <si>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</si>
  <si>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</si>
  <si>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</si>
  <si>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</si>
  <si>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</si>
  <si>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</si>
  <si>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</si>
  <si>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</si>
  <si>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</si>
  <si>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</si>
  <si>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</si>
  <si>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</si>
  <si>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</si>
  <si>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</si>
  <si>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</si>
  <si>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</si>
  <si>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</si>
  <si>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</si>
  <si>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</si>
  <si>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</si>
  <si>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</si>
  <si>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</si>
  <si>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</si>
  <si>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</si>
  <si>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</si>
  <si>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</si>
  <si>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</si>
  <si>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</si>
  <si>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</si>
  <si>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</si>
  <si>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</si>
  <si>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</si>
  <si>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</si>
  <si>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</si>
  <si>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</si>
  <si>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</si>
  <si>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</si>
  <si>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</si>
  <si>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</si>
  <si>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</si>
  <si>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</si>
  <si>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</si>
  <si>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</si>
  <si>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</si>
  <si>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</si>
  <si>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</si>
  <si>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</si>
  <si>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</si>
  <si>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</si>
  <si>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</si>
  <si>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</si>
  <si>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</si>
  <si>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</si>
  <si>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</si>
  <si>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</si>
  <si>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</si>
  <si>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</si>
  <si>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</si>
  <si>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</si>
  <si>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</si>
  <si>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</si>
  <si>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</si>
  <si>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</si>
  <si>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</si>
  <si>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</si>
  <si>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</si>
  <si>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</si>
  <si>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</si>
  <si>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</si>
  <si>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</si>
  <si>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</si>
  <si>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</si>
  <si>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</si>
  <si>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</si>
  <si>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</si>
  <si>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</si>
  <si>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</si>
  <si>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</si>
  <si>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</si>
  <si>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</si>
  <si>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</si>
  <si>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</si>
  <si>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</si>
  <si>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</si>
  <si>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</si>
  <si>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</si>
  <si>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</si>
  <si>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</si>
  <si>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</si>
  <si>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</si>
  <si>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</si>
  <si>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</si>
  <si>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</si>
  <si>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</si>
  <si>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</si>
  <si>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</si>
  <si>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</si>
  <si>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</si>
  <si>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</si>
  <si>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</si>
  <si>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</si>
  <si>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</si>
  <si>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</si>
  <si>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</si>
  <si>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</si>
  <si>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</si>
  <si>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</si>
  <si>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</si>
  <si>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</si>
  <si>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</si>
  <si>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</si>
  <si>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</si>
  <si>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</si>
  <si>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</si>
  <si>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</si>
  <si>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</si>
  <si>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</si>
  <si>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</si>
  <si>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</si>
  <si>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</si>
  <si>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</si>
  <si>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</si>
  <si>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</si>
  <si>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</si>
  <si>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</si>
  <si>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</si>
  <si>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</si>
  <si>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</si>
  <si>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</si>
  <si>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</si>
  <si>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</si>
  <si>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</si>
  <si>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</si>
  <si>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</si>
  <si>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</si>
  <si>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</si>
  <si>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</si>
  <si>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</si>
  <si>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</si>
  <si>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</si>
  <si>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</si>
  <si>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</si>
  <si>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</si>
  <si>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</si>
  <si>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</si>
  <si>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</si>
  <si>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</si>
  <si>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</si>
  <si>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</si>
  <si>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</si>
  <si>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</si>
  <si>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</si>
  <si>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</si>
  <si>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</si>
  <si>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</si>
  <si>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</si>
  <si>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</si>
  <si>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</si>
  <si>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</si>
  <si>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</si>
  <si>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</si>
  <si>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</si>
  <si>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</si>
  <si>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</si>
  <si>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</si>
  <si>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</si>
  <si>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</si>
  <si>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</si>
  <si>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</si>
  <si>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</si>
  <si>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</si>
  <si>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</si>
  <si>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</si>
  <si>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</si>
  <si>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</si>
  <si>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</si>
  <si>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</si>
  <si>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</si>
  <si>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</si>
  <si>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</si>
  <si>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</si>
  <si>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</si>
  <si>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</si>
  <si>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</si>
  <si>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</si>
  <si>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</si>
  <si>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</si>
  <si>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</si>
  <si>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</si>
  <si>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</si>
  <si>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</si>
  <si>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</si>
  <si>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</si>
  <si>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</si>
  <si>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</si>
  <si>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</si>
  <si>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</si>
  <si>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</si>
  <si>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</si>
  <si>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</si>
  <si>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</si>
  <si>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</si>
  <si>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</si>
  <si>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</si>
  <si>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</si>
  <si>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</si>
  <si>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</si>
  <si>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</si>
  <si>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</si>
  <si>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</si>
  <si>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</si>
  <si>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</si>
  <si>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</si>
  <si>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</si>
  <si>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</si>
  <si>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</si>
  <si>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</si>
  <si>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</si>
  <si>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</si>
  <si>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</si>
  <si>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</si>
  <si>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</si>
  <si>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</si>
  <si>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</si>
  <si>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</si>
  <si>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</si>
  <si>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</si>
  <si>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</si>
  <si>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</si>
  <si>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</si>
  <si>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</si>
  <si>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</si>
  <si>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</si>
  <si>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</si>
  <si>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</si>
  <si>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</si>
  <si>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</si>
  <si>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</si>
  <si>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</si>
  <si>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</si>
  <si>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</si>
  <si>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</si>
  <si>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</si>
  <si>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</si>
  <si>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</si>
  <si>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</si>
  <si>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</si>
  <si>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</si>
  <si>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</si>
  <si>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</si>
  <si>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</si>
  <si>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</si>
  <si>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</si>
  <si>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</si>
  <si>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</si>
  <si>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</si>
  <si>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</si>
  <si>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</si>
  <si>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</si>
  <si>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</si>
  <si>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</si>
  <si>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</si>
  <si>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</si>
  <si>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</si>
  <si>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</si>
  <si>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</si>
  <si>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</si>
  <si>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</si>
  <si>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</si>
  <si>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</si>
  <si>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</si>
  <si>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</si>
  <si>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</si>
  <si>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</si>
  <si>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</si>
  <si>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</si>
  <si>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</si>
  <si>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</si>
  <si>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</si>
  <si>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</si>
  <si>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</si>
  <si>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</si>
  <si>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</si>
  <si>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</si>
  <si>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</si>
  <si>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</si>
  <si>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</si>
  <si>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</si>
  <si>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</si>
  <si>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</si>
  <si>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</si>
  <si>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</si>
  <si>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</si>
  <si>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</si>
  <si>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</si>
  <si>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</si>
  <si>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</si>
  <si>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</si>
  <si>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</si>
  <si>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</si>
  <si>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</si>
  <si>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</si>
  <si>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</si>
  <si>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</si>
  <si>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</si>
  <si>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</si>
  <si>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</si>
  <si>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</si>
  <si>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</si>
  <si>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</si>
  <si>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</si>
  <si>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</si>
  <si>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</si>
  <si>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</si>
  <si>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</si>
  <si>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</si>
  <si>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</si>
  <si>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</si>
  <si>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</si>
  <si>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</si>
  <si>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</si>
  <si>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</si>
  <si>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</si>
  <si>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</si>
  <si>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</si>
  <si>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</si>
  <si>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</si>
  <si>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</si>
  <si>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</si>
  <si>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</si>
  <si>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</si>
  <si>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</si>
  <si>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</si>
  <si>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</si>
  <si>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</si>
  <si>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</si>
  <si>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</si>
  <si>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</si>
  <si>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</si>
  <si>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</si>
  <si>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</si>
  <si>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</si>
  <si>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</si>
  <si>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</si>
  <si>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</si>
  <si>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</si>
  <si>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</si>
  <si>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</si>
  <si>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</si>
  <si>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</si>
  <si>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</si>
  <si>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</si>
  <si>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</si>
  <si>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</si>
  <si>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</si>
  <si>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</si>
  <si>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</si>
  <si>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</si>
  <si>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</si>
  <si>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</si>
  <si>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</si>
  <si>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</si>
  <si>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</si>
  <si>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</si>
  <si>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</si>
  <si>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</si>
  <si>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</si>
  <si>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</si>
  <si>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</si>
  <si>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</si>
  <si>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</si>
  <si>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</si>
  <si>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</si>
  <si>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</si>
  <si>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</si>
  <si>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</si>
  <si>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</si>
  <si>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</si>
  <si>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</si>
  <si>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</si>
  <si>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</si>
  <si>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</si>
  <si>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</si>
  <si>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</si>
  <si>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</si>
  <si>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</si>
  <si>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</si>
  <si>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</si>
  <si>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</si>
  <si>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</si>
  <si>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</si>
  <si>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</si>
  <si>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</si>
  <si>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</si>
  <si>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</si>
  <si>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</si>
  <si>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</si>
  <si>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</si>
  <si>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</si>
  <si>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</si>
  <si>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</si>
  <si>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</si>
  <si>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</si>
  <si>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</si>
  <si>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</si>
  <si>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</si>
  <si>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</si>
  <si>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</si>
  <si>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</si>
  <si>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</si>
  <si>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</si>
  <si>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</si>
  <si>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</si>
  <si>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</si>
  <si>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</si>
  <si>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</si>
  <si>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</si>
  <si>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</si>
  <si>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</si>
  <si>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</si>
  <si>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</si>
  <si>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</si>
  <si>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</si>
  <si>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</si>
  <si>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</si>
  <si>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</si>
  <si>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</si>
  <si>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</si>
  <si>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</si>
  <si>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</si>
  <si>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</si>
  <si>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</si>
  <si>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</si>
  <si>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</si>
  <si>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</si>
  <si>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</si>
  <si>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</si>
  <si>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</si>
  <si>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</si>
  <si>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</si>
  <si>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</si>
  <si>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</si>
  <si>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</si>
  <si>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</si>
  <si>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</si>
  <si>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</si>
  <si>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</si>
  <si>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</si>
  <si>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</si>
  <si>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</si>
  <si>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</si>
  <si>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</si>
  <si>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</si>
  <si>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</si>
  <si>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</si>
  <si>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</si>
  <si>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</si>
  <si>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</si>
  <si>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</si>
  <si>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</si>
  <si>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</si>
  <si>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</si>
  <si>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</si>
  <si>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</si>
  <si>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</si>
  <si>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</si>
  <si>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</si>
  <si>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</si>
  <si>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</si>
  <si>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</si>
  <si>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</si>
  <si>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</si>
  <si>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</si>
  <si>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</si>
  <si>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</si>
  <si>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</si>
  <si>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</si>
  <si>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</si>
  <si>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</si>
  <si>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</si>
  <si>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</si>
  <si>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</si>
  <si>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</si>
  <si>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</si>
  <si>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</si>
  <si>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</si>
  <si>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</si>
  <si>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</si>
  <si>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</si>
  <si>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</si>
  <si>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</si>
  <si>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</si>
  <si>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</si>
  <si>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</si>
  <si>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</si>
  <si>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</si>
  <si>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</si>
  <si>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</si>
  <si>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</si>
  <si>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</si>
  <si>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</si>
  <si>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</si>
  <si>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</si>
  <si>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</si>
  <si>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</si>
  <si>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</si>
  <si>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</si>
  <si>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</si>
  <si>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</si>
  <si>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</si>
  <si>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</si>
  <si>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</si>
  <si>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</si>
  <si>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</si>
  <si>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</si>
  <si>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</si>
  <si>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</si>
  <si>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</si>
  <si>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</si>
  <si>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</si>
  <si>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</si>
  <si>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</si>
  <si>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</si>
  <si>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</si>
  <si>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</si>
  <si>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</si>
  <si>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</si>
  <si>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</si>
  <si>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</si>
  <si>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</si>
  <si>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</si>
  <si>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</si>
  <si>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</si>
  <si>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</si>
  <si>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</si>
  <si>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</si>
  <si>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</si>
  <si>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</si>
  <si>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</si>
  <si>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</si>
  <si>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</si>
  <si>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</si>
  <si>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</si>
  <si>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</si>
  <si>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</si>
  <si>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</si>
  <si>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</si>
  <si>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</si>
  <si>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</si>
  <si>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</si>
  <si>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</si>
  <si>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</si>
  <si>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</si>
  <si>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</si>
  <si>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</si>
  <si>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</si>
  <si>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</si>
  <si>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</si>
  <si>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</si>
  <si>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</si>
  <si>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</si>
  <si>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</si>
  <si>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</si>
  <si>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</si>
  <si>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</si>
  <si>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</si>
  <si>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</si>
  <si>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</si>
  <si>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</si>
  <si>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</si>
  <si>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</si>
  <si>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</si>
  <si>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</si>
  <si>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</si>
  <si>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</si>
  <si>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</si>
  <si>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</si>
  <si>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</si>
  <si>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</si>
  <si>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</si>
  <si>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</si>
  <si>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</si>
  <si>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</si>
  <si>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</si>
  <si>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</si>
  <si>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</si>
  <si>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</si>
  <si>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</si>
  <si>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</si>
  <si>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</si>
  <si>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</si>
  <si>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</si>
  <si>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</si>
  <si>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</si>
  <si>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</si>
  <si>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</si>
  <si>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</si>
  <si>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</si>
  <si>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</si>
  <si>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</si>
  <si>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</si>
  <si>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</si>
  <si>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</si>
  <si>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</si>
  <si>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</si>
  <si>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</si>
  <si>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</si>
  <si>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</si>
  <si>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</si>
  <si>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</si>
  <si>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</si>
  <si>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</si>
  <si>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</si>
  <si>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</si>
  <si>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</si>
  <si>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</si>
  <si>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</si>
  <si>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</si>
  <si>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</si>
  <si>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</si>
  <si>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</si>
  <si>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</si>
  <si>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</si>
  <si>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</si>
  <si>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</si>
  <si>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</si>
  <si>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</si>
  <si>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</si>
  <si>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</si>
  <si>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</si>
  <si>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</si>
  <si>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</si>
  <si>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</si>
  <si>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</si>
  <si>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</si>
  <si>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</si>
  <si>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</si>
  <si>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</si>
  <si>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</si>
  <si>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</si>
  <si>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</si>
  <si>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</si>
  <si>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</si>
  <si>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</si>
  <si>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</si>
  <si>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</si>
  <si>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</si>
  <si>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</si>
  <si>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</si>
  <si>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</si>
  <si>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</si>
  <si>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</si>
  <si>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</si>
  <si>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</si>
  <si>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</si>
  <si>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</si>
  <si>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</si>
  <si>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</si>
  <si>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</si>
  <si>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</si>
  <si>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</si>
  <si>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</si>
  <si>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</si>
  <si>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</si>
  <si>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</si>
  <si>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</si>
  <si>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</si>
  <si>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</si>
  <si>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</si>
  <si>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</si>
  <si>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</si>
  <si>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</si>
  <si>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</si>
  <si>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</si>
  <si>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</si>
  <si>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</si>
  <si>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</si>
  <si>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</si>
  <si>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</si>
  <si>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</si>
  <si>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</si>
  <si>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</si>
  <si>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</si>
  <si>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</si>
  <si>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</si>
  <si>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</si>
  <si>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</si>
  <si>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</si>
  <si>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</si>
  <si>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</si>
  <si>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</si>
  <si>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</si>
  <si>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</si>
  <si>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</si>
  <si>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</si>
  <si>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</si>
  <si>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</si>
  <si>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</si>
  <si>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</si>
  <si>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</si>
  <si>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</si>
  <si>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</si>
  <si>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</si>
  <si>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</si>
  <si>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</si>
  <si>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</si>
  <si>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</si>
  <si>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</si>
  <si>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</si>
  <si>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</si>
  <si>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</si>
  <si>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</si>
  <si>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</si>
  <si>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</si>
  <si>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</si>
  <si>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</si>
  <si>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</si>
  <si>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</si>
  <si>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</si>
  <si>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</si>
  <si>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</si>
  <si>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</si>
  <si>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</si>
  <si>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</si>
  <si>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</si>
  <si>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</si>
  <si>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</si>
  <si>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</si>
  <si>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</si>
  <si>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</si>
  <si>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</si>
  <si>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</si>
  <si>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</si>
  <si>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</si>
  <si>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</si>
  <si>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</si>
  <si>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</si>
  <si>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</si>
  <si>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</si>
  <si>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</si>
  <si>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</si>
  <si>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</si>
  <si>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</si>
  <si>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</si>
  <si>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</si>
  <si>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</si>
  <si>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</si>
  <si>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</si>
  <si>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</si>
  <si>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</si>
  <si>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</si>
  <si>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</si>
  <si>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</si>
  <si>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</si>
  <si>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</si>
  <si>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</si>
  <si>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</si>
  <si>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</si>
  <si>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</si>
  <si>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</si>
  <si>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</si>
  <si>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</si>
  <si>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</si>
  <si>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</si>
  <si>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</si>
  <si>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</si>
  <si>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</si>
  <si>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</si>
  <si>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</si>
  <si>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</si>
  <si>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</si>
  <si>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</si>
  <si>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</si>
  <si>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</si>
  <si>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</si>
  <si>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</si>
  <si>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</si>
  <si>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</si>
  <si>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</si>
  <si>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</si>
  <si>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</si>
  <si>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</si>
  <si>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</si>
  <si>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</si>
  <si>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</si>
  <si>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</si>
  <si>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</si>
  <si>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</si>
  <si>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</si>
  <si>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</si>
  <si>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</si>
  <si>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</si>
  <si>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</si>
  <si>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</si>
  <si>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</si>
  <si>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</si>
  <si>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</si>
  <si>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</si>
  <si>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</si>
  <si>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</si>
  <si>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</si>
  <si>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</si>
  <si>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</si>
  <si>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</si>
  <si>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</si>
  <si>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</si>
  <si>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</si>
  <si>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</si>
  <si>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</si>
  <si>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</si>
  <si>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</si>
  <si>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</si>
  <si>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</si>
  <si>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</si>
  <si>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</si>
  <si>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</si>
  <si>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</si>
  <si>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</si>
  <si>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</si>
  <si>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</si>
  <si>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</si>
  <si>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</si>
  <si>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</si>
  <si>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</si>
  <si>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</si>
  <si>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</si>
  <si>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</si>
  <si>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</si>
  <si>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</si>
  <si>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</si>
  <si>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</si>
  <si>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</si>
  <si>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</si>
  <si>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</si>
  <si>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</si>
  <si>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</si>
  <si>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</si>
  <si>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</si>
  <si>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</si>
  <si>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</si>
  <si>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</si>
  <si>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</si>
  <si>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</si>
  <si>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</si>
  <si>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</si>
  <si>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</si>
  <si>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</si>
  <si>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</si>
  <si>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</si>
  <si>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</si>
  <si>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</si>
  <si>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</si>
  <si>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</si>
  <si>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</si>
  <si>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</si>
  <si>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</si>
  <si>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</si>
  <si>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</si>
  <si>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</si>
  <si>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</si>
  <si>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</si>
  <si>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</si>
  <si>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</si>
  <si>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</si>
  <si>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</si>
  <si>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</si>
  <si>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</si>
  <si>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</si>
  <si>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</si>
  <si>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</si>
  <si>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</si>
  <si>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</si>
  <si>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</si>
  <si>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</si>
  <si>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</si>
  <si>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</si>
  <si>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</si>
  <si>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</si>
  <si>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</si>
  <si>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</si>
  <si>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</si>
  <si>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</si>
  <si>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</si>
  <si>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</si>
  <si>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</si>
  <si>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</si>
  <si>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</si>
  <si>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</si>
  <si>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</si>
  <si>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</si>
  <si>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</si>
  <si>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</si>
  <si>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</si>
  <si>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</si>
  <si>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</si>
  <si>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</si>
  <si>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</si>
  <si>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</si>
  <si>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</si>
  <si>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</si>
  <si>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</si>
  <si>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</si>
  <si>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</si>
  <si>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</si>
  <si>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</si>
  <si>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</si>
  <si>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</si>
  <si>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</si>
  <si>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</si>
  <si>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</si>
  <si>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</si>
  <si>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</si>
  <si>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</si>
  <si>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</si>
  <si>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</si>
  <si>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</si>
  <si>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</si>
  <si>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</si>
  <si>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</si>
  <si>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</si>
  <si>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</si>
  <si>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</si>
  <si>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</si>
  <si>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</si>
  <si>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</si>
  <si>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</si>
  <si>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</si>
  <si>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</si>
  <si>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</si>
  <si>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</si>
  <si>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</si>
  <si>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</si>
  <si>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</si>
  <si>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</si>
  <si>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</si>
  <si>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</si>
  <si>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</si>
  <si>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</si>
  <si>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</si>
  <si>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</si>
  <si>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</si>
  <si>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</si>
  <si>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</si>
  <si>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</si>
  <si>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</si>
  <si>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</si>
  <si>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</si>
  <si>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</si>
  <si>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</si>
  <si>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</si>
  <si>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</si>
  <si>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</si>
  <si>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</si>
  <si>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</si>
  <si>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</si>
  <si>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</si>
  <si>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</si>
  <si>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</si>
  <si>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</si>
  <si>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</si>
  <si>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</si>
  <si>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</si>
  <si>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</si>
  <si>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</si>
  <si>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</si>
  <si>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</si>
  <si>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</si>
  <si>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</si>
  <si>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</si>
  <si>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</si>
  <si>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</si>
  <si>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</si>
  <si>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</si>
  <si>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</si>
  <si>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</si>
  <si>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</si>
  <si>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</si>
  <si>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</si>
  <si>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</si>
  <si>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</si>
  <si>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</si>
  <si>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</si>
  <si>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</si>
  <si>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</si>
  <si>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</si>
  <si>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</si>
  <si>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</si>
  <si>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</si>
  <si>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</si>
  <si>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</si>
  <si>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</si>
  <si>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</si>
  <si>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</si>
  <si>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</si>
  <si>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</si>
  <si>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</si>
  <si>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</si>
  <si>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</si>
  <si>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</si>
  <si>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</si>
  <si>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</si>
  <si>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</si>
  <si>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</si>
  <si>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</si>
  <si>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</si>
  <si>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</si>
  <si>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</si>
  <si>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</si>
  <si>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</si>
  <si>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</si>
  <si>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</si>
  <si>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</si>
  <si>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</si>
  <si>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</si>
  <si>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</si>
  <si>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</si>
  <si>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</si>
  <si>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</si>
  <si>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</si>
  <si>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</si>
  <si>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</si>
  <si>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</si>
  <si>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</si>
  <si>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</si>
  <si>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</si>
  <si>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</si>
  <si>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</si>
  <si>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</si>
  <si>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</si>
  <si>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</si>
  <si>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</si>
  <si>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</si>
  <si>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</si>
  <si>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</si>
  <si>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</si>
  <si>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</si>
  <si>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</si>
  <si>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</si>
  <si>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</si>
  <si>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</si>
  <si>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</si>
  <si>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</si>
  <si>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</si>
  <si>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</si>
  <si>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</si>
  <si>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</si>
  <si>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</si>
  <si>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</si>
  <si>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</si>
  <si>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</si>
  <si>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</si>
  <si>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</si>
  <si>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</si>
  <si>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</si>
  <si>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</si>
  <si>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</si>
  <si>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</si>
  <si>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</si>
  <si>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</si>
  <si>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</si>
  <si>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</si>
  <si>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</si>
  <si>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</si>
  <si>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</si>
  <si>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</si>
  <si>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</si>
  <si>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</si>
  <si>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</si>
  <si>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</si>
  <si>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</si>
  <si>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</si>
  <si>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</si>
  <si>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</si>
  <si>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</si>
  <si>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</si>
  <si>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</si>
  <si>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</si>
  <si>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</si>
  <si>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</si>
  <si>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</si>
  <si>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</si>
  <si>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</si>
  <si>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</si>
  <si>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</si>
  <si>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</si>
  <si>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</si>
  <si>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</si>
  <si>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</si>
  <si>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</si>
  <si>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</si>
  <si>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</si>
  <si>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</si>
  <si>
    <t>ab3556093ee7f70c</t>
  </si>
  <si>
    <t>21_10_2026_AO_Diur.gpx</t>
  </si>
  <si>
    <t>ab3556093ee7f70ce2cd7eaaa52f5717235927b6e28a56088d15b79e7452a3f4</t>
  </si>
  <si>
    <t>21/10/2026</t>
  </si>
  <si>
    <t>21/10/2026 09:16:50</t>
  </si>
  <si>
    <t>21/10/2026 16:31:57</t>
  </si>
  <si>
    <t>Inicio GPS tardío: 00:46:50 después de las 08:30.; Fin GPS dentro de la tolerancia del horario programado.; 1 hueco(s) GPS &gt;= 10 min.; 1 permanencia(s) GPS detectada(s); requiere contexto.</t>
  </si>
  <si>
    <t>6.203249, -75.600743</t>
  </si>
  <si>
    <t>6.232174, -75.596886</t>
  </si>
  <si>
    <t>225613b22775d1f1</t>
  </si>
  <si>
    <t>21_10_2026_AR_Diur.gpx</t>
  </si>
  <si>
    <t>225613b22775d1f18fe5fe897761fd6a293740d709d3c2a9f177f515d9c4be5a</t>
  </si>
  <si>
    <t>21/10/2026 08:25:28</t>
  </si>
  <si>
    <t>21/10/2026 16:21:46</t>
  </si>
  <si>
    <t>6.225682, -75.599463</t>
  </si>
  <si>
    <t>6.241786, -75.607846</t>
  </si>
  <si>
    <t>f9e505ade0e5f3f7</t>
  </si>
  <si>
    <t>21_10_2026_JHP_Diur.gpx</t>
  </si>
  <si>
    <t>f9e505ade0e5f3f73f8956f618341e7005d6728701331ce1e41bacadef0ad630</t>
  </si>
  <si>
    <t>21/10/2026 08:32:02</t>
  </si>
  <si>
    <t>21/10/2026 16:14:22</t>
  </si>
  <si>
    <t>Inicio GPS dentro de la tolerancia del horario programado.; Fin GPS anticipado: 00:15:38 antes de las 16:30.</t>
  </si>
  <si>
    <t>6.254234, -75.574907</t>
  </si>
  <si>
    <t>6.272834, -75.574435</t>
  </si>
  <si>
    <t>992c8da8aa659d28</t>
  </si>
  <si>
    <t>21_10_2026_JP_Diur.gpx</t>
  </si>
  <si>
    <t>992c8da8aa659d287329a9a9de489d11203398897e275d187777a08cc8e91416</t>
  </si>
  <si>
    <t>21/10/2026 08:41:38</t>
  </si>
  <si>
    <t>21/10/2026 15:49:33</t>
  </si>
  <si>
    <t>Inicio GPS dentro de la tolerancia del horario programado.; Fin GPS anticipado: 00:40:27 antes de las 16:30.; 2 hueco(s) GPS &gt;= 10 min.</t>
  </si>
  <si>
    <t>6.225603, -75.599320</t>
  </si>
  <si>
    <t>6.251692, -75.551850</t>
  </si>
  <si>
    <t>7d410b20b76a6f30</t>
  </si>
  <si>
    <t>21_10_2026_JZ_Diur.gpx</t>
  </si>
  <si>
    <t>7d410b20b76a6f3072493e8c5f156ee3ce6a8c198591f8e77b2cb2ad72db6922</t>
  </si>
  <si>
    <t>21/10/2026 08:29:52</t>
  </si>
  <si>
    <t>21/10/2026 12:18:13</t>
  </si>
  <si>
    <t>Inicio GPS dentro de la tolerancia del horario programado.; Fin GPS anticipado: 04:11:47 antes de las 16:30.; 2 hueco(s) GPS &gt;= 10 min.</t>
  </si>
  <si>
    <t>6.226722, -75.599195</t>
  </si>
  <si>
    <t>6.257584, -75.565866</t>
  </si>
  <si>
    <t>d59d56d97e79581e</t>
  </si>
  <si>
    <t>21_10_2026_DR_Noct.gpx</t>
  </si>
  <si>
    <t>d59d56d97e79581e4f891202526ecb850708e9d2b9e6455e296dbcd4da772967</t>
  </si>
  <si>
    <t>21/10/2026 18:14:31</t>
  </si>
  <si>
    <t>21/10/2026 23:29:34</t>
  </si>
  <si>
    <t>Inicio GPS dentro de la tolerancia del horario programado.; Fin GPS anticipado: 00:30:26 antes de las 00:00.; 1 hueco(s) GPS &gt;= 10 min.</t>
  </si>
  <si>
    <t>6.235968, -75.602344</t>
  </si>
  <si>
    <t>6.250646, -75.602125</t>
  </si>
  <si>
    <t>1354139f6a7c3f2f</t>
  </si>
  <si>
    <t>21_10_2026_DV_Noct.gpx</t>
  </si>
  <si>
    <t>1354139f6a7c3f2fb592a44a3becbf0afd14e73ff79fea5d49e2eb962b2691b1</t>
  </si>
  <si>
    <t>21/10/2026 17:09:36</t>
  </si>
  <si>
    <t>22/10/2026 00:31:23</t>
  </si>
  <si>
    <t>Inicio GPS anterior al horario: 00:50:24 antes de las 18:00.; Fin GPS posterior: 00:31:23 después de las 00:00.; 1 permanencia(s) GPS detectada(s); requiere contexto.</t>
  </si>
  <si>
    <t>6.258391, -75.578306</t>
  </si>
  <si>
    <t>6.272633, -75.602018</t>
  </si>
  <si>
    <t>197acc7645cd2954</t>
  </si>
  <si>
    <t>21_10_2026_IQ_Noct.gpx</t>
  </si>
  <si>
    <t>197acc7645cd2954a260e0eb4b4902ab7f2214641ed7b584c10a4cd32003f01c</t>
  </si>
  <si>
    <t>21/10/2026 17:18:22</t>
  </si>
  <si>
    <t>21/10/2026 23:47:47</t>
  </si>
  <si>
    <t>Inicio GPS anterior al horario: 00:41:38 antes de las 18:00.; Fin GPS dentro de la tolerancia del horario programado.; 4 hueco(s) GPS &gt;= 10 min.; 1 permanencia(s) GPS detectada(s); requiere contexto.</t>
  </si>
  <si>
    <t>6.242035, -75.619494</t>
  </si>
  <si>
    <t>6.272381, -75.540345</t>
  </si>
  <si>
    <t>e9a11ba1766753d1</t>
  </si>
  <si>
    <t>21_10_2026_JA_Noct.gpx</t>
  </si>
  <si>
    <t>e9a11ba1766753d13c25bc00e51132c6f3f549bde30b86ff3391ae2b398ca4b0</t>
  </si>
  <si>
    <t>21/10/2026 16:35:05</t>
  </si>
  <si>
    <t>21/10/2026 21:35:33</t>
  </si>
  <si>
    <t>Inicio GPS anterior al horario: 01:24:55 antes de las 18:00.; Fin GPS anticipado: 02:24:27 antes de las 00:00.; 1 hueco(s) GPS &gt;= 10 min.</t>
  </si>
  <si>
    <t>6.225616, -75.599319</t>
  </si>
  <si>
    <t>6.237010, -75.558870</t>
  </si>
  <si>
    <t>6209f37c363cca0d</t>
  </si>
  <si>
    <t>21_10_2026_JO_Noct.gpx</t>
  </si>
  <si>
    <t>6209f37c363cca0d63a68f8a1a48c925f4e6089b796c10b21b20f6b362d8d3cb</t>
  </si>
  <si>
    <t>21/10/2026 16:27:16</t>
  </si>
  <si>
    <t>21/10/2026 23:58:28</t>
  </si>
  <si>
    <t>Inicio GPS anterior al horario: 01:32:43 antes de las 18:00.; Fin GPS dentro de la tolerancia del horario programado.; 6 hueco(s) GPS &gt;= 10 min.; 1 permanencia(s) GPS detectada(s); requiere contexto.</t>
  </si>
  <si>
    <t>6.229325, -75.602059</t>
  </si>
  <si>
    <t>6.225607, -75.599417</t>
  </si>
  <si>
    <t>0851bb6589dd1069</t>
  </si>
  <si>
    <t>21_10_2026_LA_Noct.gpx</t>
  </si>
  <si>
    <t>0851bb6589dd106994b343c0587fee04e7009e87308598adf3c3e0105b060d3a</t>
  </si>
  <si>
    <t>21/10/2026 16:58:08</t>
  </si>
  <si>
    <t>22/10/2026 00:03:29</t>
  </si>
  <si>
    <t>Inicio GPS anterior al horario: 01:01:51 antes de las 18:00.; Fin GPS dentro de la tolerancia del horario programado.; 1 hueco(s) GPS &gt;= 10 min.</t>
  </si>
  <si>
    <t>6.226735, -75.599273</t>
  </si>
  <si>
    <t>6.268395, -75.599342</t>
  </si>
  <si>
    <t>1289e74894e3056c</t>
  </si>
  <si>
    <t>21_10_2026_SJ_Noct.gpx</t>
  </si>
  <si>
    <t>1289e74894e3056cc21f8944ea302dc8521be91b7636548a1ff574551b0751ba</t>
  </si>
  <si>
    <t>21/10/2026 16:36:28</t>
  </si>
  <si>
    <t>21/10/2026 23:53:14</t>
  </si>
  <si>
    <t>Inicio GPS anterior al horario: 01:23:32 antes de las 18:00.; Fin GPS dentro de la tolerancia del horario programado.; 1 permanencia(s) GPS detectada(s); requiere contexto.</t>
  </si>
  <si>
    <t>6.225704, -75.599408</t>
  </si>
  <si>
    <t>6.308258, -75.581629</t>
  </si>
  <si>
    <t>c4a4d894a147fb4f</t>
  </si>
  <si>
    <t>22_10_2026_AO_Diur1.gpx + 22_10_2026_AO_Diur2.gpx</t>
  </si>
  <si>
    <t>c4a4d894a147fb4f735b59397b7831b4267c5636e494888c0488e0d70a348af0</t>
  </si>
  <si>
    <t>22/10/2026</t>
  </si>
  <si>
    <t>22/10/2026 09:42:36</t>
  </si>
  <si>
    <t>22/10/2026 16:34:26</t>
  </si>
  <si>
    <t>Recorrido unificado: 2 tramos (22_10_2026_AO_Diur1.gpx + 22_10_2026_AO_Diur2.gpx).; Inicio GPS tardío: 01:12:36 después de las 08:30.; Fin GPS dentro de la tolerancia del horario programado.; 1 permanencia(s) GPS detectada(s); requiere contexto.</t>
  </si>
  <si>
    <t>6.203322, -75.600756</t>
  </si>
  <si>
    <t>6.225531, -75.599164</t>
  </si>
  <si>
    <t>b5397f62db97bfe5</t>
  </si>
  <si>
    <t>22_10_2026_AR_Diur.gpx</t>
  </si>
  <si>
    <t>b5397f62db97bfe56718066de5b47fbd4b0405ad4faf00e3bff34ad808ac79d8</t>
  </si>
  <si>
    <t>22/10/2026 08:00:28</t>
  </si>
  <si>
    <t>22/10/2026 16:35:43</t>
  </si>
  <si>
    <t>Inicio GPS anterior al horario: 00:29:32 antes de las 08:30.; Fin GPS dentro de la tolerancia del horario programado.; 6 hueco(s) GPS &gt;= 10 min.; 1 permanencia(s) GPS detectada(s); requiere contexto.</t>
  </si>
  <si>
    <t>6.225644, -75.599451</t>
  </si>
  <si>
    <t>6.225577, -75.599461</t>
  </si>
  <si>
    <t>4ef6de34eb8c5b66</t>
  </si>
  <si>
    <t>22_10_2026_HC_Diur.gpx</t>
  </si>
  <si>
    <t>4ef6de34eb8c5b66beb62eef4bc6c50f76d9da52034849890f86b1de9c866dcc</t>
  </si>
  <si>
    <t>22/10/2026 08:45:55</t>
  </si>
  <si>
    <t>22/10/2026 16:32:09</t>
  </si>
  <si>
    <t>Inicio GPS tardío: 00:15:55 después de las 08:30.; Fin GPS dentro de la tolerancia del horario programado.; 1 hueco(s) GPS &gt;= 10 min.; 1 permanencia(s) GPS detectada(s); requiere contexto.</t>
  </si>
  <si>
    <t>6.225718, -75.599188</t>
  </si>
  <si>
    <t>6.225569, -75.599455</t>
  </si>
  <si>
    <t>7c7e30d6fbca5ff5</t>
  </si>
  <si>
    <t>22_10_2026_JHP_Diur.gpx</t>
  </si>
  <si>
    <t>7c7e30d6fbca5ff5834039335b3033b5cb8049c61ee2e2d46aac1104ed4b4674</t>
  </si>
  <si>
    <t>22/10/2026 08:02:20</t>
  </si>
  <si>
    <t>22/10/2026 15:14:57</t>
  </si>
  <si>
    <t>Inicio GPS anterior al horario: 00:27:40 antes de las 08:30.; Fin GPS anticipado: 01:15:03 antes de las 16:30.</t>
  </si>
  <si>
    <t>6.272832, -75.574499</t>
  </si>
  <si>
    <t>6.272799, -75.574363</t>
  </si>
  <si>
    <t>457732f67e597f1a</t>
  </si>
  <si>
    <t>22_10_2026_JP_Diur.gpx</t>
  </si>
  <si>
    <t>457732f67e597f1afbd86fdc80bb47f4495d648dfe91defaebea8d23de0325ba</t>
  </si>
  <si>
    <t>22/10/2026 09:00:01</t>
  </si>
  <si>
    <t>22/10/2026 17:11:48</t>
  </si>
  <si>
    <t>Inicio GPS tardío: 00:30:01 después de las 08:30.; Fin GPS posterior: 00:41:48 después de las 16:30.; 2 hueco(s) GPS &gt;= 10 min.</t>
  </si>
  <si>
    <t>6.225553, -75.599447</t>
  </si>
  <si>
    <t>6.267455, -75.565623</t>
  </si>
  <si>
    <t>1b0bc9d9d6334eba</t>
  </si>
  <si>
    <t>22_10_2026_JZ_Diur.gpx</t>
  </si>
  <si>
    <t>1b0bc9d9d6334ebad9725317d177e9494244c9e84040a782d1cd0c325e3a9bba</t>
  </si>
  <si>
    <t>22/10/2026 08:37:37</t>
  </si>
  <si>
    <t>22/10/2026 13:34:20</t>
  </si>
  <si>
    <t>Inicio GPS dentro de la tolerancia del horario programado.; Fin GPS anticipado: 02:55:40 antes de las 16:30.; 4 hueco(s) GPS &gt;= 10 min.</t>
  </si>
  <si>
    <t>6.226677, -75.599300</t>
  </si>
  <si>
    <t>6.257500, -75.565846</t>
  </si>
  <si>
    <t>a5000db86e0cd5fb</t>
  </si>
  <si>
    <t>22_10_2026_YL_Diur.gpx</t>
  </si>
  <si>
    <t>a5000db86e0cd5fb04f96fda4f952f5e54813a6d6e5048ce642a8e313dd0d38f</t>
  </si>
  <si>
    <t>22/10/2026 10:31:53</t>
  </si>
  <si>
    <t>22/10/2026 16:53:35</t>
  </si>
  <si>
    <t>Inicio GPS tardío: 02:01:53 después de las 08:30.; Fin GPS posterior: 00:23:35 después de las 16:30.; 3 hueco(s) GPS &gt;= 10 min.</t>
  </si>
  <si>
    <t>6.288652, -75.563944</t>
  </si>
  <si>
    <t>6.258216, -75.615898</t>
  </si>
  <si>
    <t>22/10/2026 16:47:55</t>
  </si>
  <si>
    <t>22/10/2026 23:12:25</t>
  </si>
  <si>
    <t>6.225819, -75.599403</t>
  </si>
  <si>
    <t>6.308513, -75.580482</t>
  </si>
  <si>
    <t>fec13d9827ac4bbd</t>
  </si>
  <si>
    <t>22_10_2026_DR_Noct.gpx</t>
  </si>
  <si>
    <t>fec13d9827ac4bbd25cd36e0e29a7ce4cd0d8cce5118f34bce6351e87f9397d4</t>
  </si>
  <si>
    <t>22/10/2026 18:13:09</t>
  </si>
  <si>
    <t>22/10/2026 21:14:33</t>
  </si>
  <si>
    <t>Inicio GPS dentro de la tolerancia del horario programado.; Fin GPS anticipado: 02:45:27 antes de las 00:00.</t>
  </si>
  <si>
    <t>6.235181, -75.602222</t>
  </si>
  <si>
    <t>6.238955, -75.603150</t>
  </si>
  <si>
    <t>6f1cd742758e3714</t>
  </si>
  <si>
    <t>22_10_2026_DV_Noct.gpx</t>
  </si>
  <si>
    <t>6f1cd742758e3714fb27c5381f493fee38b7fc993b34d08d6312097a038ea85f</t>
  </si>
  <si>
    <t>22/10/2026 16:44:01</t>
  </si>
  <si>
    <t>23/10/2026 00:12:41</t>
  </si>
  <si>
    <t>Inicio GPS anterior al horario: 01:15:59 antes de las 18:00.; Fin GPS dentro de la tolerancia del horario programado.</t>
  </si>
  <si>
    <t>6.230051, -75.596048</t>
  </si>
  <si>
    <t>6.272487, -75.602132</t>
  </si>
  <si>
    <t>244c7b7e853d401c</t>
  </si>
  <si>
    <t>22_10_2026_IQ_Noct.gpx</t>
  </si>
  <si>
    <t>244c7b7e853d401caf9298138240b83529692a5497815150c68b00c3ff887f91</t>
  </si>
  <si>
    <t>22/10/2026 16:13:30</t>
  </si>
  <si>
    <t>22/10/2026 23:58:34</t>
  </si>
  <si>
    <t>Inicio GPS anterior al horario: 01:46:30 antes de las 18:00.; Fin GPS dentro de la tolerancia del horario programado.; 3 hueco(s) GPS &gt;= 10 min.; 1 permanencia(s) GPS detectada(s); requiere contexto.</t>
  </si>
  <si>
    <t>6.225638, -75.599180</t>
  </si>
  <si>
    <t>6.272383, -75.540240</t>
  </si>
  <si>
    <t>af9a11ccacfc6b78</t>
  </si>
  <si>
    <t>22_10_2026_JA_Noct.gpx</t>
  </si>
  <si>
    <t>af9a11ccacfc6b787a8214a1184a24dc5cd438aa28dc63c58279de45cdb6bbf1</t>
  </si>
  <si>
    <t>22/10/2026 19:23:23</t>
  </si>
  <si>
    <t>22/10/2026 22:52:12</t>
  </si>
  <si>
    <t>Inicio GPS tardío: 01:23:23 después de las 18:00.; Fin GPS anticipado: 01:07:48 antes de las 00:00.</t>
  </si>
  <si>
    <t>6.225596, -75.599459</t>
  </si>
  <si>
    <t>6.237056, -75.558815</t>
  </si>
  <si>
    <t>715f8e799e3e66b3</t>
  </si>
  <si>
    <t>22_10_2026_JO_Noct.gpx</t>
  </si>
  <si>
    <t>715f8e799e3e66b3e9fc1703ef4db94c6d8937d094ae93b760fce5eb75f8b036</t>
  </si>
  <si>
    <t>22/10/2026 16:54:07</t>
  </si>
  <si>
    <t>23/10/2026 00:08:39</t>
  </si>
  <si>
    <t>Inicio GPS anterior al horario: 01:05:53 antes de las 18:00.; Fin GPS dentro de la tolerancia del horario programado.; 4 hueco(s) GPS &gt;= 10 min.</t>
  </si>
  <si>
    <t>6.234650, -75.594518</t>
  </si>
  <si>
    <t>6.225614, -75.599328</t>
  </si>
  <si>
    <t>3f6cc728699e1857</t>
  </si>
  <si>
    <t>22_10_2026_LA_Noct.gpx</t>
  </si>
  <si>
    <t>3f6cc728699e18575dd3e7777e4329a66a008ccc2a0174680f3f6b4ecd10999e</t>
  </si>
  <si>
    <t>22/10/2026 17:23:51</t>
  </si>
  <si>
    <t>23/10/2026 00:10:13</t>
  </si>
  <si>
    <t>Inicio GPS anterior al horario: 00:36:08 antes de las 18:00.; Fin GPS dentro de la tolerancia del horario programado.; 2 hueco(s) GPS &gt;= 10 min.</t>
  </si>
  <si>
    <t>6.268215, -75.598905</t>
  </si>
  <si>
    <t>6.278360, -75.570973</t>
  </si>
  <si>
    <t>065a7066fc38d85b</t>
  </si>
  <si>
    <t>22_10_2026_SJ_Noct.gpx</t>
  </si>
  <si>
    <t>065a7066fc38d85be0978dcc7abc0d5434d83d5be17ab9e233d099a39b7047f7</t>
  </si>
  <si>
    <t>Inicio GPS anterior al horario: 01:12:05 antes de las 18:00.; Fin GPS anticipado: 00:47:35 antes de las 00:00.</t>
  </si>
  <si>
    <t>eeb6b2db921c7e18</t>
  </si>
  <si>
    <t>23_10_2026_AO_Diur.gpx</t>
  </si>
  <si>
    <t>eeb6b2db921c7e187d9700cd1da50ee0218b4cf7ca8368cb2fcfaf919f59c6ff</t>
  </si>
  <si>
    <t>23/10/2026</t>
  </si>
  <si>
    <t>23/10/2026 08:42:12</t>
  </si>
  <si>
    <t>23/10/2026 15:38:27</t>
  </si>
  <si>
    <t>Inicio GPS dentro de la tolerancia del horario programado.; Fin GPS anticipado: 00:21:33 antes de las 16:00.</t>
  </si>
  <si>
    <t>6.203305, -75.600919</t>
  </si>
  <si>
    <t>6.232104, -75.596869</t>
  </si>
  <si>
    <t>d23e943a6b1d641d</t>
  </si>
  <si>
    <t>23_10_2026_AR_Diur.gpx</t>
  </si>
  <si>
    <t>d23e943a6b1d641dab93d0b85df487a1a37a552fce5141d3b31987b60dbdc64c</t>
  </si>
  <si>
    <t>23/10/2026 08:30:56</t>
  </si>
  <si>
    <t>23/10/2026 13:13:27</t>
  </si>
  <si>
    <t>Inicio GPS dentro de la tolerancia del horario programado.; Fin GPS anticipado: 02:46:33 antes de las 16:00.; 1 hueco(s) GPS &gt;= 10 min.; 1 permanencia(s) GPS detectada(s); requiere contexto.</t>
  </si>
  <si>
    <t>6.247260, -75.614570</t>
  </si>
  <si>
    <t>6.198179, -75.593791</t>
  </si>
  <si>
    <t>9293b34a3cbaa9c8</t>
  </si>
  <si>
    <t>23_10_2026_HC_Diur.gpx</t>
  </si>
  <si>
    <t>9293b34a3cbaa9c8fd38c0433c9b0ced70cb8ce3a2b186d0dc41f01832224759</t>
  </si>
  <si>
    <t>23/10/2026 08:28:45</t>
  </si>
  <si>
    <t>23/10/2026 12:20:35</t>
  </si>
  <si>
    <t>Inicio GPS dentro de la tolerancia del horario programado.; Fin GPS anticipado: 03:39:25 antes de las 16:00.</t>
  </si>
  <si>
    <t>6.243092, -75.562022</t>
  </si>
  <si>
    <t>6.237416, -75.514167</t>
  </si>
  <si>
    <t>9db05e96e61b46f9</t>
  </si>
  <si>
    <t>23_10_2026_JP_Diur.gpx</t>
  </si>
  <si>
    <t>9db05e96e61b46f9bfc9c8639c1217766698effa57a9d115b474bd697241a78d</t>
  </si>
  <si>
    <t>23/10/2026 08:13:20</t>
  </si>
  <si>
    <t>23/10/2026 14:33:53</t>
  </si>
  <si>
    <t>Inicio GPS anterior al horario: 00:16:40 antes de las 08:30.; Fin GPS anticipado: 01:26:07 antes de las 16:00.</t>
  </si>
  <si>
    <t>6.250513, -75.551883</t>
  </si>
  <si>
    <t>6.251840, -75.551847</t>
  </si>
  <si>
    <t>98d5a43b6c6229b2</t>
  </si>
  <si>
    <t>23_10_2026_JZ_Diur.gpx</t>
  </si>
  <si>
    <t>98d5a43b6c6229b2ffe1028f23ef4d26a9fb7943ede762cfc491f7ef92b0654a</t>
  </si>
  <si>
    <t>23/10/2026 08:27:55</t>
  </si>
  <si>
    <t>23/10/2026 15:30:17</t>
  </si>
  <si>
    <t>Inicio GPS dentro de la tolerancia del horario programado.; Fin GPS anticipado: 00:29:43 antes de las 16:00.; 2 hueco(s) GPS &gt;= 10 min.</t>
  </si>
  <si>
    <t>6.226517, -75.599257</t>
  </si>
  <si>
    <t>6.279390, -75.571443</t>
  </si>
  <si>
    <t>418651478afed977</t>
  </si>
  <si>
    <t>23_10_2026_DR_Noct.gpx</t>
  </si>
  <si>
    <t>418651478afed9779a0a65c0fb25fd60fbb44f8273f7df2272164fc29c0e9e5d</t>
  </si>
  <si>
    <t>23/10/2026 18:14:21</t>
  </si>
  <si>
    <t>23/10/2026 21:21:13</t>
  </si>
  <si>
    <t>Inicio GPS dentro de la tolerancia del horario programado.; Fin GPS anticipado: 02:38:47 antes de las 00:00.; 1 hueco(s) GPS &gt;= 10 min.</t>
  </si>
  <si>
    <t>6.200710, -75.579486</t>
  </si>
  <si>
    <t>6.263677, -75.597064</t>
  </si>
  <si>
    <t>859e8f435a5fe3f5</t>
  </si>
  <si>
    <t>23_10_2026_DV_Noct.gpx</t>
  </si>
  <si>
    <t>859e8f435a5fe3f5ea4f167758f839a9ce65733571e60a3938a2b75385afcab6</t>
  </si>
  <si>
    <t>23/10/2026 18:37:57</t>
  </si>
  <si>
    <t>26/10/2026 14:59:07</t>
  </si>
  <si>
    <t>Inicio GPS tardío: 00:37:57 después de las 18:00.; Fin GPS posterior: 62:59:07 después de las 00:00.; 1 hueco(s) GPS &gt;= 10 min.</t>
  </si>
  <si>
    <t>6.250121, -75.556875</t>
  </si>
  <si>
    <t>6.225588, -75.598989</t>
  </si>
  <si>
    <t>9caf4ceabc1f0e3d</t>
  </si>
  <si>
    <t>23_10_2026_IQ_Noct.gpx</t>
  </si>
  <si>
    <t>9caf4ceabc1f0e3dc77f86f662929a87e802211ae7d60beeef79d9bcf07a2aee</t>
  </si>
  <si>
    <t>23/10/2026 18:37:07</t>
  </si>
  <si>
    <t>23/10/2026 23:37:14</t>
  </si>
  <si>
    <t>Inicio GPS tardío: 00:37:07 después de las 18:00.; Fin GPS anticipado: 00:22:46 antes de las 00:00.; 6 hueco(s) GPS &gt;= 10 min.; 1 permanencia(s) GPS detectada(s); requiere contexto.</t>
  </si>
  <si>
    <t>6.272572, -75.540537</t>
  </si>
  <si>
    <t>6.217133, -75.595055</t>
  </si>
  <si>
    <t>b2a5144033ad4778</t>
  </si>
  <si>
    <t>23_10_2026_JA_Noct.gpx</t>
  </si>
  <si>
    <t>b2a5144033ad4778640cf6e1d5c776b1ddc0159368b398c0690eafcf9af307b5</t>
  </si>
  <si>
    <t>23/10/2026 19:49:39</t>
  </si>
  <si>
    <t>23/10/2026 23:31:28</t>
  </si>
  <si>
    <t>Inicio GPS tardío: 01:49:39 después de las 18:00.; Fin GPS anticipado: 00:28:32 antes de las 00:00.</t>
  </si>
  <si>
    <t>6.238649, -75.573252</t>
  </si>
  <si>
    <t>6.235418, -75.554733</t>
  </si>
  <si>
    <t>dd7ee214f66c9202</t>
  </si>
  <si>
    <t>23_10_2026_JO_Noct.gpx</t>
  </si>
  <si>
    <t>dd7ee214f66c920293f73d63fce7399cf6494c569bb01d08e66bef63e60469d9</t>
  </si>
  <si>
    <t>23/10/2026 18:02:29</t>
  </si>
  <si>
    <t>23/10/2026 23:58:14</t>
  </si>
  <si>
    <t>6.255766, -75.619711</t>
  </si>
  <si>
    <t>6.246984, -75.554087</t>
  </si>
  <si>
    <t>94cf76720408085f</t>
  </si>
  <si>
    <t>23_10_2026_SJ_Noct.gpx</t>
  </si>
  <si>
    <t>94cf76720408085f9d47177175ed1a707ae9efca3190d4468fd1054a2fc39578</t>
  </si>
  <si>
    <t>23/10/2026 17:26:53</t>
  </si>
  <si>
    <t>23/10/2026 22:13:50</t>
  </si>
  <si>
    <t>Inicio GPS anterior al horario: 00:33:07 antes de las 18:00.; Fin GPS anticipado: 01:46:10 antes de las 00:00.</t>
  </si>
  <si>
    <t>6.309248, -75.575904</t>
  </si>
  <si>
    <t>6.309014, -75.576319</t>
  </si>
  <si>
    <t>f5bc49f5b3486d3e</t>
  </si>
  <si>
    <t>26_10_2026_AO_Diur.gpx</t>
  </si>
  <si>
    <t>f5bc49f5b3486d3e90f042084577ccf61fe2cf630df163c6335c8944351f6ba2</t>
  </si>
  <si>
    <t>26/10/2026</t>
  </si>
  <si>
    <t>26/10/2026 08:53:47</t>
  </si>
  <si>
    <t>26/10/2026 16:35:09</t>
  </si>
  <si>
    <t>Inicio GPS tardío: 00:23:47 después de las 08:30.; Fin GPS dentro de la tolerancia del horario programado.; 1 hueco(s) GPS &gt;= 10 min.; 1 permanencia(s) GPS detectada(s); requiere contexto.</t>
  </si>
  <si>
    <t>6.203407, -75.600692</t>
  </si>
  <si>
    <t>6.221575, -75.593853</t>
  </si>
  <si>
    <t>2f37f3e26aa73ba3</t>
  </si>
  <si>
    <t>26_10_2026_AR_Diur.gpx</t>
  </si>
  <si>
    <t>2f37f3e26aa73ba32b31361189c6050d4ab7e665d08762a944f110275e2eeee5</t>
  </si>
  <si>
    <t>26/10/2026 08:03:48</t>
  </si>
  <si>
    <t>26/10/2026 16:32:27</t>
  </si>
  <si>
    <t>Inicio GPS anterior al horario: 00:26:12 antes de las 08:30.; Fin GPS dentro de la tolerancia del horario programado.; 1 hueco(s) GPS &gt;= 10 min.</t>
  </si>
  <si>
    <t>6.225613, -75.599300</t>
  </si>
  <si>
    <t>6.247712, -75.615081</t>
  </si>
  <si>
    <t>68ec9dddc7482a0a</t>
  </si>
  <si>
    <t>26_10_2026_HC_Diurn.gpx</t>
  </si>
  <si>
    <t>68ec9dddc7482a0a1afb3c4bfe3decc2d126b931dc4ce2d383d01cf4b2a3e00a</t>
  </si>
  <si>
    <t>26/10/2026 08:17:48</t>
  </si>
  <si>
    <t>26/10/2026 13:34:01</t>
  </si>
  <si>
    <t>Inicio GPS dentro de la tolerancia del horario programado.; Fin GPS anticipado: 02:55:59 antes de las 16:30.; 1 hueco(s) GPS &gt;= 10 min.</t>
  </si>
  <si>
    <t>6.225761, -75.599428</t>
  </si>
  <si>
    <t>6.290553, -75.569750</t>
  </si>
  <si>
    <t>5d7ff907a7dc2568</t>
  </si>
  <si>
    <t>26_10_2026_JHP_Diur.gpx</t>
  </si>
  <si>
    <t>5d7ff907a7dc2568bb86b85b5abf48062924583c042c47986667b8a8723c9ee8</t>
  </si>
  <si>
    <t>26/10/2026 08:22:00</t>
  </si>
  <si>
    <t>26/10/2026 16:07:11</t>
  </si>
  <si>
    <t>Inicio GPS dentro de la tolerancia del horario programado.; Fin GPS anticipado: 00:22:49 antes de las 16:30.</t>
  </si>
  <si>
    <t>6.225609, -75.599515</t>
  </si>
  <si>
    <t>6.263744, -75.567603</t>
  </si>
  <si>
    <t>9f015df92ab14f27</t>
  </si>
  <si>
    <t>26_10_2026_JZ_Diur.gpx</t>
  </si>
  <si>
    <t>9f015df92ab14f2743c016b69f1a16ec3ba26916eef88a258e66e9d30f42b9f7</t>
  </si>
  <si>
    <t>26/10/2026 08:40:06</t>
  </si>
  <si>
    <t>26/10/2026 16:10:00</t>
  </si>
  <si>
    <t>Inicio GPS dentro de la tolerancia del horario programado.; Fin GPS anticipado: 00:20:00 antes de las 16:30.</t>
  </si>
  <si>
    <t>6.226662, -75.599292</t>
  </si>
  <si>
    <t>6.246637, -75.570027</t>
  </si>
  <si>
    <t>1be3bb4ef0db85ed</t>
  </si>
  <si>
    <t>26_10_2026_YL_Diur.gpx</t>
  </si>
  <si>
    <t>1be3bb4ef0db85ed86c14eef4f8a7688efe4cf0c0e704b688a884db0a9f7b50f</t>
  </si>
  <si>
    <t>26/10/2026 10:39:13</t>
  </si>
  <si>
    <t>26/10/2026 14:49:48</t>
  </si>
  <si>
    <t>Inicio GPS tardío: 02:09:13 después de las 08:30.; Fin GPS anticipado: 01:40:12 antes de las 16:30.; 1 hueco(s) GPS &gt;= 10 min.; 1 permanencia(s) GPS detectada(s); requiere contexto.</t>
  </si>
  <si>
    <t>6.258375, -75.615757</t>
  </si>
  <si>
    <t>6.258522, -75.616170</t>
  </si>
  <si>
    <t>3c08d80696826ea4</t>
  </si>
  <si>
    <t>26_10_2026_DR_Noct.gpx</t>
  </si>
  <si>
    <t>3c08d80696826ea4111a73260545d6e9bedbe4365926ba41eefaa907cb34f370</t>
  </si>
  <si>
    <t>26/10/2026 18:04:02</t>
  </si>
  <si>
    <t>26/10/2026 22:15:11</t>
  </si>
  <si>
    <t>Inicio GPS dentro de la tolerancia del horario programado.; Fin GPS anticipado: 01:44:49 antes de las 00:00.</t>
  </si>
  <si>
    <t>6.250335, -75.600364</t>
  </si>
  <si>
    <t>6.250692, -75.601540</t>
  </si>
  <si>
    <t>84789c3cdfbfb174</t>
  </si>
  <si>
    <t>26_10_2026_DV_Noct.gpx</t>
  </si>
  <si>
    <t>84789c3cdfbfb17449ce6a6feb5d7920c8f88117947df1d2d3c8c0de3d2e6aa3</t>
  </si>
  <si>
    <t>26/10/2026 16:34:27</t>
  </si>
  <si>
    <t>27/10/2026 00:15:46</t>
  </si>
  <si>
    <t>Inicio GPS anterior al horario: 01:25:33 antes de las 18:00.; Fin GPS posterior: 00:15:46 después de las 00:00.; 1 permanencia(s) GPS detectada(s); requiere contexto.</t>
  </si>
  <si>
    <t>6.225469, -75.599356</t>
  </si>
  <si>
    <t>6.272618, -75.601983</t>
  </si>
  <si>
    <t>71f709fdb7ad25ec</t>
  </si>
  <si>
    <t>26_10_2026_IQ_Noct.gpx</t>
  </si>
  <si>
    <t>71f709fdb7ad25ec7a087bb68f523dfed90cc6fe2f1c3913dd8cca33a903dbf8</t>
  </si>
  <si>
    <t>26/10/2026 16:11:37</t>
  </si>
  <si>
    <t>26/10/2026 23:57:07</t>
  </si>
  <si>
    <t>Inicio GPS anterior al horario: 01:48:23 antes de las 18:00.; Fin GPS dentro de la tolerancia del horario programado.; 3 hueco(s) GPS &gt;= 10 min.</t>
  </si>
  <si>
    <t>6.225762, -75.599110</t>
  </si>
  <si>
    <t>6.225012, -75.599493</t>
  </si>
  <si>
    <t>b80e84b4e668586e</t>
  </si>
  <si>
    <t>26_10_2026_JA_Noct.gpx</t>
  </si>
  <si>
    <t>b80e84b4e668586ec862efa9e9c7fb4d8f0a0d6732d56d15238a4f3a0a71936a</t>
  </si>
  <si>
    <t>26/10/2026 17:00:09</t>
  </si>
  <si>
    <t>26/10/2026 22:31:57</t>
  </si>
  <si>
    <t>Inicio GPS anterior al horario: 00:59:51 antes de las 18:00.; Fin GPS anticipado: 01:28:03 antes de las 00:00.; 1 hueco(s) GPS &gt;= 10 min.</t>
  </si>
  <si>
    <t>6.225378, -75.599435</t>
  </si>
  <si>
    <t>6.236978, -75.558823</t>
  </si>
  <si>
    <t>2c6a2dcea75ea8be</t>
  </si>
  <si>
    <t>26_10_2026_JO_Noct.gpx</t>
  </si>
  <si>
    <t>2c6a2dcea75ea8be1a4a155b55531d2529e3c3ae2c9e1467ea2b159fda9a148a</t>
  </si>
  <si>
    <t>26/10/2026 18:09:27</t>
  </si>
  <si>
    <t>26/10/2026 23:52:19</t>
  </si>
  <si>
    <t>6.190445, -75.577249</t>
  </si>
  <si>
    <t>6.255642, -75.620604</t>
  </si>
  <si>
    <t>e28e4030f79b6545</t>
  </si>
  <si>
    <t>26_10_2026_LA_Noct.gpx</t>
  </si>
  <si>
    <t>e28e4030f79b6545948e9445744b9519633964fe59234953505229bf072683ff</t>
  </si>
  <si>
    <t>26/10/2026 16:29:39</t>
  </si>
  <si>
    <t>27/10/2026 00:12:47</t>
  </si>
  <si>
    <t>Inicio GPS anterior al horario: 01:30:20 antes de las 18:00.; Fin GPS dentro de la tolerancia del horario programado.; 3 hueco(s) GPS &gt;= 10 min.</t>
  </si>
  <si>
    <t>6.226630, -75.599257</t>
  </si>
  <si>
    <t>6.257492, -75.583868</t>
  </si>
  <si>
    <t>07712bb524c11411</t>
  </si>
  <si>
    <t>26_10_2026_SJ_Noct.gpx</t>
  </si>
  <si>
    <t>07712bb524c114114ccbd139d9d66469a9e89d32030003483cf11212a3bc95f3</t>
  </si>
  <si>
    <t>26/10/2026 19:03:32</t>
  </si>
  <si>
    <t>26/10/2026 23:44:37</t>
  </si>
  <si>
    <t>Inicio GPS tardío: 01:03:32 después de las 18:00.; Fin GPS anticipado: 00:15:23 antes de las 00:00.</t>
  </si>
  <si>
    <t>6.222795, -75.598665</t>
  </si>
  <si>
    <t>6.307909, -75.582012</t>
  </si>
  <si>
    <t>960c983801b41876</t>
  </si>
  <si>
    <t>27_10_2026_HC_Diur.gpx</t>
  </si>
  <si>
    <t>960c983801b4187669f68471515db034a2a7989ec2ca7e217fb44ebeb22d948a</t>
  </si>
  <si>
    <t>27/10/2026</t>
  </si>
  <si>
    <t>27/10/2026 08:35:28</t>
  </si>
  <si>
    <t>27/10/2026 13:50:38</t>
  </si>
  <si>
    <t>Inicio GPS dentro de la tolerancia del horario programado.; Fin GPS anticipado: 02:39:22 antes de las 16:30.; 1 hueco(s) GPS &gt;= 10 min.</t>
  </si>
  <si>
    <t>6.234606, -75.608090</t>
  </si>
  <si>
    <t>6.287460, -75.567243</t>
  </si>
  <si>
    <t>f5d2c6f520cb0d99</t>
  </si>
  <si>
    <t>27_10_2026_JHP_Diur.gpx</t>
  </si>
  <si>
    <t>f5d2c6f520cb0d99bdfc2199f35f28cf951dbfe2b39e40be5696e12821d0c606</t>
  </si>
  <si>
    <t>27/10/2026 11:57:50</t>
  </si>
  <si>
    <t>27/10/2026 16:37:58</t>
  </si>
  <si>
    <t>Inicio GPS tardío: 03:27:50 después de las 08:30.; Fin GPS dentro de la tolerancia del horario programado.</t>
  </si>
  <si>
    <t>6.193223, -75.581580</t>
  </si>
  <si>
    <t>6.290434, -75.546555</t>
  </si>
  <si>
    <t>68f0515165e22b88</t>
  </si>
  <si>
    <t>27_10_2026_JP_Diur.gpx</t>
  </si>
  <si>
    <t>68f0515165e22b88cbd1b9a9a50868c2271aeea1c016d5717b4c059930bcf379</t>
  </si>
  <si>
    <t>27/10/2026 08:08:24</t>
  </si>
  <si>
    <t>27/10/2026 14:40:55</t>
  </si>
  <si>
    <t>Inicio GPS anterior al horario: 00:21:36 antes de las 08:30.; Fin GPS anticipado: 01:49:05 antes de las 16:30.; 1 hueco(s) GPS &gt;= 10 min.</t>
  </si>
  <si>
    <t>6.225675, -75.599543</t>
  </si>
  <si>
    <t>6.251865, -75.551808</t>
  </si>
  <si>
    <t>85be2cedfc6ac704</t>
  </si>
  <si>
    <t>27_10_2026_JZ_Diur.gpx</t>
  </si>
  <si>
    <t>85be2cedfc6ac704d8f91270a148dce0d5af0e3982385d1df8413e4b44d82dee</t>
  </si>
  <si>
    <t>27/10/2026 08:27:37</t>
  </si>
  <si>
    <t>27/10/2026 14:53:07</t>
  </si>
  <si>
    <t>Inicio GPS dentro de la tolerancia del horario programado.; Fin GPS anticipado: 01:36:53 antes de las 16:30.</t>
  </si>
  <si>
    <t>6.226675, -75.599328</t>
  </si>
  <si>
    <t>6.225583, -75.599237</t>
  </si>
  <si>
    <t>d7465035e70b436c</t>
  </si>
  <si>
    <t>27_10_2026_YL_Diur.gpx</t>
  </si>
  <si>
    <t>d7465035e70b436ca5d7042f5c7ad9e033c40cf3b30f05249c1b0cc07211a374</t>
  </si>
  <si>
    <t>27/10/2026 08:00:09</t>
  </si>
  <si>
    <t>27/10/2026 15:51:12</t>
  </si>
  <si>
    <t>Inicio GPS anterior al horario: 00:29:51 antes de las 08:30.; Fin GPS anticipado: 00:38:48 antes de las 16:30.; 2 hueco(s) GPS &gt;= 10 min.</t>
  </si>
  <si>
    <t>6.225617, -75.599390</t>
  </si>
  <si>
    <t>6.258366, -75.615860</t>
  </si>
  <si>
    <t>7ff1c3ac1fab6fcf</t>
  </si>
  <si>
    <t>27_10_2026_AR_Diur.gpx</t>
  </si>
  <si>
    <t>7ff1c3ac1fab6fcf2ba98325ff8d5c21e51028faa41c72caa1cbf1b588d847d2</t>
  </si>
  <si>
    <t>27/10/2026 08:00:59</t>
  </si>
  <si>
    <t>27/10/2026 16:35:10</t>
  </si>
  <si>
    <t>Inicio GPS anterior al horario: 00:29:01 antes de las 08:30.; Fin GPS dentro de la tolerancia del horario programado.; 2 hueco(s) GPS &gt;= 10 min.; 1 permanencia(s) GPS detectada(s); requiere contexto.</t>
  </si>
  <si>
    <t>6.225726, -75.599492</t>
  </si>
  <si>
    <t>6.225671, -75.599393</t>
  </si>
  <si>
    <t>El tecnico inició tarde el recoirrido debido a permiso personal</t>
  </si>
  <si>
    <t>685d42a06edd2052</t>
  </si>
  <si>
    <t>27_10_2026_AO_Diur.gpx</t>
  </si>
  <si>
    <t>685d42a06edd20526c49520e3b35f4ce00e8db78ad5ed9aaef6c8cab71f349e9</t>
  </si>
  <si>
    <t>27/10/2026 08:30:51</t>
  </si>
  <si>
    <t>27/10/2026 16:32:44</t>
  </si>
  <si>
    <t>6.203308, -75.600775</t>
  </si>
  <si>
    <t>6.225633, -75.599179</t>
  </si>
  <si>
    <t>f1803cdbd830f701</t>
  </si>
  <si>
    <t>27_10_2026_DR_Noct.gpx</t>
  </si>
  <si>
    <t>f1803cdbd830f701419da8f8772ce5adec4b2ab46f025c658f959dc3d8961206</t>
  </si>
  <si>
    <t>27/10/2026 18:03:34</t>
  </si>
  <si>
    <t>27/10/2026 23:52:25</t>
  </si>
  <si>
    <t>6.213925, -75.596495</t>
  </si>
  <si>
    <t>6.225397, -75.599835</t>
  </si>
  <si>
    <t>199cbdff734b1f1e</t>
  </si>
  <si>
    <t>27_10_2026_DV_Noct.gpx</t>
  </si>
  <si>
    <t>199cbdff734b1f1ead9b7d7dab319b7df25ed3e4107cd965842a96db55a1c4b8</t>
  </si>
  <si>
    <t>27/10/2026 16:51:06</t>
  </si>
  <si>
    <t>28/10/2026 00:13:49</t>
  </si>
  <si>
    <t>Inicio GPS anterior al horario: 01:08:54 antes de las 18:00.; Fin GPS dentro de la tolerancia del horario programado.; 1 hueco(s) GPS &gt;= 10 min.; 1 permanencia(s) GPS detectada(s); requiere contexto.</t>
  </si>
  <si>
    <t>6.226707, -75.599355</t>
  </si>
  <si>
    <t>6.272748, -75.601924</t>
  </si>
  <si>
    <t>b35dbdd214d4c899</t>
  </si>
  <si>
    <t>27_10_2026_IQ_Noct.gpx</t>
  </si>
  <si>
    <t>b35dbdd214d4c89990e840d3f2f8820d57797238e4db81a8c6f9c3bd01f9ec2e</t>
  </si>
  <si>
    <t>27/10/2026 16:35:09</t>
  </si>
  <si>
    <t>27/10/2026 22:52:51</t>
  </si>
  <si>
    <t>Inicio GPS anterior al horario: 01:24:51 antes de las 18:00.; Fin GPS anticipado: 01:07:09 antes de las 00:00.; 3 hueco(s) GPS &gt;= 10 min.</t>
  </si>
  <si>
    <t>6.225607, -75.599149</t>
  </si>
  <si>
    <t>6.261658, -75.556609</t>
  </si>
  <si>
    <t>b7e12e291f93934b</t>
  </si>
  <si>
    <t>27_10_2026_JA_Noct.gpx</t>
  </si>
  <si>
    <t>b7e12e291f93934b95d1ac9ef213350a0f2f802c9712e36bc9d3fccecbe24dbe</t>
  </si>
  <si>
    <t>27/10/2026 16:35:39</t>
  </si>
  <si>
    <t>27/10/2026 22:23:04</t>
  </si>
  <si>
    <t>Inicio GPS anterior al horario: 01:24:21 antes de las 18:00.; Fin GPS anticipado: 01:36:56 antes de las 00:00.</t>
  </si>
  <si>
    <t>6.225533, -75.599144</t>
  </si>
  <si>
    <t>6.236972, -75.558849</t>
  </si>
  <si>
    <t>734eddeafebed5f1</t>
  </si>
  <si>
    <t>27_10_2026_JO_Noct.gpx</t>
  </si>
  <si>
    <t>734eddeafebed5f15ecd564b8bd1d5b1de718c014d2d41382b420ea60d47c75b</t>
  </si>
  <si>
    <t>27/10/2026 16:52:11</t>
  </si>
  <si>
    <t>27/10/2026 23:53:05</t>
  </si>
  <si>
    <t>Inicio GPS anterior al horario: 01:07:49 antes de las 18:00.; Fin GPS dentro de la tolerancia del horario programado.; 9 hueco(s) GPS &gt;= 10 min.</t>
  </si>
  <si>
    <t>6.225617, -75.599436</t>
  </si>
  <si>
    <t>6.255419, -75.620419</t>
  </si>
  <si>
    <t>f56c8f8e8cecac74</t>
  </si>
  <si>
    <t>27_10_2026_LA_Noct.gpx</t>
  </si>
  <si>
    <t>f56c8f8e8cecac74b4c86d4dde30ce12118022429108f5e2e9417d882caaa114</t>
  </si>
  <si>
    <t>27/10/2026 16:35:46</t>
  </si>
  <si>
    <t>28/10/2026 00:00:01</t>
  </si>
  <si>
    <t>Inicio GPS anterior al horario: 01:24:13 antes de las 18:00.; Fin GPS dentro de la tolerancia del horario programado.; 4 hueco(s) GPS &gt;= 10 min.</t>
  </si>
  <si>
    <t>6.225507, -75.599450</t>
  </si>
  <si>
    <t>6.219703, -75.576880</t>
  </si>
  <si>
    <t>1a7a082032989bfe</t>
  </si>
  <si>
    <t>27_10_2026_SJ_Noct.gpx</t>
  </si>
  <si>
    <t>1a7a082032989bfed0d9cc46ef2318cb00317dc0a3158f018c36f820c13ef741</t>
  </si>
  <si>
    <t>27/10/2026 16:45:25</t>
  </si>
  <si>
    <t>27/10/2026 23:54:05</t>
  </si>
  <si>
    <t>Inicio GPS anterior al horario: 01:14:35 antes de las 18:00.; Fin GPS dentro de la tolerancia del horario programado.; 1 hueco(s) GPS &gt;= 10 min.</t>
  </si>
  <si>
    <t>6.225578, -75.599444</t>
  </si>
  <si>
    <t>6.307864, -75.582019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</si>
</sst>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1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8">
      <pivotArea outline="0" collapsedLevelsAreSubtotals="1" fieldPosition="0"/>
    </format>
    <format dxfId="17">
      <pivotArea field="6" type="button" dataOnly="0" labelOnly="1" outline="0" axis="axisRow" fieldPosition="0"/>
    </format>
    <format dxfId="1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grandCol="1" outline="0" fieldPosition="0"/>
    </format>
    <format dxfId="12">
      <pivotArea outline="0" collapsedLevelsAreSubtotals="1" fieldPosition="0"/>
    </format>
    <format dxfId="11">
      <pivotArea field="6" type="button" dataOnly="0" labelOnly="1" outline="0" axis="axisRow" fieldPosition="0"/>
    </format>
    <format dxfId="1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1">
          <reference field="17" count="0"/>
        </references>
      </pivotArea>
    </format>
    <format dxfId="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1" totalsRowShown="0" headerRowDxfId="72" dataDxfId="71">
  <autoFilter ref="A1:AF1048561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558"/>
  <sheetViews>
    <sheetView tabSelected="1" zoomScale="80" zoomScaleNormal="80" workbookViewId="0">
      <pane ySplit="1" topLeftCell="A536" activePane="bottomLeft" state="frozen"/>
      <selection pane="bottomLeft" activeCell="AN557" sqref="AN55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51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  <row r="495" spans="1:40" ht="15" x14ac:dyDescent="0.25">
      <c r="A495" s="9" t="s">
        <v>4062</v>
      </c>
      <c r="B495" s="9" t="s">
        <v>4063</v>
      </c>
      <c r="C495" s="9" t="s">
        <v>4064</v>
      </c>
      <c r="D495" s="9" t="s">
        <v>4065</v>
      </c>
      <c r="E495" s="9" t="s">
        <v>2619</v>
      </c>
      <c r="F495" s="9" t="s">
        <v>169</v>
      </c>
      <c r="G495" s="9" t="s">
        <v>38</v>
      </c>
      <c r="H495" s="9" t="s">
        <v>39</v>
      </c>
      <c r="I495" s="9" t="s">
        <v>40</v>
      </c>
      <c r="J495" s="9">
        <v>3516</v>
      </c>
      <c r="K495" s="9" t="s">
        <v>4066</v>
      </c>
      <c r="L495" s="9" t="s">
        <v>42</v>
      </c>
      <c r="M495" s="10">
        <v>3.2523148148148148E-2</v>
      </c>
      <c r="N495" s="9" t="s">
        <v>43</v>
      </c>
      <c r="O495" s="9" t="s">
        <v>4067</v>
      </c>
      <c r="P495" s="9" t="s">
        <v>45</v>
      </c>
      <c r="Q495" s="10">
        <v>1.3541666666666669E-3</v>
      </c>
      <c r="R495" s="9" t="s">
        <v>46</v>
      </c>
      <c r="S495" s="10">
        <v>0.30216435185185192</v>
      </c>
      <c r="T495" s="9">
        <v>49.67</v>
      </c>
      <c r="U495" s="9">
        <v>10.199999999999999</v>
      </c>
      <c r="V495" s="10">
        <v>0.20281250000000001</v>
      </c>
      <c r="W495" s="10">
        <v>0.12973379629629631</v>
      </c>
      <c r="X495" s="10">
        <v>1.6597222222222222E-2</v>
      </c>
      <c r="Y495" s="9">
        <v>1</v>
      </c>
      <c r="Z495" s="9">
        <v>1</v>
      </c>
      <c r="AA495" s="9">
        <v>0</v>
      </c>
      <c r="AB495" s="9">
        <v>0</v>
      </c>
      <c r="AC495" s="9">
        <v>0</v>
      </c>
      <c r="AD495" s="9">
        <v>1</v>
      </c>
      <c r="AE495" s="9" t="s">
        <v>47</v>
      </c>
      <c r="AF495" s="9" t="s">
        <v>4068</v>
      </c>
      <c r="AG495" s="9" t="s">
        <v>4069</v>
      </c>
      <c r="AH495" s="9">
        <v>6.2032489999999996</v>
      </c>
      <c r="AI495" s="9">
        <v>-75.600742999999994</v>
      </c>
      <c r="AJ495" s="9" t="s">
        <v>4070</v>
      </c>
      <c r="AK495" s="9">
        <v>6.2321739999999997</v>
      </c>
      <c r="AL495" s="9">
        <v>-75.596885999999998</v>
      </c>
      <c r="AM495" s="26">
        <f t="shared" si="8"/>
        <v>3.2523148148148148E-2</v>
      </c>
    </row>
    <row r="496" spans="1:40" ht="15" x14ac:dyDescent="0.25">
      <c r="A496" s="9" t="s">
        <v>4071</v>
      </c>
      <c r="B496" s="9" t="s">
        <v>4072</v>
      </c>
      <c r="C496" s="9" t="s">
        <v>4073</v>
      </c>
      <c r="D496" s="9" t="s">
        <v>4065</v>
      </c>
      <c r="E496" s="9" t="s">
        <v>2619</v>
      </c>
      <c r="F496" s="9" t="s">
        <v>169</v>
      </c>
      <c r="G496" s="9" t="s">
        <v>52</v>
      </c>
      <c r="H496" s="9" t="s">
        <v>53</v>
      </c>
      <c r="I496" s="9" t="s">
        <v>40</v>
      </c>
      <c r="J496" s="9">
        <v>2797</v>
      </c>
      <c r="K496" s="9" t="s">
        <v>4074</v>
      </c>
      <c r="L496" s="9" t="s">
        <v>42</v>
      </c>
      <c r="M496" s="10">
        <v>3.1481481481481482E-3</v>
      </c>
      <c r="N496" s="9" t="s">
        <v>65</v>
      </c>
      <c r="O496" s="9" t="s">
        <v>4075</v>
      </c>
      <c r="P496" s="9" t="s">
        <v>45</v>
      </c>
      <c r="Q496" s="10">
        <v>5.7175925925925927E-3</v>
      </c>
      <c r="R496" s="9" t="s">
        <v>46</v>
      </c>
      <c r="S496" s="10">
        <v>0.33076388888888891</v>
      </c>
      <c r="T496" s="9">
        <v>39.484999999999999</v>
      </c>
      <c r="U496" s="9">
        <v>5.7</v>
      </c>
      <c r="V496" s="10">
        <v>0.28873842592592591</v>
      </c>
      <c r="W496" s="10">
        <v>0.23219907407407411</v>
      </c>
      <c r="X496" s="10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3</v>
      </c>
      <c r="AE496" s="9" t="s">
        <v>84</v>
      </c>
      <c r="AF496" s="9" t="s">
        <v>292</v>
      </c>
      <c r="AG496" s="9" t="s">
        <v>4076</v>
      </c>
      <c r="AH496" s="9">
        <v>6.2256819999999999</v>
      </c>
      <c r="AI496" s="9">
        <v>-75.599463</v>
      </c>
      <c r="AJ496" s="9" t="s">
        <v>4077</v>
      </c>
      <c r="AK496" s="9">
        <v>6.2417860000000003</v>
      </c>
      <c r="AL496" s="9">
        <v>-75.607845999999995</v>
      </c>
      <c r="AM496" s="26">
        <f t="shared" si="8"/>
        <v>0</v>
      </c>
    </row>
    <row r="497" spans="1:40" ht="15" x14ac:dyDescent="0.25">
      <c r="A497" s="9" t="s">
        <v>4078</v>
      </c>
      <c r="B497" s="9" t="s">
        <v>4079</v>
      </c>
      <c r="C497" s="9" t="s">
        <v>4080</v>
      </c>
      <c r="D497" s="9" t="s">
        <v>4065</v>
      </c>
      <c r="E497" s="9" t="s">
        <v>2619</v>
      </c>
      <c r="F497" s="9" t="s">
        <v>169</v>
      </c>
      <c r="G497" s="9" t="s">
        <v>144</v>
      </c>
      <c r="H497" s="9" t="s">
        <v>145</v>
      </c>
      <c r="I497" s="9" t="s">
        <v>40</v>
      </c>
      <c r="J497" s="9">
        <v>6988</v>
      </c>
      <c r="K497" s="9" t="s">
        <v>4081</v>
      </c>
      <c r="L497" s="9" t="s">
        <v>42</v>
      </c>
      <c r="M497" s="10">
        <v>1.4120370370370369E-3</v>
      </c>
      <c r="N497" s="9" t="s">
        <v>65</v>
      </c>
      <c r="O497" s="9" t="s">
        <v>4082</v>
      </c>
      <c r="P497" s="9" t="s">
        <v>45</v>
      </c>
      <c r="Q497" s="10">
        <v>1.0856481481481481E-2</v>
      </c>
      <c r="R497" s="9" t="s">
        <v>56</v>
      </c>
      <c r="S497" s="10">
        <v>0.3210648148148148</v>
      </c>
      <c r="T497" s="9">
        <v>93.13</v>
      </c>
      <c r="U497" s="9">
        <v>15.72</v>
      </c>
      <c r="V497" s="10">
        <v>0.24684027777777781</v>
      </c>
      <c r="W497" s="10">
        <v>7.7210648148148153E-2</v>
      </c>
      <c r="X497" s="10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 t="s">
        <v>67</v>
      </c>
      <c r="AF497" s="9" t="s">
        <v>4083</v>
      </c>
      <c r="AG497" s="9" t="s">
        <v>4084</v>
      </c>
      <c r="AH497" s="9">
        <v>6.2542340000000003</v>
      </c>
      <c r="AI497" s="9">
        <v>-75.574906999999996</v>
      </c>
      <c r="AJ497" s="9" t="s">
        <v>4085</v>
      </c>
      <c r="AK497" s="9">
        <v>6.2728339999999996</v>
      </c>
      <c r="AL497" s="9">
        <v>-75.574434999999994</v>
      </c>
      <c r="AM497" s="26">
        <f t="shared" si="8"/>
        <v>1.0856481481481481E-2</v>
      </c>
    </row>
    <row r="498" spans="1:40" ht="15" x14ac:dyDescent="0.25">
      <c r="A498" s="9" t="s">
        <v>4086</v>
      </c>
      <c r="B498" s="9" t="s">
        <v>4087</v>
      </c>
      <c r="C498" s="9" t="s">
        <v>4088</v>
      </c>
      <c r="D498" s="9" t="s">
        <v>4065</v>
      </c>
      <c r="E498" s="9" t="s">
        <v>2619</v>
      </c>
      <c r="F498" s="9" t="s">
        <v>169</v>
      </c>
      <c r="G498" s="9" t="s">
        <v>152</v>
      </c>
      <c r="H498" s="9" t="s">
        <v>153</v>
      </c>
      <c r="I498" s="9" t="s">
        <v>40</v>
      </c>
      <c r="J498" s="9">
        <v>4044</v>
      </c>
      <c r="K498" s="9" t="s">
        <v>4089</v>
      </c>
      <c r="L498" s="9" t="s">
        <v>42</v>
      </c>
      <c r="M498" s="10">
        <v>8.0787037037037043E-3</v>
      </c>
      <c r="N498" s="9" t="s">
        <v>65</v>
      </c>
      <c r="O498" s="9" t="s">
        <v>4090</v>
      </c>
      <c r="P498" s="9" t="s">
        <v>45</v>
      </c>
      <c r="Q498" s="10">
        <v>2.809027777777778E-2</v>
      </c>
      <c r="R498" s="9" t="s">
        <v>56</v>
      </c>
      <c r="S498" s="10">
        <v>0.29716435185185192</v>
      </c>
      <c r="T498" s="9">
        <v>51.698</v>
      </c>
      <c r="U498" s="9">
        <v>8.0500000000000007</v>
      </c>
      <c r="V498" s="10">
        <v>0.26775462962962959</v>
      </c>
      <c r="W498" s="10">
        <v>0.15445601851851851</v>
      </c>
      <c r="X498" s="10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2</v>
      </c>
      <c r="AE498" s="9" t="s">
        <v>67</v>
      </c>
      <c r="AF498" s="9" t="s">
        <v>4091</v>
      </c>
      <c r="AG498" s="9" t="s">
        <v>4092</v>
      </c>
      <c r="AH498" s="9">
        <v>6.2256030000000004</v>
      </c>
      <c r="AI498" s="9">
        <v>-75.599320000000006</v>
      </c>
      <c r="AJ498" s="9" t="s">
        <v>4093</v>
      </c>
      <c r="AK498" s="9">
        <v>6.2516920000000002</v>
      </c>
      <c r="AL498" s="9">
        <v>-75.551850000000002</v>
      </c>
      <c r="AM498" s="26">
        <f t="shared" si="8"/>
        <v>2.809027777777778E-2</v>
      </c>
    </row>
    <row r="499" spans="1:40" ht="15" x14ac:dyDescent="0.25">
      <c r="A499" s="17" t="s">
        <v>4094</v>
      </c>
      <c r="B499" s="17" t="s">
        <v>4095</v>
      </c>
      <c r="C499" s="17" t="s">
        <v>4096</v>
      </c>
      <c r="D499" s="17" t="s">
        <v>4065</v>
      </c>
      <c r="E499" s="17" t="s">
        <v>2619</v>
      </c>
      <c r="F499" s="17" t="s">
        <v>169</v>
      </c>
      <c r="G499" s="17" t="s">
        <v>89</v>
      </c>
      <c r="H499" s="17" t="s">
        <v>90</v>
      </c>
      <c r="I499" s="17" t="s">
        <v>40</v>
      </c>
      <c r="J499" s="17">
        <v>996</v>
      </c>
      <c r="K499" s="17" t="s">
        <v>4097</v>
      </c>
      <c r="L499" s="17" t="s">
        <v>42</v>
      </c>
      <c r="M499" s="18">
        <v>9.2592592592592588E-5</v>
      </c>
      <c r="N499" s="17" t="s">
        <v>65</v>
      </c>
      <c r="O499" s="17" t="s">
        <v>4098</v>
      </c>
      <c r="P499" s="17" t="s">
        <v>45</v>
      </c>
      <c r="Q499" s="18">
        <v>0.17484953703703701</v>
      </c>
      <c r="R499" s="17" t="s">
        <v>56</v>
      </c>
      <c r="S499" s="18">
        <v>0.15857638888888889</v>
      </c>
      <c r="T499" s="17">
        <v>12.478999999999999</v>
      </c>
      <c r="U499" s="17">
        <v>3.56</v>
      </c>
      <c r="V499" s="18">
        <v>0.1459722222222222</v>
      </c>
      <c r="W499" s="18">
        <v>0.1218402777777778</v>
      </c>
      <c r="X499" s="18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2</v>
      </c>
      <c r="AE499" s="17" t="s">
        <v>67</v>
      </c>
      <c r="AF499" s="17" t="s">
        <v>4099</v>
      </c>
      <c r="AG499" s="17" t="s">
        <v>4100</v>
      </c>
      <c r="AH499" s="17">
        <v>6.2267219999999996</v>
      </c>
      <c r="AI499" s="17">
        <v>-75.599194999999995</v>
      </c>
      <c r="AJ499" s="17" t="s">
        <v>4101</v>
      </c>
      <c r="AK499" s="17">
        <v>6.2575839999999996</v>
      </c>
      <c r="AL499" s="17">
        <v>-75.565866</v>
      </c>
      <c r="AM499" s="26">
        <f t="shared" si="8"/>
        <v>0.17484953703703701</v>
      </c>
    </row>
    <row r="500" spans="1:40" ht="15" x14ac:dyDescent="0.25">
      <c r="A500" s="9" t="s">
        <v>4102</v>
      </c>
      <c r="B500" s="9" t="s">
        <v>4103</v>
      </c>
      <c r="C500" s="9" t="s">
        <v>4104</v>
      </c>
      <c r="D500" s="9" t="s">
        <v>4065</v>
      </c>
      <c r="E500" s="9" t="s">
        <v>2619</v>
      </c>
      <c r="F500" s="9" t="s">
        <v>169</v>
      </c>
      <c r="G500" s="9" t="s">
        <v>113</v>
      </c>
      <c r="H500" s="9" t="s">
        <v>114</v>
      </c>
      <c r="I500" s="9" t="s">
        <v>115</v>
      </c>
      <c r="J500" s="9">
        <v>2423</v>
      </c>
      <c r="K500" s="9" t="s">
        <v>4105</v>
      </c>
      <c r="L500" s="9" t="s">
        <v>117</v>
      </c>
      <c r="M500" s="10">
        <v>1.008101851851852E-2</v>
      </c>
      <c r="N500" s="9" t="s">
        <v>65</v>
      </c>
      <c r="O500" s="9" t="s">
        <v>4106</v>
      </c>
      <c r="P500" s="9" t="s">
        <v>119</v>
      </c>
      <c r="Q500" s="10">
        <v>2.1134259259259259E-2</v>
      </c>
      <c r="R500" s="9" t="s">
        <v>56</v>
      </c>
      <c r="S500" s="10">
        <v>0.2187847222222222</v>
      </c>
      <c r="T500" s="9">
        <v>32.804000000000002</v>
      </c>
      <c r="U500" s="9">
        <v>8.4700000000000006</v>
      </c>
      <c r="V500" s="10">
        <v>0.16135416666666669</v>
      </c>
      <c r="W500" s="10">
        <v>0.112349537037037</v>
      </c>
      <c r="X500" s="10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1</v>
      </c>
      <c r="AE500" s="9" t="s">
        <v>67</v>
      </c>
      <c r="AF500" s="9" t="s">
        <v>4107</v>
      </c>
      <c r="AG500" s="9" t="s">
        <v>4108</v>
      </c>
      <c r="AH500" s="9">
        <v>6.2359679999999997</v>
      </c>
      <c r="AI500" s="9">
        <v>-75.602344000000002</v>
      </c>
      <c r="AJ500" s="9" t="s">
        <v>4109</v>
      </c>
      <c r="AK500" s="9">
        <v>6.2506459999999997</v>
      </c>
      <c r="AL500" s="9">
        <v>-75.602125000000001</v>
      </c>
      <c r="AM500" s="26">
        <f t="shared" si="8"/>
        <v>2.1134259259259259E-2</v>
      </c>
      <c r="AN500" s="1" t="s">
        <v>4061</v>
      </c>
    </row>
    <row r="501" spans="1:40" ht="15" x14ac:dyDescent="0.25">
      <c r="A501" s="9" t="s">
        <v>4110</v>
      </c>
      <c r="B501" s="9" t="s">
        <v>4111</v>
      </c>
      <c r="C501" s="9" t="s">
        <v>4112</v>
      </c>
      <c r="D501" s="9" t="s">
        <v>4065</v>
      </c>
      <c r="E501" s="9" t="s">
        <v>2619</v>
      </c>
      <c r="F501" s="9" t="s">
        <v>169</v>
      </c>
      <c r="G501" s="9" t="s">
        <v>124</v>
      </c>
      <c r="H501" s="9" t="s">
        <v>125</v>
      </c>
      <c r="I501" s="9" t="s">
        <v>115</v>
      </c>
      <c r="J501" s="9">
        <v>5128</v>
      </c>
      <c r="K501" s="9" t="s">
        <v>4113</v>
      </c>
      <c r="L501" s="9" t="s">
        <v>117</v>
      </c>
      <c r="M501" s="10">
        <v>3.5000000000000003E-2</v>
      </c>
      <c r="N501" s="9" t="s">
        <v>127</v>
      </c>
      <c r="O501" s="9" t="s">
        <v>4114</v>
      </c>
      <c r="P501" s="9" t="s">
        <v>119</v>
      </c>
      <c r="Q501" s="10">
        <v>2.179398148148148E-2</v>
      </c>
      <c r="R501" s="9" t="s">
        <v>129</v>
      </c>
      <c r="S501" s="10">
        <v>0.30679398148148151</v>
      </c>
      <c r="T501" s="9">
        <v>65.921000000000006</v>
      </c>
      <c r="U501" s="9">
        <v>13.43</v>
      </c>
      <c r="V501" s="10">
        <v>0.2044560185185185</v>
      </c>
      <c r="W501" s="10">
        <v>6.9039351851851852E-2</v>
      </c>
      <c r="X501" s="10">
        <v>2.1250000000000002E-2</v>
      </c>
      <c r="Y501" s="9">
        <v>1</v>
      </c>
      <c r="Z501" s="9">
        <v>1</v>
      </c>
      <c r="AA501" s="9">
        <v>1</v>
      </c>
      <c r="AB501" s="9">
        <v>0</v>
      </c>
      <c r="AC501" s="9">
        <v>0</v>
      </c>
      <c r="AD501" s="9">
        <v>0</v>
      </c>
      <c r="AE501" s="9" t="s">
        <v>130</v>
      </c>
      <c r="AF501" s="9" t="s">
        <v>4115</v>
      </c>
      <c r="AG501" s="9" t="s">
        <v>4116</v>
      </c>
      <c r="AH501" s="9">
        <v>6.2583909999999996</v>
      </c>
      <c r="AI501" s="9">
        <v>-75.578305999999998</v>
      </c>
      <c r="AJ501" s="9" t="s">
        <v>4117</v>
      </c>
      <c r="AK501" s="9">
        <v>6.2726329999999999</v>
      </c>
      <c r="AL501" s="9">
        <v>-75.602018000000001</v>
      </c>
      <c r="AM501" s="26">
        <f t="shared" si="8"/>
        <v>0</v>
      </c>
      <c r="AN501" s="1" t="s">
        <v>4061</v>
      </c>
    </row>
    <row r="502" spans="1:40" ht="15" x14ac:dyDescent="0.25">
      <c r="A502" s="9" t="s">
        <v>4118</v>
      </c>
      <c r="B502" s="9" t="s">
        <v>4119</v>
      </c>
      <c r="C502" s="9" t="s">
        <v>4120</v>
      </c>
      <c r="D502" s="9" t="s">
        <v>4065</v>
      </c>
      <c r="E502" s="9" t="s">
        <v>2619</v>
      </c>
      <c r="F502" s="9" t="s">
        <v>169</v>
      </c>
      <c r="G502" s="9" t="s">
        <v>135</v>
      </c>
      <c r="H502" s="9" t="s">
        <v>136</v>
      </c>
      <c r="I502" s="9" t="s">
        <v>115</v>
      </c>
      <c r="J502" s="9">
        <v>2877</v>
      </c>
      <c r="K502" s="9" t="s">
        <v>4121</v>
      </c>
      <c r="L502" s="9" t="s">
        <v>117</v>
      </c>
      <c r="M502" s="10">
        <v>2.8912037037037042E-2</v>
      </c>
      <c r="N502" s="9" t="s">
        <v>127</v>
      </c>
      <c r="O502" s="9" t="s">
        <v>4122</v>
      </c>
      <c r="P502" s="9" t="s">
        <v>119</v>
      </c>
      <c r="Q502" s="10">
        <v>8.4837962962962966E-3</v>
      </c>
      <c r="R502" s="9" t="s">
        <v>46</v>
      </c>
      <c r="S502" s="10">
        <v>0.27042824074074068</v>
      </c>
      <c r="T502" s="9">
        <v>35.521000000000001</v>
      </c>
      <c r="U502" s="9">
        <v>6.01</v>
      </c>
      <c r="V502" s="10">
        <v>0.24630787037037041</v>
      </c>
      <c r="W502" s="10">
        <v>0.19563657407407409</v>
      </c>
      <c r="X502" s="10">
        <v>4.3321759259259261E-2</v>
      </c>
      <c r="Y502" s="9">
        <v>1</v>
      </c>
      <c r="Z502" s="9">
        <v>1</v>
      </c>
      <c r="AA502" s="9">
        <v>1</v>
      </c>
      <c r="AB502" s="9">
        <v>1</v>
      </c>
      <c r="AC502" s="9">
        <v>1</v>
      </c>
      <c r="AD502" s="9">
        <v>4</v>
      </c>
      <c r="AE502" s="9" t="s">
        <v>139</v>
      </c>
      <c r="AF502" s="9" t="s">
        <v>4123</v>
      </c>
      <c r="AG502" s="9" t="s">
        <v>4124</v>
      </c>
      <c r="AH502" s="9">
        <v>6.2420349999999996</v>
      </c>
      <c r="AI502" s="9">
        <v>-75.619494000000003</v>
      </c>
      <c r="AJ502" s="9" t="s">
        <v>4125</v>
      </c>
      <c r="AK502" s="9">
        <v>6.2723810000000002</v>
      </c>
      <c r="AL502" s="9">
        <v>-75.540345000000002</v>
      </c>
      <c r="AM502" s="26">
        <f t="shared" si="8"/>
        <v>0</v>
      </c>
      <c r="AN502" s="1" t="s">
        <v>4061</v>
      </c>
    </row>
    <row r="503" spans="1:40" ht="15" x14ac:dyDescent="0.25">
      <c r="A503" s="9" t="s">
        <v>4126</v>
      </c>
      <c r="B503" s="9" t="s">
        <v>4127</v>
      </c>
      <c r="C503" s="9" t="s">
        <v>4128</v>
      </c>
      <c r="D503" s="9" t="s">
        <v>4065</v>
      </c>
      <c r="E503" s="9" t="s">
        <v>2619</v>
      </c>
      <c r="F503" s="9" t="s">
        <v>169</v>
      </c>
      <c r="G503" s="9" t="s">
        <v>72</v>
      </c>
      <c r="H503" s="9" t="s">
        <v>73</v>
      </c>
      <c r="I503" s="9" t="s">
        <v>115</v>
      </c>
      <c r="J503" s="9">
        <v>2521</v>
      </c>
      <c r="K503" s="9" t="s">
        <v>4129</v>
      </c>
      <c r="L503" s="9" t="s">
        <v>117</v>
      </c>
      <c r="M503" s="10">
        <v>5.8969907407407408E-2</v>
      </c>
      <c r="N503" s="9" t="s">
        <v>127</v>
      </c>
      <c r="O503" s="9" t="s">
        <v>4130</v>
      </c>
      <c r="P503" s="9" t="s">
        <v>119</v>
      </c>
      <c r="Q503" s="10">
        <v>0.1003125</v>
      </c>
      <c r="R503" s="9" t="s">
        <v>56</v>
      </c>
      <c r="S503" s="10">
        <v>0.2086574074074074</v>
      </c>
      <c r="T503" s="9">
        <v>39.027000000000001</v>
      </c>
      <c r="U503" s="9">
        <v>10.95</v>
      </c>
      <c r="V503" s="10">
        <v>0.1484375</v>
      </c>
      <c r="W503" s="10">
        <v>0.1052430555555556</v>
      </c>
      <c r="X503" s="10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1</v>
      </c>
      <c r="AE503" s="9" t="s">
        <v>139</v>
      </c>
      <c r="AF503" s="9" t="s">
        <v>4131</v>
      </c>
      <c r="AG503" s="9" t="s">
        <v>4132</v>
      </c>
      <c r="AH503" s="9">
        <v>6.2256159999999996</v>
      </c>
      <c r="AI503" s="9">
        <v>-75.599318999999994</v>
      </c>
      <c r="AJ503" s="9" t="s">
        <v>4133</v>
      </c>
      <c r="AK503" s="9">
        <v>6.2370099999999997</v>
      </c>
      <c r="AL503" s="9">
        <v>-75.558869999999999</v>
      </c>
      <c r="AM503" s="26">
        <f t="shared" si="8"/>
        <v>0.1003125</v>
      </c>
      <c r="AN503" s="1" t="s">
        <v>4061</v>
      </c>
    </row>
    <row r="504" spans="1:40" ht="15" x14ac:dyDescent="0.25">
      <c r="A504" s="9" t="s">
        <v>4134</v>
      </c>
      <c r="B504" s="9" t="s">
        <v>4135</v>
      </c>
      <c r="C504" s="9" t="s">
        <v>4136</v>
      </c>
      <c r="D504" s="9" t="s">
        <v>4065</v>
      </c>
      <c r="E504" s="9" t="s">
        <v>2619</v>
      </c>
      <c r="F504" s="9" t="s">
        <v>169</v>
      </c>
      <c r="G504" s="9" t="s">
        <v>80</v>
      </c>
      <c r="H504" s="9" t="s">
        <v>81</v>
      </c>
      <c r="I504" s="9" t="s">
        <v>115</v>
      </c>
      <c r="J504" s="9">
        <v>10547</v>
      </c>
      <c r="K504" s="9" t="s">
        <v>4137</v>
      </c>
      <c r="L504" s="9" t="s">
        <v>117</v>
      </c>
      <c r="M504" s="10">
        <v>6.4387488425925926E-2</v>
      </c>
      <c r="N504" s="9" t="s">
        <v>127</v>
      </c>
      <c r="O504" s="9" t="s">
        <v>4138</v>
      </c>
      <c r="P504" s="9" t="s">
        <v>119</v>
      </c>
      <c r="Q504" s="10">
        <v>1.060381944444445E-3</v>
      </c>
      <c r="R504" s="9" t="s">
        <v>46</v>
      </c>
      <c r="S504" s="10">
        <v>0.31332710648148149</v>
      </c>
      <c r="T504" s="9">
        <v>64.603999999999999</v>
      </c>
      <c r="U504" s="9">
        <v>35.76</v>
      </c>
      <c r="V504" s="10">
        <v>7.5272013888889003E-2</v>
      </c>
      <c r="W504" s="10">
        <v>1.129078703703704E-2</v>
      </c>
      <c r="X504" s="10">
        <v>8.8864351851851847E-3</v>
      </c>
      <c r="Y504" s="9">
        <v>1</v>
      </c>
      <c r="Z504" s="9">
        <v>0</v>
      </c>
      <c r="AA504" s="9">
        <v>0</v>
      </c>
      <c r="AB504" s="9">
        <v>0</v>
      </c>
      <c r="AC504" s="9">
        <v>0</v>
      </c>
      <c r="AD504" s="9">
        <v>6</v>
      </c>
      <c r="AE504" s="9" t="s">
        <v>139</v>
      </c>
      <c r="AF504" s="9" t="s">
        <v>4139</v>
      </c>
      <c r="AG504" s="9" t="s">
        <v>4140</v>
      </c>
      <c r="AH504" s="9">
        <v>6.2293250000000002</v>
      </c>
      <c r="AI504" s="9">
        <v>-75.602058999999997</v>
      </c>
      <c r="AJ504" s="9" t="s">
        <v>4141</v>
      </c>
      <c r="AK504" s="9">
        <v>6.2256070000000001</v>
      </c>
      <c r="AL504" s="9">
        <v>-75.599417000000003</v>
      </c>
      <c r="AM504" s="26">
        <f t="shared" si="8"/>
        <v>0</v>
      </c>
      <c r="AN504" s="1" t="s">
        <v>4061</v>
      </c>
    </row>
    <row r="505" spans="1:40" ht="15" x14ac:dyDescent="0.25">
      <c r="A505" s="9" t="s">
        <v>4142</v>
      </c>
      <c r="B505" s="9" t="s">
        <v>4143</v>
      </c>
      <c r="C505" s="9" t="s">
        <v>4144</v>
      </c>
      <c r="D505" s="9" t="s">
        <v>4065</v>
      </c>
      <c r="E505" s="9" t="s">
        <v>2619</v>
      </c>
      <c r="F505" s="9" t="s">
        <v>169</v>
      </c>
      <c r="G505" s="9" t="s">
        <v>160</v>
      </c>
      <c r="H505" s="9" t="s">
        <v>161</v>
      </c>
      <c r="I505" s="9" t="s">
        <v>115</v>
      </c>
      <c r="J505" s="9">
        <v>11761</v>
      </c>
      <c r="K505" s="9" t="s">
        <v>4145</v>
      </c>
      <c r="L505" s="9" t="s">
        <v>117</v>
      </c>
      <c r="M505" s="10">
        <v>4.2955335648148137E-2</v>
      </c>
      <c r="N505" s="9" t="s">
        <v>127</v>
      </c>
      <c r="O505" s="9" t="s">
        <v>4146</v>
      </c>
      <c r="P505" s="9" t="s">
        <v>119</v>
      </c>
      <c r="Q505" s="10">
        <v>2.4265856481481482E-3</v>
      </c>
      <c r="R505" s="9" t="s">
        <v>46</v>
      </c>
      <c r="S505" s="10">
        <v>0.29538192129629631</v>
      </c>
      <c r="T505" s="9">
        <v>60.771999999999998</v>
      </c>
      <c r="U505" s="9">
        <v>13.64</v>
      </c>
      <c r="V505" s="10">
        <v>0.18567864583333321</v>
      </c>
      <c r="W505" s="10">
        <v>0.12480321759259259</v>
      </c>
      <c r="X505" s="10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1</v>
      </c>
      <c r="AE505" s="9" t="s">
        <v>139</v>
      </c>
      <c r="AF505" s="9" t="s">
        <v>4147</v>
      </c>
      <c r="AG505" s="9" t="s">
        <v>4148</v>
      </c>
      <c r="AH505" s="9">
        <v>6.2267349999999997</v>
      </c>
      <c r="AI505" s="9">
        <v>-75.599272999999997</v>
      </c>
      <c r="AJ505" s="9" t="s">
        <v>4149</v>
      </c>
      <c r="AK505" s="9">
        <v>6.2683949999999999</v>
      </c>
      <c r="AL505" s="9">
        <v>-75.599341999999993</v>
      </c>
      <c r="AM505" s="26">
        <f t="shared" si="8"/>
        <v>0</v>
      </c>
      <c r="AN505" s="1" t="s">
        <v>4061</v>
      </c>
    </row>
    <row r="506" spans="1:40" ht="15" x14ac:dyDescent="0.25">
      <c r="A506" s="17" t="s">
        <v>4150</v>
      </c>
      <c r="B506" s="17" t="s">
        <v>4151</v>
      </c>
      <c r="C506" s="17" t="s">
        <v>4152</v>
      </c>
      <c r="D506" s="17" t="s">
        <v>4065</v>
      </c>
      <c r="E506" s="17" t="s">
        <v>2619</v>
      </c>
      <c r="F506" s="17" t="s">
        <v>169</v>
      </c>
      <c r="G506" s="17" t="s">
        <v>97</v>
      </c>
      <c r="H506" s="17" t="s">
        <v>98</v>
      </c>
      <c r="I506" s="17" t="s">
        <v>115</v>
      </c>
      <c r="J506" s="17">
        <v>3475</v>
      </c>
      <c r="K506" s="17" t="s">
        <v>4153</v>
      </c>
      <c r="L506" s="17" t="s">
        <v>117</v>
      </c>
      <c r="M506" s="18">
        <v>5.800925925925926E-2</v>
      </c>
      <c r="N506" s="17" t="s">
        <v>127</v>
      </c>
      <c r="O506" s="17" t="s">
        <v>4154</v>
      </c>
      <c r="P506" s="17" t="s">
        <v>119</v>
      </c>
      <c r="Q506" s="18">
        <v>4.6990740740740743E-3</v>
      </c>
      <c r="R506" s="17" t="s">
        <v>46</v>
      </c>
      <c r="S506" s="18">
        <v>0.30331018518518521</v>
      </c>
      <c r="T506" s="17">
        <v>47.524000000000001</v>
      </c>
      <c r="U506" s="17">
        <v>11.19</v>
      </c>
      <c r="V506" s="18">
        <v>0.1769212962962963</v>
      </c>
      <c r="W506" s="18">
        <v>9.7199074074074077E-2</v>
      </c>
      <c r="X506" s="18">
        <v>3.3553240740740738E-2</v>
      </c>
      <c r="Y506" s="17">
        <v>1</v>
      </c>
      <c r="Z506" s="17">
        <v>1</v>
      </c>
      <c r="AA506" s="17">
        <v>1</v>
      </c>
      <c r="AB506" s="17">
        <v>1</v>
      </c>
      <c r="AC506" s="17">
        <v>0</v>
      </c>
      <c r="AD506" s="17">
        <v>0</v>
      </c>
      <c r="AE506" s="17" t="s">
        <v>139</v>
      </c>
      <c r="AF506" s="17" t="s">
        <v>4155</v>
      </c>
      <c r="AG506" s="17" t="s">
        <v>4156</v>
      </c>
      <c r="AH506" s="17">
        <v>6.2257040000000003</v>
      </c>
      <c r="AI506" s="17">
        <v>-75.599407999999997</v>
      </c>
      <c r="AJ506" s="17" t="s">
        <v>4157</v>
      </c>
      <c r="AK506" s="17">
        <v>6.3082580000000004</v>
      </c>
      <c r="AL506" s="17">
        <v>-75.581629000000007</v>
      </c>
      <c r="AM506" s="26">
        <f t="shared" si="8"/>
        <v>0</v>
      </c>
      <c r="AN506" s="1" t="s">
        <v>4061</v>
      </c>
    </row>
    <row r="507" spans="1:40" ht="15" x14ac:dyDescent="0.25">
      <c r="A507" s="9" t="s">
        <v>4158</v>
      </c>
      <c r="B507" s="9" t="s">
        <v>4159</v>
      </c>
      <c r="C507" s="9" t="s">
        <v>4160</v>
      </c>
      <c r="D507" s="9" t="s">
        <v>4161</v>
      </c>
      <c r="E507" s="9" t="s">
        <v>2619</v>
      </c>
      <c r="F507" s="9" t="s">
        <v>315</v>
      </c>
      <c r="G507" s="9" t="s">
        <v>38</v>
      </c>
      <c r="H507" s="9" t="s">
        <v>39</v>
      </c>
      <c r="I507" s="9" t="s">
        <v>40</v>
      </c>
      <c r="J507" s="9">
        <v>4608</v>
      </c>
      <c r="K507" s="9" t="s">
        <v>4162</v>
      </c>
      <c r="L507" s="9" t="s">
        <v>42</v>
      </c>
      <c r="M507" s="10">
        <v>5.0416666666666672E-2</v>
      </c>
      <c r="N507" s="9" t="s">
        <v>43</v>
      </c>
      <c r="O507" s="9" t="s">
        <v>4163</v>
      </c>
      <c r="P507" s="9" t="s">
        <v>45</v>
      </c>
      <c r="Q507" s="10">
        <v>3.0787037037037042E-3</v>
      </c>
      <c r="R507" s="9" t="s">
        <v>46</v>
      </c>
      <c r="S507" s="10">
        <v>0.28599537037037043</v>
      </c>
      <c r="T507" s="9">
        <v>76.123000000000005</v>
      </c>
      <c r="U507" s="9">
        <v>18.23</v>
      </c>
      <c r="V507" s="10">
        <v>0.17396990740740739</v>
      </c>
      <c r="W507" s="10">
        <v>8.3344907407407409E-2</v>
      </c>
      <c r="X507" s="10">
        <v>3.5277777777777783E-2</v>
      </c>
      <c r="Y507" s="9">
        <v>1</v>
      </c>
      <c r="Z507" s="9">
        <v>1</v>
      </c>
      <c r="AA507" s="9">
        <v>1</v>
      </c>
      <c r="AB507" s="9">
        <v>1</v>
      </c>
      <c r="AC507" s="9">
        <v>0</v>
      </c>
      <c r="AD507" s="9">
        <v>0</v>
      </c>
      <c r="AE507" s="9" t="s">
        <v>47</v>
      </c>
      <c r="AF507" s="9" t="s">
        <v>4164</v>
      </c>
      <c r="AG507" s="9" t="s">
        <v>4165</v>
      </c>
      <c r="AH507" s="9">
        <v>6.203322</v>
      </c>
      <c r="AI507" s="9">
        <v>-75.600756000000004</v>
      </c>
      <c r="AJ507" s="9" t="s">
        <v>4166</v>
      </c>
      <c r="AK507" s="9">
        <v>6.2255310000000001</v>
      </c>
      <c r="AL507" s="9">
        <v>-75.599164000000002</v>
      </c>
      <c r="AM507" s="26">
        <f t="shared" si="8"/>
        <v>5.0416666666666672E-2</v>
      </c>
    </row>
    <row r="508" spans="1:40" ht="15" x14ac:dyDescent="0.25">
      <c r="A508" s="9" t="s">
        <v>4167</v>
      </c>
      <c r="B508" s="9" t="s">
        <v>4168</v>
      </c>
      <c r="C508" s="9" t="s">
        <v>4169</v>
      </c>
      <c r="D508" s="9" t="s">
        <v>4161</v>
      </c>
      <c r="E508" s="9" t="s">
        <v>2619</v>
      </c>
      <c r="F508" s="9" t="s">
        <v>315</v>
      </c>
      <c r="G508" s="9" t="s">
        <v>52</v>
      </c>
      <c r="H508" s="9" t="s">
        <v>53</v>
      </c>
      <c r="I508" s="9" t="s">
        <v>40</v>
      </c>
      <c r="J508" s="9">
        <v>1522</v>
      </c>
      <c r="K508" s="9" t="s">
        <v>4170</v>
      </c>
      <c r="L508" s="9" t="s">
        <v>42</v>
      </c>
      <c r="M508" s="10">
        <v>2.0509259259259258E-2</v>
      </c>
      <c r="N508" s="9" t="s">
        <v>127</v>
      </c>
      <c r="O508" s="9" t="s">
        <v>4171</v>
      </c>
      <c r="P508" s="9" t="s">
        <v>45</v>
      </c>
      <c r="Q508" s="10">
        <v>3.9699074074074072E-3</v>
      </c>
      <c r="R508" s="9" t="s">
        <v>46</v>
      </c>
      <c r="S508" s="10">
        <v>0.35781249999999998</v>
      </c>
      <c r="T508" s="9">
        <v>23.37</v>
      </c>
      <c r="U508" s="9">
        <v>3.49</v>
      </c>
      <c r="V508" s="10">
        <v>0.27885416666666668</v>
      </c>
      <c r="W508" s="10">
        <v>0.25400462962962961</v>
      </c>
      <c r="X508" s="10">
        <v>7.7418981481481478E-2</v>
      </c>
      <c r="Y508" s="9">
        <v>1</v>
      </c>
      <c r="Z508" s="9">
        <v>1</v>
      </c>
      <c r="AA508" s="9">
        <v>1</v>
      </c>
      <c r="AB508" s="9">
        <v>1</v>
      </c>
      <c r="AC508" s="9">
        <v>1</v>
      </c>
      <c r="AD508" s="9">
        <v>6</v>
      </c>
      <c r="AE508" s="9" t="s">
        <v>139</v>
      </c>
      <c r="AF508" s="9" t="s">
        <v>4172</v>
      </c>
      <c r="AG508" s="9" t="s">
        <v>4173</v>
      </c>
      <c r="AH508" s="9">
        <v>6.225644</v>
      </c>
      <c r="AI508" s="9">
        <v>-75.599451000000002</v>
      </c>
      <c r="AJ508" s="9" t="s">
        <v>4174</v>
      </c>
      <c r="AK508" s="9">
        <v>6.2255770000000004</v>
      </c>
      <c r="AL508" s="9">
        <v>-75.599461000000005</v>
      </c>
      <c r="AM508" s="26">
        <f t="shared" si="8"/>
        <v>0</v>
      </c>
    </row>
    <row r="509" spans="1:40" ht="15" x14ac:dyDescent="0.25">
      <c r="A509" s="9" t="s">
        <v>4175</v>
      </c>
      <c r="B509" s="9" t="s">
        <v>4176</v>
      </c>
      <c r="C509" s="9" t="s">
        <v>4177</v>
      </c>
      <c r="D509" s="9" t="s">
        <v>4161</v>
      </c>
      <c r="E509" s="9" t="s">
        <v>2619</v>
      </c>
      <c r="F509" s="9" t="s">
        <v>315</v>
      </c>
      <c r="G509" s="9" t="s">
        <v>62</v>
      </c>
      <c r="H509" s="9" t="s">
        <v>63</v>
      </c>
      <c r="I509" s="9" t="s">
        <v>40</v>
      </c>
      <c r="J509" s="9">
        <v>3942</v>
      </c>
      <c r="K509" s="9" t="s">
        <v>4178</v>
      </c>
      <c r="L509" s="9" t="s">
        <v>42</v>
      </c>
      <c r="M509" s="10">
        <v>1.105324074074074E-2</v>
      </c>
      <c r="N509" s="9" t="s">
        <v>43</v>
      </c>
      <c r="O509" s="9" t="s">
        <v>4179</v>
      </c>
      <c r="P509" s="9" t="s">
        <v>45</v>
      </c>
      <c r="Q509" s="10">
        <v>1.4930555555555561E-3</v>
      </c>
      <c r="R509" s="9" t="s">
        <v>46</v>
      </c>
      <c r="S509" s="10">
        <v>0.32377314814814823</v>
      </c>
      <c r="T509" s="9">
        <v>55.640999999999998</v>
      </c>
      <c r="U509" s="9">
        <v>8.66</v>
      </c>
      <c r="V509" s="10">
        <v>0.26775462962962959</v>
      </c>
      <c r="W509" s="10">
        <v>0.19039351851851849</v>
      </c>
      <c r="X509" s="10">
        <v>2.0833333333333329E-2</v>
      </c>
      <c r="Y509" s="9">
        <v>1</v>
      </c>
      <c r="Z509" s="9">
        <v>1</v>
      </c>
      <c r="AA509" s="9">
        <v>1</v>
      </c>
      <c r="AB509" s="9">
        <v>0</v>
      </c>
      <c r="AC509" s="9">
        <v>0</v>
      </c>
      <c r="AD509" s="9">
        <v>1</v>
      </c>
      <c r="AE509" s="9" t="s">
        <v>47</v>
      </c>
      <c r="AF509" s="9" t="s">
        <v>4180</v>
      </c>
      <c r="AG509" s="9" t="s">
        <v>4181</v>
      </c>
      <c r="AH509" s="9">
        <v>6.2257179999999996</v>
      </c>
      <c r="AI509" s="9">
        <v>-75.599187999999998</v>
      </c>
      <c r="AJ509" s="9" t="s">
        <v>4182</v>
      </c>
      <c r="AK509" s="9">
        <v>6.2255690000000001</v>
      </c>
      <c r="AL509" s="9">
        <v>-75.599455000000006</v>
      </c>
      <c r="AM509" s="26">
        <f t="shared" si="8"/>
        <v>1.105324074074074E-2</v>
      </c>
    </row>
    <row r="510" spans="1:40" ht="15" x14ac:dyDescent="0.25">
      <c r="A510" s="9" t="s">
        <v>4183</v>
      </c>
      <c r="B510" s="9" t="s">
        <v>4184</v>
      </c>
      <c r="C510" s="9" t="s">
        <v>4185</v>
      </c>
      <c r="D510" s="9" t="s">
        <v>4161</v>
      </c>
      <c r="E510" s="9" t="s">
        <v>2619</v>
      </c>
      <c r="F510" s="9" t="s">
        <v>315</v>
      </c>
      <c r="G510" s="9" t="s">
        <v>144</v>
      </c>
      <c r="H510" s="9" t="s">
        <v>145</v>
      </c>
      <c r="I510" s="9" t="s">
        <v>40</v>
      </c>
      <c r="J510" s="9">
        <v>6224</v>
      </c>
      <c r="K510" s="9" t="s">
        <v>4186</v>
      </c>
      <c r="L510" s="9" t="s">
        <v>42</v>
      </c>
      <c r="M510" s="10">
        <v>1.9212962962962959E-2</v>
      </c>
      <c r="N510" s="9" t="s">
        <v>127</v>
      </c>
      <c r="O510" s="9" t="s">
        <v>4187</v>
      </c>
      <c r="P510" s="9" t="s">
        <v>45</v>
      </c>
      <c r="Q510" s="10">
        <v>5.2118055555555563E-2</v>
      </c>
      <c r="R510" s="9" t="s">
        <v>56</v>
      </c>
      <c r="S510" s="10">
        <v>0.30042824074074082</v>
      </c>
      <c r="T510" s="9">
        <v>81.097999999999999</v>
      </c>
      <c r="U510" s="9">
        <v>14.58</v>
      </c>
      <c r="V510" s="10">
        <v>0.2317939814814815</v>
      </c>
      <c r="W510" s="10">
        <v>8.8159722222222223E-2</v>
      </c>
      <c r="X510" s="10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 t="s">
        <v>139</v>
      </c>
      <c r="AF510" s="9" t="s">
        <v>4188</v>
      </c>
      <c r="AG510" s="9" t="s">
        <v>4189</v>
      </c>
      <c r="AH510" s="9">
        <v>6.2728320000000002</v>
      </c>
      <c r="AI510" s="9">
        <v>-75.574499000000003</v>
      </c>
      <c r="AJ510" s="9" t="s">
        <v>4190</v>
      </c>
      <c r="AK510" s="9">
        <v>6.272799</v>
      </c>
      <c r="AL510" s="9">
        <v>-75.574363000000005</v>
      </c>
      <c r="AM510" s="26">
        <f t="shared" si="8"/>
        <v>5.2118055555555563E-2</v>
      </c>
    </row>
    <row r="511" spans="1:40" ht="15" x14ac:dyDescent="0.25">
      <c r="A511" s="9" t="s">
        <v>4191</v>
      </c>
      <c r="B511" s="9" t="s">
        <v>4192</v>
      </c>
      <c r="C511" s="9" t="s">
        <v>4193</v>
      </c>
      <c r="D511" s="9" t="s">
        <v>4161</v>
      </c>
      <c r="E511" s="9" t="s">
        <v>2619</v>
      </c>
      <c r="F511" s="9" t="s">
        <v>315</v>
      </c>
      <c r="G511" s="9" t="s">
        <v>152</v>
      </c>
      <c r="H511" s="9" t="s">
        <v>153</v>
      </c>
      <c r="I511" s="9" t="s">
        <v>40</v>
      </c>
      <c r="J511" s="9">
        <v>5233</v>
      </c>
      <c r="K511" s="9" t="s">
        <v>4194</v>
      </c>
      <c r="L511" s="9" t="s">
        <v>42</v>
      </c>
      <c r="M511" s="10">
        <v>2.0844907407407409E-2</v>
      </c>
      <c r="N511" s="9" t="s">
        <v>43</v>
      </c>
      <c r="O511" s="9" t="s">
        <v>4195</v>
      </c>
      <c r="P511" s="9" t="s">
        <v>45</v>
      </c>
      <c r="Q511" s="10">
        <v>2.9027777777777781E-2</v>
      </c>
      <c r="R511" s="9" t="s">
        <v>129</v>
      </c>
      <c r="S511" s="10">
        <v>0.34151620370370372</v>
      </c>
      <c r="T511" s="9">
        <v>66.397000000000006</v>
      </c>
      <c r="U511" s="9">
        <v>8.82</v>
      </c>
      <c r="V511" s="10">
        <v>0.31350694444444438</v>
      </c>
      <c r="W511" s="10">
        <v>0.16506944444444441</v>
      </c>
      <c r="X511" s="10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2</v>
      </c>
      <c r="AE511" s="9" t="s">
        <v>130</v>
      </c>
      <c r="AF511" s="9" t="s">
        <v>4196</v>
      </c>
      <c r="AG511" s="9" t="s">
        <v>4197</v>
      </c>
      <c r="AH511" s="9">
        <v>6.2255529999999997</v>
      </c>
      <c r="AI511" s="9">
        <v>-75.599446999999998</v>
      </c>
      <c r="AJ511" s="9" t="s">
        <v>4198</v>
      </c>
      <c r="AK511" s="9">
        <v>6.267455</v>
      </c>
      <c r="AL511" s="9">
        <v>-75.565623000000002</v>
      </c>
      <c r="AM511" s="26">
        <f t="shared" si="8"/>
        <v>2.0844907407407409E-2</v>
      </c>
    </row>
    <row r="512" spans="1:40" ht="15" x14ac:dyDescent="0.25">
      <c r="A512" s="9" t="s">
        <v>4199</v>
      </c>
      <c r="B512" s="9" t="s">
        <v>4200</v>
      </c>
      <c r="C512" s="9" t="s">
        <v>4201</v>
      </c>
      <c r="D512" s="9" t="s">
        <v>4161</v>
      </c>
      <c r="E512" s="9" t="s">
        <v>2619</v>
      </c>
      <c r="F512" s="9" t="s">
        <v>315</v>
      </c>
      <c r="G512" s="9" t="s">
        <v>89</v>
      </c>
      <c r="H512" s="9" t="s">
        <v>90</v>
      </c>
      <c r="I512" s="9" t="s">
        <v>40</v>
      </c>
      <c r="J512" s="9">
        <v>1730</v>
      </c>
      <c r="K512" s="9" t="s">
        <v>4202</v>
      </c>
      <c r="L512" s="9" t="s">
        <v>42</v>
      </c>
      <c r="M512" s="10">
        <v>5.2893518518518524E-3</v>
      </c>
      <c r="N512" s="9" t="s">
        <v>65</v>
      </c>
      <c r="O512" s="9" t="s">
        <v>4203</v>
      </c>
      <c r="P512" s="9" t="s">
        <v>45</v>
      </c>
      <c r="Q512" s="10">
        <v>0.12199074074074071</v>
      </c>
      <c r="R512" s="9" t="s">
        <v>56</v>
      </c>
      <c r="S512" s="10">
        <v>0.20605324074074069</v>
      </c>
      <c r="T512" s="9">
        <v>21.146000000000001</v>
      </c>
      <c r="U512" s="9">
        <v>4.62</v>
      </c>
      <c r="V512" s="10">
        <v>0.19064814814814809</v>
      </c>
      <c r="W512" s="10">
        <v>0.15481481481481479</v>
      </c>
      <c r="X512" s="10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4</v>
      </c>
      <c r="AE512" s="9" t="s">
        <v>67</v>
      </c>
      <c r="AF512" s="9" t="s">
        <v>4204</v>
      </c>
      <c r="AG512" s="9" t="s">
        <v>4205</v>
      </c>
      <c r="AH512" s="9">
        <v>6.2266769999999996</v>
      </c>
      <c r="AI512" s="9">
        <v>-75.599299999999999</v>
      </c>
      <c r="AJ512" s="9" t="s">
        <v>4206</v>
      </c>
      <c r="AK512" s="9">
        <v>6.2575000000000003</v>
      </c>
      <c r="AL512" s="9">
        <v>-75.565845999999993</v>
      </c>
      <c r="AM512" s="26">
        <f t="shared" si="8"/>
        <v>0.12199074074074071</v>
      </c>
    </row>
    <row r="513" spans="1:54" ht="15" x14ac:dyDescent="0.25">
      <c r="A513" s="17" t="s">
        <v>4207</v>
      </c>
      <c r="B513" s="17" t="s">
        <v>4208</v>
      </c>
      <c r="C513" s="17" t="s">
        <v>4209</v>
      </c>
      <c r="D513" s="17" t="s">
        <v>4161</v>
      </c>
      <c r="E513" s="17" t="s">
        <v>2619</v>
      </c>
      <c r="F513" s="17" t="s">
        <v>315</v>
      </c>
      <c r="G513" s="17" t="s">
        <v>105</v>
      </c>
      <c r="H513" s="17" t="s">
        <v>106</v>
      </c>
      <c r="I513" s="17" t="s">
        <v>40</v>
      </c>
      <c r="J513" s="17">
        <v>1569</v>
      </c>
      <c r="K513" s="17" t="s">
        <v>4210</v>
      </c>
      <c r="L513" s="17" t="s">
        <v>42</v>
      </c>
      <c r="M513" s="18">
        <v>8.4641203703703705E-2</v>
      </c>
      <c r="N513" s="17" t="s">
        <v>43</v>
      </c>
      <c r="O513" s="17" t="s">
        <v>4211</v>
      </c>
      <c r="P513" s="17" t="s">
        <v>45</v>
      </c>
      <c r="Q513" s="18">
        <v>1.637731481481481E-2</v>
      </c>
      <c r="R513" s="17" t="s">
        <v>129</v>
      </c>
      <c r="S513" s="18">
        <v>0.26506944444444452</v>
      </c>
      <c r="T513" s="17">
        <v>20.652999999999999</v>
      </c>
      <c r="U513" s="17">
        <v>5.24</v>
      </c>
      <c r="V513" s="18">
        <v>0.16422453703703699</v>
      </c>
      <c r="W513" s="18">
        <v>0.1376273148148148</v>
      </c>
      <c r="X513" s="18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3</v>
      </c>
      <c r="AE513" s="17" t="s">
        <v>130</v>
      </c>
      <c r="AF513" s="17" t="s">
        <v>4212</v>
      </c>
      <c r="AG513" s="17" t="s">
        <v>4213</v>
      </c>
      <c r="AH513" s="17">
        <v>6.2886519999999999</v>
      </c>
      <c r="AI513" s="17">
        <v>-75.563944000000006</v>
      </c>
      <c r="AJ513" s="17" t="s">
        <v>4214</v>
      </c>
      <c r="AK513" s="17">
        <v>6.258216</v>
      </c>
      <c r="AL513" s="17">
        <v>-75.615898000000001</v>
      </c>
      <c r="AM513" s="27">
        <f t="shared" si="8"/>
        <v>8.4641203703703705E-2</v>
      </c>
    </row>
    <row r="514" spans="1:54" s="9" customFormat="1" ht="15" x14ac:dyDescent="0.25">
      <c r="A514" s="9" t="s">
        <v>4219</v>
      </c>
      <c r="B514" s="9" t="s">
        <v>4220</v>
      </c>
      <c r="C514" s="9" t="s">
        <v>4221</v>
      </c>
      <c r="D514" s="9" t="s">
        <v>4161</v>
      </c>
      <c r="E514" s="9" t="s">
        <v>2619</v>
      </c>
      <c r="F514" s="9" t="s">
        <v>315</v>
      </c>
      <c r="G514" s="9" t="s">
        <v>113</v>
      </c>
      <c r="H514" s="9" t="s">
        <v>114</v>
      </c>
      <c r="I514" s="9" t="s">
        <v>115</v>
      </c>
      <c r="J514" s="9">
        <v>1640</v>
      </c>
      <c r="K514" s="9" t="s">
        <v>4222</v>
      </c>
      <c r="L514" s="9" t="s">
        <v>117</v>
      </c>
      <c r="M514" s="10">
        <v>9.1319444444444443E-3</v>
      </c>
      <c r="N514" s="9" t="s">
        <v>65</v>
      </c>
      <c r="O514" s="9" t="s">
        <v>4223</v>
      </c>
      <c r="P514" s="9" t="s">
        <v>119</v>
      </c>
      <c r="Q514" s="10">
        <v>0.11489583333333329</v>
      </c>
      <c r="R514" s="9" t="s">
        <v>56</v>
      </c>
      <c r="S514" s="10">
        <v>0.12597222222222221</v>
      </c>
      <c r="T514" s="9">
        <v>22.123999999999999</v>
      </c>
      <c r="U514" s="9">
        <v>11.36</v>
      </c>
      <c r="V514" s="10">
        <v>8.1157407407407414E-2</v>
      </c>
      <c r="W514" s="10">
        <v>5.0104166666666658E-2</v>
      </c>
      <c r="X514" s="10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 t="s">
        <v>67</v>
      </c>
      <c r="AF514" s="9" t="s">
        <v>4224</v>
      </c>
      <c r="AG514" s="9" t="s">
        <v>4225</v>
      </c>
      <c r="AH514" s="9">
        <v>6.2351809999999999</v>
      </c>
      <c r="AI514" s="9">
        <v>-75.602221999999998</v>
      </c>
      <c r="AJ514" s="9" t="s">
        <v>4226</v>
      </c>
      <c r="AK514" s="9">
        <v>6.2389549999999998</v>
      </c>
      <c r="AL514" s="9">
        <v>-75.603149999999999</v>
      </c>
      <c r="AM514" s="26">
        <f t="shared" si="8"/>
        <v>0.11489583333333329</v>
      </c>
      <c r="AY514" s="14"/>
      <c r="AZ514" s="14"/>
      <c r="BA514" s="14"/>
      <c r="BB514" s="14"/>
    </row>
    <row r="515" spans="1:54" s="9" customFormat="1" ht="15" x14ac:dyDescent="0.25">
      <c r="A515" s="9" t="s">
        <v>4227</v>
      </c>
      <c r="B515" s="9" t="s">
        <v>4228</v>
      </c>
      <c r="C515" s="9" t="s">
        <v>4229</v>
      </c>
      <c r="D515" s="9" t="s">
        <v>4161</v>
      </c>
      <c r="E515" s="9" t="s">
        <v>2619</v>
      </c>
      <c r="F515" s="9" t="s">
        <v>315</v>
      </c>
      <c r="G515" s="9" t="s">
        <v>124</v>
      </c>
      <c r="H515" s="9" t="s">
        <v>125</v>
      </c>
      <c r="I515" s="9" t="s">
        <v>115</v>
      </c>
      <c r="J515" s="9">
        <v>4045</v>
      </c>
      <c r="K515" s="9" t="s">
        <v>4230</v>
      </c>
      <c r="L515" s="9" t="s">
        <v>117</v>
      </c>
      <c r="M515" s="10">
        <v>5.2766203703703697E-2</v>
      </c>
      <c r="N515" s="9" t="s">
        <v>127</v>
      </c>
      <c r="O515" s="9" t="s">
        <v>4231</v>
      </c>
      <c r="P515" s="9" t="s">
        <v>119</v>
      </c>
      <c r="Q515" s="10">
        <v>8.8078703703703704E-3</v>
      </c>
      <c r="R515" s="9" t="s">
        <v>46</v>
      </c>
      <c r="S515" s="10">
        <v>0.31157407407407411</v>
      </c>
      <c r="T515" s="9">
        <v>49.174999999999997</v>
      </c>
      <c r="U515" s="9">
        <v>9.83</v>
      </c>
      <c r="V515" s="10">
        <v>0.20851851851851849</v>
      </c>
      <c r="W515" s="10">
        <v>8.7337962962962964E-2</v>
      </c>
      <c r="X515" s="10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 t="s">
        <v>139</v>
      </c>
      <c r="AF515" s="9" t="s">
        <v>4232</v>
      </c>
      <c r="AG515" s="9" t="s">
        <v>4233</v>
      </c>
      <c r="AH515" s="9">
        <v>6.2300509999999996</v>
      </c>
      <c r="AI515" s="9">
        <v>-75.596047999999996</v>
      </c>
      <c r="AJ515" s="9" t="s">
        <v>4234</v>
      </c>
      <c r="AK515" s="9">
        <v>6.2724869999999999</v>
      </c>
      <c r="AL515" s="9">
        <v>-75.602131999999997</v>
      </c>
      <c r="AM515" s="26">
        <f t="shared" si="8"/>
        <v>0</v>
      </c>
      <c r="AY515" s="14"/>
      <c r="AZ515" s="14"/>
      <c r="BA515" s="14"/>
      <c r="BB515" s="14"/>
    </row>
    <row r="516" spans="1:54" s="9" customFormat="1" ht="15" x14ac:dyDescent="0.25">
      <c r="A516" s="9" t="s">
        <v>4235</v>
      </c>
      <c r="B516" s="9" t="s">
        <v>4236</v>
      </c>
      <c r="C516" s="9" t="s">
        <v>4237</v>
      </c>
      <c r="D516" s="9" t="s">
        <v>4161</v>
      </c>
      <c r="E516" s="9" t="s">
        <v>2619</v>
      </c>
      <c r="F516" s="9" t="s">
        <v>315</v>
      </c>
      <c r="G516" s="9" t="s">
        <v>135</v>
      </c>
      <c r="H516" s="9" t="s">
        <v>136</v>
      </c>
      <c r="I516" s="9" t="s">
        <v>115</v>
      </c>
      <c r="J516" s="9">
        <v>3069</v>
      </c>
      <c r="K516" s="9" t="s">
        <v>4238</v>
      </c>
      <c r="L516" s="9" t="s">
        <v>117</v>
      </c>
      <c r="M516" s="10">
        <v>7.3958333333333334E-2</v>
      </c>
      <c r="N516" s="9" t="s">
        <v>127</v>
      </c>
      <c r="O516" s="9" t="s">
        <v>4239</v>
      </c>
      <c r="P516" s="9" t="s">
        <v>119</v>
      </c>
      <c r="Q516" s="10">
        <v>9.9537037037037042E-4</v>
      </c>
      <c r="R516" s="9" t="s">
        <v>46</v>
      </c>
      <c r="S516" s="10">
        <v>0.32296296296296301</v>
      </c>
      <c r="T516" s="9">
        <v>53.198</v>
      </c>
      <c r="U516" s="9">
        <v>12.93</v>
      </c>
      <c r="V516" s="10">
        <v>0.171412037037037</v>
      </c>
      <c r="W516" s="10">
        <v>0.1107986111111111</v>
      </c>
      <c r="X516" s="10">
        <v>6.1921296296296299E-3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3</v>
      </c>
      <c r="AE516" s="9" t="s">
        <v>139</v>
      </c>
      <c r="AF516" s="9" t="s">
        <v>4240</v>
      </c>
      <c r="AG516" s="9" t="s">
        <v>4241</v>
      </c>
      <c r="AH516" s="9">
        <v>6.225638</v>
      </c>
      <c r="AI516" s="9">
        <v>-75.599180000000004</v>
      </c>
      <c r="AJ516" s="9" t="s">
        <v>4242</v>
      </c>
      <c r="AK516" s="9">
        <v>6.2723829999999996</v>
      </c>
      <c r="AL516" s="9">
        <v>-75.540239999999997</v>
      </c>
      <c r="AM516" s="26">
        <f t="shared" si="8"/>
        <v>0</v>
      </c>
      <c r="AY516" s="14"/>
      <c r="AZ516" s="14"/>
      <c r="BA516" s="14"/>
      <c r="BB516" s="14"/>
    </row>
    <row r="517" spans="1:54" s="9" customFormat="1" ht="15" x14ac:dyDescent="0.25">
      <c r="A517" s="9" t="s">
        <v>4243</v>
      </c>
      <c r="B517" s="9" t="s">
        <v>4244</v>
      </c>
      <c r="C517" s="9" t="s">
        <v>4245</v>
      </c>
      <c r="D517" s="9" t="s">
        <v>4161</v>
      </c>
      <c r="E517" s="9" t="s">
        <v>2619</v>
      </c>
      <c r="F517" s="9" t="s">
        <v>315</v>
      </c>
      <c r="G517" s="9" t="s">
        <v>72</v>
      </c>
      <c r="H517" s="9" t="s">
        <v>73</v>
      </c>
      <c r="I517" s="9" t="s">
        <v>115</v>
      </c>
      <c r="J517" s="9">
        <v>3552</v>
      </c>
      <c r="K517" s="9" t="s">
        <v>4246</v>
      </c>
      <c r="L517" s="9" t="s">
        <v>117</v>
      </c>
      <c r="M517" s="10">
        <v>5.7905092592592591E-2</v>
      </c>
      <c r="N517" s="9" t="s">
        <v>43</v>
      </c>
      <c r="O517" s="9" t="s">
        <v>4247</v>
      </c>
      <c r="P517" s="9" t="s">
        <v>119</v>
      </c>
      <c r="Q517" s="10">
        <v>4.7083333333333331E-2</v>
      </c>
      <c r="R517" s="9" t="s">
        <v>56</v>
      </c>
      <c r="S517" s="10">
        <v>0.14501157407407411</v>
      </c>
      <c r="T517" s="9">
        <v>49.146000000000001</v>
      </c>
      <c r="U517" s="9">
        <v>17.09</v>
      </c>
      <c r="V517" s="10">
        <v>0.1198032407407407</v>
      </c>
      <c r="W517" s="10">
        <v>4.8912037037037039E-2</v>
      </c>
      <c r="X517" s="10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 t="s">
        <v>57</v>
      </c>
      <c r="AF517" s="9" t="s">
        <v>4248</v>
      </c>
      <c r="AG517" s="9" t="s">
        <v>4249</v>
      </c>
      <c r="AH517" s="9">
        <v>6.2255960000000004</v>
      </c>
      <c r="AI517" s="9">
        <v>-75.599458999999996</v>
      </c>
      <c r="AJ517" s="9" t="s">
        <v>4250</v>
      </c>
      <c r="AK517" s="9">
        <v>6.2370559999999999</v>
      </c>
      <c r="AL517" s="9">
        <v>-75.558814999999996</v>
      </c>
      <c r="AM517" s="27">
        <f t="shared" si="8"/>
        <v>0.10498842592592592</v>
      </c>
      <c r="AY517" s="14"/>
      <c r="AZ517" s="14"/>
      <c r="BA517" s="14"/>
      <c r="BB517" s="14"/>
    </row>
    <row r="518" spans="1:54" s="9" customFormat="1" ht="15" x14ac:dyDescent="0.25">
      <c r="A518" s="9" t="s">
        <v>4251</v>
      </c>
      <c r="B518" s="9" t="s">
        <v>4252</v>
      </c>
      <c r="C518" s="9" t="s">
        <v>4253</v>
      </c>
      <c r="D518" s="9" t="s">
        <v>4161</v>
      </c>
      <c r="E518" s="9" t="s">
        <v>2619</v>
      </c>
      <c r="F518" s="9" t="s">
        <v>315</v>
      </c>
      <c r="G518" s="9" t="s">
        <v>80</v>
      </c>
      <c r="H518" s="9" t="s">
        <v>81</v>
      </c>
      <c r="I518" s="9" t="s">
        <v>115</v>
      </c>
      <c r="J518" s="9">
        <v>12343</v>
      </c>
      <c r="K518" s="9" t="s">
        <v>4254</v>
      </c>
      <c r="L518" s="9" t="s">
        <v>117</v>
      </c>
      <c r="M518" s="10">
        <v>4.575224537037037E-2</v>
      </c>
      <c r="N518" s="9" t="s">
        <v>127</v>
      </c>
      <c r="O518" s="9" t="s">
        <v>4255</v>
      </c>
      <c r="P518" s="9" t="s">
        <v>119</v>
      </c>
      <c r="Q518" s="10">
        <v>6.0091550925925928E-3</v>
      </c>
      <c r="R518" s="9" t="s">
        <v>46</v>
      </c>
      <c r="S518" s="10">
        <v>0.30176140046296301</v>
      </c>
      <c r="T518" s="9">
        <v>105.735</v>
      </c>
      <c r="U518" s="9">
        <v>27.02</v>
      </c>
      <c r="V518" s="10">
        <v>0.16306034722222221</v>
      </c>
      <c r="W518" s="10">
        <v>5.2112453703703703E-2</v>
      </c>
      <c r="X518" s="10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4</v>
      </c>
      <c r="AE518" s="9" t="s">
        <v>139</v>
      </c>
      <c r="AF518" s="9" t="s">
        <v>4256</v>
      </c>
      <c r="AG518" s="9" t="s">
        <v>4257</v>
      </c>
      <c r="AH518" s="9">
        <v>6.2346500000000002</v>
      </c>
      <c r="AI518" s="9">
        <v>-75.594517999999994</v>
      </c>
      <c r="AJ518" s="9" t="s">
        <v>4258</v>
      </c>
      <c r="AK518" s="9">
        <v>6.2256140000000002</v>
      </c>
      <c r="AL518" s="9">
        <v>-75.599328</v>
      </c>
      <c r="AM518" s="26">
        <f t="shared" ref="AM518:AM558" si="9">IF(N518="INICIO TARDÍO",M518,0)+IF(R518="TERMINÓ ANTES",Q518,0)</f>
        <v>0</v>
      </c>
      <c r="AY518" s="14"/>
      <c r="AZ518" s="14"/>
      <c r="BA518" s="14"/>
      <c r="BB518" s="14"/>
    </row>
    <row r="519" spans="1:54" s="9" customFormat="1" ht="15" x14ac:dyDescent="0.25">
      <c r="A519" s="9" t="s">
        <v>4259</v>
      </c>
      <c r="B519" s="9" t="s">
        <v>4260</v>
      </c>
      <c r="C519" s="9" t="s">
        <v>4261</v>
      </c>
      <c r="D519" s="9" t="s">
        <v>4161</v>
      </c>
      <c r="E519" s="9" t="s">
        <v>2619</v>
      </c>
      <c r="F519" s="9" t="s">
        <v>315</v>
      </c>
      <c r="G519" s="9" t="s">
        <v>160</v>
      </c>
      <c r="H519" s="9" t="s">
        <v>161</v>
      </c>
      <c r="I519" s="9" t="s">
        <v>115</v>
      </c>
      <c r="J519" s="9">
        <v>10756</v>
      </c>
      <c r="K519" s="9" t="s">
        <v>4262</v>
      </c>
      <c r="L519" s="9" t="s">
        <v>117</v>
      </c>
      <c r="M519" s="10">
        <v>2.5096550925925928E-2</v>
      </c>
      <c r="N519" s="9" t="s">
        <v>127</v>
      </c>
      <c r="O519" s="9" t="s">
        <v>4263</v>
      </c>
      <c r="P519" s="9" t="s">
        <v>119</v>
      </c>
      <c r="Q519" s="10">
        <v>7.1025347222222219E-3</v>
      </c>
      <c r="R519" s="9" t="s">
        <v>46</v>
      </c>
      <c r="S519" s="10">
        <v>0.28219908564814822</v>
      </c>
      <c r="T519" s="9">
        <v>65.557000000000002</v>
      </c>
      <c r="U519" s="9">
        <v>14.41</v>
      </c>
      <c r="V519" s="10">
        <v>0.189501712962963</v>
      </c>
      <c r="W519" s="10">
        <v>0.1300688078703704</v>
      </c>
      <c r="X519" s="10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2</v>
      </c>
      <c r="AE519" s="9" t="s">
        <v>139</v>
      </c>
      <c r="AF519" s="9" t="s">
        <v>4264</v>
      </c>
      <c r="AG519" s="9" t="s">
        <v>4265</v>
      </c>
      <c r="AH519" s="9">
        <v>6.2682149999999996</v>
      </c>
      <c r="AI519" s="9">
        <v>-75.598905000000002</v>
      </c>
      <c r="AJ519" s="9" t="s">
        <v>4266</v>
      </c>
      <c r="AK519" s="9">
        <v>6.2783600000000002</v>
      </c>
      <c r="AL519" s="9">
        <v>-75.570972999999995</v>
      </c>
      <c r="AM519" s="26">
        <f t="shared" si="9"/>
        <v>0</v>
      </c>
      <c r="AY519" s="14"/>
      <c r="AZ519" s="14"/>
      <c r="BA519" s="14"/>
      <c r="BB519" s="14"/>
    </row>
    <row r="520" spans="1:54" s="9" customFormat="1" ht="15" x14ac:dyDescent="0.25">
      <c r="A520" s="9" t="s">
        <v>4267</v>
      </c>
      <c r="B520" s="9" t="s">
        <v>4268</v>
      </c>
      <c r="C520" s="9" t="s">
        <v>4269</v>
      </c>
      <c r="D520" s="9" t="s">
        <v>4161</v>
      </c>
      <c r="E520" s="9" t="s">
        <v>2619</v>
      </c>
      <c r="F520" s="9" t="s">
        <v>315</v>
      </c>
      <c r="G520" s="9" t="s">
        <v>97</v>
      </c>
      <c r="H520" s="9" t="s">
        <v>98</v>
      </c>
      <c r="I520" s="9" t="s">
        <v>115</v>
      </c>
      <c r="J520" s="9">
        <v>1861</v>
      </c>
      <c r="K520" s="9" t="s">
        <v>4215</v>
      </c>
      <c r="L520" s="9" t="s">
        <v>117</v>
      </c>
      <c r="M520" s="10">
        <v>5.0057870370370371E-2</v>
      </c>
      <c r="N520" s="9" t="s">
        <v>127</v>
      </c>
      <c r="O520" s="9" t="s">
        <v>4216</v>
      </c>
      <c r="P520" s="9" t="s">
        <v>119</v>
      </c>
      <c r="Q520" s="10">
        <v>3.304398148148148E-2</v>
      </c>
      <c r="R520" s="9" t="s">
        <v>56</v>
      </c>
      <c r="S520" s="10">
        <v>0.26701388888888888</v>
      </c>
      <c r="T520" s="9">
        <v>23.86</v>
      </c>
      <c r="U520" s="9">
        <v>6.53</v>
      </c>
      <c r="V520" s="10">
        <v>0.15231481481481479</v>
      </c>
      <c r="W520" s="10">
        <v>0.1103587962962963</v>
      </c>
      <c r="X520" s="10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 t="s">
        <v>139</v>
      </c>
      <c r="AF520" s="9" t="s">
        <v>4270</v>
      </c>
      <c r="AG520" s="9" t="s">
        <v>4217</v>
      </c>
      <c r="AH520" s="9">
        <v>6.2258190000000004</v>
      </c>
      <c r="AI520" s="9">
        <v>-75.599402999999995</v>
      </c>
      <c r="AJ520" s="9" t="s">
        <v>4218</v>
      </c>
      <c r="AK520" s="9">
        <v>6.3085129999999996</v>
      </c>
      <c r="AL520" s="9">
        <v>-75.580482000000003</v>
      </c>
      <c r="AM520" s="26">
        <f t="shared" si="9"/>
        <v>3.304398148148148E-2</v>
      </c>
      <c r="AY520" s="14"/>
      <c r="AZ520" s="14"/>
      <c r="BA520" s="14"/>
      <c r="BB520" s="14"/>
    </row>
    <row r="521" spans="1:54" ht="15" x14ac:dyDescent="0.25">
      <c r="A521" s="9" t="s">
        <v>4271</v>
      </c>
      <c r="B521" s="9" t="s">
        <v>4272</v>
      </c>
      <c r="C521" s="9" t="s">
        <v>4273</v>
      </c>
      <c r="D521" s="9" t="s">
        <v>4274</v>
      </c>
      <c r="E521" s="9" t="s">
        <v>2619</v>
      </c>
      <c r="F521" s="9" t="s">
        <v>406</v>
      </c>
      <c r="G521" s="9" t="s">
        <v>38</v>
      </c>
      <c r="H521" s="9" t="s">
        <v>39</v>
      </c>
      <c r="I521" s="9" t="s">
        <v>40</v>
      </c>
      <c r="J521" s="9">
        <v>4462</v>
      </c>
      <c r="K521" s="9" t="s">
        <v>4275</v>
      </c>
      <c r="L521" s="9" t="s">
        <v>42</v>
      </c>
      <c r="M521" s="10">
        <v>8.472222222222223E-3</v>
      </c>
      <c r="N521" s="9" t="s">
        <v>65</v>
      </c>
      <c r="O521" s="9" t="s">
        <v>4276</v>
      </c>
      <c r="P521" s="9" t="s">
        <v>413</v>
      </c>
      <c r="Q521" s="10">
        <v>1.496527777777778E-2</v>
      </c>
      <c r="R521" s="9" t="s">
        <v>56</v>
      </c>
      <c r="S521" s="10">
        <v>0.2890625</v>
      </c>
      <c r="T521" s="9">
        <v>61.488</v>
      </c>
      <c r="U521" s="9">
        <v>14.19</v>
      </c>
      <c r="V521" s="10">
        <v>0.1805208333333333</v>
      </c>
      <c r="W521" s="10">
        <v>9.2534722222222227E-2</v>
      </c>
      <c r="X521" s="10">
        <v>0</v>
      </c>
      <c r="Y521" s="9">
        <v>0</v>
      </c>
      <c r="Z521" s="9">
        <v>0</v>
      </c>
      <c r="AA521" s="9">
        <v>0</v>
      </c>
      <c r="AB521" s="9">
        <v>0</v>
      </c>
      <c r="AC521" s="9">
        <v>0</v>
      </c>
      <c r="AD521" s="9">
        <v>0</v>
      </c>
      <c r="AE521" s="9" t="s">
        <v>67</v>
      </c>
      <c r="AF521" s="9" t="s">
        <v>4277</v>
      </c>
      <c r="AG521" s="9" t="s">
        <v>4278</v>
      </c>
      <c r="AH521" s="9">
        <v>6.2033050000000003</v>
      </c>
      <c r="AI521" s="9">
        <v>-75.600919000000005</v>
      </c>
      <c r="AJ521" s="9" t="s">
        <v>4279</v>
      </c>
      <c r="AK521" s="9">
        <v>6.2321039999999996</v>
      </c>
      <c r="AL521" s="9">
        <v>-75.596868999999998</v>
      </c>
      <c r="AM521" s="26">
        <f t="shared" si="9"/>
        <v>1.496527777777778E-2</v>
      </c>
    </row>
    <row r="522" spans="1:54" ht="15" x14ac:dyDescent="0.25">
      <c r="A522" s="9" t="s">
        <v>4280</v>
      </c>
      <c r="B522" s="9" t="s">
        <v>4281</v>
      </c>
      <c r="C522" s="9" t="s">
        <v>4282</v>
      </c>
      <c r="D522" s="9" t="s">
        <v>4274</v>
      </c>
      <c r="E522" s="9" t="s">
        <v>2619</v>
      </c>
      <c r="F522" s="9" t="s">
        <v>406</v>
      </c>
      <c r="G522" s="9" t="s">
        <v>52</v>
      </c>
      <c r="H522" s="9" t="s">
        <v>53</v>
      </c>
      <c r="I522" s="9" t="s">
        <v>40</v>
      </c>
      <c r="J522" s="9">
        <v>2529</v>
      </c>
      <c r="K522" s="9" t="s">
        <v>4283</v>
      </c>
      <c r="L522" s="9" t="s">
        <v>42</v>
      </c>
      <c r="M522" s="10">
        <v>6.4814814814814813E-4</v>
      </c>
      <c r="N522" s="9" t="s">
        <v>65</v>
      </c>
      <c r="O522" s="9" t="s">
        <v>4284</v>
      </c>
      <c r="P522" s="9" t="s">
        <v>413</v>
      </c>
      <c r="Q522" s="10">
        <v>0.11565972222222221</v>
      </c>
      <c r="R522" s="9" t="s">
        <v>56</v>
      </c>
      <c r="S522" s="10">
        <v>0.19619212962962959</v>
      </c>
      <c r="T522" s="9">
        <v>33.01</v>
      </c>
      <c r="U522" s="9">
        <v>9.09</v>
      </c>
      <c r="V522" s="10">
        <v>0.15137731481481481</v>
      </c>
      <c r="W522" s="10">
        <v>0.1050347222222222</v>
      </c>
      <c r="X522" s="10">
        <v>2.97337962962963E-2</v>
      </c>
      <c r="Y522" s="9">
        <v>1</v>
      </c>
      <c r="Z522" s="9">
        <v>1</v>
      </c>
      <c r="AA522" s="9">
        <v>1</v>
      </c>
      <c r="AB522" s="9">
        <v>1</v>
      </c>
      <c r="AC522" s="9">
        <v>0</v>
      </c>
      <c r="AD522" s="9">
        <v>1</v>
      </c>
      <c r="AE522" s="9" t="s">
        <v>67</v>
      </c>
      <c r="AF522" s="9" t="s">
        <v>4285</v>
      </c>
      <c r="AG522" s="9" t="s">
        <v>4286</v>
      </c>
      <c r="AH522" s="9">
        <v>6.2472599999999998</v>
      </c>
      <c r="AI522" s="9">
        <v>-75.614570000000001</v>
      </c>
      <c r="AJ522" s="9" t="s">
        <v>4287</v>
      </c>
      <c r="AK522" s="9">
        <v>6.1981789999999997</v>
      </c>
      <c r="AL522" s="9">
        <v>-75.593790999999996</v>
      </c>
      <c r="AM522" s="26">
        <f t="shared" si="9"/>
        <v>0.11565972222222221</v>
      </c>
    </row>
    <row r="523" spans="1:54" ht="15" x14ac:dyDescent="0.25">
      <c r="A523" s="9" t="s">
        <v>4288</v>
      </c>
      <c r="B523" s="9" t="s">
        <v>4289</v>
      </c>
      <c r="C523" s="9" t="s">
        <v>4290</v>
      </c>
      <c r="D523" s="9" t="s">
        <v>4274</v>
      </c>
      <c r="E523" s="9" t="s">
        <v>2619</v>
      </c>
      <c r="F523" s="9" t="s">
        <v>406</v>
      </c>
      <c r="G523" s="9" t="s">
        <v>62</v>
      </c>
      <c r="H523" s="9" t="s">
        <v>63</v>
      </c>
      <c r="I523" s="9" t="s">
        <v>40</v>
      </c>
      <c r="J523" s="9">
        <v>3624</v>
      </c>
      <c r="K523" s="9" t="s">
        <v>4291</v>
      </c>
      <c r="L523" s="9" t="s">
        <v>42</v>
      </c>
      <c r="M523" s="10">
        <v>8.6805555555555551E-4</v>
      </c>
      <c r="N523" s="9" t="s">
        <v>65</v>
      </c>
      <c r="O523" s="9" t="s">
        <v>4292</v>
      </c>
      <c r="P523" s="9" t="s">
        <v>413</v>
      </c>
      <c r="Q523" s="10">
        <v>0.15237268518518521</v>
      </c>
      <c r="R523" s="9" t="s">
        <v>56</v>
      </c>
      <c r="S523" s="10">
        <v>0.1609953703703704</v>
      </c>
      <c r="T523" s="9">
        <v>49.66</v>
      </c>
      <c r="U523" s="9">
        <v>17.190000000000001</v>
      </c>
      <c r="V523" s="10">
        <v>0.1203819444444444</v>
      </c>
      <c r="W523" s="10">
        <v>5.665509259259259E-2</v>
      </c>
      <c r="X523" s="10">
        <v>0</v>
      </c>
      <c r="Y523" s="9">
        <v>0</v>
      </c>
      <c r="Z523" s="9">
        <v>0</v>
      </c>
      <c r="AA523" s="9">
        <v>0</v>
      </c>
      <c r="AB523" s="9">
        <v>0</v>
      </c>
      <c r="AC523" s="9">
        <v>0</v>
      </c>
      <c r="AD523" s="9">
        <v>0</v>
      </c>
      <c r="AE523" s="9" t="s">
        <v>67</v>
      </c>
      <c r="AF523" s="9" t="s">
        <v>4293</v>
      </c>
      <c r="AG523" s="9" t="s">
        <v>4294</v>
      </c>
      <c r="AH523" s="9">
        <v>6.2430919999999999</v>
      </c>
      <c r="AI523" s="9">
        <v>-75.562021999999999</v>
      </c>
      <c r="AJ523" s="9" t="s">
        <v>4295</v>
      </c>
      <c r="AK523" s="9">
        <v>6.2374159999999996</v>
      </c>
      <c r="AL523" s="9">
        <v>-75.514167</v>
      </c>
      <c r="AM523" s="26">
        <f t="shared" si="9"/>
        <v>0.15237268518518521</v>
      </c>
    </row>
    <row r="524" spans="1:54" ht="15" x14ac:dyDescent="0.25">
      <c r="A524" s="9" t="s">
        <v>4296</v>
      </c>
      <c r="B524" s="9" t="s">
        <v>4297</v>
      </c>
      <c r="C524" s="9" t="s">
        <v>4298</v>
      </c>
      <c r="D524" s="9" t="s">
        <v>4274</v>
      </c>
      <c r="E524" s="9" t="s">
        <v>2619</v>
      </c>
      <c r="F524" s="9" t="s">
        <v>406</v>
      </c>
      <c r="G524" s="9" t="s">
        <v>152</v>
      </c>
      <c r="H524" s="9" t="s">
        <v>153</v>
      </c>
      <c r="I524" s="9" t="s">
        <v>40</v>
      </c>
      <c r="J524" s="9">
        <v>2302</v>
      </c>
      <c r="K524" s="9" t="s">
        <v>4299</v>
      </c>
      <c r="L524" s="9" t="s">
        <v>42</v>
      </c>
      <c r="M524" s="10">
        <v>1.157407407407407E-2</v>
      </c>
      <c r="N524" s="9" t="s">
        <v>127</v>
      </c>
      <c r="O524" s="9" t="s">
        <v>4300</v>
      </c>
      <c r="P524" s="9" t="s">
        <v>413</v>
      </c>
      <c r="Q524" s="10">
        <v>5.980324074074074E-2</v>
      </c>
      <c r="R524" s="9" t="s">
        <v>56</v>
      </c>
      <c r="S524" s="10">
        <v>0.26427083333333329</v>
      </c>
      <c r="T524" s="9">
        <v>30.423999999999999</v>
      </c>
      <c r="U524" s="9">
        <v>6.67</v>
      </c>
      <c r="V524" s="10">
        <v>0.1900462962962963</v>
      </c>
      <c r="W524" s="10">
        <v>0.1363657407407407</v>
      </c>
      <c r="X524" s="10">
        <v>0</v>
      </c>
      <c r="Y524" s="9">
        <v>0</v>
      </c>
      <c r="Z524" s="9">
        <v>0</v>
      </c>
      <c r="AA524" s="9">
        <v>0</v>
      </c>
      <c r="AB524" s="9">
        <v>0</v>
      </c>
      <c r="AC524" s="9">
        <v>0</v>
      </c>
      <c r="AD524" s="9">
        <v>0</v>
      </c>
      <c r="AE524" s="9" t="s">
        <v>139</v>
      </c>
      <c r="AF524" s="9" t="s">
        <v>4301</v>
      </c>
      <c r="AG524" s="9" t="s">
        <v>4302</v>
      </c>
      <c r="AH524" s="9">
        <v>6.2505129999999998</v>
      </c>
      <c r="AI524" s="9">
        <v>-75.551883000000004</v>
      </c>
      <c r="AJ524" s="9" t="s">
        <v>4303</v>
      </c>
      <c r="AK524" s="9">
        <v>6.2518399999999996</v>
      </c>
      <c r="AL524" s="9">
        <v>-75.551846999999995</v>
      </c>
      <c r="AM524" s="26">
        <f t="shared" si="9"/>
        <v>5.980324074074074E-2</v>
      </c>
    </row>
    <row r="525" spans="1:54" ht="15" x14ac:dyDescent="0.25">
      <c r="A525" s="9" t="s">
        <v>4304</v>
      </c>
      <c r="B525" s="9" t="s">
        <v>4305</v>
      </c>
      <c r="C525" s="9" t="s">
        <v>4306</v>
      </c>
      <c r="D525" s="9" t="s">
        <v>4274</v>
      </c>
      <c r="E525" s="9" t="s">
        <v>2619</v>
      </c>
      <c r="F525" s="9" t="s">
        <v>406</v>
      </c>
      <c r="G525" s="9" t="s">
        <v>89</v>
      </c>
      <c r="H525" s="9" t="s">
        <v>90</v>
      </c>
      <c r="I525" s="9" t="s">
        <v>40</v>
      </c>
      <c r="J525" s="9">
        <v>2462</v>
      </c>
      <c r="K525" s="9" t="s">
        <v>4307</v>
      </c>
      <c r="L525" s="9" t="s">
        <v>42</v>
      </c>
      <c r="M525" s="10">
        <v>1.446759259259259E-3</v>
      </c>
      <c r="N525" s="9" t="s">
        <v>65</v>
      </c>
      <c r="O525" s="9" t="s">
        <v>4308</v>
      </c>
      <c r="P525" s="9" t="s">
        <v>413</v>
      </c>
      <c r="Q525" s="10">
        <v>2.0636574074074071E-2</v>
      </c>
      <c r="R525" s="9" t="s">
        <v>56</v>
      </c>
      <c r="S525" s="10">
        <v>0.2933101851851852</v>
      </c>
      <c r="T525" s="9">
        <v>31.009</v>
      </c>
      <c r="U525" s="9">
        <v>5.55</v>
      </c>
      <c r="V525" s="10">
        <v>0.23291666666666669</v>
      </c>
      <c r="W525" s="10">
        <v>0.17158564814814811</v>
      </c>
      <c r="X525" s="10">
        <v>0</v>
      </c>
      <c r="Y525" s="9">
        <v>0</v>
      </c>
      <c r="Z525" s="9">
        <v>0</v>
      </c>
      <c r="AA525" s="9">
        <v>0</v>
      </c>
      <c r="AB525" s="9">
        <v>0</v>
      </c>
      <c r="AC525" s="9">
        <v>0</v>
      </c>
      <c r="AD525" s="9">
        <v>2</v>
      </c>
      <c r="AE525" s="9" t="s">
        <v>67</v>
      </c>
      <c r="AF525" s="9" t="s">
        <v>4309</v>
      </c>
      <c r="AG525" s="9" t="s">
        <v>4310</v>
      </c>
      <c r="AH525" s="9">
        <v>6.2265170000000003</v>
      </c>
      <c r="AI525" s="9">
        <v>-75.599256999999994</v>
      </c>
      <c r="AJ525" s="9" t="s">
        <v>4311</v>
      </c>
      <c r="AK525" s="9">
        <v>6.2793900000000002</v>
      </c>
      <c r="AL525" s="9">
        <v>-75.571443000000002</v>
      </c>
      <c r="AM525" s="26">
        <f t="shared" si="9"/>
        <v>2.0636574074074071E-2</v>
      </c>
    </row>
    <row r="526" spans="1:54" ht="15" x14ac:dyDescent="0.25">
      <c r="A526" s="9" t="s">
        <v>4312</v>
      </c>
      <c r="B526" s="9" t="s">
        <v>4313</v>
      </c>
      <c r="C526" s="9" t="s">
        <v>4314</v>
      </c>
      <c r="D526" s="9" t="s">
        <v>4274</v>
      </c>
      <c r="E526" s="9" t="s">
        <v>2619</v>
      </c>
      <c r="F526" s="9" t="s">
        <v>406</v>
      </c>
      <c r="G526" s="9" t="s">
        <v>113</v>
      </c>
      <c r="H526" s="9" t="s">
        <v>114</v>
      </c>
      <c r="I526" s="9" t="s">
        <v>115</v>
      </c>
      <c r="J526" s="9">
        <v>1590</v>
      </c>
      <c r="K526" s="9" t="s">
        <v>4315</v>
      </c>
      <c r="L526" s="9" t="s">
        <v>117</v>
      </c>
      <c r="M526" s="10">
        <v>9.9652777777777778E-3</v>
      </c>
      <c r="N526" s="9" t="s">
        <v>65</v>
      </c>
      <c r="O526" s="9" t="s">
        <v>4316</v>
      </c>
      <c r="P526" s="9" t="s">
        <v>119</v>
      </c>
      <c r="Q526" s="10">
        <v>0.1102662037037037</v>
      </c>
      <c r="R526" s="9" t="s">
        <v>56</v>
      </c>
      <c r="S526" s="10">
        <v>0.12976851851851851</v>
      </c>
      <c r="T526" s="9">
        <v>22.916</v>
      </c>
      <c r="U526" s="9">
        <v>11.21</v>
      </c>
      <c r="V526" s="10">
        <v>8.5162037037037036E-2</v>
      </c>
      <c r="W526" s="10">
        <v>5.1944444444444453E-2</v>
      </c>
      <c r="X526" s="10">
        <v>0</v>
      </c>
      <c r="Y526" s="9">
        <v>0</v>
      </c>
      <c r="Z526" s="9">
        <v>0</v>
      </c>
      <c r="AA526" s="9">
        <v>0</v>
      </c>
      <c r="AB526" s="9">
        <v>0</v>
      </c>
      <c r="AC526" s="9">
        <v>0</v>
      </c>
      <c r="AD526" s="9">
        <v>1</v>
      </c>
      <c r="AE526" s="9" t="s">
        <v>67</v>
      </c>
      <c r="AF526" s="9" t="s">
        <v>4317</v>
      </c>
      <c r="AG526" s="9" t="s">
        <v>4318</v>
      </c>
      <c r="AH526" s="9">
        <v>6.2007099999999999</v>
      </c>
      <c r="AI526" s="9">
        <v>-75.579486000000003</v>
      </c>
      <c r="AJ526" s="9" t="s">
        <v>4319</v>
      </c>
      <c r="AK526" s="9">
        <v>6.2636770000000004</v>
      </c>
      <c r="AL526" s="9">
        <v>-75.597064000000003</v>
      </c>
      <c r="AM526" s="26">
        <f t="shared" si="9"/>
        <v>0.1102662037037037</v>
      </c>
    </row>
    <row r="527" spans="1:54" ht="15" x14ac:dyDescent="0.25">
      <c r="A527" s="9" t="s">
        <v>4320</v>
      </c>
      <c r="B527" s="9" t="s">
        <v>4321</v>
      </c>
      <c r="C527" s="9" t="s">
        <v>4322</v>
      </c>
      <c r="D527" s="9" t="s">
        <v>4274</v>
      </c>
      <c r="E527" s="9" t="s">
        <v>2619</v>
      </c>
      <c r="F527" s="9" t="s">
        <v>406</v>
      </c>
      <c r="G527" s="9" t="s">
        <v>124</v>
      </c>
      <c r="H527" s="9" t="s">
        <v>125</v>
      </c>
      <c r="I527" s="9" t="s">
        <v>115</v>
      </c>
      <c r="J527" s="9">
        <v>3256</v>
      </c>
      <c r="K527" s="9" t="s">
        <v>4323</v>
      </c>
      <c r="L527" s="9" t="s">
        <v>117</v>
      </c>
      <c r="M527" s="10">
        <v>2.6354166666666672E-2</v>
      </c>
      <c r="N527" s="9" t="s">
        <v>43</v>
      </c>
      <c r="O527" s="9" t="s">
        <v>4324</v>
      </c>
      <c r="P527" s="9" t="s">
        <v>119</v>
      </c>
      <c r="Q527" s="10">
        <v>2.6243865740740739</v>
      </c>
      <c r="R527" s="9" t="s">
        <v>129</v>
      </c>
      <c r="S527" s="10">
        <v>2.8480324074074068</v>
      </c>
      <c r="T527" s="9">
        <v>41.905999999999999</v>
      </c>
      <c r="U527" s="9">
        <v>0.83</v>
      </c>
      <c r="V527" s="10">
        <v>2.100034722222222</v>
      </c>
      <c r="W527" s="10">
        <v>2.0296759259259258</v>
      </c>
      <c r="X527" s="10">
        <v>0</v>
      </c>
      <c r="Y527" s="9">
        <v>0</v>
      </c>
      <c r="Z527" s="9">
        <v>0</v>
      </c>
      <c r="AA527" s="9">
        <v>0</v>
      </c>
      <c r="AB527" s="9">
        <v>0</v>
      </c>
      <c r="AC527" s="9">
        <v>0</v>
      </c>
      <c r="AD527" s="9">
        <v>1</v>
      </c>
      <c r="AE527" s="9" t="s">
        <v>130</v>
      </c>
      <c r="AF527" s="9" t="s">
        <v>4325</v>
      </c>
      <c r="AG527" s="9" t="s">
        <v>4326</v>
      </c>
      <c r="AH527" s="9">
        <v>6.250121</v>
      </c>
      <c r="AI527" s="9">
        <v>-75.556875000000005</v>
      </c>
      <c r="AJ527" s="9" t="s">
        <v>4327</v>
      </c>
      <c r="AK527" s="9">
        <v>6.2255880000000001</v>
      </c>
      <c r="AL527" s="9">
        <v>-75.598989000000003</v>
      </c>
      <c r="AM527" s="26">
        <f t="shared" si="9"/>
        <v>2.6354166666666672E-2</v>
      </c>
    </row>
    <row r="528" spans="1:54" ht="15" x14ac:dyDescent="0.25">
      <c r="A528" s="9" t="s">
        <v>4328</v>
      </c>
      <c r="B528" s="9" t="s">
        <v>4329</v>
      </c>
      <c r="C528" s="9" t="s">
        <v>4330</v>
      </c>
      <c r="D528" s="9" t="s">
        <v>4274</v>
      </c>
      <c r="E528" s="9" t="s">
        <v>2619</v>
      </c>
      <c r="F528" s="9" t="s">
        <v>406</v>
      </c>
      <c r="G528" s="9" t="s">
        <v>135</v>
      </c>
      <c r="H528" s="9" t="s">
        <v>136</v>
      </c>
      <c r="I528" s="9" t="s">
        <v>115</v>
      </c>
      <c r="J528" s="9">
        <v>2306</v>
      </c>
      <c r="K528" s="9" t="s">
        <v>4331</v>
      </c>
      <c r="L528" s="9" t="s">
        <v>117</v>
      </c>
      <c r="M528" s="10">
        <v>2.5775462962962958E-2</v>
      </c>
      <c r="N528" s="9" t="s">
        <v>43</v>
      </c>
      <c r="O528" s="9" t="s">
        <v>4332</v>
      </c>
      <c r="P528" s="9" t="s">
        <v>119</v>
      </c>
      <c r="Q528" s="10">
        <v>1.5810185185185181E-2</v>
      </c>
      <c r="R528" s="9" t="s">
        <v>56</v>
      </c>
      <c r="S528" s="10">
        <v>0.20841435185185189</v>
      </c>
      <c r="T528" s="9">
        <v>35.134</v>
      </c>
      <c r="U528" s="9">
        <v>17.670000000000002</v>
      </c>
      <c r="V528" s="10">
        <v>8.2824074074074078E-2</v>
      </c>
      <c r="W528" s="10">
        <v>4.1585648148148149E-2</v>
      </c>
      <c r="X528" s="10">
        <v>8.5879629629629622E-3</v>
      </c>
      <c r="Y528" s="9">
        <v>1</v>
      </c>
      <c r="Z528" s="9">
        <v>0</v>
      </c>
      <c r="AA528" s="9">
        <v>0</v>
      </c>
      <c r="AB528" s="9">
        <v>0</v>
      </c>
      <c r="AC528" s="9">
        <v>0</v>
      </c>
      <c r="AD528" s="9">
        <v>6</v>
      </c>
      <c r="AE528" s="9" t="s">
        <v>57</v>
      </c>
      <c r="AF528" s="9" t="s">
        <v>4333</v>
      </c>
      <c r="AG528" s="9" t="s">
        <v>4334</v>
      </c>
      <c r="AH528" s="9">
        <v>6.2725720000000003</v>
      </c>
      <c r="AI528" s="9">
        <v>-75.540537</v>
      </c>
      <c r="AJ528" s="9" t="s">
        <v>4335</v>
      </c>
      <c r="AK528" s="9">
        <v>6.2171329999999996</v>
      </c>
      <c r="AL528" s="9">
        <v>-75.595055000000002</v>
      </c>
      <c r="AM528" s="26">
        <f t="shared" si="9"/>
        <v>4.1585648148148135E-2</v>
      </c>
    </row>
    <row r="529" spans="1:40" ht="15" x14ac:dyDescent="0.25">
      <c r="A529" s="9" t="s">
        <v>4336</v>
      </c>
      <c r="B529" s="9" t="s">
        <v>4337</v>
      </c>
      <c r="C529" s="9" t="s">
        <v>4338</v>
      </c>
      <c r="D529" s="9" t="s">
        <v>4274</v>
      </c>
      <c r="E529" s="9" t="s">
        <v>2619</v>
      </c>
      <c r="F529" s="9" t="s">
        <v>406</v>
      </c>
      <c r="G529" s="9" t="s">
        <v>72</v>
      </c>
      <c r="H529" s="9" t="s">
        <v>73</v>
      </c>
      <c r="I529" s="9" t="s">
        <v>115</v>
      </c>
      <c r="J529" s="9">
        <v>3993</v>
      </c>
      <c r="K529" s="9" t="s">
        <v>4339</v>
      </c>
      <c r="L529" s="9" t="s">
        <v>117</v>
      </c>
      <c r="M529" s="10">
        <v>7.6145833333333329E-2</v>
      </c>
      <c r="N529" s="9" t="s">
        <v>43</v>
      </c>
      <c r="O529" s="9" t="s">
        <v>4340</v>
      </c>
      <c r="P529" s="9" t="s">
        <v>119</v>
      </c>
      <c r="Q529" s="10">
        <v>1.981481481481482E-2</v>
      </c>
      <c r="R529" s="9" t="s">
        <v>56</v>
      </c>
      <c r="S529" s="10">
        <v>0.15403935185185191</v>
      </c>
      <c r="T529" s="9">
        <v>55.517000000000003</v>
      </c>
      <c r="U529" s="9">
        <v>17.39</v>
      </c>
      <c r="V529" s="10">
        <v>0.1330324074074074</v>
      </c>
      <c r="W529" s="10">
        <v>5.3761574074074073E-2</v>
      </c>
      <c r="X529" s="10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 t="s">
        <v>57</v>
      </c>
      <c r="AF529" s="9" t="s">
        <v>4341</v>
      </c>
      <c r="AG529" s="9" t="s">
        <v>4342</v>
      </c>
      <c r="AH529" s="9">
        <v>6.2386489999999997</v>
      </c>
      <c r="AI529" s="9">
        <v>-75.573251999999997</v>
      </c>
      <c r="AJ529" s="9" t="s">
        <v>4343</v>
      </c>
      <c r="AK529" s="9">
        <v>6.2354180000000001</v>
      </c>
      <c r="AL529" s="9">
        <v>-75.554732999999999</v>
      </c>
      <c r="AM529" s="26">
        <f t="shared" si="9"/>
        <v>9.5960648148148142E-2</v>
      </c>
    </row>
    <row r="530" spans="1:40" ht="15" x14ac:dyDescent="0.25">
      <c r="A530" s="9" t="s">
        <v>4344</v>
      </c>
      <c r="B530" s="9" t="s">
        <v>4345</v>
      </c>
      <c r="C530" s="9" t="s">
        <v>4346</v>
      </c>
      <c r="D530" s="9" t="s">
        <v>4274</v>
      </c>
      <c r="E530" s="9" t="s">
        <v>2619</v>
      </c>
      <c r="F530" s="9" t="s">
        <v>406</v>
      </c>
      <c r="G530" s="9" t="s">
        <v>80</v>
      </c>
      <c r="H530" s="9" t="s">
        <v>81</v>
      </c>
      <c r="I530" s="9" t="s">
        <v>115</v>
      </c>
      <c r="J530" s="9">
        <v>11948</v>
      </c>
      <c r="K530" s="9" t="s">
        <v>4347</v>
      </c>
      <c r="L530" s="9" t="s">
        <v>117</v>
      </c>
      <c r="M530" s="10">
        <v>1.724733796296296E-3</v>
      </c>
      <c r="N530" s="9" t="s">
        <v>65</v>
      </c>
      <c r="O530" s="9" t="s">
        <v>4348</v>
      </c>
      <c r="P530" s="9" t="s">
        <v>119</v>
      </c>
      <c r="Q530" s="10">
        <v>1.2208333333333331E-3</v>
      </c>
      <c r="R530" s="9" t="s">
        <v>46</v>
      </c>
      <c r="S530" s="10">
        <v>0.24705443287037041</v>
      </c>
      <c r="T530" s="9">
        <v>93.061999999999998</v>
      </c>
      <c r="U530" s="9">
        <v>31.19</v>
      </c>
      <c r="V530" s="10">
        <v>0.1243100578703704</v>
      </c>
      <c r="W530" s="10">
        <v>1.4461805555555559E-2</v>
      </c>
      <c r="X530" s="10">
        <v>0</v>
      </c>
      <c r="Y530" s="9">
        <v>0</v>
      </c>
      <c r="Z530" s="9">
        <v>0</v>
      </c>
      <c r="AA530" s="9">
        <v>0</v>
      </c>
      <c r="AB530" s="9">
        <v>0</v>
      </c>
      <c r="AC530" s="9">
        <v>0</v>
      </c>
      <c r="AD530" s="9">
        <v>3</v>
      </c>
      <c r="AE530" s="9" t="s">
        <v>84</v>
      </c>
      <c r="AF530" s="9" t="s">
        <v>292</v>
      </c>
      <c r="AG530" s="9" t="s">
        <v>4349</v>
      </c>
      <c r="AH530" s="9">
        <v>6.2557660000000004</v>
      </c>
      <c r="AI530" s="9">
        <v>-75.619710999999995</v>
      </c>
      <c r="AJ530" s="9" t="s">
        <v>4350</v>
      </c>
      <c r="AK530" s="9">
        <v>6.2469840000000003</v>
      </c>
      <c r="AL530" s="9">
        <v>-75.554086999999996</v>
      </c>
      <c r="AM530" s="26">
        <f t="shared" si="9"/>
        <v>0</v>
      </c>
    </row>
    <row r="531" spans="1:40" ht="15" x14ac:dyDescent="0.25">
      <c r="A531" s="9" t="s">
        <v>4351</v>
      </c>
      <c r="B531" s="9" t="s">
        <v>4352</v>
      </c>
      <c r="C531" s="9" t="s">
        <v>4353</v>
      </c>
      <c r="D531" s="9" t="s">
        <v>4274</v>
      </c>
      <c r="E531" s="9" t="s">
        <v>2619</v>
      </c>
      <c r="F531" s="9" t="s">
        <v>406</v>
      </c>
      <c r="G531" s="9" t="s">
        <v>97</v>
      </c>
      <c r="H531" s="9" t="s">
        <v>98</v>
      </c>
      <c r="I531" s="9" t="s">
        <v>115</v>
      </c>
      <c r="J531" s="9">
        <v>2218</v>
      </c>
      <c r="K531" s="9" t="s">
        <v>4354</v>
      </c>
      <c r="L531" s="9" t="s">
        <v>117</v>
      </c>
      <c r="M531" s="10">
        <v>2.299768518518518E-2</v>
      </c>
      <c r="N531" s="9" t="s">
        <v>127</v>
      </c>
      <c r="O531" s="9" t="s">
        <v>4355</v>
      </c>
      <c r="P531" s="9" t="s">
        <v>119</v>
      </c>
      <c r="Q531" s="10">
        <v>7.3726851851851849E-2</v>
      </c>
      <c r="R531" s="9" t="s">
        <v>56</v>
      </c>
      <c r="S531" s="10">
        <v>0.19927083333333331</v>
      </c>
      <c r="T531" s="9">
        <v>28.459</v>
      </c>
      <c r="U531" s="9">
        <v>8.06</v>
      </c>
      <c r="V531" s="10">
        <v>0.14703703703703699</v>
      </c>
      <c r="W531" s="10">
        <v>8.9282407407407408E-2</v>
      </c>
      <c r="X531" s="10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 t="s">
        <v>139</v>
      </c>
      <c r="AF531" s="9" t="s">
        <v>4356</v>
      </c>
      <c r="AG531" s="9" t="s">
        <v>4357</v>
      </c>
      <c r="AH531" s="9">
        <v>6.3092480000000002</v>
      </c>
      <c r="AI531" s="9">
        <v>-75.575903999999994</v>
      </c>
      <c r="AJ531" s="9" t="s">
        <v>4358</v>
      </c>
      <c r="AK531" s="9">
        <v>6.3090140000000003</v>
      </c>
      <c r="AL531" s="9">
        <v>-75.576318999999998</v>
      </c>
      <c r="AM531" s="26">
        <f t="shared" si="9"/>
        <v>7.3726851851851849E-2</v>
      </c>
    </row>
    <row r="532" spans="1:40" ht="15" x14ac:dyDescent="0.25">
      <c r="A532" s="9" t="s">
        <v>4359</v>
      </c>
      <c r="B532" s="9" t="s">
        <v>4360</v>
      </c>
      <c r="C532" s="9" t="s">
        <v>4361</v>
      </c>
      <c r="D532" s="9" t="s">
        <v>4362</v>
      </c>
      <c r="E532" s="9" t="s">
        <v>2619</v>
      </c>
      <c r="F532" s="9" t="s">
        <v>508</v>
      </c>
      <c r="G532" s="9" t="s">
        <v>38</v>
      </c>
      <c r="H532" s="9" t="s">
        <v>39</v>
      </c>
      <c r="I532" s="9" t="s">
        <v>40</v>
      </c>
      <c r="J532" s="9">
        <v>1295</v>
      </c>
      <c r="K532" s="9" t="s">
        <v>4363</v>
      </c>
      <c r="L532" s="9" t="s">
        <v>42</v>
      </c>
      <c r="M532" s="10">
        <v>1.65162037037037E-2</v>
      </c>
      <c r="N532" s="9" t="s">
        <v>43</v>
      </c>
      <c r="O532" s="9" t="s">
        <v>4364</v>
      </c>
      <c r="P532" s="9" t="s">
        <v>45</v>
      </c>
      <c r="Q532" s="10">
        <v>3.5763888888888889E-3</v>
      </c>
      <c r="R532" s="9" t="s">
        <v>46</v>
      </c>
      <c r="S532" s="10">
        <v>0.32039351851851849</v>
      </c>
      <c r="T532" s="9">
        <v>15.379</v>
      </c>
      <c r="U532" s="9">
        <v>5.72</v>
      </c>
      <c r="V532" s="10">
        <v>0.1120833333333333</v>
      </c>
      <c r="W532" s="10">
        <v>8.3564814814814814E-2</v>
      </c>
      <c r="X532" s="10">
        <v>0.10879629629629629</v>
      </c>
      <c r="Y532" s="9">
        <v>1</v>
      </c>
      <c r="Z532" s="9">
        <v>1</v>
      </c>
      <c r="AA532" s="9">
        <v>1</v>
      </c>
      <c r="AB532" s="9">
        <v>1</v>
      </c>
      <c r="AC532" s="9">
        <v>1</v>
      </c>
      <c r="AD532" s="9">
        <v>1</v>
      </c>
      <c r="AE532" s="9" t="s">
        <v>47</v>
      </c>
      <c r="AF532" s="9" t="s">
        <v>4365</v>
      </c>
      <c r="AG532" s="9" t="s">
        <v>4366</v>
      </c>
      <c r="AH532" s="9">
        <v>6.2034070000000003</v>
      </c>
      <c r="AI532" s="9">
        <v>-75.600691999999995</v>
      </c>
      <c r="AJ532" s="9" t="s">
        <v>4367</v>
      </c>
      <c r="AK532" s="9">
        <v>6.2215749999999996</v>
      </c>
      <c r="AL532" s="9">
        <v>-75.593852999999996</v>
      </c>
      <c r="AM532" s="26">
        <f t="shared" si="9"/>
        <v>1.65162037037037E-2</v>
      </c>
    </row>
    <row r="533" spans="1:40" ht="15" x14ac:dyDescent="0.25">
      <c r="A533" s="9" t="s">
        <v>4368</v>
      </c>
      <c r="B533" s="9" t="s">
        <v>4369</v>
      </c>
      <c r="C533" s="9" t="s">
        <v>4370</v>
      </c>
      <c r="D533" s="9" t="s">
        <v>4362</v>
      </c>
      <c r="E533" s="9" t="s">
        <v>2619</v>
      </c>
      <c r="F533" s="9" t="s">
        <v>508</v>
      </c>
      <c r="G533" s="9" t="s">
        <v>52</v>
      </c>
      <c r="H533" s="9" t="s">
        <v>53</v>
      </c>
      <c r="I533" s="9" t="s">
        <v>40</v>
      </c>
      <c r="J533" s="9">
        <v>3125</v>
      </c>
      <c r="K533" s="9" t="s">
        <v>4371</v>
      </c>
      <c r="L533" s="9" t="s">
        <v>42</v>
      </c>
      <c r="M533" s="10">
        <v>1.819444444444444E-2</v>
      </c>
      <c r="N533" s="9" t="s">
        <v>127</v>
      </c>
      <c r="O533" s="9" t="s">
        <v>4372</v>
      </c>
      <c r="P533" s="9" t="s">
        <v>45</v>
      </c>
      <c r="Q533" s="10">
        <v>1.701388888888889E-3</v>
      </c>
      <c r="R533" s="9" t="s">
        <v>46</v>
      </c>
      <c r="S533" s="10">
        <v>0.35322916666666659</v>
      </c>
      <c r="T533" s="9">
        <v>39.334000000000003</v>
      </c>
      <c r="U533" s="9">
        <v>8.41</v>
      </c>
      <c r="V533" s="10">
        <v>0.19497685185185179</v>
      </c>
      <c r="W533" s="10">
        <v>0.12534722222222219</v>
      </c>
      <c r="X533" s="10">
        <v>0</v>
      </c>
      <c r="Y533" s="9">
        <v>0</v>
      </c>
      <c r="Z533" s="9">
        <v>0</v>
      </c>
      <c r="AA533" s="9">
        <v>0</v>
      </c>
      <c r="AB533" s="9">
        <v>0</v>
      </c>
      <c r="AC533" s="9">
        <v>0</v>
      </c>
      <c r="AD533" s="9">
        <v>1</v>
      </c>
      <c r="AE533" s="9" t="s">
        <v>139</v>
      </c>
      <c r="AF533" s="9" t="s">
        <v>4373</v>
      </c>
      <c r="AG533" s="9" t="s">
        <v>4374</v>
      </c>
      <c r="AH533" s="9">
        <v>6.2256130000000001</v>
      </c>
      <c r="AI533" s="9">
        <v>-75.599299999999999</v>
      </c>
      <c r="AJ533" s="9" t="s">
        <v>4375</v>
      </c>
      <c r="AK533" s="9">
        <v>6.2477119999999999</v>
      </c>
      <c r="AL533" s="9">
        <v>-75.615081000000004</v>
      </c>
      <c r="AM533" s="26">
        <f t="shared" si="9"/>
        <v>0</v>
      </c>
    </row>
    <row r="534" spans="1:40" ht="15" x14ac:dyDescent="0.25">
      <c r="A534" s="9" t="s">
        <v>4376</v>
      </c>
      <c r="B534" s="9" t="s">
        <v>4377</v>
      </c>
      <c r="C534" s="9" t="s">
        <v>4378</v>
      </c>
      <c r="D534" s="9" t="s">
        <v>4362</v>
      </c>
      <c r="E534" s="9" t="s">
        <v>2619</v>
      </c>
      <c r="F534" s="9" t="s">
        <v>508</v>
      </c>
      <c r="G534" s="9" t="s">
        <v>62</v>
      </c>
      <c r="H534" s="9" t="s">
        <v>63</v>
      </c>
      <c r="I534" s="9" t="s">
        <v>40</v>
      </c>
      <c r="J534" s="9">
        <v>2689</v>
      </c>
      <c r="K534" s="9" t="s">
        <v>4379</v>
      </c>
      <c r="L534" s="9" t="s">
        <v>42</v>
      </c>
      <c r="M534" s="10">
        <v>8.472222222222223E-3</v>
      </c>
      <c r="N534" s="9" t="s">
        <v>65</v>
      </c>
      <c r="O534" s="9" t="s">
        <v>4380</v>
      </c>
      <c r="P534" s="9" t="s">
        <v>45</v>
      </c>
      <c r="Q534" s="10">
        <v>0.12221064814814819</v>
      </c>
      <c r="R534" s="9" t="s">
        <v>56</v>
      </c>
      <c r="S534" s="10">
        <v>0.21959490740740739</v>
      </c>
      <c r="T534" s="9">
        <v>36.213000000000001</v>
      </c>
      <c r="U534" s="9">
        <v>9.9</v>
      </c>
      <c r="V534" s="10">
        <v>0.15236111111111111</v>
      </c>
      <c r="W534" s="10">
        <v>9.1979166666666667E-2</v>
      </c>
      <c r="X534" s="10">
        <v>0</v>
      </c>
      <c r="Y534" s="9">
        <v>0</v>
      </c>
      <c r="Z534" s="9">
        <v>0</v>
      </c>
      <c r="AA534" s="9">
        <v>0</v>
      </c>
      <c r="AB534" s="9">
        <v>0</v>
      </c>
      <c r="AC534" s="9">
        <v>0</v>
      </c>
      <c r="AD534" s="9">
        <v>1</v>
      </c>
      <c r="AE534" s="9" t="s">
        <v>67</v>
      </c>
      <c r="AF534" s="9" t="s">
        <v>4381</v>
      </c>
      <c r="AG534" s="9" t="s">
        <v>4382</v>
      </c>
      <c r="AH534" s="9">
        <v>6.2257610000000003</v>
      </c>
      <c r="AI534" s="9">
        <v>-75.599428000000003</v>
      </c>
      <c r="AJ534" s="9" t="s">
        <v>4383</v>
      </c>
      <c r="AK534" s="9">
        <v>6.2905530000000001</v>
      </c>
      <c r="AL534" s="9">
        <v>-75.569749999999999</v>
      </c>
      <c r="AM534" s="26">
        <f t="shared" si="9"/>
        <v>0.12221064814814819</v>
      </c>
    </row>
    <row r="535" spans="1:40" ht="15" x14ac:dyDescent="0.25">
      <c r="A535" s="9" t="s">
        <v>4384</v>
      </c>
      <c r="B535" s="9" t="s">
        <v>4385</v>
      </c>
      <c r="C535" s="9" t="s">
        <v>4386</v>
      </c>
      <c r="D535" s="9" t="s">
        <v>4362</v>
      </c>
      <c r="E535" s="9" t="s">
        <v>2619</v>
      </c>
      <c r="F535" s="9" t="s">
        <v>508</v>
      </c>
      <c r="G535" s="9" t="s">
        <v>144</v>
      </c>
      <c r="H535" s="9" t="s">
        <v>145</v>
      </c>
      <c r="I535" s="9" t="s">
        <v>40</v>
      </c>
      <c r="J535" s="9">
        <v>4530</v>
      </c>
      <c r="K535" s="9" t="s">
        <v>4387</v>
      </c>
      <c r="L535" s="9" t="s">
        <v>42</v>
      </c>
      <c r="M535" s="10">
        <v>5.5555555555555558E-3</v>
      </c>
      <c r="N535" s="9" t="s">
        <v>65</v>
      </c>
      <c r="O535" s="9" t="s">
        <v>4388</v>
      </c>
      <c r="P535" s="9" t="s">
        <v>45</v>
      </c>
      <c r="Q535" s="10">
        <v>1.5844907407407412E-2</v>
      </c>
      <c r="R535" s="9" t="s">
        <v>56</v>
      </c>
      <c r="S535" s="10">
        <v>0.3230439814814815</v>
      </c>
      <c r="T535" s="9">
        <v>57.572000000000003</v>
      </c>
      <c r="U535" s="9">
        <v>10.16</v>
      </c>
      <c r="V535" s="10">
        <v>0.23621527777777779</v>
      </c>
      <c r="W535" s="10">
        <v>0.12913194444444451</v>
      </c>
      <c r="X535" s="10">
        <v>0</v>
      </c>
      <c r="Y535" s="9">
        <v>0</v>
      </c>
      <c r="Z535" s="9">
        <v>0</v>
      </c>
      <c r="AA535" s="9">
        <v>0</v>
      </c>
      <c r="AB535" s="9">
        <v>0</v>
      </c>
      <c r="AC535" s="9">
        <v>0</v>
      </c>
      <c r="AD535" s="9">
        <v>0</v>
      </c>
      <c r="AE535" s="9" t="s">
        <v>67</v>
      </c>
      <c r="AF535" s="9" t="s">
        <v>4389</v>
      </c>
      <c r="AG535" s="9" t="s">
        <v>4390</v>
      </c>
      <c r="AH535" s="9">
        <v>6.2256090000000004</v>
      </c>
      <c r="AI535" s="9">
        <v>-75.599514999999997</v>
      </c>
      <c r="AJ535" s="9" t="s">
        <v>4391</v>
      </c>
      <c r="AK535" s="9">
        <v>6.263744</v>
      </c>
      <c r="AL535" s="9">
        <v>-75.567603000000005</v>
      </c>
      <c r="AM535" s="26">
        <f t="shared" si="9"/>
        <v>1.5844907407407412E-2</v>
      </c>
    </row>
    <row r="536" spans="1:40" ht="15" x14ac:dyDescent="0.25">
      <c r="A536" s="9" t="s">
        <v>4392</v>
      </c>
      <c r="B536" s="9" t="s">
        <v>4393</v>
      </c>
      <c r="C536" s="9" t="s">
        <v>4394</v>
      </c>
      <c r="D536" s="9" t="s">
        <v>4362</v>
      </c>
      <c r="E536" s="9" t="s">
        <v>2619</v>
      </c>
      <c r="F536" s="9" t="s">
        <v>508</v>
      </c>
      <c r="G536" s="9" t="s">
        <v>89</v>
      </c>
      <c r="H536" s="9" t="s">
        <v>90</v>
      </c>
      <c r="I536" s="9" t="s">
        <v>40</v>
      </c>
      <c r="J536" s="9">
        <v>1529</v>
      </c>
      <c r="K536" s="9" t="s">
        <v>4395</v>
      </c>
      <c r="L536" s="9" t="s">
        <v>42</v>
      </c>
      <c r="M536" s="10">
        <v>7.013888888888889E-3</v>
      </c>
      <c r="N536" s="9" t="s">
        <v>65</v>
      </c>
      <c r="O536" s="9" t="s">
        <v>4396</v>
      </c>
      <c r="P536" s="9" t="s">
        <v>45</v>
      </c>
      <c r="Q536" s="10">
        <v>1.388888888888889E-2</v>
      </c>
      <c r="R536" s="9" t="s">
        <v>56</v>
      </c>
      <c r="S536" s="10">
        <v>0.31243055555555549</v>
      </c>
      <c r="T536" s="9">
        <v>16.675000000000001</v>
      </c>
      <c r="U536" s="9">
        <v>3.26</v>
      </c>
      <c r="V536" s="10">
        <v>0.2129861111111111</v>
      </c>
      <c r="W536" s="10">
        <v>0.18839120370370371</v>
      </c>
      <c r="X536" s="10">
        <v>0</v>
      </c>
      <c r="Y536" s="9">
        <v>0</v>
      </c>
      <c r="Z536" s="9">
        <v>0</v>
      </c>
      <c r="AA536" s="9">
        <v>0</v>
      </c>
      <c r="AB536" s="9">
        <v>0</v>
      </c>
      <c r="AC536" s="9">
        <v>0</v>
      </c>
      <c r="AD536" s="9">
        <v>0</v>
      </c>
      <c r="AE536" s="9" t="s">
        <v>67</v>
      </c>
      <c r="AF536" s="9" t="s">
        <v>4397</v>
      </c>
      <c r="AG536" s="9" t="s">
        <v>4398</v>
      </c>
      <c r="AH536" s="9">
        <v>6.2266620000000001</v>
      </c>
      <c r="AI536" s="9">
        <v>-75.599292000000005</v>
      </c>
      <c r="AJ536" s="9" t="s">
        <v>4399</v>
      </c>
      <c r="AK536" s="9">
        <v>6.2466369999999998</v>
      </c>
      <c r="AL536" s="9">
        <v>-75.570026999999996</v>
      </c>
      <c r="AM536" s="26">
        <f t="shared" si="9"/>
        <v>1.388888888888889E-2</v>
      </c>
    </row>
    <row r="537" spans="1:40" ht="15" x14ac:dyDescent="0.25">
      <c r="A537" s="9" t="s">
        <v>4400</v>
      </c>
      <c r="B537" s="9" t="s">
        <v>4401</v>
      </c>
      <c r="C537" s="9" t="s">
        <v>4402</v>
      </c>
      <c r="D537" s="9" t="s">
        <v>4362</v>
      </c>
      <c r="E537" s="9" t="s">
        <v>2619</v>
      </c>
      <c r="F537" s="9" t="s">
        <v>508</v>
      </c>
      <c r="G537" s="9" t="s">
        <v>105</v>
      </c>
      <c r="H537" s="9" t="s">
        <v>106</v>
      </c>
      <c r="I537" s="9" t="s">
        <v>40</v>
      </c>
      <c r="J537" s="9">
        <v>4278</v>
      </c>
      <c r="K537" s="9" t="s">
        <v>4403</v>
      </c>
      <c r="L537" s="9" t="s">
        <v>42</v>
      </c>
      <c r="M537" s="10">
        <v>8.9733796296296298E-2</v>
      </c>
      <c r="N537" s="9" t="s">
        <v>43</v>
      </c>
      <c r="O537" s="9" t="s">
        <v>4404</v>
      </c>
      <c r="P537" s="9" t="s">
        <v>45</v>
      </c>
      <c r="Q537" s="10">
        <v>6.958333333333333E-2</v>
      </c>
      <c r="R537" s="9" t="s">
        <v>56</v>
      </c>
      <c r="S537" s="10">
        <v>0.17401620370370369</v>
      </c>
      <c r="T537" s="9">
        <v>70.099999999999994</v>
      </c>
      <c r="U537" s="9">
        <v>21.01</v>
      </c>
      <c r="V537" s="10">
        <v>0.13900462962962959</v>
      </c>
      <c r="W537" s="10">
        <v>5.8738425925925923E-2</v>
      </c>
      <c r="X537" s="10">
        <v>4.6412037037037038E-3</v>
      </c>
      <c r="Y537" s="9">
        <v>0</v>
      </c>
      <c r="Z537" s="9">
        <v>0</v>
      </c>
      <c r="AA537" s="9">
        <v>0</v>
      </c>
      <c r="AB537" s="9">
        <v>0</v>
      </c>
      <c r="AC537" s="9">
        <v>0</v>
      </c>
      <c r="AD537" s="9">
        <v>1</v>
      </c>
      <c r="AE537" s="9" t="s">
        <v>57</v>
      </c>
      <c r="AF537" s="9" t="s">
        <v>4405</v>
      </c>
      <c r="AG537" s="9" t="s">
        <v>4406</v>
      </c>
      <c r="AH537" s="9">
        <v>6.258375</v>
      </c>
      <c r="AI537" s="9">
        <v>-75.615757000000002</v>
      </c>
      <c r="AJ537" s="9" t="s">
        <v>4407</v>
      </c>
      <c r="AK537" s="9">
        <v>6.2585220000000001</v>
      </c>
      <c r="AL537" s="9">
        <v>-75.616169999999997</v>
      </c>
      <c r="AM537" s="26">
        <f t="shared" si="9"/>
        <v>0.15931712962962963</v>
      </c>
    </row>
    <row r="538" spans="1:40" ht="15" x14ac:dyDescent="0.25">
      <c r="A538" s="9" t="s">
        <v>4408</v>
      </c>
      <c r="B538" s="9" t="s">
        <v>4409</v>
      </c>
      <c r="C538" s="9" t="s">
        <v>4410</v>
      </c>
      <c r="D538" s="9" t="s">
        <v>4362</v>
      </c>
      <c r="E538" s="9" t="s">
        <v>2619</v>
      </c>
      <c r="F538" s="9" t="s">
        <v>508</v>
      </c>
      <c r="G538" s="9" t="s">
        <v>113</v>
      </c>
      <c r="H538" s="9" t="s">
        <v>114</v>
      </c>
      <c r="I538" s="9" t="s">
        <v>115</v>
      </c>
      <c r="J538" s="9">
        <v>2123</v>
      </c>
      <c r="K538" s="9" t="s">
        <v>4411</v>
      </c>
      <c r="L538" s="9" t="s">
        <v>117</v>
      </c>
      <c r="M538" s="10">
        <v>2.8009259259259259E-3</v>
      </c>
      <c r="N538" s="9" t="s">
        <v>65</v>
      </c>
      <c r="O538" s="9" t="s">
        <v>4412</v>
      </c>
      <c r="P538" s="9" t="s">
        <v>119</v>
      </c>
      <c r="Q538" s="10">
        <v>7.2789351851851855E-2</v>
      </c>
      <c r="R538" s="9" t="s">
        <v>56</v>
      </c>
      <c r="S538" s="10">
        <v>0.1744097222222222</v>
      </c>
      <c r="T538" s="9">
        <v>26.995000000000001</v>
      </c>
      <c r="U538" s="9">
        <v>10.23</v>
      </c>
      <c r="V538" s="10">
        <v>0.10998842592592591</v>
      </c>
      <c r="W538" s="10">
        <v>5.8229166666666672E-2</v>
      </c>
      <c r="X538" s="10">
        <v>0</v>
      </c>
      <c r="Y538" s="9">
        <v>0</v>
      </c>
      <c r="Z538" s="9">
        <v>0</v>
      </c>
      <c r="AA538" s="9">
        <v>0</v>
      </c>
      <c r="AB538" s="9">
        <v>0</v>
      </c>
      <c r="AC538" s="9">
        <v>0</v>
      </c>
      <c r="AD538" s="9">
        <v>0</v>
      </c>
      <c r="AE538" s="9" t="s">
        <v>67</v>
      </c>
      <c r="AF538" s="9" t="s">
        <v>4413</v>
      </c>
      <c r="AG538" s="9" t="s">
        <v>4414</v>
      </c>
      <c r="AH538" s="9">
        <v>6.2503349999999998</v>
      </c>
      <c r="AI538" s="9">
        <v>-75.600363999999999</v>
      </c>
      <c r="AJ538" s="9" t="s">
        <v>4415</v>
      </c>
      <c r="AK538" s="9">
        <v>6.2506919999999999</v>
      </c>
      <c r="AL538" s="9">
        <v>-75.60154</v>
      </c>
      <c r="AM538" s="26">
        <f t="shared" si="9"/>
        <v>7.2789351851851855E-2</v>
      </c>
      <c r="AN538" s="1" t="s">
        <v>4061</v>
      </c>
    </row>
    <row r="539" spans="1:40" ht="15" x14ac:dyDescent="0.25">
      <c r="A539" s="9" t="s">
        <v>4416</v>
      </c>
      <c r="B539" s="9" t="s">
        <v>4417</v>
      </c>
      <c r="C539" s="9" t="s">
        <v>4418</v>
      </c>
      <c r="D539" s="9" t="s">
        <v>4362</v>
      </c>
      <c r="E539" s="9" t="s">
        <v>2619</v>
      </c>
      <c r="F539" s="9" t="s">
        <v>508</v>
      </c>
      <c r="G539" s="9" t="s">
        <v>124</v>
      </c>
      <c r="H539" s="9" t="s">
        <v>125</v>
      </c>
      <c r="I539" s="9" t="s">
        <v>115</v>
      </c>
      <c r="J539" s="9">
        <v>5852</v>
      </c>
      <c r="K539" s="9" t="s">
        <v>4419</v>
      </c>
      <c r="L539" s="9" t="s">
        <v>117</v>
      </c>
      <c r="M539" s="10">
        <v>5.9409722222222218E-2</v>
      </c>
      <c r="N539" s="9" t="s">
        <v>127</v>
      </c>
      <c r="O539" s="9" t="s">
        <v>4420</v>
      </c>
      <c r="P539" s="9" t="s">
        <v>119</v>
      </c>
      <c r="Q539" s="10">
        <v>1.0949074074074069E-2</v>
      </c>
      <c r="R539" s="9" t="s">
        <v>129</v>
      </c>
      <c r="S539" s="10">
        <v>0.32035879629629632</v>
      </c>
      <c r="T539" s="9">
        <v>74.962999999999994</v>
      </c>
      <c r="U539" s="9">
        <v>12.45</v>
      </c>
      <c r="V539" s="10">
        <v>0.25081018518518522</v>
      </c>
      <c r="W539" s="10">
        <v>9.9386574074074072E-2</v>
      </c>
      <c r="X539" s="10">
        <v>1.525462962962963E-2</v>
      </c>
      <c r="Y539" s="9">
        <v>1</v>
      </c>
      <c r="Z539" s="9">
        <v>1</v>
      </c>
      <c r="AA539" s="9">
        <v>0</v>
      </c>
      <c r="AB539" s="9">
        <v>0</v>
      </c>
      <c r="AC539" s="9">
        <v>0</v>
      </c>
      <c r="AD539" s="9">
        <v>0</v>
      </c>
      <c r="AE539" s="9" t="s">
        <v>130</v>
      </c>
      <c r="AF539" s="9" t="s">
        <v>4421</v>
      </c>
      <c r="AG539" s="9" t="s">
        <v>4422</v>
      </c>
      <c r="AH539" s="9">
        <v>6.2254690000000004</v>
      </c>
      <c r="AI539" s="9">
        <v>-75.599356</v>
      </c>
      <c r="AJ539" s="9" t="s">
        <v>4423</v>
      </c>
      <c r="AK539" s="9">
        <v>6.2726179999999996</v>
      </c>
      <c r="AL539" s="9">
        <v>-75.601983000000004</v>
      </c>
      <c r="AM539" s="26">
        <f t="shared" si="9"/>
        <v>0</v>
      </c>
      <c r="AN539" s="1" t="s">
        <v>4061</v>
      </c>
    </row>
    <row r="540" spans="1:40" ht="15" x14ac:dyDescent="0.25">
      <c r="A540" s="9" t="s">
        <v>4424</v>
      </c>
      <c r="B540" s="9" t="s">
        <v>4425</v>
      </c>
      <c r="C540" s="9" t="s">
        <v>4426</v>
      </c>
      <c r="D540" s="9" t="s">
        <v>4362</v>
      </c>
      <c r="E540" s="9" t="s">
        <v>2619</v>
      </c>
      <c r="F540" s="9" t="s">
        <v>508</v>
      </c>
      <c r="G540" s="9" t="s">
        <v>135</v>
      </c>
      <c r="H540" s="9" t="s">
        <v>136</v>
      </c>
      <c r="I540" s="9" t="s">
        <v>115</v>
      </c>
      <c r="J540" s="9">
        <v>1179</v>
      </c>
      <c r="K540" s="9" t="s">
        <v>4427</v>
      </c>
      <c r="L540" s="9" t="s">
        <v>117</v>
      </c>
      <c r="M540" s="10">
        <v>7.526620370370371E-2</v>
      </c>
      <c r="N540" s="9" t="s">
        <v>127</v>
      </c>
      <c r="O540" s="9" t="s">
        <v>4428</v>
      </c>
      <c r="P540" s="9" t="s">
        <v>119</v>
      </c>
      <c r="Q540" s="10">
        <v>2.0023148148148148E-3</v>
      </c>
      <c r="R540" s="9" t="s">
        <v>46</v>
      </c>
      <c r="S540" s="10">
        <v>0.32326388888888891</v>
      </c>
      <c r="T540" s="9">
        <v>37.79</v>
      </c>
      <c r="U540" s="9">
        <v>20.78</v>
      </c>
      <c r="V540" s="10">
        <v>7.5775462962962961E-2</v>
      </c>
      <c r="W540" s="10">
        <v>3.8530092592592588E-2</v>
      </c>
      <c r="X540" s="10">
        <v>0</v>
      </c>
      <c r="Y540" s="9">
        <v>0</v>
      </c>
      <c r="Z540" s="9">
        <v>0</v>
      </c>
      <c r="AA540" s="9">
        <v>0</v>
      </c>
      <c r="AB540" s="9">
        <v>0</v>
      </c>
      <c r="AC540" s="9">
        <v>0</v>
      </c>
      <c r="AD540" s="9">
        <v>3</v>
      </c>
      <c r="AE540" s="9" t="s">
        <v>139</v>
      </c>
      <c r="AF540" s="9" t="s">
        <v>4429</v>
      </c>
      <c r="AG540" s="9" t="s">
        <v>4430</v>
      </c>
      <c r="AH540" s="9">
        <v>6.2257619999999996</v>
      </c>
      <c r="AI540" s="9">
        <v>-75.599109999999996</v>
      </c>
      <c r="AJ540" s="9" t="s">
        <v>4431</v>
      </c>
      <c r="AK540" s="9">
        <v>6.2250120000000004</v>
      </c>
      <c r="AL540" s="9">
        <v>-75.599492999999995</v>
      </c>
      <c r="AM540" s="26">
        <f t="shared" si="9"/>
        <v>0</v>
      </c>
      <c r="AN540" s="1" t="s">
        <v>4061</v>
      </c>
    </row>
    <row r="541" spans="1:40" ht="15" x14ac:dyDescent="0.25">
      <c r="A541" s="9" t="s">
        <v>4432</v>
      </c>
      <c r="B541" s="9" t="s">
        <v>4433</v>
      </c>
      <c r="C541" s="9" t="s">
        <v>4434</v>
      </c>
      <c r="D541" s="9" t="s">
        <v>4362</v>
      </c>
      <c r="E541" s="9" t="s">
        <v>2619</v>
      </c>
      <c r="F541" s="9" t="s">
        <v>508</v>
      </c>
      <c r="G541" s="9" t="s">
        <v>72</v>
      </c>
      <c r="H541" s="9" t="s">
        <v>73</v>
      </c>
      <c r="I541" s="9" t="s">
        <v>115</v>
      </c>
      <c r="J541" s="9">
        <v>2109</v>
      </c>
      <c r="K541" s="9" t="s">
        <v>4435</v>
      </c>
      <c r="L541" s="9" t="s">
        <v>117</v>
      </c>
      <c r="M541" s="10">
        <v>4.1562500000000002E-2</v>
      </c>
      <c r="N541" s="9" t="s">
        <v>127</v>
      </c>
      <c r="O541" s="9" t="s">
        <v>4436</v>
      </c>
      <c r="P541" s="9" t="s">
        <v>119</v>
      </c>
      <c r="Q541" s="10">
        <v>6.1145833333333337E-2</v>
      </c>
      <c r="R541" s="9" t="s">
        <v>56</v>
      </c>
      <c r="S541" s="10">
        <v>0.23041666666666669</v>
      </c>
      <c r="T541" s="9">
        <v>29.806000000000001</v>
      </c>
      <c r="U541" s="9">
        <v>10.25</v>
      </c>
      <c r="V541" s="10">
        <v>0.1211805555555556</v>
      </c>
      <c r="W541" s="10">
        <v>8.0706018518518524E-2</v>
      </c>
      <c r="X541" s="10">
        <v>0</v>
      </c>
      <c r="Y541" s="9">
        <v>0</v>
      </c>
      <c r="Z541" s="9">
        <v>0</v>
      </c>
      <c r="AA541" s="9">
        <v>0</v>
      </c>
      <c r="AB541" s="9">
        <v>0</v>
      </c>
      <c r="AC541" s="9">
        <v>0</v>
      </c>
      <c r="AD541" s="9">
        <v>1</v>
      </c>
      <c r="AE541" s="9" t="s">
        <v>139</v>
      </c>
      <c r="AF541" s="9" t="s">
        <v>4437</v>
      </c>
      <c r="AG541" s="9" t="s">
        <v>4438</v>
      </c>
      <c r="AH541" s="9">
        <v>6.2253780000000001</v>
      </c>
      <c r="AI541" s="9">
        <v>-75.599435</v>
      </c>
      <c r="AJ541" s="9" t="s">
        <v>4439</v>
      </c>
      <c r="AK541" s="9">
        <v>6.2369779999999997</v>
      </c>
      <c r="AL541" s="9">
        <v>-75.558823000000004</v>
      </c>
      <c r="AM541" s="26">
        <f t="shared" si="9"/>
        <v>6.1145833333333337E-2</v>
      </c>
      <c r="AN541" s="1" t="s">
        <v>4061</v>
      </c>
    </row>
    <row r="542" spans="1:40" ht="15" x14ac:dyDescent="0.25">
      <c r="A542" s="9" t="s">
        <v>4440</v>
      </c>
      <c r="B542" s="9" t="s">
        <v>4441</v>
      </c>
      <c r="C542" s="9" t="s">
        <v>4442</v>
      </c>
      <c r="D542" s="9" t="s">
        <v>4362</v>
      </c>
      <c r="E542" s="9" t="s">
        <v>2619</v>
      </c>
      <c r="F542" s="9" t="s">
        <v>508</v>
      </c>
      <c r="G542" s="9" t="s">
        <v>80</v>
      </c>
      <c r="H542" s="9" t="s">
        <v>81</v>
      </c>
      <c r="I542" s="9" t="s">
        <v>115</v>
      </c>
      <c r="J542" s="9">
        <v>5789</v>
      </c>
      <c r="K542" s="9" t="s">
        <v>4443</v>
      </c>
      <c r="L542" s="9" t="s">
        <v>117</v>
      </c>
      <c r="M542" s="10">
        <v>6.564386574074074E-3</v>
      </c>
      <c r="N542" s="9" t="s">
        <v>65</v>
      </c>
      <c r="O542" s="9" t="s">
        <v>4444</v>
      </c>
      <c r="P542" s="9" t="s">
        <v>119</v>
      </c>
      <c r="Q542" s="10">
        <v>5.3287962962962968E-3</v>
      </c>
      <c r="R542" s="9" t="s">
        <v>46</v>
      </c>
      <c r="S542" s="10">
        <v>0.23810681712962961</v>
      </c>
      <c r="T542" s="9">
        <v>48.529000000000003</v>
      </c>
      <c r="U542" s="9">
        <v>23.12</v>
      </c>
      <c r="V542" s="10">
        <v>8.7473287037036968E-2</v>
      </c>
      <c r="W542" s="10">
        <v>2.789581018518519E-2</v>
      </c>
      <c r="X542" s="10">
        <v>0</v>
      </c>
      <c r="Y542" s="9">
        <v>0</v>
      </c>
      <c r="Z542" s="9">
        <v>0</v>
      </c>
      <c r="AA542" s="9">
        <v>0</v>
      </c>
      <c r="AB542" s="9">
        <v>0</v>
      </c>
      <c r="AC542" s="9">
        <v>0</v>
      </c>
      <c r="AD542" s="9">
        <v>7</v>
      </c>
      <c r="AE542" s="9" t="s">
        <v>84</v>
      </c>
      <c r="AF542" s="9" t="s">
        <v>2832</v>
      </c>
      <c r="AG542" s="9" t="s">
        <v>4445</v>
      </c>
      <c r="AH542" s="9">
        <v>6.1904450000000004</v>
      </c>
      <c r="AI542" s="9">
        <v>-75.577248999999995</v>
      </c>
      <c r="AJ542" s="9" t="s">
        <v>4446</v>
      </c>
      <c r="AK542" s="9">
        <v>6.2556419999999999</v>
      </c>
      <c r="AL542" s="9">
        <v>-75.620604</v>
      </c>
      <c r="AM542" s="26">
        <f t="shared" si="9"/>
        <v>0</v>
      </c>
      <c r="AN542" s="1" t="s">
        <v>4061</v>
      </c>
    </row>
    <row r="543" spans="1:40" ht="15" x14ac:dyDescent="0.25">
      <c r="A543" s="9" t="s">
        <v>4447</v>
      </c>
      <c r="B543" s="9" t="s">
        <v>4448</v>
      </c>
      <c r="C543" s="9" t="s">
        <v>4449</v>
      </c>
      <c r="D543" s="9" t="s">
        <v>4362</v>
      </c>
      <c r="E543" s="9" t="s">
        <v>2619</v>
      </c>
      <c r="F543" s="9" t="s">
        <v>508</v>
      </c>
      <c r="G543" s="9" t="s">
        <v>160</v>
      </c>
      <c r="H543" s="9" t="s">
        <v>161</v>
      </c>
      <c r="I543" s="9" t="s">
        <v>115</v>
      </c>
      <c r="J543" s="9">
        <v>15127</v>
      </c>
      <c r="K543" s="9" t="s">
        <v>4450</v>
      </c>
      <c r="L543" s="9" t="s">
        <v>117</v>
      </c>
      <c r="M543" s="10">
        <v>6.2735798611111102E-2</v>
      </c>
      <c r="N543" s="9" t="s">
        <v>127</v>
      </c>
      <c r="O543" s="9" t="s">
        <v>4451</v>
      </c>
      <c r="P543" s="9" t="s">
        <v>119</v>
      </c>
      <c r="Q543" s="10">
        <v>8.884513888888888E-3</v>
      </c>
      <c r="R543" s="9" t="s">
        <v>46</v>
      </c>
      <c r="S543" s="10">
        <v>0.32162031250000001</v>
      </c>
      <c r="T543" s="9">
        <v>90.927999999999997</v>
      </c>
      <c r="U543" s="9">
        <v>17.809999999999999</v>
      </c>
      <c r="V543" s="10">
        <v>0.21276561342592579</v>
      </c>
      <c r="W543" s="10">
        <v>0.1150462847222222</v>
      </c>
      <c r="X543" s="10">
        <v>0</v>
      </c>
      <c r="Y543" s="9">
        <v>0</v>
      </c>
      <c r="Z543" s="9">
        <v>0</v>
      </c>
      <c r="AA543" s="9">
        <v>0</v>
      </c>
      <c r="AB543" s="9">
        <v>0</v>
      </c>
      <c r="AC543" s="9">
        <v>0</v>
      </c>
      <c r="AD543" s="9">
        <v>3</v>
      </c>
      <c r="AE543" s="9" t="s">
        <v>139</v>
      </c>
      <c r="AF543" s="9" t="s">
        <v>4452</v>
      </c>
      <c r="AG543" s="9" t="s">
        <v>4453</v>
      </c>
      <c r="AH543" s="9">
        <v>6.2266300000000001</v>
      </c>
      <c r="AI543" s="9">
        <v>-75.599256999999994</v>
      </c>
      <c r="AJ543" s="9" t="s">
        <v>4454</v>
      </c>
      <c r="AK543" s="9">
        <v>6.2574920000000001</v>
      </c>
      <c r="AL543" s="9">
        <v>-75.583867999999995</v>
      </c>
      <c r="AM543" s="26">
        <f t="shared" si="9"/>
        <v>0</v>
      </c>
      <c r="AN543" s="1" t="s">
        <v>4061</v>
      </c>
    </row>
    <row r="544" spans="1:40" ht="15" x14ac:dyDescent="0.25">
      <c r="A544" s="9" t="s">
        <v>4455</v>
      </c>
      <c r="B544" s="9" t="s">
        <v>4456</v>
      </c>
      <c r="C544" s="9" t="s">
        <v>4457</v>
      </c>
      <c r="D544" s="9" t="s">
        <v>4362</v>
      </c>
      <c r="E544" s="9" t="s">
        <v>2619</v>
      </c>
      <c r="F544" s="9" t="s">
        <v>508</v>
      </c>
      <c r="G544" s="9" t="s">
        <v>97</v>
      </c>
      <c r="H544" s="9" t="s">
        <v>98</v>
      </c>
      <c r="I544" s="9" t="s">
        <v>115</v>
      </c>
      <c r="J544" s="9">
        <v>1859</v>
      </c>
      <c r="K544" s="9" t="s">
        <v>4458</v>
      </c>
      <c r="L544" s="9" t="s">
        <v>117</v>
      </c>
      <c r="M544" s="10">
        <v>4.4120370370370372E-2</v>
      </c>
      <c r="N544" s="9" t="s">
        <v>43</v>
      </c>
      <c r="O544" s="9" t="s">
        <v>4459</v>
      </c>
      <c r="P544" s="9" t="s">
        <v>119</v>
      </c>
      <c r="Q544" s="10">
        <v>1.068287037037037E-2</v>
      </c>
      <c r="R544" s="9" t="s">
        <v>56</v>
      </c>
      <c r="S544" s="10">
        <v>0.19519675925925931</v>
      </c>
      <c r="T544" s="9">
        <v>24.123999999999999</v>
      </c>
      <c r="U544" s="9">
        <v>8.67</v>
      </c>
      <c r="V544" s="10">
        <v>0.1159953703703704</v>
      </c>
      <c r="W544" s="10">
        <v>7.0023148148148154E-2</v>
      </c>
      <c r="X544" s="10">
        <v>0</v>
      </c>
      <c r="Y544" s="9">
        <v>0</v>
      </c>
      <c r="Z544" s="9">
        <v>0</v>
      </c>
      <c r="AA544" s="9">
        <v>0</v>
      </c>
      <c r="AB544" s="9">
        <v>0</v>
      </c>
      <c r="AC544" s="9">
        <v>0</v>
      </c>
      <c r="AD544" s="9">
        <v>0</v>
      </c>
      <c r="AE544" s="9" t="s">
        <v>57</v>
      </c>
      <c r="AF544" s="9" t="s">
        <v>4460</v>
      </c>
      <c r="AG544" s="9" t="s">
        <v>4461</v>
      </c>
      <c r="AH544" s="9">
        <v>6.2227949999999996</v>
      </c>
      <c r="AI544" s="9">
        <v>-75.598664999999997</v>
      </c>
      <c r="AJ544" s="9" t="s">
        <v>4462</v>
      </c>
      <c r="AK544" s="9">
        <v>6.3079090000000004</v>
      </c>
      <c r="AL544" s="9">
        <v>-75.582012000000006</v>
      </c>
      <c r="AM544" s="26">
        <f t="shared" si="9"/>
        <v>5.4803240740740743E-2</v>
      </c>
      <c r="AN544" s="1" t="s">
        <v>4061</v>
      </c>
    </row>
    <row r="545" spans="1:40" ht="15" x14ac:dyDescent="0.25">
      <c r="A545" s="9" t="s">
        <v>4463</v>
      </c>
      <c r="B545" s="9" t="s">
        <v>4464</v>
      </c>
      <c r="C545" s="9" t="s">
        <v>4465</v>
      </c>
      <c r="D545" s="9" t="s">
        <v>4466</v>
      </c>
      <c r="E545" s="9" t="s">
        <v>2619</v>
      </c>
      <c r="F545" s="9" t="s">
        <v>37</v>
      </c>
      <c r="G545" s="9" t="s">
        <v>62</v>
      </c>
      <c r="H545" s="9" t="s">
        <v>63</v>
      </c>
      <c r="I545" s="9" t="s">
        <v>40</v>
      </c>
      <c r="J545" s="9">
        <v>2253</v>
      </c>
      <c r="K545" s="9" t="s">
        <v>4467</v>
      </c>
      <c r="L545" s="9" t="s">
        <v>42</v>
      </c>
      <c r="M545" s="10">
        <v>3.7962962962962959E-3</v>
      </c>
      <c r="N545" s="9" t="s">
        <v>65</v>
      </c>
      <c r="O545" s="9" t="s">
        <v>4468</v>
      </c>
      <c r="P545" s="9" t="s">
        <v>45</v>
      </c>
      <c r="Q545" s="10">
        <v>0.1106712962962963</v>
      </c>
      <c r="R545" s="9" t="s">
        <v>56</v>
      </c>
      <c r="S545" s="10">
        <v>0.21886574074074069</v>
      </c>
      <c r="T545" s="9">
        <v>28.928999999999998</v>
      </c>
      <c r="U545" s="9">
        <v>8.5</v>
      </c>
      <c r="V545" s="10">
        <v>0.1418402777777778</v>
      </c>
      <c r="W545" s="10">
        <v>9.284722222222222E-2</v>
      </c>
      <c r="X545" s="10">
        <v>0</v>
      </c>
      <c r="Y545" s="9">
        <v>0</v>
      </c>
      <c r="Z545" s="9">
        <v>0</v>
      </c>
      <c r="AA545" s="9">
        <v>0</v>
      </c>
      <c r="AB545" s="9">
        <v>0</v>
      </c>
      <c r="AC545" s="9">
        <v>0</v>
      </c>
      <c r="AD545" s="9">
        <v>1</v>
      </c>
      <c r="AE545" s="9" t="s">
        <v>67</v>
      </c>
      <c r="AF545" s="9" t="s">
        <v>4469</v>
      </c>
      <c r="AG545" s="9" t="s">
        <v>4470</v>
      </c>
      <c r="AH545" s="9">
        <v>6.2346060000000003</v>
      </c>
      <c r="AI545" s="9">
        <v>-75.608090000000004</v>
      </c>
      <c r="AJ545" s="9" t="s">
        <v>4471</v>
      </c>
      <c r="AK545" s="9">
        <v>6.2874600000000003</v>
      </c>
      <c r="AL545" s="9">
        <v>-75.567243000000005</v>
      </c>
      <c r="AM545" s="26">
        <f t="shared" si="9"/>
        <v>0.1106712962962963</v>
      </c>
    </row>
    <row r="546" spans="1:40" ht="15" x14ac:dyDescent="0.25">
      <c r="A546" s="9" t="s">
        <v>4472</v>
      </c>
      <c r="B546" s="9" t="s">
        <v>4473</v>
      </c>
      <c r="C546" s="9" t="s">
        <v>4474</v>
      </c>
      <c r="D546" s="9" t="s">
        <v>4466</v>
      </c>
      <c r="E546" s="9" t="s">
        <v>2619</v>
      </c>
      <c r="F546" s="9" t="s">
        <v>37</v>
      </c>
      <c r="G546" s="9" t="s">
        <v>144</v>
      </c>
      <c r="H546" s="9" t="s">
        <v>145</v>
      </c>
      <c r="I546" s="9" t="s">
        <v>40</v>
      </c>
      <c r="J546" s="9">
        <v>2148</v>
      </c>
      <c r="K546" s="9" t="s">
        <v>4475</v>
      </c>
      <c r="L546" s="9" t="s">
        <v>42</v>
      </c>
      <c r="M546" s="10">
        <v>0.14432870370370371</v>
      </c>
      <c r="N546" s="9" t="s">
        <v>43</v>
      </c>
      <c r="O546" s="9" t="s">
        <v>4476</v>
      </c>
      <c r="P546" s="9" t="s">
        <v>45</v>
      </c>
      <c r="Q546" s="10">
        <v>5.5324074074074078E-3</v>
      </c>
      <c r="R546" s="9" t="s">
        <v>46</v>
      </c>
      <c r="S546" s="10">
        <v>0.19453703703703701</v>
      </c>
      <c r="T546" s="9">
        <v>26.943999999999999</v>
      </c>
      <c r="U546" s="9">
        <v>8.5399999999999991</v>
      </c>
      <c r="V546" s="10">
        <v>0.1315162037037037</v>
      </c>
      <c r="W546" s="10">
        <v>7.7546296296296294E-2</v>
      </c>
      <c r="X546" s="10">
        <v>0</v>
      </c>
      <c r="Y546" s="9">
        <v>0</v>
      </c>
      <c r="Z546" s="9">
        <v>0</v>
      </c>
      <c r="AA546" s="9">
        <v>0</v>
      </c>
      <c r="AB546" s="9">
        <v>0</v>
      </c>
      <c r="AC546" s="9">
        <v>0</v>
      </c>
      <c r="AD546" s="9">
        <v>0</v>
      </c>
      <c r="AE546" s="9" t="s">
        <v>47</v>
      </c>
      <c r="AF546" s="9" t="s">
        <v>4477</v>
      </c>
      <c r="AG546" s="9" t="s">
        <v>4478</v>
      </c>
      <c r="AH546" s="9">
        <v>6.1932229999999997</v>
      </c>
      <c r="AI546" s="9">
        <v>-75.581580000000002</v>
      </c>
      <c r="AJ546" s="9" t="s">
        <v>4479</v>
      </c>
      <c r="AK546" s="9">
        <v>6.2904340000000003</v>
      </c>
      <c r="AL546" s="9">
        <v>-75.546554999999998</v>
      </c>
      <c r="AM546" s="26">
        <f t="shared" si="9"/>
        <v>0.14432870370370371</v>
      </c>
      <c r="AN546" s="1" t="s">
        <v>4512</v>
      </c>
    </row>
    <row r="547" spans="1:40" ht="15" x14ac:dyDescent="0.25">
      <c r="A547" s="9" t="s">
        <v>4480</v>
      </c>
      <c r="B547" s="9" t="s">
        <v>4481</v>
      </c>
      <c r="C547" s="9" t="s">
        <v>4482</v>
      </c>
      <c r="D547" s="9" t="s">
        <v>4466</v>
      </c>
      <c r="E547" s="9" t="s">
        <v>2619</v>
      </c>
      <c r="F547" s="9" t="s">
        <v>37</v>
      </c>
      <c r="G547" s="9" t="s">
        <v>152</v>
      </c>
      <c r="H547" s="9" t="s">
        <v>153</v>
      </c>
      <c r="I547" s="9" t="s">
        <v>40</v>
      </c>
      <c r="J547" s="9">
        <v>3431</v>
      </c>
      <c r="K547" s="9" t="s">
        <v>4483</v>
      </c>
      <c r="L547" s="9" t="s">
        <v>42</v>
      </c>
      <c r="M547" s="10">
        <v>1.4999999999999999E-2</v>
      </c>
      <c r="N547" s="9" t="s">
        <v>127</v>
      </c>
      <c r="O547" s="9" t="s">
        <v>4484</v>
      </c>
      <c r="P547" s="9" t="s">
        <v>45</v>
      </c>
      <c r="Q547" s="10">
        <v>7.5752314814814814E-2</v>
      </c>
      <c r="R547" s="9" t="s">
        <v>56</v>
      </c>
      <c r="S547" s="10">
        <v>0.27258101851851851</v>
      </c>
      <c r="T547" s="9">
        <v>44.609000000000002</v>
      </c>
      <c r="U547" s="9">
        <v>7.56</v>
      </c>
      <c r="V547" s="10">
        <v>0.2459722222222222</v>
      </c>
      <c r="W547" s="10">
        <v>0.16136574074074081</v>
      </c>
      <c r="X547" s="10">
        <v>0</v>
      </c>
      <c r="Y547" s="9">
        <v>0</v>
      </c>
      <c r="Z547" s="9">
        <v>0</v>
      </c>
      <c r="AA547" s="9">
        <v>0</v>
      </c>
      <c r="AB547" s="9">
        <v>0</v>
      </c>
      <c r="AC547" s="9">
        <v>0</v>
      </c>
      <c r="AD547" s="9">
        <v>1</v>
      </c>
      <c r="AE547" s="9" t="s">
        <v>139</v>
      </c>
      <c r="AF547" s="9" t="s">
        <v>4485</v>
      </c>
      <c r="AG547" s="9" t="s">
        <v>4486</v>
      </c>
      <c r="AH547" s="9">
        <v>6.2256749999999998</v>
      </c>
      <c r="AI547" s="9">
        <v>-75.599542999999997</v>
      </c>
      <c r="AJ547" s="9" t="s">
        <v>4487</v>
      </c>
      <c r="AK547" s="9">
        <v>6.2518649999999996</v>
      </c>
      <c r="AL547" s="9">
        <v>-75.551807999999994</v>
      </c>
      <c r="AM547" s="26">
        <f t="shared" si="9"/>
        <v>7.5752314814814814E-2</v>
      </c>
    </row>
    <row r="548" spans="1:40" ht="15" x14ac:dyDescent="0.25">
      <c r="A548" s="9" t="s">
        <v>4488</v>
      </c>
      <c r="B548" s="9" t="s">
        <v>4489</v>
      </c>
      <c r="C548" s="9" t="s">
        <v>4490</v>
      </c>
      <c r="D548" s="9" t="s">
        <v>4466</v>
      </c>
      <c r="E548" s="9" t="s">
        <v>2619</v>
      </c>
      <c r="F548" s="9" t="s">
        <v>37</v>
      </c>
      <c r="G548" s="9" t="s">
        <v>89</v>
      </c>
      <c r="H548" s="9" t="s">
        <v>90</v>
      </c>
      <c r="I548" s="9" t="s">
        <v>40</v>
      </c>
      <c r="J548" s="9">
        <v>2563</v>
      </c>
      <c r="K548" s="9" t="s">
        <v>4491</v>
      </c>
      <c r="L548" s="9" t="s">
        <v>42</v>
      </c>
      <c r="M548" s="10">
        <v>1.655092592592593E-3</v>
      </c>
      <c r="N548" s="9" t="s">
        <v>65</v>
      </c>
      <c r="O548" s="9" t="s">
        <v>4492</v>
      </c>
      <c r="P548" s="9" t="s">
        <v>45</v>
      </c>
      <c r="Q548" s="10">
        <v>6.7280092592592586E-2</v>
      </c>
      <c r="R548" s="9" t="s">
        <v>56</v>
      </c>
      <c r="S548" s="10">
        <v>0.26770833333333333</v>
      </c>
      <c r="T548" s="9">
        <v>30.376999999999999</v>
      </c>
      <c r="U548" s="9">
        <v>5.75</v>
      </c>
      <c r="V548" s="10">
        <v>0.22009259259259259</v>
      </c>
      <c r="W548" s="10">
        <v>0.16950231481481479</v>
      </c>
      <c r="X548" s="10">
        <v>0</v>
      </c>
      <c r="Y548" s="9">
        <v>0</v>
      </c>
      <c r="Z548" s="9">
        <v>0</v>
      </c>
      <c r="AA548" s="9">
        <v>0</v>
      </c>
      <c r="AB548" s="9">
        <v>0</v>
      </c>
      <c r="AC548" s="9">
        <v>0</v>
      </c>
      <c r="AD548" s="9">
        <v>0</v>
      </c>
      <c r="AE548" s="9" t="s">
        <v>67</v>
      </c>
      <c r="AF548" s="9" t="s">
        <v>4493</v>
      </c>
      <c r="AG548" s="9" t="s">
        <v>4494</v>
      </c>
      <c r="AH548" s="9">
        <v>6.2266750000000002</v>
      </c>
      <c r="AI548" s="9">
        <v>-75.599328</v>
      </c>
      <c r="AJ548" s="9" t="s">
        <v>4495</v>
      </c>
      <c r="AK548" s="9">
        <v>6.2255830000000003</v>
      </c>
      <c r="AL548" s="9">
        <v>-75.599237000000002</v>
      </c>
      <c r="AM548" s="26">
        <f t="shared" si="9"/>
        <v>6.7280092592592586E-2</v>
      </c>
    </row>
    <row r="549" spans="1:40" ht="15" x14ac:dyDescent="0.25">
      <c r="A549" s="9" t="s">
        <v>4496</v>
      </c>
      <c r="B549" s="9" t="s">
        <v>4497</v>
      </c>
      <c r="C549" s="9" t="s">
        <v>4498</v>
      </c>
      <c r="D549" s="9" t="s">
        <v>4466</v>
      </c>
      <c r="E549" s="9" t="s">
        <v>2619</v>
      </c>
      <c r="F549" s="9" t="s">
        <v>37</v>
      </c>
      <c r="G549" s="9" t="s">
        <v>105</v>
      </c>
      <c r="H549" s="9" t="s">
        <v>106</v>
      </c>
      <c r="I549" s="9" t="s">
        <v>40</v>
      </c>
      <c r="J549" s="9">
        <v>2639</v>
      </c>
      <c r="K549" s="9" t="s">
        <v>4499</v>
      </c>
      <c r="L549" s="9" t="s">
        <v>42</v>
      </c>
      <c r="M549" s="10">
        <v>2.072916666666667E-2</v>
      </c>
      <c r="N549" s="9" t="s">
        <v>127</v>
      </c>
      <c r="O549" s="9" t="s">
        <v>4500</v>
      </c>
      <c r="P549" s="9" t="s">
        <v>45</v>
      </c>
      <c r="Q549" s="10">
        <v>2.6944444444444441E-2</v>
      </c>
      <c r="R549" s="9" t="s">
        <v>56</v>
      </c>
      <c r="S549" s="10">
        <v>0.32711805555555562</v>
      </c>
      <c r="T549" s="9">
        <v>34.475999999999999</v>
      </c>
      <c r="U549" s="9">
        <v>7.8</v>
      </c>
      <c r="V549" s="10">
        <v>0.1842708333333333</v>
      </c>
      <c r="W549" s="10">
        <v>0.12942129629629631</v>
      </c>
      <c r="X549" s="10">
        <v>0</v>
      </c>
      <c r="Y549" s="9">
        <v>0</v>
      </c>
      <c r="Z549" s="9">
        <v>0</v>
      </c>
      <c r="AA549" s="9">
        <v>0</v>
      </c>
      <c r="AB549" s="9">
        <v>0</v>
      </c>
      <c r="AC549" s="9">
        <v>0</v>
      </c>
      <c r="AD549" s="9">
        <v>2</v>
      </c>
      <c r="AE549" s="9" t="s">
        <v>139</v>
      </c>
      <c r="AF549" s="9" t="s">
        <v>4501</v>
      </c>
      <c r="AG549" s="9" t="s">
        <v>4502</v>
      </c>
      <c r="AH549" s="9">
        <v>6.2256169999999997</v>
      </c>
      <c r="AI549" s="9">
        <v>-75.59939</v>
      </c>
      <c r="AJ549" s="9" t="s">
        <v>4503</v>
      </c>
      <c r="AK549" s="9">
        <v>6.2583659999999997</v>
      </c>
      <c r="AL549" s="9">
        <v>-75.615859999999998</v>
      </c>
      <c r="AM549" s="26">
        <f t="shared" si="9"/>
        <v>2.6944444444444441E-2</v>
      </c>
    </row>
    <row r="550" spans="1:40" ht="15" x14ac:dyDescent="0.25">
      <c r="A550" s="9" t="s">
        <v>4504</v>
      </c>
      <c r="B550" s="9" t="s">
        <v>4505</v>
      </c>
      <c r="C550" s="9" t="s">
        <v>4506</v>
      </c>
      <c r="D550" s="9" t="s">
        <v>4466</v>
      </c>
      <c r="E550" s="9" t="s">
        <v>2619</v>
      </c>
      <c r="F550" s="9" t="s">
        <v>37</v>
      </c>
      <c r="G550" s="9" t="s">
        <v>52</v>
      </c>
      <c r="H550" s="9" t="s">
        <v>53</v>
      </c>
      <c r="I550" s="9" t="s">
        <v>40</v>
      </c>
      <c r="J550" s="9">
        <v>3149</v>
      </c>
      <c r="K550" s="9" t="s">
        <v>4507</v>
      </c>
      <c r="L550" s="9" t="s">
        <v>42</v>
      </c>
      <c r="M550" s="10">
        <v>2.015046296296296E-2</v>
      </c>
      <c r="N550" s="9" t="s">
        <v>127</v>
      </c>
      <c r="O550" s="9" t="s">
        <v>4508</v>
      </c>
      <c r="P550" s="9" t="s">
        <v>45</v>
      </c>
      <c r="Q550" s="10">
        <v>3.5879629629629629E-3</v>
      </c>
      <c r="R550" s="9" t="s">
        <v>46</v>
      </c>
      <c r="S550" s="10">
        <v>0.35707175925925932</v>
      </c>
      <c r="T550" s="9">
        <v>40.28</v>
      </c>
      <c r="U550" s="9">
        <v>7.22</v>
      </c>
      <c r="V550" s="10">
        <v>0.23243055555555561</v>
      </c>
      <c r="W550" s="10">
        <v>0.16241898148148151</v>
      </c>
      <c r="X550" s="10">
        <v>6.7534722222222218E-2</v>
      </c>
      <c r="Y550" s="9">
        <v>1</v>
      </c>
      <c r="Z550" s="9">
        <v>1</v>
      </c>
      <c r="AA550" s="9">
        <v>1</v>
      </c>
      <c r="AB550" s="9">
        <v>1</v>
      </c>
      <c r="AC550" s="9">
        <v>1</v>
      </c>
      <c r="AD550" s="9">
        <v>2</v>
      </c>
      <c r="AE550" s="9" t="s">
        <v>139</v>
      </c>
      <c r="AF550" s="9" t="s">
        <v>4509</v>
      </c>
      <c r="AG550" s="9" t="s">
        <v>4510</v>
      </c>
      <c r="AH550" s="9">
        <v>6.2257259999999999</v>
      </c>
      <c r="AI550" s="9">
        <v>-75.599491999999998</v>
      </c>
      <c r="AJ550" s="9" t="s">
        <v>4511</v>
      </c>
      <c r="AK550" s="9">
        <v>6.2256710000000002</v>
      </c>
      <c r="AL550" s="9">
        <v>-75.599393000000006</v>
      </c>
      <c r="AM550" s="26">
        <f t="shared" si="9"/>
        <v>0</v>
      </c>
    </row>
    <row r="551" spans="1:40" ht="15" x14ac:dyDescent="0.25">
      <c r="A551" s="9" t="s">
        <v>4513</v>
      </c>
      <c r="B551" s="9" t="s">
        <v>4514</v>
      </c>
      <c r="C551" s="9" t="s">
        <v>4515</v>
      </c>
      <c r="D551" s="9" t="s">
        <v>4466</v>
      </c>
      <c r="E551" s="9" t="s">
        <v>2619</v>
      </c>
      <c r="F551" s="9" t="s">
        <v>37</v>
      </c>
      <c r="G551" s="9" t="s">
        <v>38</v>
      </c>
      <c r="H551" s="9" t="s">
        <v>39</v>
      </c>
      <c r="I551" s="9" t="s">
        <v>40</v>
      </c>
      <c r="J551" s="9">
        <v>2544</v>
      </c>
      <c r="K551" s="9" t="s">
        <v>4516</v>
      </c>
      <c r="L551" s="9" t="s">
        <v>42</v>
      </c>
      <c r="M551" s="10">
        <v>5.9027777777777778E-4</v>
      </c>
      <c r="N551" s="9" t="s">
        <v>65</v>
      </c>
      <c r="O551" s="9" t="s">
        <v>4517</v>
      </c>
      <c r="P551" s="9" t="s">
        <v>45</v>
      </c>
      <c r="Q551" s="10">
        <v>1.8981481481481479E-3</v>
      </c>
      <c r="R551" s="9" t="s">
        <v>46</v>
      </c>
      <c r="S551" s="10">
        <v>0.3346412037037037</v>
      </c>
      <c r="T551" s="9">
        <v>34.115000000000002</v>
      </c>
      <c r="U551" s="9">
        <v>6.04</v>
      </c>
      <c r="V551" s="10">
        <v>0.23518518518518519</v>
      </c>
      <c r="W551" s="10">
        <v>0.17627314814814821</v>
      </c>
      <c r="X551" s="10">
        <v>6.3078703703703708E-3</v>
      </c>
      <c r="Y551" s="9">
        <v>0</v>
      </c>
      <c r="Z551" s="9">
        <v>0</v>
      </c>
      <c r="AA551" s="9">
        <v>0</v>
      </c>
      <c r="AB551" s="9">
        <v>0</v>
      </c>
      <c r="AC551" s="9">
        <v>0</v>
      </c>
      <c r="AD551" s="9">
        <v>0</v>
      </c>
      <c r="AE551" s="9" t="s">
        <v>84</v>
      </c>
      <c r="AF551" s="9" t="s">
        <v>3016</v>
      </c>
      <c r="AG551" s="9" t="s">
        <v>4518</v>
      </c>
      <c r="AH551" s="9">
        <v>6.2033079999999998</v>
      </c>
      <c r="AI551" s="9">
        <v>-75.600774999999999</v>
      </c>
      <c r="AJ551" s="9" t="s">
        <v>4519</v>
      </c>
      <c r="AK551" s="9">
        <v>6.2256330000000002</v>
      </c>
      <c r="AL551" s="9">
        <v>-75.599179000000007</v>
      </c>
      <c r="AM551" s="26">
        <f t="shared" si="9"/>
        <v>0</v>
      </c>
    </row>
    <row r="552" spans="1:40" ht="15" x14ac:dyDescent="0.25">
      <c r="A552" s="9" t="s">
        <v>4520</v>
      </c>
      <c r="B552" s="9" t="s">
        <v>4521</v>
      </c>
      <c r="C552" s="9" t="s">
        <v>4522</v>
      </c>
      <c r="D552" s="9" t="s">
        <v>4466</v>
      </c>
      <c r="E552" s="9" t="s">
        <v>2619</v>
      </c>
      <c r="F552" s="9" t="s">
        <v>37</v>
      </c>
      <c r="G552" s="9" t="s">
        <v>113</v>
      </c>
      <c r="H552" s="9" t="s">
        <v>114</v>
      </c>
      <c r="I552" s="9" t="s">
        <v>115</v>
      </c>
      <c r="J552" s="9">
        <v>4539</v>
      </c>
      <c r="K552" s="9" t="s">
        <v>4523</v>
      </c>
      <c r="L552" s="9" t="s">
        <v>117</v>
      </c>
      <c r="M552" s="10">
        <v>2.476851851851852E-3</v>
      </c>
      <c r="N552" s="9" t="s">
        <v>65</v>
      </c>
      <c r="O552" s="9" t="s">
        <v>4524</v>
      </c>
      <c r="P552" s="9" t="s">
        <v>119</v>
      </c>
      <c r="Q552" s="10">
        <v>5.2662037037037026E-3</v>
      </c>
      <c r="R552" s="9" t="s">
        <v>46</v>
      </c>
      <c r="S552" s="10">
        <v>0.24225694444444451</v>
      </c>
      <c r="T552" s="9">
        <v>61.779000000000003</v>
      </c>
      <c r="U552" s="9">
        <v>14.14</v>
      </c>
      <c r="V552" s="10">
        <v>0.182037037037037</v>
      </c>
      <c r="W552" s="10">
        <v>9.662037037037037E-2</v>
      </c>
      <c r="X552" s="10">
        <v>0</v>
      </c>
      <c r="Y552" s="9">
        <v>0</v>
      </c>
      <c r="Z552" s="9">
        <v>0</v>
      </c>
      <c r="AA552" s="9">
        <v>0</v>
      </c>
      <c r="AB552" s="9">
        <v>0</v>
      </c>
      <c r="AC552" s="9">
        <v>0</v>
      </c>
      <c r="AD552" s="9">
        <v>2</v>
      </c>
      <c r="AE552" s="9" t="s">
        <v>84</v>
      </c>
      <c r="AF552" s="9" t="s">
        <v>1384</v>
      </c>
      <c r="AG552" s="9" t="s">
        <v>4525</v>
      </c>
      <c r="AH552" s="9">
        <v>6.2139249999999997</v>
      </c>
      <c r="AI552" s="9">
        <v>-75.596495000000004</v>
      </c>
      <c r="AJ552" s="9" t="s">
        <v>4526</v>
      </c>
      <c r="AK552" s="9">
        <v>6.2253970000000001</v>
      </c>
      <c r="AL552" s="9">
        <v>-75.599834999999999</v>
      </c>
      <c r="AM552" s="26">
        <f t="shared" si="9"/>
        <v>0</v>
      </c>
    </row>
    <row r="553" spans="1:40" ht="15" x14ac:dyDescent="0.25">
      <c r="A553" s="9" t="s">
        <v>4527</v>
      </c>
      <c r="B553" s="9" t="s">
        <v>4528</v>
      </c>
      <c r="C553" s="9" t="s">
        <v>4529</v>
      </c>
      <c r="D553" s="9" t="s">
        <v>4466</v>
      </c>
      <c r="E553" s="9" t="s">
        <v>2619</v>
      </c>
      <c r="F553" s="9" t="s">
        <v>37</v>
      </c>
      <c r="G553" s="9" t="s">
        <v>124</v>
      </c>
      <c r="H553" s="9" t="s">
        <v>125</v>
      </c>
      <c r="I553" s="9" t="s">
        <v>115</v>
      </c>
      <c r="J553" s="9">
        <v>3744</v>
      </c>
      <c r="K553" s="9" t="s">
        <v>4530</v>
      </c>
      <c r="L553" s="9" t="s">
        <v>117</v>
      </c>
      <c r="M553" s="10">
        <v>4.7847222222222222E-2</v>
      </c>
      <c r="N553" s="9" t="s">
        <v>127</v>
      </c>
      <c r="O553" s="9" t="s">
        <v>4531</v>
      </c>
      <c r="P553" s="9" t="s">
        <v>119</v>
      </c>
      <c r="Q553" s="10">
        <v>9.5949074074074079E-3</v>
      </c>
      <c r="R553" s="9" t="s">
        <v>46</v>
      </c>
      <c r="S553" s="10">
        <v>0.30744212962962958</v>
      </c>
      <c r="T553" s="9">
        <v>44.134</v>
      </c>
      <c r="U553" s="9">
        <v>10.77</v>
      </c>
      <c r="V553" s="10">
        <v>0.17071759259259259</v>
      </c>
      <c r="W553" s="10">
        <v>7.9351851851851854E-2</v>
      </c>
      <c r="X553" s="10">
        <v>1.8599537037037039E-2</v>
      </c>
      <c r="Y553" s="9">
        <v>1</v>
      </c>
      <c r="Z553" s="9">
        <v>1</v>
      </c>
      <c r="AA553" s="9">
        <v>0</v>
      </c>
      <c r="AB553" s="9">
        <v>0</v>
      </c>
      <c r="AC553" s="9">
        <v>0</v>
      </c>
      <c r="AD553" s="9">
        <v>1</v>
      </c>
      <c r="AE553" s="9" t="s">
        <v>139</v>
      </c>
      <c r="AF553" s="9" t="s">
        <v>4532</v>
      </c>
      <c r="AG553" s="9" t="s">
        <v>4533</v>
      </c>
      <c r="AH553" s="9">
        <v>6.2267070000000002</v>
      </c>
      <c r="AI553" s="9">
        <v>-75.599355000000003</v>
      </c>
      <c r="AJ553" s="9" t="s">
        <v>4534</v>
      </c>
      <c r="AK553" s="9">
        <v>6.272748</v>
      </c>
      <c r="AL553" s="9">
        <v>-75.601923999999997</v>
      </c>
      <c r="AM553" s="26">
        <f t="shared" si="9"/>
        <v>0</v>
      </c>
    </row>
    <row r="554" spans="1:40" ht="15" x14ac:dyDescent="0.25">
      <c r="A554" s="9" t="s">
        <v>4535</v>
      </c>
      <c r="B554" s="9" t="s">
        <v>4536</v>
      </c>
      <c r="C554" s="9" t="s">
        <v>4537</v>
      </c>
      <c r="D554" s="9" t="s">
        <v>4466</v>
      </c>
      <c r="E554" s="9" t="s">
        <v>2619</v>
      </c>
      <c r="F554" s="9" t="s">
        <v>37</v>
      </c>
      <c r="G554" s="9" t="s">
        <v>135</v>
      </c>
      <c r="H554" s="9" t="s">
        <v>136</v>
      </c>
      <c r="I554" s="9" t="s">
        <v>115</v>
      </c>
      <c r="J554" s="9">
        <v>1359</v>
      </c>
      <c r="K554" s="9" t="s">
        <v>4538</v>
      </c>
      <c r="L554" s="9" t="s">
        <v>117</v>
      </c>
      <c r="M554" s="10">
        <v>5.8923611111111107E-2</v>
      </c>
      <c r="N554" s="9" t="s">
        <v>127</v>
      </c>
      <c r="O554" s="9" t="s">
        <v>4539</v>
      </c>
      <c r="P554" s="9" t="s">
        <v>119</v>
      </c>
      <c r="Q554" s="10">
        <v>4.6631944444444441E-2</v>
      </c>
      <c r="R554" s="9" t="s">
        <v>56</v>
      </c>
      <c r="S554" s="10">
        <v>0.26229166666666659</v>
      </c>
      <c r="T554" s="9">
        <v>40.345999999999997</v>
      </c>
      <c r="U554" s="9">
        <v>7.64</v>
      </c>
      <c r="V554" s="10">
        <v>0.21995370370370371</v>
      </c>
      <c r="W554" s="10">
        <v>0.18287037037037041</v>
      </c>
      <c r="X554" s="10">
        <v>0</v>
      </c>
      <c r="Y554" s="9">
        <v>0</v>
      </c>
      <c r="Z554" s="9">
        <v>0</v>
      </c>
      <c r="AA554" s="9">
        <v>0</v>
      </c>
      <c r="AB554" s="9">
        <v>0</v>
      </c>
      <c r="AC554" s="9">
        <v>0</v>
      </c>
      <c r="AD554" s="9">
        <v>3</v>
      </c>
      <c r="AE554" s="9" t="s">
        <v>139</v>
      </c>
      <c r="AF554" s="9" t="s">
        <v>4540</v>
      </c>
      <c r="AG554" s="9" t="s">
        <v>4541</v>
      </c>
      <c r="AH554" s="9">
        <v>6.2256070000000001</v>
      </c>
      <c r="AI554" s="9">
        <v>-75.599148999999997</v>
      </c>
      <c r="AJ554" s="9" t="s">
        <v>4542</v>
      </c>
      <c r="AK554" s="9">
        <v>6.2616579999999997</v>
      </c>
      <c r="AL554" s="9">
        <v>-75.556608999999995</v>
      </c>
      <c r="AM554" s="26">
        <f t="shared" si="9"/>
        <v>4.6631944444444441E-2</v>
      </c>
    </row>
    <row r="555" spans="1:40" ht="15" x14ac:dyDescent="0.25">
      <c r="A555" s="9" t="s">
        <v>4543</v>
      </c>
      <c r="B555" s="9" t="s">
        <v>4544</v>
      </c>
      <c r="C555" s="9" t="s">
        <v>4545</v>
      </c>
      <c r="D555" s="9" t="s">
        <v>4466</v>
      </c>
      <c r="E555" s="9" t="s">
        <v>2619</v>
      </c>
      <c r="F555" s="9" t="s">
        <v>37</v>
      </c>
      <c r="G555" s="9" t="s">
        <v>72</v>
      </c>
      <c r="H555" s="9" t="s">
        <v>73</v>
      </c>
      <c r="I555" s="9" t="s">
        <v>115</v>
      </c>
      <c r="J555" s="9">
        <v>4026</v>
      </c>
      <c r="K555" s="9" t="s">
        <v>4546</v>
      </c>
      <c r="L555" s="9" t="s">
        <v>117</v>
      </c>
      <c r="M555" s="10">
        <v>5.8576388888888893E-2</v>
      </c>
      <c r="N555" s="9" t="s">
        <v>127</v>
      </c>
      <c r="O555" s="9" t="s">
        <v>4547</v>
      </c>
      <c r="P555" s="9" t="s">
        <v>119</v>
      </c>
      <c r="Q555" s="10">
        <v>6.7314814814814813E-2</v>
      </c>
      <c r="R555" s="9" t="s">
        <v>56</v>
      </c>
      <c r="S555" s="10">
        <v>0.24126157407407409</v>
      </c>
      <c r="T555" s="9">
        <v>55</v>
      </c>
      <c r="U555" s="9">
        <v>13.72</v>
      </c>
      <c r="V555" s="10">
        <v>0.16703703703703701</v>
      </c>
      <c r="W555" s="10">
        <v>9.4247685185185184E-2</v>
      </c>
      <c r="X555" s="10">
        <v>0</v>
      </c>
      <c r="Y555" s="9">
        <v>0</v>
      </c>
      <c r="Z555" s="9">
        <v>0</v>
      </c>
      <c r="AA555" s="9">
        <v>0</v>
      </c>
      <c r="AB555" s="9">
        <v>0</v>
      </c>
      <c r="AC555" s="9">
        <v>0</v>
      </c>
      <c r="AD555" s="9">
        <v>0</v>
      </c>
      <c r="AE555" s="9" t="s">
        <v>139</v>
      </c>
      <c r="AF555" s="9" t="s">
        <v>4548</v>
      </c>
      <c r="AG555" s="9" t="s">
        <v>4549</v>
      </c>
      <c r="AH555" s="9">
        <v>6.2255330000000004</v>
      </c>
      <c r="AI555" s="9">
        <v>-75.599143999999995</v>
      </c>
      <c r="AJ555" s="9" t="s">
        <v>4550</v>
      </c>
      <c r="AK555" s="9">
        <v>6.2369719999999997</v>
      </c>
      <c r="AL555" s="9">
        <v>-75.558848999999995</v>
      </c>
      <c r="AM555" s="26">
        <f t="shared" si="9"/>
        <v>6.7314814814814813E-2</v>
      </c>
    </row>
    <row r="556" spans="1:40" ht="15" x14ac:dyDescent="0.25">
      <c r="A556" s="9" t="s">
        <v>4551</v>
      </c>
      <c r="B556" s="9" t="s">
        <v>4552</v>
      </c>
      <c r="C556" s="9" t="s">
        <v>4553</v>
      </c>
      <c r="D556" s="9" t="s">
        <v>4466</v>
      </c>
      <c r="E556" s="9" t="s">
        <v>2619</v>
      </c>
      <c r="F556" s="9" t="s">
        <v>37</v>
      </c>
      <c r="G556" s="9" t="s">
        <v>80</v>
      </c>
      <c r="H556" s="9" t="s">
        <v>81</v>
      </c>
      <c r="I556" s="9" t="s">
        <v>115</v>
      </c>
      <c r="J556" s="9">
        <v>6866</v>
      </c>
      <c r="K556" s="9" t="s">
        <v>4554</v>
      </c>
      <c r="L556" s="9" t="s">
        <v>117</v>
      </c>
      <c r="M556" s="10">
        <v>4.7093217592592593E-2</v>
      </c>
      <c r="N556" s="9" t="s">
        <v>127</v>
      </c>
      <c r="O556" s="9" t="s">
        <v>4555</v>
      </c>
      <c r="P556" s="9" t="s">
        <v>119</v>
      </c>
      <c r="Q556" s="10">
        <v>4.7962037037037036E-3</v>
      </c>
      <c r="R556" s="9" t="s">
        <v>46</v>
      </c>
      <c r="S556" s="10">
        <v>0.2922970138888889</v>
      </c>
      <c r="T556" s="9">
        <v>56.264000000000003</v>
      </c>
      <c r="U556" s="9">
        <v>20.69</v>
      </c>
      <c r="V556" s="10">
        <v>0.1132882175925925</v>
      </c>
      <c r="W556" s="10">
        <v>4.4533043981481488E-2</v>
      </c>
      <c r="X556" s="10">
        <v>0</v>
      </c>
      <c r="Y556" s="9">
        <v>0</v>
      </c>
      <c r="Z556" s="9">
        <v>0</v>
      </c>
      <c r="AA556" s="9">
        <v>0</v>
      </c>
      <c r="AB556" s="9">
        <v>0</v>
      </c>
      <c r="AC556" s="9">
        <v>0</v>
      </c>
      <c r="AD556" s="9">
        <v>9</v>
      </c>
      <c r="AE556" s="9" t="s">
        <v>139</v>
      </c>
      <c r="AF556" s="9" t="s">
        <v>4556</v>
      </c>
      <c r="AG556" s="9" t="s">
        <v>4557</v>
      </c>
      <c r="AH556" s="9">
        <v>6.2256169999999997</v>
      </c>
      <c r="AI556" s="9">
        <v>-75.599435999999997</v>
      </c>
      <c r="AJ556" s="9" t="s">
        <v>4558</v>
      </c>
      <c r="AK556" s="9">
        <v>6.2554189999999998</v>
      </c>
      <c r="AL556" s="9">
        <v>-75.620418999999998</v>
      </c>
      <c r="AM556" s="26">
        <f t="shared" si="9"/>
        <v>0</v>
      </c>
    </row>
    <row r="557" spans="1:40" ht="15" x14ac:dyDescent="0.25">
      <c r="A557" s="9" t="s">
        <v>4559</v>
      </c>
      <c r="B557" s="9" t="s">
        <v>4560</v>
      </c>
      <c r="C557" s="9" t="s">
        <v>4561</v>
      </c>
      <c r="D557" s="9" t="s">
        <v>4466</v>
      </c>
      <c r="E557" s="9" t="s">
        <v>2619</v>
      </c>
      <c r="F557" s="9" t="s">
        <v>37</v>
      </c>
      <c r="G557" s="9" t="s">
        <v>160</v>
      </c>
      <c r="H557" s="9" t="s">
        <v>161</v>
      </c>
      <c r="I557" s="9" t="s">
        <v>115</v>
      </c>
      <c r="J557" s="9">
        <v>12106</v>
      </c>
      <c r="K557" s="9" t="s">
        <v>4562</v>
      </c>
      <c r="L557" s="9" t="s">
        <v>117</v>
      </c>
      <c r="M557" s="10">
        <v>5.8488194444444447E-2</v>
      </c>
      <c r="N557" s="9" t="s">
        <v>127</v>
      </c>
      <c r="O557" s="9" t="s">
        <v>4563</v>
      </c>
      <c r="P557" s="9" t="s">
        <v>119</v>
      </c>
      <c r="Q557" s="10">
        <v>1.8749999999999998E-5</v>
      </c>
      <c r="R557" s="9" t="s">
        <v>46</v>
      </c>
      <c r="S557" s="10">
        <v>0.30850694444444438</v>
      </c>
      <c r="T557" s="9">
        <v>70.143000000000001</v>
      </c>
      <c r="U557" s="9">
        <v>14.11</v>
      </c>
      <c r="V557" s="10">
        <v>0.2070945833333333</v>
      </c>
      <c r="W557" s="10">
        <v>0.14151591435185179</v>
      </c>
      <c r="X557" s="10">
        <v>0</v>
      </c>
      <c r="Y557" s="9">
        <v>0</v>
      </c>
      <c r="Z557" s="9">
        <v>0</v>
      </c>
      <c r="AA557" s="9">
        <v>0</v>
      </c>
      <c r="AB557" s="9">
        <v>0</v>
      </c>
      <c r="AC557" s="9">
        <v>0</v>
      </c>
      <c r="AD557" s="9">
        <v>4</v>
      </c>
      <c r="AE557" s="9" t="s">
        <v>139</v>
      </c>
      <c r="AF557" s="9" t="s">
        <v>4564</v>
      </c>
      <c r="AG557" s="9" t="s">
        <v>4565</v>
      </c>
      <c r="AH557" s="9">
        <v>6.2255070000000003</v>
      </c>
      <c r="AI557" s="9">
        <v>-75.599450000000004</v>
      </c>
      <c r="AJ557" s="9" t="s">
        <v>4566</v>
      </c>
      <c r="AK557" s="9">
        <v>6.219703</v>
      </c>
      <c r="AL557" s="9">
        <v>-75.576880000000003</v>
      </c>
      <c r="AM557" s="26">
        <f t="shared" si="9"/>
        <v>0</v>
      </c>
    </row>
    <row r="558" spans="1:40" ht="15" x14ac:dyDescent="0.25">
      <c r="A558" s="9" t="s">
        <v>4567</v>
      </c>
      <c r="B558" s="9" t="s">
        <v>4568</v>
      </c>
      <c r="C558" s="9" t="s">
        <v>4569</v>
      </c>
      <c r="D558" s="9" t="s">
        <v>4466</v>
      </c>
      <c r="E558" s="9" t="s">
        <v>2619</v>
      </c>
      <c r="F558" s="9" t="s">
        <v>37</v>
      </c>
      <c r="G558" s="9" t="s">
        <v>97</v>
      </c>
      <c r="H558" s="9" t="s">
        <v>98</v>
      </c>
      <c r="I558" s="9" t="s">
        <v>115</v>
      </c>
      <c r="J558" s="9">
        <v>2679</v>
      </c>
      <c r="K558" s="9" t="s">
        <v>4570</v>
      </c>
      <c r="L558" s="9" t="s">
        <v>117</v>
      </c>
      <c r="M558" s="10">
        <v>5.1793981481481483E-2</v>
      </c>
      <c r="N558" s="9" t="s">
        <v>127</v>
      </c>
      <c r="O558" s="9" t="s">
        <v>4571</v>
      </c>
      <c r="P558" s="9" t="s">
        <v>119</v>
      </c>
      <c r="Q558" s="10">
        <v>4.1087962962962962E-3</v>
      </c>
      <c r="R558" s="9" t="s">
        <v>46</v>
      </c>
      <c r="S558" s="10">
        <v>0.29768518518518522</v>
      </c>
      <c r="T558" s="9">
        <v>35.963000000000001</v>
      </c>
      <c r="U558" s="9">
        <v>8.99</v>
      </c>
      <c r="V558" s="10">
        <v>0.16667824074074081</v>
      </c>
      <c r="W558" s="10">
        <v>0.1171180555555556</v>
      </c>
      <c r="X558" s="10">
        <v>0</v>
      </c>
      <c r="Y558" s="9">
        <v>0</v>
      </c>
      <c r="Z558" s="9">
        <v>0</v>
      </c>
      <c r="AA558" s="9">
        <v>0</v>
      </c>
      <c r="AB558" s="9">
        <v>0</v>
      </c>
      <c r="AC558" s="9">
        <v>0</v>
      </c>
      <c r="AD558" s="9">
        <v>1</v>
      </c>
      <c r="AE558" s="9" t="s">
        <v>139</v>
      </c>
      <c r="AF558" s="9" t="s">
        <v>4572</v>
      </c>
      <c r="AG558" s="9" t="s">
        <v>4573</v>
      </c>
      <c r="AH558" s="9">
        <v>6.2255779999999996</v>
      </c>
      <c r="AI558" s="9">
        <v>-75.599444000000005</v>
      </c>
      <c r="AJ558" s="9" t="s">
        <v>4574</v>
      </c>
      <c r="AK558" s="9">
        <v>6.3078640000000004</v>
      </c>
      <c r="AL558" s="9">
        <v>-75.582019000000003</v>
      </c>
      <c r="AM558" s="26">
        <f t="shared" si="9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1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2026-10-28T19:22:42Z</dcterms:modified>
</cp:coreProperties>
</file>