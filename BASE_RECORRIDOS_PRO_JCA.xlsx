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ml.chartshapes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INTERVENTORIA VELNEC\Recorridos\"/>
    </mc:Choice>
  </mc:AlternateContent>
  <xr:revisionPtr revIDLastSave="0" documentId="13_ncr:1_{86F08245-CA34-445C-8E92-6D31C75D9727}" xr6:coauthVersionLast="47" xr6:coauthVersionMax="47" xr10:uidLastSave="{00000000-0000-0000-0000-000000000000}"/>
  <bookViews>
    <workbookView xWindow="20370" yWindow="-120" windowWidth="24240" windowHeight="13020" activeTab="2" xr2:uid="{00000000-000D-0000-FFFF-FFFF00000000}"/>
  </bookViews>
  <sheets>
    <sheet name="GRAFICAS" sheetId="7" r:id="rId1"/>
    <sheet name="DASHBOARD" sheetId="1" r:id="rId2"/>
    <sheet name="RECORRIDOS" sheetId="2" r:id="rId3"/>
    <sheet name="PARADAS" sheetId="3" r:id="rId4"/>
    <sheet name="CONTROL" sheetId="4" r:id="rId5"/>
    <sheet name="ALERTAS" sheetId="5" r:id="rId6"/>
    <sheet name="2026-09" sheetId="6" r:id="rId7"/>
  </sheets>
  <definedNames>
    <definedName name="_xlnm._FilterDatabase" localSheetId="6" hidden="1">'2026-09'!$A$1:$AF$21</definedName>
    <definedName name="_xlnm._FilterDatabase" localSheetId="5" hidden="1">ALERTAS!$A$1:$G$35</definedName>
    <definedName name="_xlnm._FilterDatabase" localSheetId="4" hidden="1">CONTROL!$A$1:$F$21</definedName>
    <definedName name="_xlnm._FilterDatabase" localSheetId="3" hidden="1">PARADAS!$A$1:$N$1</definedName>
    <definedName name="_xlnm._FilterDatabase" localSheetId="2" hidden="1">RECORRIDOS!$A$1:$AF$21</definedName>
  </definedNames>
  <calcPr calcId="191029"/>
  <pivotCaches>
    <pivotCache cacheId="6" r:id="rId8"/>
    <pivotCache cacheId="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95" i="2" l="1"/>
  <c r="AM496" i="2"/>
  <c r="AM497" i="2"/>
  <c r="AM498" i="2"/>
  <c r="AM499" i="2"/>
  <c r="AM500" i="2"/>
  <c r="AM501" i="2"/>
  <c r="AM502" i="2"/>
  <c r="AM503" i="2"/>
  <c r="AM504" i="2"/>
  <c r="AM505" i="2"/>
  <c r="AM506" i="2"/>
  <c r="AM486" i="2"/>
  <c r="AM487" i="2"/>
  <c r="AM488" i="2"/>
  <c r="AM489" i="2"/>
  <c r="AM490" i="2"/>
  <c r="AM491" i="2"/>
  <c r="AM492" i="2"/>
  <c r="AM493" i="2"/>
  <c r="AM494" i="2"/>
  <c r="AM482" i="2"/>
  <c r="AM483" i="2"/>
  <c r="AM484" i="2"/>
  <c r="AM485" i="2"/>
  <c r="AM473" i="2"/>
  <c r="AM474" i="2"/>
  <c r="AM475" i="2"/>
  <c r="AM476" i="2"/>
  <c r="AM477" i="2"/>
  <c r="AM478" i="2"/>
  <c r="AM479" i="2"/>
  <c r="AM480" i="2"/>
  <c r="AM481" i="2"/>
  <c r="AM468" i="2"/>
  <c r="AM469" i="2"/>
  <c r="AM470" i="2"/>
  <c r="AM471" i="2"/>
  <c r="AM472" i="2"/>
  <c r="AM467" i="2"/>
  <c r="AM461" i="2"/>
  <c r="AM462" i="2"/>
  <c r="AM463" i="2"/>
  <c r="AM464" i="2"/>
  <c r="AM465" i="2"/>
  <c r="AM466" i="2"/>
  <c r="AM459" i="2"/>
  <c r="AM460" i="2"/>
  <c r="AM458" i="2"/>
  <c r="AM453" i="2"/>
  <c r="AM454" i="2"/>
  <c r="AM455" i="2"/>
  <c r="AM456" i="2"/>
  <c r="AM457" i="2"/>
  <c r="AM448" i="2"/>
  <c r="AM449" i="2"/>
  <c r="AM450" i="2"/>
  <c r="AM451" i="2"/>
  <c r="AM452" i="2"/>
  <c r="AM447" i="2"/>
  <c r="AM439" i="2"/>
  <c r="AM440" i="2"/>
  <c r="AM441" i="2"/>
  <c r="AM442" i="2"/>
  <c r="AM443" i="2"/>
  <c r="AM444" i="2"/>
  <c r="AM445" i="2"/>
  <c r="AM446" i="2"/>
  <c r="AM434" i="2"/>
  <c r="AM435" i="2"/>
  <c r="AM436" i="2"/>
  <c r="AM437" i="2"/>
  <c r="AM438" i="2"/>
  <c r="AM425" i="2"/>
  <c r="AM426" i="2"/>
  <c r="AM427" i="2"/>
  <c r="AM428" i="2"/>
  <c r="AM429" i="2"/>
  <c r="AM430" i="2"/>
  <c r="AM431" i="2"/>
  <c r="AM432" i="2"/>
  <c r="AM433" i="2"/>
  <c r="AM420" i="2"/>
  <c r="AM421" i="2"/>
  <c r="AM422" i="2"/>
  <c r="AM423" i="2"/>
  <c r="AM424" i="2"/>
  <c r="AM412" i="2"/>
  <c r="AM413" i="2"/>
  <c r="AM414" i="2"/>
  <c r="AM415" i="2"/>
  <c r="AM416" i="2"/>
  <c r="AM417" i="2"/>
  <c r="AM418" i="2"/>
  <c r="AM419" i="2"/>
  <c r="AM406" i="2"/>
  <c r="AM407" i="2"/>
  <c r="AM408" i="2"/>
  <c r="AM409" i="2"/>
  <c r="AM410" i="2"/>
  <c r="AM411" i="2"/>
  <c r="AM404" i="2"/>
  <c r="AM405" i="2"/>
  <c r="AM397" i="2"/>
  <c r="AM398" i="2"/>
  <c r="AM399" i="2"/>
  <c r="AM400" i="2"/>
  <c r="AM401" i="2"/>
  <c r="AM402" i="2"/>
  <c r="AM403" i="2"/>
  <c r="AM392" i="2" l="1"/>
  <c r="AM393" i="2"/>
  <c r="AM394" i="2"/>
  <c r="AM395" i="2"/>
  <c r="AM396" i="2"/>
  <c r="AM391" i="2"/>
  <c r="AM382" i="2"/>
  <c r="AM383" i="2"/>
  <c r="AM384" i="2"/>
  <c r="AM385" i="2"/>
  <c r="AM386" i="2"/>
  <c r="AM387" i="2"/>
  <c r="AM388" i="2"/>
  <c r="AM389" i="2"/>
  <c r="AM390" i="2"/>
  <c r="AM377" i="2"/>
  <c r="AM378" i="2"/>
  <c r="AM379" i="2"/>
  <c r="AM380" i="2"/>
  <c r="AM381" i="2"/>
  <c r="AM369" i="2"/>
  <c r="AM370" i="2"/>
  <c r="AM371" i="2"/>
  <c r="AM372" i="2"/>
  <c r="AM373" i="2"/>
  <c r="AM374" i="2"/>
  <c r="AM375" i="2"/>
  <c r="AM376" i="2"/>
  <c r="AM364" i="2"/>
  <c r="AM365" i="2"/>
  <c r="AM366" i="2"/>
  <c r="AM367" i="2"/>
  <c r="AM368" i="2"/>
  <c r="AM363" i="2"/>
  <c r="AM355" i="2"/>
  <c r="AM356" i="2"/>
  <c r="AM357" i="2"/>
  <c r="AM358" i="2"/>
  <c r="AM359" i="2"/>
  <c r="AM360" i="2"/>
  <c r="AM361" i="2"/>
  <c r="AM362" i="2"/>
  <c r="AM354" i="2"/>
  <c r="AM349" i="2"/>
  <c r="AM350" i="2"/>
  <c r="AM351" i="2"/>
  <c r="AM352" i="2"/>
  <c r="AM353" i="2"/>
  <c r="AM342" i="2"/>
  <c r="AM343" i="2"/>
  <c r="AM344" i="2"/>
  <c r="AM345" i="2"/>
  <c r="AM346" i="2"/>
  <c r="AM347" i="2"/>
  <c r="AM348" i="2"/>
  <c r="AM336" i="2"/>
  <c r="AM337" i="2"/>
  <c r="AM338" i="2"/>
  <c r="AM339" i="2"/>
  <c r="AM340" i="2"/>
  <c r="AM341" i="2"/>
  <c r="AM335" i="2"/>
  <c r="AM333" i="2"/>
  <c r="AM329" i="2"/>
  <c r="AM325" i="2"/>
  <c r="AM326" i="2"/>
  <c r="AM327" i="2"/>
  <c r="AM328" i="2"/>
  <c r="AM330" i="2"/>
  <c r="AM331" i="2"/>
  <c r="AM332" i="2"/>
  <c r="AM334" i="2"/>
  <c r="AM320" i="2"/>
  <c r="AM321" i="2"/>
  <c r="AM322" i="2"/>
  <c r="AM323" i="2"/>
  <c r="AM324" i="2"/>
  <c r="AM311" i="2"/>
  <c r="AM312" i="2"/>
  <c r="AM313" i="2"/>
  <c r="AM314" i="2"/>
  <c r="AM315" i="2"/>
  <c r="AM316" i="2"/>
  <c r="AM317" i="2"/>
  <c r="AM318" i="2"/>
  <c r="AM319" i="2"/>
  <c r="AM306" i="2"/>
  <c r="AM307" i="2"/>
  <c r="AM308" i="2"/>
  <c r="AM309" i="2"/>
  <c r="AM310" i="2"/>
  <c r="AM305" i="2"/>
  <c r="AM297" i="2"/>
  <c r="AM298" i="2"/>
  <c r="AM299" i="2"/>
  <c r="AM300" i="2"/>
  <c r="AM301" i="2"/>
  <c r="AM302" i="2"/>
  <c r="AM303" i="2"/>
  <c r="AM304" i="2"/>
  <c r="AM292" i="2"/>
  <c r="AM293" i="2"/>
  <c r="AM294" i="2"/>
  <c r="AM295" i="2"/>
  <c r="AM296" i="2"/>
  <c r="AM283" i="2" l="1"/>
  <c r="AM284" i="2"/>
  <c r="AM285" i="2"/>
  <c r="AM286" i="2"/>
  <c r="AM287" i="2"/>
  <c r="AM288" i="2"/>
  <c r="AM289" i="2"/>
  <c r="AM290" i="2"/>
  <c r="AM291" i="2"/>
  <c r="AM278" i="2"/>
  <c r="AM279" i="2"/>
  <c r="AM280" i="2"/>
  <c r="AM281" i="2"/>
  <c r="AM282" i="2"/>
  <c r="AM277" i="2"/>
  <c r="AM270" i="2"/>
  <c r="AM271" i="2"/>
  <c r="AM272" i="2"/>
  <c r="AM273" i="2"/>
  <c r="AM274" i="2"/>
  <c r="AM275" i="2"/>
  <c r="AM276" i="2"/>
  <c r="AM264" i="2" l="1"/>
  <c r="AM265" i="2"/>
  <c r="AM266" i="2"/>
  <c r="AM267" i="2"/>
  <c r="AM268" i="2"/>
  <c r="AM269" i="2"/>
  <c r="AM263" i="2"/>
  <c r="AM254" i="2"/>
  <c r="AM255" i="2"/>
  <c r="AM256" i="2"/>
  <c r="AM257" i="2"/>
  <c r="AM258" i="2"/>
  <c r="AM259" i="2"/>
  <c r="AM260" i="2"/>
  <c r="AM261" i="2"/>
  <c r="AM262" i="2"/>
  <c r="AM250" i="2"/>
  <c r="AM251" i="2"/>
  <c r="AM252" i="2"/>
  <c r="AM253" i="2"/>
  <c r="AM241" i="2"/>
  <c r="AM242" i="2"/>
  <c r="AM243" i="2"/>
  <c r="AM244" i="2"/>
  <c r="AM245" i="2"/>
  <c r="AM246" i="2"/>
  <c r="AM247" i="2"/>
  <c r="AM248" i="2"/>
  <c r="AM249" i="2"/>
  <c r="AM237" i="2"/>
  <c r="AM238" i="2"/>
  <c r="AM239" i="2"/>
  <c r="AM240" i="2"/>
  <c r="AM227" i="2"/>
  <c r="AM228" i="2"/>
  <c r="AM229" i="2"/>
  <c r="AM230" i="2"/>
  <c r="AM231" i="2"/>
  <c r="AM232" i="2"/>
  <c r="AM233" i="2"/>
  <c r="AM234" i="2"/>
  <c r="AM235" i="2"/>
  <c r="AM236" i="2"/>
  <c r="AM226" i="2"/>
  <c r="AM222" i="2"/>
  <c r="AM223" i="2"/>
  <c r="AM224" i="2"/>
  <c r="AM225" i="2"/>
  <c r="AM213" i="2"/>
  <c r="AM214" i="2"/>
  <c r="AM215" i="2"/>
  <c r="AM216" i="2"/>
  <c r="AM217" i="2"/>
  <c r="AM218" i="2"/>
  <c r="AM219" i="2"/>
  <c r="AM220" i="2"/>
  <c r="AM221" i="2"/>
  <c r="AM212" i="2"/>
  <c r="AM208" i="2"/>
  <c r="AM209" i="2"/>
  <c r="AM210" i="2"/>
  <c r="AM21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69" i="2"/>
  <c r="AM170" i="2"/>
  <c r="AM171" i="2"/>
  <c r="AM172" i="2"/>
  <c r="AM173" i="2"/>
  <c r="AM174" i="2"/>
  <c r="AM175" i="2"/>
  <c r="AM176" i="2"/>
  <c r="AM177" i="2"/>
  <c r="AM164" i="2"/>
  <c r="AM165" i="2"/>
  <c r="AM166" i="2"/>
  <c r="AM167" i="2"/>
  <c r="AM168" i="2"/>
  <c r="AM154" i="2"/>
  <c r="AM155" i="2"/>
  <c r="AM156" i="2"/>
  <c r="AM157" i="2"/>
  <c r="AM158" i="2"/>
  <c r="AM159" i="2"/>
  <c r="AM160" i="2"/>
  <c r="AM161" i="2"/>
  <c r="AM162" i="2"/>
  <c r="AM163" i="2"/>
  <c r="AM149" i="2"/>
  <c r="AM150" i="2"/>
  <c r="AM151" i="2"/>
  <c r="AM152" i="2"/>
  <c r="AM153" i="2"/>
  <c r="AM140" i="2" l="1"/>
  <c r="AM141" i="2"/>
  <c r="AM142" i="2"/>
  <c r="AM143" i="2"/>
  <c r="AM144" i="2"/>
  <c r="AM145" i="2"/>
  <c r="AM146" i="2"/>
  <c r="AM147" i="2"/>
  <c r="AM148" i="2"/>
  <c r="AM135" i="2"/>
  <c r="AM136" i="2"/>
  <c r="AM137" i="2"/>
  <c r="AM138" i="2"/>
  <c r="AM139" i="2"/>
  <c r="AM127" i="2"/>
  <c r="AM128" i="2"/>
  <c r="AM129" i="2"/>
  <c r="AM130" i="2"/>
  <c r="AM131" i="2"/>
  <c r="AM132" i="2"/>
  <c r="AM133" i="2"/>
  <c r="AM134" i="2"/>
  <c r="AM120" i="2"/>
  <c r="AM121" i="2"/>
  <c r="AM122" i="2"/>
  <c r="AM123" i="2"/>
  <c r="AM124" i="2"/>
  <c r="AM125" i="2"/>
  <c r="AM126" i="2"/>
  <c r="AM3" i="2" l="1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2" i="2"/>
</calcChain>
</file>

<file path=xl/sharedStrings.xml><?xml version="1.0" encoding="utf-8"?>
<sst xmlns="http://schemas.openxmlformats.org/spreadsheetml/2006/main" count="10591" uniqueCount="4158">
  <si>
    <t>ID</t>
  </si>
  <si>
    <t>Archivo</t>
  </si>
  <si>
    <t>Hash SHA256</t>
  </si>
  <si>
    <t>Fecha</t>
  </si>
  <si>
    <t>Año-Mes</t>
  </si>
  <si>
    <t>Día</t>
  </si>
  <si>
    <t>Técnico</t>
  </si>
  <si>
    <t>Código</t>
  </si>
  <si>
    <t>Turno</t>
  </si>
  <si>
    <t>Puntos GPS</t>
  </si>
  <si>
    <t>Inicio Colombia</t>
  </si>
  <si>
    <t>Inicio programado</t>
  </si>
  <si>
    <t>Diferencia inicio</t>
  </si>
  <si>
    <t>Estado inicio</t>
  </si>
  <si>
    <t>Fin Colombia</t>
  </si>
  <si>
    <t>Fin programado</t>
  </si>
  <si>
    <t>Diferencia fin</t>
  </si>
  <si>
    <t>Estado fin</t>
  </si>
  <si>
    <t>Duración</t>
  </si>
  <si>
    <t>Kilómetros</t>
  </si>
  <si>
    <t>Velocidad promedio (km/h)</t>
  </si>
  <si>
    <t>Tiempo movimiento</t>
  </si>
  <si>
    <t>Movimiento lento</t>
  </si>
  <si>
    <t>Tiempo permanencias</t>
  </si>
  <si>
    <t>Paradas &gt;=10 min</t>
  </si>
  <si>
    <t>Paradas &gt;=15 min</t>
  </si>
  <si>
    <t>Paradas &gt;=30 min</t>
  </si>
  <si>
    <t>Paradas &gt;=40 min</t>
  </si>
  <si>
    <t>Paradas &gt;=60 min</t>
  </si>
  <si>
    <t>Huecos GPS &gt;=10 min</t>
  </si>
  <si>
    <t>Estado recorrido</t>
  </si>
  <si>
    <t>Observaciones</t>
  </si>
  <si>
    <t>ced367c3758385ee</t>
  </si>
  <si>
    <t>01_09_2026_AO_Diur.gpx</t>
  </si>
  <si>
    <t>ced367c3758385eed4de45aabf21d0294ddc2e98be8aa3a6e22b48d6a681476d</t>
  </si>
  <si>
    <t>01/09/2026</t>
  </si>
  <si>
    <t>2026-09</t>
  </si>
  <si>
    <t>Martes</t>
  </si>
  <si>
    <t>John Alexander Ortiz</t>
  </si>
  <si>
    <t>AO</t>
  </si>
  <si>
    <t>DIURNO</t>
  </si>
  <si>
    <t>01/09/2026 09:38:49</t>
  </si>
  <si>
    <t>08:30</t>
  </si>
  <si>
    <t>INICIO TARDÍO</t>
  </si>
  <si>
    <t>01/09/2026 16:29:00</t>
  </si>
  <si>
    <t>16:30</t>
  </si>
  <si>
    <t>FIN CUMPLE</t>
  </si>
  <si>
    <t>INICIO TARDÍO / FIN CUMPLE</t>
  </si>
  <si>
    <t>Inicio GPS tardío: 01:08:50 después de las 08:30.; Fin GPS dentro de la tolerancia del horario programado.; 6 hueco(s) GPS &gt;= 10 min.</t>
  </si>
  <si>
    <t>def0fdf1c3f42bfc</t>
  </si>
  <si>
    <t>01_09_2026_AR_Diur.gpx</t>
  </si>
  <si>
    <t>def0fdf1c3f42bfc46e7eec7c07750b2214a2bdc681ef88299474bd340369329</t>
  </si>
  <si>
    <t>Alberto Ramos</t>
  </si>
  <si>
    <t>AR</t>
  </si>
  <si>
    <t>01/09/2026 10:10:46</t>
  </si>
  <si>
    <t>01/09/2026 15:54:28</t>
  </si>
  <si>
    <t>TERMINÓ ANTES</t>
  </si>
  <si>
    <t>INICIO TARDÍO / FIN ANTICIPADO</t>
  </si>
  <si>
    <t>Inicio GPS tardío: 01:40:46 después de las 08:30.; Fin GPS anticipado: 00:35:32 antes de las 16:30.</t>
  </si>
  <si>
    <t>ffe1b2a105ff8d6f</t>
  </si>
  <si>
    <t>01_09_2026_HC_Diur.gpx</t>
  </si>
  <si>
    <t>ffe1b2a105ff8d6f2d4890284bbd4aa3f44ed758644fa3525834e8eb6f267891</t>
  </si>
  <si>
    <t>Hugo Cesar Caceres</t>
  </si>
  <si>
    <t>HC</t>
  </si>
  <si>
    <t>01/09/2026 08:29:19</t>
  </si>
  <si>
    <t>INICIO CUMPLE</t>
  </si>
  <si>
    <t>01/09/2026 14:43:56</t>
  </si>
  <si>
    <t>INICIO CUMPLE / FIN ANTICIPADO</t>
  </si>
  <si>
    <t>Inicio GPS dentro de la tolerancia del horario programado.; Fin GPS anticipado: 01:46:04 antes de las 16:30.; 1 hueco(s) GPS &gt;= 10 min.</t>
  </si>
  <si>
    <t>d19559b0b3eddfd6</t>
  </si>
  <si>
    <t>01_09_2026_JA_Diur.gpx</t>
  </si>
  <si>
    <t>d19559b0b3eddfd6e735427bf7bb7440e315c7d6b819bfa8a66c5fcae38407dc</t>
  </si>
  <si>
    <t>Johnatan Alexis Alvarez Florez</t>
  </si>
  <si>
    <t>JA</t>
  </si>
  <si>
    <t>01/09/2026 11:22:21</t>
  </si>
  <si>
    <t>01/09/2026 14:21:44</t>
  </si>
  <si>
    <t>Inicio GPS tardío: 02:52:21 después de las 08:30.; Fin GPS anticipado: 02:08:16 antes de las 16:30.</t>
  </si>
  <si>
    <t>ab874b20b140f4f7</t>
  </si>
  <si>
    <t>01_09_2026_JO_Diur.gpx</t>
  </si>
  <si>
    <t>ab874b20b140f4f75ea82bec11a15fab3a6b324f51d3e2c8a533ae04455e7a8e</t>
  </si>
  <si>
    <t>Julian Oritz</t>
  </si>
  <si>
    <t>JO</t>
  </si>
  <si>
    <t>01/09/2026 08:19:55</t>
  </si>
  <si>
    <t>01/09/2026 16:31:32</t>
  </si>
  <si>
    <t>DENTRO DE HORARIO</t>
  </si>
  <si>
    <t>Inicio GPS dentro de la tolerancia del horario programado.; Fin GPS dentro de la tolerancia del horario programado.; 12 hueco(s) GPS &gt;= 10 min.</t>
  </si>
  <si>
    <t>9e0bda107497748a</t>
  </si>
  <si>
    <t>01_09_2026_JZ_Diur.gpx</t>
  </si>
  <si>
    <t>9e0bda107497748a6b5ea3bb79f1ce45eb9522e83c80e8c1d56dab6587b54b56</t>
  </si>
  <si>
    <t>Jorge Alberto Zapata Vásquez</t>
  </si>
  <si>
    <t>JZ</t>
  </si>
  <si>
    <t>01/09/2026 11:23:06</t>
  </si>
  <si>
    <t>01/09/2026 16:35:55</t>
  </si>
  <si>
    <t>Inicio GPS tardío: 02:53:06 después de las 08:30.; Fin GPS dentro de la tolerancia del horario programado.</t>
  </si>
  <si>
    <t>b51e0d2941336223</t>
  </si>
  <si>
    <t>01_09_2026_SJ_Diur.gpx</t>
  </si>
  <si>
    <t>b51e0d294133622324026908d2cfd998b4d4651f1aa52180ddaa2249255300a4</t>
  </si>
  <si>
    <t>Johan Steven Jaramillo</t>
  </si>
  <si>
    <t>SJ</t>
  </si>
  <si>
    <t>01/09/2026 08:36:38</t>
  </si>
  <si>
    <t>01/09/2026 16:13:33</t>
  </si>
  <si>
    <t>Inicio GPS dentro de la tolerancia del horario programado.; Fin GPS anticipado: 00:16:27 antes de las 16:30.</t>
  </si>
  <si>
    <t>128eec6bd1ad56c9</t>
  </si>
  <si>
    <t>01_09_2026_YL_Diur.gpx</t>
  </si>
  <si>
    <t>128eec6bd1ad56c94f38054a8d4f987a4a35e0527fcd59cd392fe2dc28180cf2</t>
  </si>
  <si>
    <t>Yeiner Alejandro López</t>
  </si>
  <si>
    <t>YL</t>
  </si>
  <si>
    <t>01/09/2026 08:50:48</t>
  </si>
  <si>
    <t>01/09/2026 16:15:03</t>
  </si>
  <si>
    <t>Inicio GPS tardío: 00:20:48 después de las 08:30.; Fin GPS dentro de la tolerancia del horario programado.</t>
  </si>
  <si>
    <t>cf32724f2779e230</t>
  </si>
  <si>
    <t>01_09_2026_DR_Noct.gpx</t>
  </si>
  <si>
    <t>cf32724f2779e23028cbda4e52e5f8d99005bc190675cd481031d75a87505878</t>
  </si>
  <si>
    <t>Duván Andres Ramos</t>
  </si>
  <si>
    <t>DR</t>
  </si>
  <si>
    <t>NOCTURNO</t>
  </si>
  <si>
    <t>01/09/2026 18:34:18</t>
  </si>
  <si>
    <t>18:00</t>
  </si>
  <si>
    <t>01/09/2026 22:43:49</t>
  </si>
  <si>
    <t>00:00</t>
  </si>
  <si>
    <t>Inicio GPS tardío: 00:34:18 después de las 18:00.; Fin GPS anticipado: 01:16:11 antes de las 00:00.</t>
  </si>
  <si>
    <t>84b8dd69b678e5d2</t>
  </si>
  <si>
    <t>01_09_2026_DV_Noct.gpx</t>
  </si>
  <si>
    <t>84b8dd69b678e5d258010063a27aeb95877eb430a6405acd68b049d3282e48ad</t>
  </si>
  <si>
    <t>Davison Alonso Vélez</t>
  </si>
  <si>
    <t>DV</t>
  </si>
  <si>
    <t>01/09/2026 16:55:54</t>
  </si>
  <si>
    <t>INICIO ANTES DEL HORARIO</t>
  </si>
  <si>
    <t>02/09/2026 01:04:05</t>
  </si>
  <si>
    <t>TERMINÓ DESPUÉS</t>
  </si>
  <si>
    <t>FIN POSTERIOR</t>
  </si>
  <si>
    <t>Inicio GPS anterior al horario: 01:04:06 antes de las 18:00.; Fin GPS posterior: 01:04:05 después de las 00:00.</t>
  </si>
  <si>
    <t>41a493fa401c0d5f</t>
  </si>
  <si>
    <t>01_09_2026_IQ_Noct.gpx</t>
  </si>
  <si>
    <t>41a493fa401c0d5f5b51f0397a10ad0e31c2c7cebd8fad803ebd57403289c66b</t>
  </si>
  <si>
    <t>Iván Andrés Quintana Vélez</t>
  </si>
  <si>
    <t>IQ</t>
  </si>
  <si>
    <t>01/09/2026 17:01:01</t>
  </si>
  <si>
    <t>02/09/2026 00:00:16</t>
  </si>
  <si>
    <t>REVISAR</t>
  </si>
  <si>
    <t>Inicio GPS anterior al horario: 00:58:59 antes de las 18:00.; Fin GPS dentro de la tolerancia del horario programado.; 5 hueco(s) GPS &gt;= 10 min.</t>
  </si>
  <si>
    <t>64b7f9194388a956</t>
  </si>
  <si>
    <t>01_09_2026_JHP_Noct.gpx</t>
  </si>
  <si>
    <t>64b7f9194388a9561a5bf868e711077947a15159ebb3cd6e1c293ae1f57d408e</t>
  </si>
  <si>
    <t>John Alexander Porras</t>
  </si>
  <si>
    <t>JHP</t>
  </si>
  <si>
    <t>01/09/2026 16:58:32</t>
  </si>
  <si>
    <t>01/09/2026 23:21:48</t>
  </si>
  <si>
    <t>Inicio GPS anterior al horario: 01:01:28 antes de las 18:00.; Fin GPS anticipado: 00:38:12 antes de las 00:00.</t>
  </si>
  <si>
    <t>ab81bd255207513a</t>
  </si>
  <si>
    <t>01_09_2026_JP_Noct.gpx</t>
  </si>
  <si>
    <t>ab81bd255207513a2667874c1009d77bb9c403ce643ceb792d7f7cd2032a08ac</t>
  </si>
  <si>
    <t>Jose David Patiño</t>
  </si>
  <si>
    <t>JP</t>
  </si>
  <si>
    <t>01/09/2026 16:52:53</t>
  </si>
  <si>
    <t>01/09/2026 22:27:26</t>
  </si>
  <si>
    <t>Inicio GPS anterior al horario: 01:07:07 antes de las 18:00.; Fin GPS anticipado: 01:32:34 antes de las 00:00.</t>
  </si>
  <si>
    <t>7ad8b21bef5c67cc</t>
  </si>
  <si>
    <t>01_09_2026_LA_Noct.gpx</t>
  </si>
  <si>
    <t>7ad8b21bef5c67ccadd4e48fced83f5268f78a0d87f69794f49089f252a157b5</t>
  </si>
  <si>
    <t>Lácides Manuel Acevedo Márquez</t>
  </si>
  <si>
    <t>LA</t>
  </si>
  <si>
    <t>01/09/2026 17:02:23</t>
  </si>
  <si>
    <t>02/09/2026 00:15:25</t>
  </si>
  <si>
    <t>Inicio GPS anterior al horario: 00:57:36 antes de las 18:00.; Fin GPS posterior: 00:15:26 después de las 00:00.; 1 hueco(s) GPS &gt;= 10 min.</t>
  </si>
  <si>
    <t>5facab3d709484a0</t>
  </si>
  <si>
    <t>02_09_2026_AO_Diur.gpx</t>
  </si>
  <si>
    <t>5facab3d709484a0a6a7e92adcbbd2b76afde8d10a1c93b712d35330da59d8ab</t>
  </si>
  <si>
    <t>02/09/2026</t>
  </si>
  <si>
    <t>Miércoles</t>
  </si>
  <si>
    <t>02/09/2026 08:44:28</t>
  </si>
  <si>
    <t>02/09/2026 16:39:32</t>
  </si>
  <si>
    <t>Inicio GPS dentro de la tolerancia del horario programado.; Fin GPS dentro de la tolerancia del horario programado.; 6 hueco(s) GPS &gt;= 10 min.</t>
  </si>
  <si>
    <t>67cc835e2ba80d04</t>
  </si>
  <si>
    <t>02_09_2026_AR_Diur.gpx</t>
  </si>
  <si>
    <t>67cc835e2ba80d04c4e07c7aa94c563971f07161c4d4b9552572b4168324bc16</t>
  </si>
  <si>
    <t>02/09/2026 08:08:01</t>
  </si>
  <si>
    <t>02/09/2026 15:57:45</t>
  </si>
  <si>
    <t>Inicio GPS anterior al horario: 00:21:59 antes de las 08:30.; Fin GPS anticipado: 00:32:15 antes de las 16:30.; 3 hueco(s) GPS &gt;= 10 min.</t>
  </si>
  <si>
    <t>92ae7c426fb4dbac</t>
  </si>
  <si>
    <t>02_09_2026_JA_Diur.gpx</t>
  </si>
  <si>
    <t>92ae7c426fb4dbac37fff3a53bb3ab786a1c4d0ba545058e3600b5ecefe93da0</t>
  </si>
  <si>
    <t>02/09/2026 08:35:04</t>
  </si>
  <si>
    <t>02/09/2026 12:09:58</t>
  </si>
  <si>
    <t>Inicio GPS dentro de la tolerancia del horario programado.; Fin GPS anticipado: 04:20:02 antes de las 16:30.</t>
  </si>
  <si>
    <t>402d02aa8a12a9ba</t>
  </si>
  <si>
    <t>02_09_2026_JO_Diur.gpx</t>
  </si>
  <si>
    <t>402d02aa8a12a9ba22aa6765a29da9cea9348b6db2f8fa70769fa1742a041a4c</t>
  </si>
  <si>
    <t>02/09/2026 08:36:00</t>
  </si>
  <si>
    <t>02/09/2026 16:30:45</t>
  </si>
  <si>
    <t>Inicio GPS dentro de la tolerancia del horario programado.; Fin GPS dentro de la tolerancia del horario programado.; 11 hueco(s) GPS &gt;= 10 min.</t>
  </si>
  <si>
    <t>e0bb97405efbf09d</t>
  </si>
  <si>
    <t>02_09_2026_JZ_Diur.gpx</t>
  </si>
  <si>
    <t>e0bb97405efbf09dcbdb64ca1925cfad002b4c645046788805fd4df7a37af5c4</t>
  </si>
  <si>
    <t>02/09/2026 08:04:33</t>
  </si>
  <si>
    <t>02/09/2026 16:23:16</t>
  </si>
  <si>
    <t>Inicio GPS anterior al horario: 00:25:27 antes de las 08:30.; Fin GPS dentro de la tolerancia del horario programado.</t>
  </si>
  <si>
    <t>f62124899818082c</t>
  </si>
  <si>
    <t>02_09_2026_SJ_Diur.gpx</t>
  </si>
  <si>
    <t>f62124899818082c503c4e95b294f758de08588593db467ae265663046f17255</t>
  </si>
  <si>
    <t>02/09/2026 08:34:26</t>
  </si>
  <si>
    <t>02/09/2026 16:04:58</t>
  </si>
  <si>
    <t>Inicio GPS dentro de la tolerancia del horario programado.; Fin GPS anticipado: 00:25:02 antes de las 16:30.</t>
  </si>
  <si>
    <t>SISTEMA PRO - TRAZABILIDAD DE RECORRIDOS</t>
  </si>
  <si>
    <t>Actualizado</t>
  </si>
  <si>
    <t>03/09/2026 08:54:00</t>
  </si>
  <si>
    <t>Recorridos históricos</t>
  </si>
  <si>
    <t>Permanencias detectadas</t>
  </si>
  <si>
    <t>Alertas</t>
  </si>
  <si>
    <t>CRITERIO</t>
  </si>
  <si>
    <t>Los datos GPS se calculan; lo que no pueda determinarse con evidencia se marca NO DETERMINABLE.</t>
  </si>
  <si>
    <t>Evento</t>
  </si>
  <si>
    <t>Duración (min)</t>
  </si>
  <si>
    <t>Distancia (m)</t>
  </si>
  <si>
    <t>Latitud</t>
  </si>
  <si>
    <t>Longitud</t>
  </si>
  <si>
    <t>Clasificación</t>
  </si>
  <si>
    <t>Primera fecha procesamiento</t>
  </si>
  <si>
    <t>Último procesamiento</t>
  </si>
  <si>
    <t>Estado</t>
  </si>
  <si>
    <t>02/09/2026 07:56:07</t>
  </si>
  <si>
    <t>PROCESADO</t>
  </si>
  <si>
    <t>02/09/2026 07:56:08</t>
  </si>
  <si>
    <t>02/09/2026 07:56:10</t>
  </si>
  <si>
    <t>02/09/2026 07:56:13</t>
  </si>
  <si>
    <t>02/09/2026 07:56:15</t>
  </si>
  <si>
    <t>02/09/2026 07:56:17</t>
  </si>
  <si>
    <t>02/09/2026 07:56:18</t>
  </si>
  <si>
    <t>02/09/2026 14:30:11</t>
  </si>
  <si>
    <t>02/09/2026 14:30:12</t>
  </si>
  <si>
    <t>02/09/2026 14:30:13</t>
  </si>
  <si>
    <t>02/09/2026 14:30:14</t>
  </si>
  <si>
    <t>02/09/2026 14:30:15</t>
  </si>
  <si>
    <t>02/09/2026 14:30:17</t>
  </si>
  <si>
    <t>03/09/2026 07:46:51</t>
  </si>
  <si>
    <t>03/09/2026 07:46:52</t>
  </si>
  <si>
    <t>03/09/2026 07:46:53</t>
  </si>
  <si>
    <t>03/09/2026 07:46:55</t>
  </si>
  <si>
    <t>03/09/2026 07:46:57</t>
  </si>
  <si>
    <t>03/09/2026 07:46:58</t>
  </si>
  <si>
    <t>Tipo</t>
  </si>
  <si>
    <t>Severidad</t>
  </si>
  <si>
    <t>Detalle</t>
  </si>
  <si>
    <t>HORARIO INICIO</t>
  </si>
  <si>
    <t>MEDIA</t>
  </si>
  <si>
    <t>GPS</t>
  </si>
  <si>
    <t>6 hueco(s) GPS &gt;=10 min.</t>
  </si>
  <si>
    <t>HORARIO FIN</t>
  </si>
  <si>
    <t>1 hueco(s) GPS &gt;=10 min.</t>
  </si>
  <si>
    <t>12 hueco(s) GPS &gt;=10 min.</t>
  </si>
  <si>
    <t>5 hueco(s) GPS &gt;=10 min.</t>
  </si>
  <si>
    <t>3 hueco(s) GPS &gt;=10 min.</t>
  </si>
  <si>
    <t>11 hueco(s) GPS &gt;=10 min.</t>
  </si>
  <si>
    <t>PROCESAMIENTO</t>
  </si>
  <si>
    <t>ALTA</t>
  </si>
  <si>
    <t>02_09_2026_HC_Diur.gpx: Se encontraron 0 puntos GPS con hora.</t>
  </si>
  <si>
    <t>02_09_2026_HC_Diur.gpx</t>
  </si>
  <si>
    <t>cfe0b8c8df58659a38e16e626b0183a946392677f00ae3ed19903abfd39cfb09</t>
  </si>
  <si>
    <t>Diurno</t>
  </si>
  <si>
    <t>08:30:00</t>
  </si>
  <si>
    <t>REVISAR GPX</t>
  </si>
  <si>
    <t>GPX sin marcas de tiempo en los puntos (&lt;trkpt&gt;&lt;time&gt;). Se pueden calcular puntos y kilómetros, pero no inicio/fin GPS, duración, velocidad, movimiento, permanencias, paradas ni huecos GPS. El timestamp encontrado en &lt;desc&gt; corresponde al metadato de la ruta y no permite reconstruir los tiempos de cada punto.</t>
  </si>
  <si>
    <t>Etiquetas de fila</t>
  </si>
  <si>
    <t>Total general</t>
  </si>
  <si>
    <t>Cuenta de Estado inicio</t>
  </si>
  <si>
    <t>Etiquetas de columna</t>
  </si>
  <si>
    <t>Cuenta de Estado fin</t>
  </si>
  <si>
    <t>(Varios elementos)</t>
  </si>
  <si>
    <t>Suma de Kilómetros</t>
  </si>
  <si>
    <t>ad47cf36141805bc</t>
  </si>
  <si>
    <t>02_09_2026_YL_Diur.gpx</t>
  </si>
  <si>
    <t>ad47cf36141805bc3efac4c9964aabf7b3a5d6ec8c999800dad89f827164ec64</t>
  </si>
  <si>
    <t>02/09/2026 08:37:51</t>
  </si>
  <si>
    <t>02/09/2026 16:07:13</t>
  </si>
  <si>
    <t>Inicio GPS dentro de la tolerancia del horario programado.; Fin GPS anticipado: 00:22:47 antes de las 16:30.</t>
  </si>
  <si>
    <t>8df1e6d7cfb2afc8</t>
  </si>
  <si>
    <t>02_09_2026_DR_Noct.gpx</t>
  </si>
  <si>
    <t>8df1e6d7cfb2afc8eda9ca2bc86d5e7eb39030d6e0b28f57a5529bc56c255f17</t>
  </si>
  <si>
    <t>02/09/2026 18:11:53</t>
  </si>
  <si>
    <t>02/09/2026 22:18:33</t>
  </si>
  <si>
    <t>Inicio GPS dentro de la tolerancia del horario programado.; Fin GPS anticipado: 01:41:27 antes de las 00:00.</t>
  </si>
  <si>
    <t>45a7c46fc3c306c6</t>
  </si>
  <si>
    <t>02_09_2026_DV_Noct.gpx</t>
  </si>
  <si>
    <t>45a7c46fc3c306c652329ef3d7cb3309615d12444d4bdc0fd51cf66b1f44471c</t>
  </si>
  <si>
    <t>02/09/2026 17:20:30</t>
  </si>
  <si>
    <t>03/09/2026 00:25:50</t>
  </si>
  <si>
    <t>Inicio GPS anterior al horario: 00:39:30 antes de las 18:00.; Fin GPS posterior: 00:25:50 después de las 00:00.</t>
  </si>
  <si>
    <t>055a8d87bc74b761</t>
  </si>
  <si>
    <t>02_09_2026_IQ_Noct.gpx</t>
  </si>
  <si>
    <t>055a8d87bc74b761029634d8cf91caeeee6e873376a0ad528e0375bfa62b3fac</t>
  </si>
  <si>
    <t>02/09/2026 18:08:57</t>
  </si>
  <si>
    <t>02/09/2026 23:54:06</t>
  </si>
  <si>
    <t>Inicio GPS dentro de la tolerancia del horario programado.; Fin GPS dentro de la tolerancia del horario programado.; 3 hueco(s) GPS &gt;= 10 min.</t>
  </si>
  <si>
    <t>cc7ab99667e68d26</t>
  </si>
  <si>
    <t>02_09_2026_JHP_Noct.gpx</t>
  </si>
  <si>
    <t>cc7ab99667e68d26e88ffb424e0be1a2bdafb88c508a6fe227810c9165dd553c</t>
  </si>
  <si>
    <t>02/09/2026 19:52:29</t>
  </si>
  <si>
    <t>02/09/2026 23:35:11</t>
  </si>
  <si>
    <t>Inicio GPS tardío: 01:52:29 después de las 18:00.; Fin GPS anticipado: 00:24:49 antes de las 00:00.</t>
  </si>
  <si>
    <t>1aaedffd7a302187</t>
  </si>
  <si>
    <t>02_09_2026_JP_Noct.gpx</t>
  </si>
  <si>
    <t>1aaedffd7a3021873504970c757383695d2ab4d79124ed87f9259d5f2c12b400</t>
  </si>
  <si>
    <t>02/09/2026 17:05:57</t>
  </si>
  <si>
    <t>02/09/2026 22:02:31</t>
  </si>
  <si>
    <t>Inicio GPS anterior al horario: 00:54:03 antes de las 18:00.; Fin GPS anticipado: 01:57:29 antes de las 00:00.</t>
  </si>
  <si>
    <t>32a9897bd9ba22d5</t>
  </si>
  <si>
    <t>02_09_2026_LA_Noct.gpx</t>
  </si>
  <si>
    <t>32a9897bd9ba22d51dd896725dc28d4a353846ff850fe8fa63981303fedf77d7</t>
  </si>
  <si>
    <t>02/09/2026 17:37:12</t>
  </si>
  <si>
    <t>03/09/2026 00:19:26</t>
  </si>
  <si>
    <t>Inicio GPS anterior al horario: 00:22:48 antes de las 18:00.; Fin GPS posterior: 00:19:26 después de las 00:00.; 2 hueco(s) GPS &gt;= 10 min.</t>
  </si>
  <si>
    <t>6c4d43da6790c964</t>
  </si>
  <si>
    <t>03_09_2026_AO_Diur.gpx</t>
  </si>
  <si>
    <t>6c4d43da6790c9648972d84a378dddc5cb6cd96b9d24ac60c59862b4eeb22708</t>
  </si>
  <si>
    <t>03/09/2026</t>
  </si>
  <si>
    <t>Jueves</t>
  </si>
  <si>
    <t>03/09/2026 08:52:50</t>
  </si>
  <si>
    <t>03/09/2026 16:41:47</t>
  </si>
  <si>
    <t>Inicio GPS tardío: 00:22:51 después de las 08:30.; Fin GPS dentro de la tolerancia del horario programado.; 5 hueco(s) GPS &gt;= 10 min.</t>
  </si>
  <si>
    <t>822239f48279266f</t>
  </si>
  <si>
    <t>03_09_2026_AR_Diur.gpx</t>
  </si>
  <si>
    <t>822239f48279266f3ac639a3e69207718138f0e17d5b3502a6af9343e483dd25</t>
  </si>
  <si>
    <t>03/09/2026 08:42:44</t>
  </si>
  <si>
    <t>03/09/2026 16:31:45</t>
  </si>
  <si>
    <t>Inicio GPS dentro de la tolerancia del horario programado.; Fin GPS dentro de la tolerancia del horario programado.; 1 hueco(s) GPS &gt;= 10 min.</t>
  </si>
  <si>
    <t>743b57c8175b2ab0</t>
  </si>
  <si>
    <t>743b57c8175b2ab0d878ae09f329131b91c94317f74f19c1de62349a45f89c44</t>
  </si>
  <si>
    <t>03/09/2026 08:12:05</t>
  </si>
  <si>
    <t>03/09/2026 12:45:30</t>
  </si>
  <si>
    <t>b4e38e6c48aedbb0</t>
  </si>
  <si>
    <t>03_09_2026_JO_Diur.gpx</t>
  </si>
  <si>
    <t>b4e38e6c48aedbb0538e19d4f4ba428816cdaa62bafb88b421d661289a1e6ed2</t>
  </si>
  <si>
    <t>03/09/2026 08:31:24</t>
  </si>
  <si>
    <t>03/09/2026 16:30:57</t>
  </si>
  <si>
    <t>Inicio GPS dentro de la tolerancia del horario programado.; Fin GPS dentro de la tolerancia del horario programado.; 13 hueco(s) GPS &gt;= 10 min.</t>
  </si>
  <si>
    <t>4dedbf53cedf50ca</t>
  </si>
  <si>
    <t>03_09_2026_JZ_Diun2.gpx</t>
  </si>
  <si>
    <t>4dedbf53cedf50cafc487378b7df12a1fa9a8335dcb35aaba49acc5599b72c35</t>
  </si>
  <si>
    <t>03/09/2026 13:38:45</t>
  </si>
  <si>
    <t>03/09/2026 16:26:27</t>
  </si>
  <si>
    <t>Inicio GPS anterior al horario: 04:21:15 antes de las 18:00.; Fin GPS anticipado: 07:33:33 antes de las 00:00.</t>
  </si>
  <si>
    <t>fbe86ca39f48efb4</t>
  </si>
  <si>
    <t>03_09_2026_JZ_Diurn1.gpx</t>
  </si>
  <si>
    <t>fbe86ca39f48efb4c8cea5fb0c7fea638f508f6240dc6b2496aad8d34a4e4d08</t>
  </si>
  <si>
    <t>03/09/2026 08:13:10</t>
  </si>
  <si>
    <t>03/09/2026 13:34:27</t>
  </si>
  <si>
    <t>Inicio GPS anterior al horario: 00:16:50 antes de las 08:30.; Fin GPS anticipado: 02:55:33 antes de las 16:30.</t>
  </si>
  <si>
    <t>e6ac8c8844d3c867</t>
  </si>
  <si>
    <t>03_09_2026_SJ_Diur.gpx</t>
  </si>
  <si>
    <t>e6ac8c8844d3c867877e751eeadfaab706870248195f9f2622d285d6036c2fde</t>
  </si>
  <si>
    <t>03/09/2026 08:27:21</t>
  </si>
  <si>
    <t>03/09/2026 16:39:46</t>
  </si>
  <si>
    <t>Inicio GPS dentro de la tolerancia del horario programado.; Fin GPS dentro de la tolerancia del horario programado.</t>
  </si>
  <si>
    <t>85553d7e7a054529</t>
  </si>
  <si>
    <t>03_09_2026_YL_Diur.gpx</t>
  </si>
  <si>
    <t>85553d7e7a054529c3e91ddc681b52a7e7aca3a9b9029cf564b8bad6980a1bb4</t>
  </si>
  <si>
    <t>03/09/2026 10:12:22</t>
  </si>
  <si>
    <t>03/09/2026 16:24:55</t>
  </si>
  <si>
    <t>Inicio GPS tardío: 01:42:22 después de las 08:30.; Fin GPS dentro de la tolerancia del horario programado.</t>
  </si>
  <si>
    <t>03_09_2026_HC_Diur.gpx</t>
  </si>
  <si>
    <t>4b994fffa339abf9fcb70e82534a202656064aeb861bca137cd94c71d5fa997f</t>
  </si>
  <si>
    <t>REVISAR GPX SIN TIMESTAMP</t>
  </si>
  <si>
    <t>03_09_2026_JA_Diur.gpx</t>
  </si>
  <si>
    <t>Inicio GPS anterior al horario: 00:17:55 antes de las 08:30.; Fin GPS anticipado: 03:44:30 antes de las 16:30.</t>
  </si>
  <si>
    <t>9129a7b7af86fe7d</t>
  </si>
  <si>
    <t>03_09_2026_DR_Noct.gpx</t>
  </si>
  <si>
    <t>9129a7b7af86fe7d5f77a4e3858f4b975baa811eae0d665c971e7d686591fd9b</t>
  </si>
  <si>
    <t>03/09/2026 18:03:55</t>
  </si>
  <si>
    <t>04/09/2026 02:13:30</t>
  </si>
  <si>
    <t>Inicio GPS dentro de la tolerancia del horario programado.; Fin GPS posterior: 02:13:30 después de las 00:00.; 1 hueco(s) GPS &gt;= 10 min.</t>
  </si>
  <si>
    <t>57550da3425da14a</t>
  </si>
  <si>
    <t>03_09_2026_DV_Noct1.gpx</t>
  </si>
  <si>
    <t>57550da3425da14a9fb02a5f0ce724964e361fbef1d222c694f43b1e5ce64f04</t>
  </si>
  <si>
    <t>03/09/2026 23:30:35</t>
  </si>
  <si>
    <t>04/09/2026 00:11:44</t>
  </si>
  <si>
    <t>Inicio GPS tardío: 05:30:35 después de las 18:00.; Fin GPS dentro de la tolerancia del horario programado.</t>
  </si>
  <si>
    <t>d17c59d546d93f1e</t>
  </si>
  <si>
    <t>03_09_2026_DV_Noct2.gpx</t>
  </si>
  <si>
    <t>d17c59d546d93f1e9ade3caf58317ffac88215056b8d8021d1b251fb79741c8b</t>
  </si>
  <si>
    <t>03/09/2026 17:04:15</t>
  </si>
  <si>
    <t>03/09/2026 23:27:48</t>
  </si>
  <si>
    <t>Inicio GPS anterior al horario: 00:55:45 antes de las 18:00.; Fin GPS anticipado: 00:32:12 antes de las 00:00.</t>
  </si>
  <si>
    <t>37f2f45d2f373537</t>
  </si>
  <si>
    <t>03_09_2026_IQ_Noct.gpx</t>
  </si>
  <si>
    <t>37f2f45d2f373537f9e8ef2c71c7754d9c1f586a88e1aa69978910a1d4271af7</t>
  </si>
  <si>
    <t>03/09/2026 17:24:11</t>
  </si>
  <si>
    <t>03/09/2026 23:42:15</t>
  </si>
  <si>
    <t>Inicio GPS anterior al horario: 00:35:49 antes de las 18:00.; Fin GPS anticipado: 00:17:45 antes de las 00:00.; 5 hueco(s) GPS &gt;= 10 min.</t>
  </si>
  <si>
    <t>3c7cdaa26d0ad43f</t>
  </si>
  <si>
    <t>03_09_2026_JHP_Noct.gpx</t>
  </si>
  <si>
    <t>3c7cdaa26d0ad43f434937fe091104471925c2d9fda3ec33f13118ffae02cb61</t>
  </si>
  <si>
    <t>03/09/2026 17:01:16</t>
  </si>
  <si>
    <t>04/09/2026 00:07:11</t>
  </si>
  <si>
    <t>Inicio GPS anterior al horario: 00:58:44 antes de las 18:00.; Fin GPS dentro de la tolerancia del horario programado.</t>
  </si>
  <si>
    <t>976bfdee80529c97</t>
  </si>
  <si>
    <t>03_09_2026_JP_Noct.gpx</t>
  </si>
  <si>
    <t>976bfdee80529c9790fe9c692739451bb06d88f0b067e15343226781092db1f3</t>
  </si>
  <si>
    <t>03/09/2026 16:53:44</t>
  </si>
  <si>
    <t>03/09/2026 22:19:58</t>
  </si>
  <si>
    <t>Inicio GPS anterior al horario: 01:06:16 antes de las 18:00.; Fin GPS anticipado: 01:40:02 antes de las 00:00.</t>
  </si>
  <si>
    <t>a775905739524cf4</t>
  </si>
  <si>
    <t>03_09_2026_LA_Noct.gpx</t>
  </si>
  <si>
    <t>a775905739524cf4e8be5c8ad5da4a79f7b5dfb2746344f93380c32b658f7099</t>
  </si>
  <si>
    <t>03/09/2026 16:45:51</t>
  </si>
  <si>
    <t>04/09/2026 00:13:06</t>
  </si>
  <si>
    <t>Inicio GPS anterior al horario: 01:14:08 antes de las 18:00.; Fin GPS dentro de la tolerancia del horario programado.; 4 hueco(s) GPS &gt;= 10 min.</t>
  </si>
  <si>
    <t>Viernes</t>
  </si>
  <si>
    <t>67f0081e17a28d28</t>
  </si>
  <si>
    <t>04_09_2026_AO_Diur.gpx</t>
  </si>
  <si>
    <t>67f0081e17a28d28d745dd196038bd02e7133edc3406bb34b19014fe55daea65</t>
  </si>
  <si>
    <t>04/09/2026</t>
  </si>
  <si>
    <t>04/09/2026 07:50:24</t>
  </si>
  <si>
    <t>04/09/2026 15:53:01</t>
  </si>
  <si>
    <t>16:00</t>
  </si>
  <si>
    <t>Inicio GPS anterior al horario: 00:39:36 antes de las 08:30.; Fin GPS dentro de la tolerancia del horario programado.; 6 hueco(s) GPS &gt;= 10 min.</t>
  </si>
  <si>
    <t>9615b5f9340fc1d9</t>
  </si>
  <si>
    <t>04_09_2026_AR_Diur.gpx</t>
  </si>
  <si>
    <t>9615b5f9340fc1d991a73c5f3e443a88cf132ac7e10922c86a3fcfbbc4ef37e1</t>
  </si>
  <si>
    <t>04/09/2026 08:13:49</t>
  </si>
  <si>
    <t>04/09/2026 15:29:13</t>
  </si>
  <si>
    <t>Inicio GPS anterior al horario: 00:16:11 antes de las 08:30.; Fin GPS anticipado: 00:30:47 antes de las 16:00.; 2 hueco(s) GPS &gt;= 10 min.</t>
  </si>
  <si>
    <t>15606f86181ba976</t>
  </si>
  <si>
    <t>04_09_2026_HC_Diur.gpx</t>
  </si>
  <si>
    <t>15606f86181ba976bbf7360fa1a9da147bd167abd2b5f826852979079eff5ee2</t>
  </si>
  <si>
    <t>04/09/2026 08:28:14</t>
  </si>
  <si>
    <t>04/09/2026 14:16:29</t>
  </si>
  <si>
    <t>Inicio GPS dentro de la tolerancia del horario programado.; Fin GPS anticipado: 01:43:31 antes de las 16:00.</t>
  </si>
  <si>
    <t>30294c7323b53f87</t>
  </si>
  <si>
    <t>04_09_2026_JA_Diur.gpx</t>
  </si>
  <si>
    <t>30294c7323b53f877b2f60ef26ad4ab4bd9955ef33bc286850a5410f92aee2cb</t>
  </si>
  <si>
    <t>04/09/2026 10:40:12</t>
  </si>
  <si>
    <t>04/09/2026 12:37:08</t>
  </si>
  <si>
    <t>Inicio GPS tardío: 02:10:12 después de las 08:30.; Fin GPS anticipado: 03:22:52 antes de las 16:00.</t>
  </si>
  <si>
    <t>369bcd10a8aa24b4</t>
  </si>
  <si>
    <t>04_09_2026_JO_Diur.gpx</t>
  </si>
  <si>
    <t>369bcd10a8aa24b4ac1b3f642e1851b4fba02eb337d72fba41076e4cf4ca444b</t>
  </si>
  <si>
    <t>04/09/2026 08:11:44</t>
  </si>
  <si>
    <t>04/09/2026 16:01:38</t>
  </si>
  <si>
    <t>Inicio GPS anterior al horario: 00:18:15 antes de las 08:30.; Fin GPS dentro de la tolerancia del horario programado.; 13 hueco(s) GPS &gt;= 10 min.</t>
  </si>
  <si>
    <t>8bba77db5a7b9e67</t>
  </si>
  <si>
    <t>04_09_2026_SJ_Diur.gpx</t>
  </si>
  <si>
    <t>8bba77db5a7b9e670382bf6826a206f7f71b325fe4944b5410d50c68a13bf176</t>
  </si>
  <si>
    <t>04/09/2026 08:31:52</t>
  </si>
  <si>
    <t>04/09/2026 13:57:07</t>
  </si>
  <si>
    <t>Inicio GPS dentro de la tolerancia del horario programado.; Fin GPS anticipado: 02:02:53 antes de las 16:00.</t>
  </si>
  <si>
    <t>21e99cb3ea7ab02e</t>
  </si>
  <si>
    <t>04_09_2026_YL_Diur.gpx</t>
  </si>
  <si>
    <t>21e99cb3ea7ab02ed5c3713154f284943d4ff90d25d96e17f15687e3f1d9068c</t>
  </si>
  <si>
    <t>04/09/2026 08:31:28</t>
  </si>
  <si>
    <t>04/09/2026 12:54:28</t>
  </si>
  <si>
    <t>Inicio GPS dentro de la tolerancia del horario programado.; Fin GPS anticipado: 03:05:32 antes de las 16:00.</t>
  </si>
  <si>
    <t>a3f85936935b2bce</t>
  </si>
  <si>
    <t>05_09_2026_AR_Diur.gpx</t>
  </si>
  <si>
    <t>a3f85936935b2bceae939db9febf049781c55bc0bcc3dfc4f696c1a769cc1c8a</t>
  </si>
  <si>
    <t>05/09/2026</t>
  </si>
  <si>
    <t>Sábado</t>
  </si>
  <si>
    <t>05/09/2026 08:24:38</t>
  </si>
  <si>
    <t>05/09/2026 16:05:40</t>
  </si>
  <si>
    <t>4a0dcf220721d050</t>
  </si>
  <si>
    <t>05_09_2026_DR_Diur.gpx</t>
  </si>
  <si>
    <t>4a0dcf220721d0506a185f1f04e487aaaf5f771eb6b09e65cb548015d356cc43</t>
  </si>
  <si>
    <t>05/09/2026 09:26:49</t>
  </si>
  <si>
    <t>05/09/2026 15:44:36</t>
  </si>
  <si>
    <t>Inicio GPS tardío: 00:56:49 después de las 08:30.; Fin GPS anticipado: 00:15:24 antes de las 16:00.; 1 hueco(s) GPS &gt;= 10 min.</t>
  </si>
  <si>
    <t>7370c255e8fd019d</t>
  </si>
  <si>
    <t>04_09_2026_DV_Noct.gpx</t>
  </si>
  <si>
    <t>7370c255e8fd019d8385ecdc294131f35a734ddaef4ab6dda7b559fff19fdc82</t>
  </si>
  <si>
    <t>04/09/2026 17:43:38</t>
  </si>
  <si>
    <t>05/09/2026 00:09:13</t>
  </si>
  <si>
    <t>Inicio GPS anterior al horario: 00:16:22 antes de las 18:00.; Fin GPS dentro de la tolerancia del horario programado.</t>
  </si>
  <si>
    <t>1afb68ab74f3965a</t>
  </si>
  <si>
    <t>04_09_2026_IQ_Noct.gpx</t>
  </si>
  <si>
    <t>1afb68ab74f3965aa105f27eb0ba0f0ad14ccf3cbd17f237c0ae79bf0bf45e6f</t>
  </si>
  <si>
    <t>04/09/2026 17:10:52</t>
  </si>
  <si>
    <t>04/09/2026 23:52:40</t>
  </si>
  <si>
    <t>Inicio GPS anterior al horario: 00:49:08 antes de las 18:00.; Fin GPS dentro de la tolerancia del horario programado.; 4 hueco(s) GPS &gt;= 10 min.</t>
  </si>
  <si>
    <t>79508a861b1aa2c4</t>
  </si>
  <si>
    <t>04_09_2026_JHP_Noct.gpx</t>
  </si>
  <si>
    <t>79508a861b1aa2c47cb40a04cc7048204a785b1cfdf597fe13581d8c89bf6d28</t>
  </si>
  <si>
    <t>04/09/2026 17:58:25</t>
  </si>
  <si>
    <t>05/09/2026 00:10:40</t>
  </si>
  <si>
    <t>deedbdb22b548406</t>
  </si>
  <si>
    <t>04_09_2026_JP_Noct.gpx</t>
  </si>
  <si>
    <t>deedbdb22b548406f1667ee478d28be706a47624138e6929e01f19a5956cdc4e</t>
  </si>
  <si>
    <t>04/09/2026 17:52:00</t>
  </si>
  <si>
    <t>04/09/2026 23:47:09</t>
  </si>
  <si>
    <t>6b55b67b7e632ebf</t>
  </si>
  <si>
    <t>04_09_2026_LA_Noct.gpx</t>
  </si>
  <si>
    <t>6b55b67b7e632ebf3d6c5a266758d1245e9b255fec6178a3d9b57e94770c4014</t>
  </si>
  <si>
    <t>04/09/2026 17:30:26</t>
  </si>
  <si>
    <t>05/09/2026 00:08:50</t>
  </si>
  <si>
    <t>Inicio GPS anterior al horario: 00:29:33 antes de las 18:00.; Fin GPS dentro de la tolerancia del horario programado.; 4 hueco(s) GPS &gt;= 10 min.</t>
  </si>
  <si>
    <t>ef36d8739a581064</t>
  </si>
  <si>
    <t>05_09_2026_YL_Noct.gpx</t>
  </si>
  <si>
    <t>ef36d8739a5810643a61bb23a41c5d9545047dfd3f97967e3b0f54cbd65596b5</t>
  </si>
  <si>
    <t>05/09/2026 17:27:03</t>
  </si>
  <si>
    <t>06/09/2026 00:07:39</t>
  </si>
  <si>
    <t>Inicio GPS anterior al horario: 00:32:57 antes de las 18:00.; Fin GPS dentro de la tolerancia del horario programado.; Sábado nocturno: verificar técnico asignado.</t>
  </si>
  <si>
    <t>8b91759faefa088e</t>
  </si>
  <si>
    <t>04_09_2026_DR_Noct.gpx</t>
  </si>
  <si>
    <t>8b91759faefa088e6e2474bd6ad0e5900a77bdfbcac1bb2728706931eb179193</t>
  </si>
  <si>
    <t>04/09/2026 18:42:51</t>
  </si>
  <si>
    <t>04/09/2026 22:55:07</t>
  </si>
  <si>
    <t>Inicio GPS tardío: 00:42:51 después de las 18:00.; Fin GPS anticipado: 01:04:53 antes de las 00:00.; 1 hueco(s) GPS &gt;= 10 min.</t>
  </si>
  <si>
    <t>5b2112e7686d3a70</t>
  </si>
  <si>
    <t>07_09_2026_AO_Diur.gpx</t>
  </si>
  <si>
    <t>5b2112e7686d3a7072fd6028faec676eafff119dcd1d63a95637a4d43914ea54</t>
  </si>
  <si>
    <t>07/09/2026</t>
  </si>
  <si>
    <t>Lunes</t>
  </si>
  <si>
    <t>07/09/2026 08:54:54</t>
  </si>
  <si>
    <t>07/09/2026 16:06:20</t>
  </si>
  <si>
    <t>Inicio GPS tardío: 00:24:54 después de las 08:30.; Fin GPS anticipado: 00:23:39 antes de las 16:30.; 4 hueco(s) GPS &gt;= 10 min.</t>
  </si>
  <si>
    <t>97f01b7545fc3f4e</t>
  </si>
  <si>
    <t>07_09_2026_AR_Diur.gpx</t>
  </si>
  <si>
    <t>97f01b7545fc3f4ef98fc90cc8c8a20219600041914d00b25cb4adc6a40c5fa2</t>
  </si>
  <si>
    <t>07/09/2026 08:14:07</t>
  </si>
  <si>
    <t>07/09/2026 16:35:50</t>
  </si>
  <si>
    <t>Inicio GPS anterior al horario: 00:15:53 antes de las 08:30.; Fin GPS dentro de la tolerancia del horario programado.; 2 hueco(s) GPS &gt;= 10 min.</t>
  </si>
  <si>
    <t>31d6c3e6ba90b488</t>
  </si>
  <si>
    <t>07_09_2026_DR_Diur.gpx</t>
  </si>
  <si>
    <t>31d6c3e6ba90b488df9cd14d5b9516273512af9e57589052ad9faaa10b7e228b</t>
  </si>
  <si>
    <t>07/09/2026 09:48:00</t>
  </si>
  <si>
    <t>07/09/2026 14:00:19</t>
  </si>
  <si>
    <t>Inicio GPS tardío: 01:18:00 después de las 08:30.; Fin GPS anticipado: 02:29:41 antes de las 16:30.</t>
  </si>
  <si>
    <t>b29fa710d0c63e23</t>
  </si>
  <si>
    <t>07_09_2026_HC_Diur.gpx</t>
  </si>
  <si>
    <t>b29fa710d0c63e23fe724231fb296251a6446a3208366fe3938636f6e326ba43</t>
  </si>
  <si>
    <t>07/09/2026 08:29:19</t>
  </si>
  <si>
    <t>07/09/2026 15:16:52</t>
  </si>
  <si>
    <t>Inicio GPS dentro de la tolerancia del horario programado.; Fin GPS anticipado: 01:13:08 antes de las 16:30.; 1 hueco(s) GPS &gt;= 10 min.</t>
  </si>
  <si>
    <t>7319203feb87eb5a</t>
  </si>
  <si>
    <t>07_09_2026_JA_Diur.gpx</t>
  </si>
  <si>
    <t>7319203feb87eb5a6cdbee3eaa32b93abf749c17055009b85f9035c11b0c7d32</t>
  </si>
  <si>
    <t>07/09/2026 08:09:03</t>
  </si>
  <si>
    <t>07/09/2026 13:16:06</t>
  </si>
  <si>
    <t>Inicio GPS anterior al horario: 00:20:57 antes de las 08:30.; Fin GPS anticipado: 03:13:54 antes de las 16:30.; 1 hueco(s) GPS &gt;= 10 min.</t>
  </si>
  <si>
    <t>1dc2465d752346ae</t>
  </si>
  <si>
    <t>07_09_2026_JO_Diur.gpx</t>
  </si>
  <si>
    <t>1dc2465d752346ae1a81a5f1ddb36a6dc3d1363cb6dc5f9174a3e01d5ad22a09</t>
  </si>
  <si>
    <t>07/09/2026 09:35:42</t>
  </si>
  <si>
    <t>07/09/2026 16:29:23</t>
  </si>
  <si>
    <t>Inicio GPS tardío: 01:05:43 después de las 08:30.; Fin GPS dentro de la tolerancia del horario programado.; 5 hueco(s) GPS &gt;= 10 min.</t>
  </si>
  <si>
    <t>927e836c2bccf3f2</t>
  </si>
  <si>
    <t>07_09_2026_JZ_Diur.gpx</t>
  </si>
  <si>
    <t>927e836c2bccf3f2422c3ecf9d76f1d355a673a0ecb8e22371670b11cae4974d</t>
  </si>
  <si>
    <t>07/09/2026 08:08:15</t>
  </si>
  <si>
    <t>07/09/2026 16:33:57</t>
  </si>
  <si>
    <t>Inicio GPS anterior al horario: 00:21:45 antes de las 08:30.; Fin GPS dentro de la tolerancia del horario programado.</t>
  </si>
  <si>
    <t>1cb2d1efc5faa75f</t>
  </si>
  <si>
    <t>07_09_2026_SJ_Diur.gpx</t>
  </si>
  <si>
    <t>1cb2d1efc5faa75f8bcfc9ca616f4116ca9722834abd750eee9615f3cf6a2c73</t>
  </si>
  <si>
    <t>07/09/2026 08:30:03</t>
  </si>
  <si>
    <t>07/09/2026 15:45:59</t>
  </si>
  <si>
    <t>Inicio GPS dentro de la tolerancia del horario programado.; Fin GPS anticipado: 00:44:01 antes de las 16:30.</t>
  </si>
  <si>
    <t>e842e22d1cb847dd</t>
  </si>
  <si>
    <t>07_09_2026_YL_Diur.gpx</t>
  </si>
  <si>
    <t>e842e22d1cb847dd6d272eff331d09e9c7c38eb26e28e7fd877e59e590cdfa85</t>
  </si>
  <si>
    <t>07/09/2026 09:29:45</t>
  </si>
  <si>
    <t>07/09/2026 16:09:13</t>
  </si>
  <si>
    <t>Inicio GPS tardío: 00:59:45 después de las 08:30.; Fin GPS anticipado: 00:20:47 antes de las 16:30.</t>
  </si>
  <si>
    <t>Iniciales</t>
  </si>
  <si>
    <t>d05ae3e9a3e0b539</t>
  </si>
  <si>
    <t>08_09_2026_AO_Diur.gpx</t>
  </si>
  <si>
    <t>d05ae3e9a3e0b5393207d0c5148f6536f3154bd0cb8bed56cb98e3b7e8602c08</t>
  </si>
  <si>
    <t>08/09/2026</t>
  </si>
  <si>
    <t>08/09/2026 08:38:19</t>
  </si>
  <si>
    <t>08/09/2026 16:30:13</t>
  </si>
  <si>
    <t>Inicio GPS dentro de la tolerancia del horario programado.; Fin GPS dentro de la tolerancia del horario programado.; 8 hueco(s) GPS &gt;= 10 min.</t>
  </si>
  <si>
    <t>8fb26cd9beb300ad</t>
  </si>
  <si>
    <t>08_09_2026_AR_Diur.gpx</t>
  </si>
  <si>
    <t>8fb26cd9beb300ad25705e9f992bf41fe4d9862054021d4b1f162f6fc890e776</t>
  </si>
  <si>
    <t>08/09/2026 07:57:45</t>
  </si>
  <si>
    <t>08/09/2026 15:31:55</t>
  </si>
  <si>
    <t>Inicio GPS anterior al horario: 00:32:15 antes de las 08:30.; Fin GPS anticipado: 00:58:05 antes de las 16:30.; 3 hueco(s) GPS &gt;= 10 min.</t>
  </si>
  <si>
    <t>c8d3c6782c8f7561</t>
  </si>
  <si>
    <t>08_09_2026_HC_Diur.gpx</t>
  </si>
  <si>
    <t>c8d3c6782c8f75617787b988619e0aae675ab27acbdf5709a6c6017e077c7963</t>
  </si>
  <si>
    <t>08/09/2026 08:38:04</t>
  </si>
  <si>
    <t>08/09/2026 13:49:43</t>
  </si>
  <si>
    <t>Inicio GPS dentro de la tolerancia del horario programado.; Fin GPS anticipado: 02:40:17 antes de las 16:30.</t>
  </si>
  <si>
    <t>6b0e4d9d405ffcfb</t>
  </si>
  <si>
    <t>08_09_2026_JA_Diur.gpx</t>
  </si>
  <si>
    <t>6b0e4d9d405ffcfbe2b50e4da5a497346f4379439dc9745668c041b91e9a80eb</t>
  </si>
  <si>
    <t>08/09/2026 08:20:29</t>
  </si>
  <si>
    <t>08/09/2026 12:24:30</t>
  </si>
  <si>
    <t>Inicio GPS dentro de la tolerancia del horario programado.; Fin GPS anticipado: 04:05:30 antes de las 16:30.; 2 hueco(s) GPS &gt;= 10 min.</t>
  </si>
  <si>
    <t>23886afeb9d1ab61</t>
  </si>
  <si>
    <t>08_09_2026_JO_Diur.gpx</t>
  </si>
  <si>
    <t>23886afeb9d1ab619864a069d2b1db0805b5316ab1ceeb7c01691672d9251a94</t>
  </si>
  <si>
    <t>08/09/2026 08:26:51</t>
  </si>
  <si>
    <t>08/09/2026 16:16:30</t>
  </si>
  <si>
    <t>Inicio GPS dentro de la tolerancia del horario programado.; Fin GPS dentro de la tolerancia del horario programado.; 10 hueco(s) GPS &gt;= 10 min.</t>
  </si>
  <si>
    <t>b0e3e018588636b1</t>
  </si>
  <si>
    <t>08_09_2026_JZ_Diur.gpx</t>
  </si>
  <si>
    <t>b0e3e018588636b1975a680425a51f58b7d05612369237301944e59f47274eed</t>
  </si>
  <si>
    <t>08/09/2026 08:21:32</t>
  </si>
  <si>
    <t>08/09/2026 16:49:42</t>
  </si>
  <si>
    <t>Inicio GPS dentro de la tolerancia del horario programado.; Fin GPS posterior: 00:19:42 después de las 16:30.; 1 hueco(s) GPS &gt;= 10 min.</t>
  </si>
  <si>
    <t>836074121bb53fd7</t>
  </si>
  <si>
    <t>08_09_2026_SJ_Diur.gpx</t>
  </si>
  <si>
    <t>836074121bb53fd71c132554ed2e02eee9fe5b48e6ff0b428736cc0d2960112f</t>
  </si>
  <si>
    <t>08/09/2026 08:29:21</t>
  </si>
  <si>
    <t>08/09/2026 15:13:43</t>
  </si>
  <si>
    <t>Inicio GPS dentro de la tolerancia del horario programado.; Fin GPS anticipado: 01:16:17 antes de las 16:30.; 1 hueco(s) GPS &gt;= 10 min.</t>
  </si>
  <si>
    <t>2182847adb621956</t>
  </si>
  <si>
    <t>08_09_2026_YL_Diur.gpx</t>
  </si>
  <si>
    <t>2182847adb621956bfde111289dca6380b2b353a2a3b5d4efdd550ed6650c986</t>
  </si>
  <si>
    <t>08/09/2026 08:28:00</t>
  </si>
  <si>
    <t>08/09/2026 16:12:59</t>
  </si>
  <si>
    <t>Inicio GPS dentro de la tolerancia del horario programado.; Fin GPS anticipado: 00:17:01 antes de las 16:30.</t>
  </si>
  <si>
    <t>3cbe626b5b36bcd2</t>
  </si>
  <si>
    <t>08_09_2026_DR_Diur.gpx</t>
  </si>
  <si>
    <t>3cbe626b5b36bcd2176f786478a475f09990a81c1a09a92b26bde173d88a6717</t>
  </si>
  <si>
    <t>Inicio GPS anterior al horario: 22:42:00 antes de las 08:30.; Fin GPS anticipado: 26:29:41 antes de las 16:30.</t>
  </si>
  <si>
    <t>Coordenada inicio recorrido</t>
  </si>
  <si>
    <t>Latitud inicio</t>
  </si>
  <si>
    <t>Longitud inicio</t>
  </si>
  <si>
    <t>Coordenada fin recorrido</t>
  </si>
  <si>
    <t>Latitud fin</t>
  </si>
  <si>
    <t>Longitud fin</t>
  </si>
  <si>
    <t>6.204958, -75.588589</t>
  </si>
  <si>
    <t>6.231777, -75.597115</t>
  </si>
  <si>
    <t>6.231165, -75.601383</t>
  </si>
  <si>
    <t>6.196637, -75.594896</t>
  </si>
  <si>
    <t>6.237852, -75.608055</t>
  </si>
  <si>
    <t>6.254944, -75.613510</t>
  </si>
  <si>
    <t>6.226193, -75.599279</t>
  </si>
  <si>
    <t>6.272704, -75.602023</t>
  </si>
  <si>
    <t>6.225185, -75.599537</t>
  </si>
  <si>
    <t>6.299875, -75.579885</t>
  </si>
  <si>
    <t>6.216180, -75.600253</t>
  </si>
  <si>
    <t>6.234277, -75.572151</t>
  </si>
  <si>
    <t>6.225018, -75.597339</t>
  </si>
  <si>
    <t>6.239458, -75.561046</t>
  </si>
  <si>
    <t>6.226757, -75.599271</t>
  </si>
  <si>
    <t>6.323454, -75.687256</t>
  </si>
  <si>
    <t>6.225614, -75.599107</t>
  </si>
  <si>
    <t>6.259257, -75.620980</t>
  </si>
  <si>
    <t>6.226832, -75.599738</t>
  </si>
  <si>
    <t>6.308050, -75.571287</t>
  </si>
  <si>
    <t>6.340515, -75.539415</t>
  </si>
  <si>
    <t>6.308753, -75.559876</t>
  </si>
  <si>
    <t>6.229698, -75.596122</t>
  </si>
  <si>
    <t>6.268492, -75.599203</t>
  </si>
  <si>
    <t>6.225704, -75.599072</t>
  </si>
  <si>
    <t>6.294818, -75.582283</t>
  </si>
  <si>
    <t>6.225723, -75.599062</t>
  </si>
  <si>
    <t>6.225503, -75.599206</t>
  </si>
  <si>
    <t>6.203317, -75.600713</t>
  </si>
  <si>
    <t>6.221597, -75.593840</t>
  </si>
  <si>
    <t>6.225431, -75.599253</t>
  </si>
  <si>
    <t>6.256379, -75.616522</t>
  </si>
  <si>
    <t>6.164101, -75.615693</t>
  </si>
  <si>
    <t>6.245675, -75.621076</t>
  </si>
  <si>
    <t>6.226543, -75.599319</t>
  </si>
  <si>
    <t>6.272636, -75.602002</t>
  </si>
  <si>
    <t>6.251700, -75.620225</t>
  </si>
  <si>
    <t>6.268078, -75.591665</t>
  </si>
  <si>
    <t>6.225496, -75.599254</t>
  </si>
  <si>
    <t>6.246814, -75.564496</t>
  </si>
  <si>
    <t>6.272634, -75.573853</t>
  </si>
  <si>
    <t>6.272805, -75.574418</t>
  </si>
  <si>
    <t>6.225180, -75.599445</t>
  </si>
  <si>
    <t>6.259237, -75.620938</t>
  </si>
  <si>
    <t>6.226913, -75.599712</t>
  </si>
  <si>
    <t>6.292020, -75.569182</t>
  </si>
  <si>
    <t>6.226460, -75.599229</t>
  </si>
  <si>
    <t>6.308907, -75.559782</t>
  </si>
  <si>
    <t>6.226643, -75.599172</t>
  </si>
  <si>
    <t>6.268490, -75.599358</t>
  </si>
  <si>
    <t>6.229180, -75.596322</t>
  </si>
  <si>
    <t>6.308344, -75.576536</t>
  </si>
  <si>
    <t>6.231173, -75.598546</t>
  </si>
  <si>
    <t>6.225498, -75.599267</t>
  </si>
  <si>
    <t>6.216006, -75.597631</t>
  </si>
  <si>
    <t>6.221731, -75.593854</t>
  </si>
  <si>
    <t>6.238340, -75.602986</t>
  </si>
  <si>
    <t>6.247825, -75.615007</t>
  </si>
  <si>
    <t>6.222839, -75.598386</t>
  </si>
  <si>
    <t>6.215058, -75.597427</t>
  </si>
  <si>
    <t>6.268446, -75.587144</t>
  </si>
  <si>
    <t>6.272662, -75.602045</t>
  </si>
  <si>
    <t>6.226619, -75.599182</t>
  </si>
  <si>
    <t>6.267490, -75.587032</t>
  </si>
  <si>
    <t>6.267013, -75.550280</t>
  </si>
  <si>
    <t>6.225707, -75.599096</t>
  </si>
  <si>
    <t>6.243273, -75.561981</t>
  </si>
  <si>
    <t>6.226564, -75.599241</t>
  </si>
  <si>
    <t>6.290379, -75.546631</t>
  </si>
  <si>
    <t>6.233027, -75.602301</t>
  </si>
  <si>
    <t>6.259259, -75.620961</t>
  </si>
  <si>
    <t>6.227037, -75.599748</t>
  </si>
  <si>
    <t>6.257297, -75.555535</t>
  </si>
  <si>
    <t>6.278761, -75.637046</t>
  </si>
  <si>
    <t>6.253288, -75.588838</t>
  </si>
  <si>
    <t>6.226751, -75.599289</t>
  </si>
  <si>
    <t>6.278725, -75.637085</t>
  </si>
  <si>
    <t>6.225578, -75.599153</t>
  </si>
  <si>
    <t>6.268478, -75.599272</t>
  </si>
  <si>
    <t>6.226612, -75.599233</t>
  </si>
  <si>
    <t>6.257329, -75.562563</t>
  </si>
  <si>
    <t>6.225615, -75.599115</t>
  </si>
  <si>
    <t>6.225462, -75.599331</t>
  </si>
  <si>
    <t>6.225481, -75.599737</t>
  </si>
  <si>
    <t>6.231834, -75.597142</t>
  </si>
  <si>
    <t>6.231545, -75.601986</t>
  </si>
  <si>
    <t>6.238666, -75.607447</t>
  </si>
  <si>
    <t>6.247718, -75.614855</t>
  </si>
  <si>
    <t>6.250980, -75.605257</t>
  </si>
  <si>
    <t>6.272751, -75.601885</t>
  </si>
  <si>
    <t>6.273257, -75.602137</t>
  </si>
  <si>
    <t>6.225321, -75.599405</t>
  </si>
  <si>
    <t>6.302853, -75.580264</t>
  </si>
  <si>
    <t>6.267777, -75.558898</t>
  </si>
  <si>
    <t>6.225690, -75.600273</t>
  </si>
  <si>
    <t>6.237877, -75.559748</t>
  </si>
  <si>
    <t>6.290621, -75.546622</t>
  </si>
  <si>
    <t>6.290424, -75.546570</t>
  </si>
  <si>
    <t>6.225625, -75.599158</t>
  </si>
  <si>
    <t>6.259238, -75.620984</t>
  </si>
  <si>
    <t>6.250288, -75.552210</t>
  </si>
  <si>
    <t>6.251782, -75.551778</t>
  </si>
  <si>
    <t>6.268417, -75.599548</t>
  </si>
  <si>
    <t>6.268492, -75.599115</t>
  </si>
  <si>
    <t>6.225776, -75.599372</t>
  </si>
  <si>
    <t>6.295776, -75.575109</t>
  </si>
  <si>
    <t>6.225621, -75.599231</t>
  </si>
  <si>
    <t>6.225365, -75.599449</t>
  </si>
  <si>
    <t>6.247937, -75.615140</t>
  </si>
  <si>
    <t>6.241890, -75.607436</t>
  </si>
  <si>
    <t>6.247848, -75.614916</t>
  </si>
  <si>
    <t>6.274836, -75.585511</t>
  </si>
  <si>
    <t>6.258504, -75.616452</t>
  </si>
  <si>
    <t>6.258514, -75.616004</t>
  </si>
  <si>
    <t>6.225346, -75.599775</t>
  </si>
  <si>
    <t>6.221587, -75.593845</t>
  </si>
  <si>
    <t>6.225333, -75.599201</t>
  </si>
  <si>
    <t>6.247786, -75.615042</t>
  </si>
  <si>
    <t>6.225232, -75.598584</t>
  </si>
  <si>
    <t>6.263559, -75.597028</t>
  </si>
  <si>
    <t>6.225723, -75.599405</t>
  </si>
  <si>
    <t>6.296780, -75.582291</t>
  </si>
  <si>
    <t>6.225594, -75.599468</t>
  </si>
  <si>
    <t>6.237031, -75.558795</t>
  </si>
  <si>
    <t>6.225392, -75.599263</t>
  </si>
  <si>
    <t>6.247698, -75.551683</t>
  </si>
  <si>
    <t>6.226682, -75.599277</t>
  </si>
  <si>
    <t>6.308676, -75.559915</t>
  </si>
  <si>
    <t>6.225687, -75.599424</t>
  </si>
  <si>
    <t>6.307050, -75.578316</t>
  </si>
  <si>
    <t>6.225577, -75.599168</t>
  </si>
  <si>
    <t>6.225343, -75.599208</t>
  </si>
  <si>
    <t>6.221750, -75.593791</t>
  </si>
  <si>
    <t>6.232172, -75.597104</t>
  </si>
  <si>
    <t>6.225645, -75.599376</t>
  </si>
  <si>
    <t>6.251752, -75.606869</t>
  </si>
  <si>
    <t>6.225651, -75.599455</t>
  </si>
  <si>
    <t>6.258815, -75.597380</t>
  </si>
  <si>
    <t>6.225740, -75.599145</t>
  </si>
  <si>
    <t>6.246533, -75.568452</t>
  </si>
  <si>
    <t>6.225590, -75.599134</t>
  </si>
  <si>
    <t>6.259212, -75.620937</t>
  </si>
  <si>
    <t>6.226786, -75.599287</t>
  </si>
  <si>
    <t>6.279197, -75.569158</t>
  </si>
  <si>
    <t>6.225717, -75.599404</t>
  </si>
  <si>
    <t>6.303589, -75.574328</t>
  </si>
  <si>
    <t>6.225521, -75.599044</t>
  </si>
  <si>
    <t>6.225527, -75.599143</t>
  </si>
  <si>
    <t>623dbd4adc044d1e</t>
  </si>
  <si>
    <t>08_09_2026_DV_Noct.gpx</t>
  </si>
  <si>
    <t>623dbd4adc044d1e78efa1c6301ecb42bdb10a42af6a88c9a832b5c1ef4bde81</t>
  </si>
  <si>
    <t>08/09/2026 16:41:00</t>
  </si>
  <si>
    <t>09/09/2026 00:13:36</t>
  </si>
  <si>
    <t>Inicio GPS anterior al horario: 01:19:00 antes de las 18:00.; Fin GPS dentro de la tolerancia del horario programado.</t>
  </si>
  <si>
    <t>6.229153, -75.601985</t>
  </si>
  <si>
    <t>6.272712, -75.602135</t>
  </si>
  <si>
    <t>f0c24638a94bf9d6</t>
  </si>
  <si>
    <t>08_09_2026_IQ_Noct.gpx</t>
  </si>
  <si>
    <t>f0c24638a94bf9d6966fab43d59ea18ee254e0d00a1aace92c3cc7e41264e728</t>
  </si>
  <si>
    <t>08/09/2026 16:43:54</t>
  </si>
  <si>
    <t>08/09/2026 23:51:23</t>
  </si>
  <si>
    <t>Inicio GPS anterior al horario: 01:16:06 antes de las 18:00.; Fin GPS dentro de la tolerancia del horario programado.; 3 hueco(s) GPS &gt;= 10 min.</t>
  </si>
  <si>
    <t>6.284839, -75.562653</t>
  </si>
  <si>
    <t>6.263311, -75.556538</t>
  </si>
  <si>
    <t>83ae9919d351859e</t>
  </si>
  <si>
    <t>08_09_2026_JHP_Noct.gpx</t>
  </si>
  <si>
    <t>83ae9919d351859e6b93b29cdeee69a8ab828e42621354ba3897f88711d46378</t>
  </si>
  <si>
    <t>08/09/2026 17:40:32</t>
  </si>
  <si>
    <t>09/09/2026 00:02:26</t>
  </si>
  <si>
    <t>Inicio GPS anterior al horario: 00:19:28 antes de las 18:00.; Fin GPS dentro de la tolerancia del horario programado.</t>
  </si>
  <si>
    <t>6.226996, -75.599277</t>
  </si>
  <si>
    <t>6.290471, -75.546617</t>
  </si>
  <si>
    <t>977be07413a6a54f</t>
  </si>
  <si>
    <t>08_09_2026_JP_Noct.gpx</t>
  </si>
  <si>
    <t>977be07413a6a54fda3f1c215dd7e858fbf230a514977fcb251bc712226fd12a</t>
  </si>
  <si>
    <t>08/09/2026 17:40:07</t>
  </si>
  <si>
    <t>08/09/2026 23:15:52</t>
  </si>
  <si>
    <t>Inicio GPS anterior al horario: 00:19:53 antes de las 18:00.; Fin GPS anticipado: 00:44:08 antes de las 00:00.</t>
  </si>
  <si>
    <t>6.225343, -75.599272</t>
  </si>
  <si>
    <t>6.251735, -75.551813</t>
  </si>
  <si>
    <t>b59692cadd895df4</t>
  </si>
  <si>
    <t>08_09_2026_LA_Noct.gpx</t>
  </si>
  <si>
    <t>b59692cadd895df4be0a7fb4435b4be5780e7fa87e1206ecf3c7499f8286f2cd</t>
  </si>
  <si>
    <t>08/09/2026 17:19:00</t>
  </si>
  <si>
    <t>08/09/2026 23:56:03</t>
  </si>
  <si>
    <t>Inicio GPS anterior al horario: 00:41:00 antes de las 18:00.; Fin GPS dentro de la tolerancia del horario programado.; 3 hueco(s) GPS &gt;= 10 min.</t>
  </si>
  <si>
    <t>6.226600, -75.599173</t>
  </si>
  <si>
    <t>6.259097, -75.587133</t>
  </si>
  <si>
    <t>99032add666a5b78</t>
  </si>
  <si>
    <t>09_09_2026_AO_Diur.gpx</t>
  </si>
  <si>
    <t>99032add666a5b78c7dc085ca160321662324a60c628fdba5fb80585d94232eb</t>
  </si>
  <si>
    <t>09/09/2026</t>
  </si>
  <si>
    <t>09/09/2026 08:56:55</t>
  </si>
  <si>
    <t>09/09/2026 16:41:47</t>
  </si>
  <si>
    <t>Inicio GPS tardío: 00:26:56 después de las 08:30.; Fin GPS dentro de la tolerancia del horario programado.; 1 hueco(s) GPS &gt;= 10 min.</t>
  </si>
  <si>
    <t>6.221702, -75.593803</t>
  </si>
  <si>
    <t>6.239052, -75.573688</t>
  </si>
  <si>
    <t>7028c543c1a55e64</t>
  </si>
  <si>
    <t>09_09_2026_AR_Diur.gpx</t>
  </si>
  <si>
    <t>7028c543c1a55e64f9d6545d87150eaa38a664cc8771f16028ef8844e15768ed</t>
  </si>
  <si>
    <t>09/09/2026 08:02:33</t>
  </si>
  <si>
    <t>09/09/2026 16:05:26</t>
  </si>
  <si>
    <t>Inicio GPS anterior al horario: 00:27:27 antes de las 08:30.; Fin GPS anticipado: 00:24:34 antes de las 16:30.; 1 hueco(s) GPS &gt;= 10 min.</t>
  </si>
  <si>
    <t>6.247646, -75.614967</t>
  </si>
  <si>
    <t>6.243440, -75.602892</t>
  </si>
  <si>
    <t>99ef37226866ca3f</t>
  </si>
  <si>
    <t>09_09_2026_DR_Diur.gpx</t>
  </si>
  <si>
    <t>99ef37226866ca3fb47f572dc0ed087fa678d179df72524bb14dfb7fda9ed446</t>
  </si>
  <si>
    <t>09/09/2026 08:26:08</t>
  </si>
  <si>
    <t>09/09/2026 16:51:07</t>
  </si>
  <si>
    <t>Inicio GPS dentro de la tolerancia del horario programado.; Fin GPS posterior: 00:21:07 después de las 16:30.; 2 hueco(s) GPS &gt;= 10 min.</t>
  </si>
  <si>
    <t>6.258318, -75.597742</t>
  </si>
  <si>
    <t>6.205405, -75.550645</t>
  </si>
  <si>
    <t>5eed61f1895806bb</t>
  </si>
  <si>
    <t>09_09_2026_HC_Diur.gpx</t>
  </si>
  <si>
    <t>5eed61f1895806bb318c2af5513cd199c412f2ac040a2b306335e354499b960c</t>
  </si>
  <si>
    <t>09/09/2026 08:35:37</t>
  </si>
  <si>
    <t>09/09/2026 14:49:13</t>
  </si>
  <si>
    <t>Inicio GPS dentro de la tolerancia del horario programado.; Fin GPS anticipado: 01:40:47 antes de las 16:30.; 1 hueco(s) GPS &gt;= 10 min.</t>
  </si>
  <si>
    <t>6.310053, -75.578041</t>
  </si>
  <si>
    <t>6.306169, -75.573086</t>
  </si>
  <si>
    <t>2438d2e0f02f05e4</t>
  </si>
  <si>
    <t>09_09_2026_JA_Diur.gpx</t>
  </si>
  <si>
    <t>2438d2e0f02f05e4cdd41ceeb72042b3d4a1f877ed8d3ae7d4be5a26f9d25a02</t>
  </si>
  <si>
    <t>09/09/2026 09:19:06</t>
  </si>
  <si>
    <t>09/09/2026 12:48:43</t>
  </si>
  <si>
    <t>Inicio GPS tardío: 00:49:06 después de las 08:30.; Fin GPS anticipado: 03:41:17 antes de las 16:30.</t>
  </si>
  <si>
    <t>6.241583, -75.555442</t>
  </si>
  <si>
    <t>6.236930, -75.558776</t>
  </si>
  <si>
    <t>5540a1302384a7b2</t>
  </si>
  <si>
    <t>09_09_2026_JO_Diur.gpx</t>
  </si>
  <si>
    <t>5540a1302384a7b266d0763139567cb066671fe04e60482882ef1e679442d1c3</t>
  </si>
  <si>
    <t>09/09/2026 08:36:02</t>
  </si>
  <si>
    <t>09/09/2026 16:23:27</t>
  </si>
  <si>
    <t>6.259247, -75.620995</t>
  </si>
  <si>
    <t>6.247496, -75.552144</t>
  </si>
  <si>
    <t>9baae6386e744a5c</t>
  </si>
  <si>
    <t>09_09_2026_JZ_Diur.gpx</t>
  </si>
  <si>
    <t>9baae6386e744a5cf38abcbd9dc28772f92bc83a77f82bea3895976d4f7fa024</t>
  </si>
  <si>
    <t>09/09/2026 09:40:12</t>
  </si>
  <si>
    <t>09/09/2026 16:43:25</t>
  </si>
  <si>
    <t>Inicio GPS tardío: 01:10:12 después de las 08:30.; Fin GPS dentro de la tolerancia del horario programado.; 1 hueco(s) GPS &gt;= 10 min.</t>
  </si>
  <si>
    <t>6.217206, -75.576186</t>
  </si>
  <si>
    <t>6.303643, -75.557889</t>
  </si>
  <si>
    <t>64d25202a143c856</t>
  </si>
  <si>
    <t>09_09_2026_SJ_Diur.gpx</t>
  </si>
  <si>
    <t>64d25202a143c85670dbb4a2d7928068147edfd6b86f8f8d8327cabcf780a791</t>
  </si>
  <si>
    <t>09/09/2026 08:29:38</t>
  </si>
  <si>
    <t>09/09/2026 13:49:48</t>
  </si>
  <si>
    <t>Inicio GPS dentro de la tolerancia del horario programado.; Fin GPS anticipado: 02:40:12 antes de las 16:30.</t>
  </si>
  <si>
    <t>6.308396, -75.576554</t>
  </si>
  <si>
    <t>6.306907, -75.555557</t>
  </si>
  <si>
    <t>257bfeb6a38e1dc5</t>
  </si>
  <si>
    <t>09_09_2026_YL_Diur.gpx</t>
  </si>
  <si>
    <t>257bfeb6a38e1dc53fbe6b1a48f666f5efb24c2e5a04433374c950f93a55e2d4</t>
  </si>
  <si>
    <t>09/09/2026 08:55:30</t>
  </si>
  <si>
    <t>09/09/2026 14:34:47</t>
  </si>
  <si>
    <t>Inicio GPS tardío: 00:25:30 después de las 08:30.; Fin GPS anticipado: 01:55:13 antes de las 16:30.</t>
  </si>
  <si>
    <t>6.225372, -75.599439</t>
  </si>
  <si>
    <t>6.225430, -75.599134</t>
  </si>
  <si>
    <t>8489f5ca727c48b9</t>
  </si>
  <si>
    <t>09_09_2026_DV_Noct.gpx</t>
  </si>
  <si>
    <t>8489f5ca727c48b9206c42f67637d5103e839cbcd4b3101de42d6376f92ccdd3</t>
  </si>
  <si>
    <t>09/09/2026 17:44:20</t>
  </si>
  <si>
    <t>10/09/2026 00:04:06</t>
  </si>
  <si>
    <t>Inicio GPS anterior al horario: 00:15:40 antes de las 18:00.; Fin GPS dentro de la tolerancia del horario programado.</t>
  </si>
  <si>
    <t>6.272431, -75.602117</t>
  </si>
  <si>
    <t>6.272750, -75.602029</t>
  </si>
  <si>
    <t>37dbfb2410a78669</t>
  </si>
  <si>
    <t>09_09_2026_IQ_Noct.gpx</t>
  </si>
  <si>
    <t>37dbfb2410a78669d73e94f529ac859d840c050911e3ee33ca7ea067260690ca</t>
  </si>
  <si>
    <t>09/09/2026 17:44:02</t>
  </si>
  <si>
    <t>09/09/2026 23:50:35</t>
  </si>
  <si>
    <t>Inicio GPS anterior al horario: 00:15:58 antes de las 18:00.; Fin GPS dentro de la tolerancia del horario programado.; 2 hueco(s) GPS &gt;= 10 min.</t>
  </si>
  <si>
    <t>6.261107, -75.584667</t>
  </si>
  <si>
    <t>8e51cb7bcda39249</t>
  </si>
  <si>
    <t>09_09_2026_JHP_Noct.gpx</t>
  </si>
  <si>
    <t>8e51cb7bcda39249e739e58e94512dc9e7ceae8e48d1de8cdc279bf91805f76b</t>
  </si>
  <si>
    <t>09/09/2026 18:58:33</t>
  </si>
  <si>
    <t>10/09/2026 00:05:29</t>
  </si>
  <si>
    <t>Inicio GPS tardío: 00:58:33 después de las 18:00.; Fin GPS dentro de la tolerancia del horario programado.</t>
  </si>
  <si>
    <t>6.272706, -75.573804</t>
  </si>
  <si>
    <t>6.290610, -75.546388</t>
  </si>
  <si>
    <t>aad319aa116864e7</t>
  </si>
  <si>
    <t>09_09_2026_JP_Noct.gpx</t>
  </si>
  <si>
    <t>aad319aa116864e7dd28f754de0c33e8689b34c39da53806fd044a1af5a431df</t>
  </si>
  <si>
    <t>09/09/2026 18:24:15</t>
  </si>
  <si>
    <t>09/09/2026 23:23:52</t>
  </si>
  <si>
    <t>Inicio GPS tardío: 00:24:15 después de las 18:00.; Fin GPS anticipado: 00:36:08 antes de las 00:00.</t>
  </si>
  <si>
    <t>6.251808, -75.551905</t>
  </si>
  <si>
    <t>6.251763, -75.551750</t>
  </si>
  <si>
    <t>277b45e27a0c46f8</t>
  </si>
  <si>
    <t>09_09_2026_LA_Noct.gpx</t>
  </si>
  <si>
    <t>277b45e27a0c46f89e3fa48e83a1db2593bce72d88c914807a0d7f62b78c4b7b</t>
  </si>
  <si>
    <t>09/09/2026 17:29:10</t>
  </si>
  <si>
    <t>10/09/2026 00:04:12</t>
  </si>
  <si>
    <t>Inicio GPS anterior al horario: 00:30:50 antes de las 18:00.; Fin GPS dentro de la tolerancia del horario programado.; 2 hueco(s) GPS &gt;= 10 min.</t>
  </si>
  <si>
    <t>6.268532, -75.597140</t>
  </si>
  <si>
    <t>6.268572, -75.599348</t>
  </si>
  <si>
    <t>5f08e7c6d2f0026e</t>
  </si>
  <si>
    <t>5f08e7c6d2f0026ed4569ad835cb476c6973071c09d43199de2a7cf51bf72d07</t>
  </si>
  <si>
    <t>10/09/2026 08:57:01</t>
  </si>
  <si>
    <t>10/09/2026 13:59:43</t>
  </si>
  <si>
    <t>6.231487, -75.593182</t>
  </si>
  <si>
    <t>6.253474, -75.609339</t>
  </si>
  <si>
    <t>369aa134b9ee94cb</t>
  </si>
  <si>
    <t>10_09_2026_AO_Diur.gpx</t>
  </si>
  <si>
    <t>369aa134b9ee94cb24b23111cb2a73af38312fc53fe3383c050896ab18feeb0f</t>
  </si>
  <si>
    <t>10/09/2026</t>
  </si>
  <si>
    <t>10/09/2026 09:24:58</t>
  </si>
  <si>
    <t>10/09/2026 16:14:06</t>
  </si>
  <si>
    <t>Inicio GPS tardío: 00:54:59 después de las 08:30.; Fin GPS anticipado: 00:15:53 antes de las 16:30.; 3 hueco(s) GPS &gt;= 10 min.; 1 permanencia(s) GPS detectada(s); requiere contexto.</t>
  </si>
  <si>
    <t>6.225251, -75.599790</t>
  </si>
  <si>
    <t>6.221514, -75.593842</t>
  </si>
  <si>
    <t>77e3ff26a69209f6</t>
  </si>
  <si>
    <t>10_09_2026_AR_Diur.gpx</t>
  </si>
  <si>
    <t>77e3ff26a69209f67a812e8501ddcf927d95e794505d83b9a978965e8bd59158</t>
  </si>
  <si>
    <t>10/09/2026 08:35:10</t>
  </si>
  <si>
    <t>10/09/2026 16:32:13</t>
  </si>
  <si>
    <t>6.225635, -75.599376</t>
  </si>
  <si>
    <t>6.247754, -75.615013</t>
  </si>
  <si>
    <t>154f0e99dca2066a</t>
  </si>
  <si>
    <t>10_09_2026_HC_Diur.gpx</t>
  </si>
  <si>
    <t>154f0e99dca2066a4fa4320f7c9d7c28810c3a82b25870057d249b1c84fe5fe0</t>
  </si>
  <si>
    <t>10/09/2026 08:43:55</t>
  </si>
  <si>
    <t>10/09/2026 15:10:33</t>
  </si>
  <si>
    <t>Inicio GPS dentro de la tolerancia del horario programado.; Fin GPS anticipado: 01:19:27 antes de las 16:30.; 1 hueco(s) GPS &gt;= 10 min.</t>
  </si>
  <si>
    <t>6.225778, -75.599475</t>
  </si>
  <si>
    <t>6.299021, -75.579162</t>
  </si>
  <si>
    <t>4a99b8c715c37006</t>
  </si>
  <si>
    <t>10_09_2026_JA_Diur.gpx</t>
  </si>
  <si>
    <t>4a99b8c715c370069db7d68789aebb5ee39591e3079215be74483df1a7501dec</t>
  </si>
  <si>
    <t>10/09/2026 08:53:29</t>
  </si>
  <si>
    <t>10/09/2026 12:23:25</t>
  </si>
  <si>
    <t>Inicio GPS tardío: 00:23:29 después de las 08:30.; Fin GPS anticipado: 04:06:35 antes de las 16:30.</t>
  </si>
  <si>
    <t>6.225652, -75.599212</t>
  </si>
  <si>
    <t>6.237000, -75.558790</t>
  </si>
  <si>
    <t>237e8034bfc1025d</t>
  </si>
  <si>
    <t>10_09_2026_JO_Diur.gpx</t>
  </si>
  <si>
    <t>237e8034bfc1025d9c1eb375dc23d57201d1fae1ea5fa546675c33177a275f86</t>
  </si>
  <si>
    <t>10/09/2026 08:35:17</t>
  </si>
  <si>
    <t>10/09/2026 15:48:43</t>
  </si>
  <si>
    <t>Inicio GPS dentro de la tolerancia del horario programado.; Fin GPS anticipado: 00:41:16 antes de las 16:30.; 11 hueco(s) GPS &gt;= 10 min.</t>
  </si>
  <si>
    <t>6.225408, -75.599204</t>
  </si>
  <si>
    <t>6.277413, -75.558407</t>
  </si>
  <si>
    <t>156cadcbdc564093</t>
  </si>
  <si>
    <t>10_09_2026_JZ_Diur.gpx</t>
  </si>
  <si>
    <t>156cadcbdc5640934e19146064486c8725ab66230313b9a252650a9da1bdf4cd</t>
  </si>
  <si>
    <t>10/09/2026 08:00:24</t>
  </si>
  <si>
    <t>10/09/2026 18:31:00</t>
  </si>
  <si>
    <t>Inicio GPS anterior al horario: 00:29:36 antes de las 08:30.; Fin GPS posterior: 02:01:00 después de las 16:30.</t>
  </si>
  <si>
    <t>6.226060, -75.599687</t>
  </si>
  <si>
    <t>6.307164, -75.558222</t>
  </si>
  <si>
    <t>c9663a8e274dfd85</t>
  </si>
  <si>
    <t>10_09_2026_SJ_Diur.gpx</t>
  </si>
  <si>
    <t>c9663a8e274dfd85184810ef7fa85094d297b14cdde02416fbdf76b53b15e871</t>
  </si>
  <si>
    <t>10/09/2026 08:35:15</t>
  </si>
  <si>
    <t>10/09/2026 15:30:36</t>
  </si>
  <si>
    <t>Inicio GPS dentro de la tolerancia del horario programado.; Fin GPS anticipado: 00:59:24 antes de las 16:30.</t>
  </si>
  <si>
    <t>6.225658, -75.599369</t>
  </si>
  <si>
    <t>6.303584, -75.576180</t>
  </si>
  <si>
    <t>10_09_2026_DR_Diur.gpx</t>
  </si>
  <si>
    <t>Inicio GPS tardío: 00:27:01 después de las 08:30.; Fin GPS anticipado: 02:30:17 antes de las 16:30.; 1 hueco(s) GPS &gt;= 10 min.</t>
  </si>
  <si>
    <t>6db090df841ec014</t>
  </si>
  <si>
    <t>10_09_2026_YL_Diur.gpx</t>
  </si>
  <si>
    <t>6db090df841ec01429f60926fe4aab345b496fa8c208bed6d920182dd55e2e85</t>
  </si>
  <si>
    <t>10/09/2026 11:00:20</t>
  </si>
  <si>
    <t>10/09/2026 16:11:25</t>
  </si>
  <si>
    <t>Inicio GPS tardío: 02:30:20 después de las 08:30.; Fin GPS anticipado: 00:18:35 antes de las 16:30.; 1 hueco(s) GPS &gt;= 10 min.</t>
  </si>
  <si>
    <t>6.225611, -75.599046</t>
  </si>
  <si>
    <t>6.225644, -75.599171</t>
  </si>
  <si>
    <t>322b7ac522442dc6</t>
  </si>
  <si>
    <t>10_09_2026_DV_Noct.gpx</t>
  </si>
  <si>
    <t>322b7ac522442dc6989f419b877dfa288905fff74d5a5ade76dea1bb2e5b2a59</t>
  </si>
  <si>
    <t>10/09/2026 16:40:32</t>
  </si>
  <si>
    <t>11/09/2026 00:11:32</t>
  </si>
  <si>
    <t>Inicio GPS anterior al horario: 01:19:28 antes de las 18:00.; Fin GPS dentro de la tolerancia del horario programado.</t>
  </si>
  <si>
    <t>6.230658, -75.601994</t>
  </si>
  <si>
    <t>6.272743, -75.601894</t>
  </si>
  <si>
    <t>7be688bf7a294659</t>
  </si>
  <si>
    <t>10_09_2026_IQ_Noct.gpx</t>
  </si>
  <si>
    <t>7be688bf7a29465983907bdf2d7dc1db2b35c9f19596e75e1a106608aab779d4</t>
  </si>
  <si>
    <t>10/09/2026 17:31:25</t>
  </si>
  <si>
    <t>11/09/2026 00:00:50</t>
  </si>
  <si>
    <t>Inicio GPS anterior al horario: 00:28:35 antes de las 18:00.; Fin GPS dentro de la tolerancia del horario programado.; 5 hueco(s) GPS &gt;= 10 min.; 1 permanencia(s) GPS detectada(s); requiere contexto.</t>
  </si>
  <si>
    <t>6.232065, -75.595333</t>
  </si>
  <si>
    <t>6.231010, -75.544777</t>
  </si>
  <si>
    <t>334979fb68f1cd12</t>
  </si>
  <si>
    <t>10_09_2026_JHP_Noct.gpx</t>
  </si>
  <si>
    <t>334979fb68f1cd120875a8a3e2a2eb506d380a3b3167bce2f8e73c0cf1f21537</t>
  </si>
  <si>
    <t>10/09/2026 17:03:01</t>
  </si>
  <si>
    <t>11/09/2026 00:16:45</t>
  </si>
  <si>
    <t>Inicio GPS anterior al horario: 00:56:59 antes de las 18:00.; Fin GPS posterior: 00:16:45 después de las 00:00.</t>
  </si>
  <si>
    <t>6.226833, -75.599510</t>
  </si>
  <si>
    <t>6.290493, -75.546405</t>
  </si>
  <si>
    <t>f3346f117e9cf1d9</t>
  </si>
  <si>
    <t>10_09_2026_LA_Noct.gpx</t>
  </si>
  <si>
    <t>f3346f117e9cf1d9f0d33b362d4060cbc766aee3a341156b083fa129c84d9494</t>
  </si>
  <si>
    <t>10/09/2026 17:34:50</t>
  </si>
  <si>
    <t>11/09/2026 00:07:26</t>
  </si>
  <si>
    <t>Inicio GPS anterior al horario: 00:25:09 antes de las 18:00.; Fin GPS dentro de la tolerancia del horario programado.; 2 hueco(s) GPS &gt;= 10 min.</t>
  </si>
  <si>
    <t>6.226745, -75.599448</t>
  </si>
  <si>
    <t>6.268518, -75.599480</t>
  </si>
  <si>
    <t>62a9fcb82e66121f</t>
  </si>
  <si>
    <t>11_09_2026_AO_Diur.gpx</t>
  </si>
  <si>
    <t>62a9fcb82e66121fd226f99e4734428d49a69553222d2a8ef31f520a1bad3640</t>
  </si>
  <si>
    <t>11/09/2026</t>
  </si>
  <si>
    <t>11/09/2026 09:08:21</t>
  </si>
  <si>
    <t>11/09/2026 16:22:09</t>
  </si>
  <si>
    <t>Inicio GPS tardío: 00:38:21 después de las 08:30.; Fin GPS posterior: 00:22:09 después de las 16:00.; 4 hueco(s) GPS &gt;= 10 min.</t>
  </si>
  <si>
    <t>6.221767, -75.593764</t>
  </si>
  <si>
    <t>6.212365, -75.569951</t>
  </si>
  <si>
    <t>9e563886926028fa</t>
  </si>
  <si>
    <t>11_09_2026_AR_Diur.gpx</t>
  </si>
  <si>
    <t>9e563886926028faae0c50afb06b9c2eec6cc19cc3787b47b12a6a3e698e823a</t>
  </si>
  <si>
    <t>11/09/2026 08:27:53</t>
  </si>
  <si>
    <t>11/09/2026 15:32:58</t>
  </si>
  <si>
    <t>Inicio GPS dentro de la tolerancia del horario programado.; Fin GPS anticipado: 00:27:02 antes de las 16:00.; 2 hueco(s) GPS &gt;= 10 min.</t>
  </si>
  <si>
    <t>6.225694, -75.599417</t>
  </si>
  <si>
    <t>6.249852, -75.607061</t>
  </si>
  <si>
    <t>2f4d79bdcb63d229</t>
  </si>
  <si>
    <t>11_09_2026_DR_Diur.gpx</t>
  </si>
  <si>
    <t>2f4d79bdcb63d229863d3c4763cda73e2d436c8a28772f4f9a414ecd43264982</t>
  </si>
  <si>
    <t>11/09/2026 08:33:26</t>
  </si>
  <si>
    <t>11/09/2026 12:53:35</t>
  </si>
  <si>
    <t>Inicio GPS dentro de la tolerancia del horario programado.; Fin GPS anticipado: 03:06:25 antes de las 16:00.; 1 hueco(s) GPS &gt;= 10 min.</t>
  </si>
  <si>
    <t>6.233676, -75.602097</t>
  </si>
  <si>
    <t>6.245853, -75.583882</t>
  </si>
  <si>
    <t>983be0c15a210d25</t>
  </si>
  <si>
    <t>11_09_2026_HC_Diur.gpx</t>
  </si>
  <si>
    <t>983be0c15a210d253e8bb0c8e09526a57eef1017e98aca8ce373210873dfad91</t>
  </si>
  <si>
    <t>11/09/2026 08:32:22</t>
  </si>
  <si>
    <t>11/09/2026 13:47:57</t>
  </si>
  <si>
    <t>Inicio GPS dentro de la tolerancia del horario programado.; Fin GPS anticipado: 02:12:03 antes de las 16:00.</t>
  </si>
  <si>
    <t>6.225825, -75.599274</t>
  </si>
  <si>
    <t>6.291334, -75.564667</t>
  </si>
  <si>
    <t>35bdb47cd2be35a8</t>
  </si>
  <si>
    <t>11_09_2026_JA_Diur.gpx</t>
  </si>
  <si>
    <t>35bdb47cd2be35a85c093f0ef8ca0a1d5ca3fd9113e6959351e550aaa8d88923</t>
  </si>
  <si>
    <t>11/09/2026 08:24:29</t>
  </si>
  <si>
    <t>11/09/2026 10:39:00</t>
  </si>
  <si>
    <t>Inicio GPS dentro de la tolerancia del horario programado.; Fin GPS anticipado: 05:21:00 antes de las 16:00.</t>
  </si>
  <si>
    <t>6.225760, -75.599008</t>
  </si>
  <si>
    <t>6.237190, -75.559158</t>
  </si>
  <si>
    <t>4757f2fa78252f55</t>
  </si>
  <si>
    <t>11_09_2026_JZ_Diur.gpx</t>
  </si>
  <si>
    <t>4757f2fa78252f55d539c2c39d65af44de927d858dfcc4c386545675a7810557</t>
  </si>
  <si>
    <t>11/09/2026 08:23:18</t>
  </si>
  <si>
    <t>11/09/2026 15:50:40</t>
  </si>
  <si>
    <t>6.226582, -75.598346</t>
  </si>
  <si>
    <t>6.232227, -75.596296</t>
  </si>
  <si>
    <t>66075bf6ada2eeb9</t>
  </si>
  <si>
    <t>11_09_2026_SJ_Diur.gpx</t>
  </si>
  <si>
    <t>66075bf6ada2eeb99187a8f9cb0f1d5735c26937aff74bbfec90ef08babed9d9</t>
  </si>
  <si>
    <t>11/09/2026 08:40:23</t>
  </si>
  <si>
    <t>11/09/2026 16:05:32</t>
  </si>
  <si>
    <t>6.299510, -75.578996</t>
  </si>
  <si>
    <t>6.256154, -75.562804</t>
  </si>
  <si>
    <t>b24d45d04d5bd409</t>
  </si>
  <si>
    <t>12_09_2026_DR_Diur.gpx</t>
  </si>
  <si>
    <t>b24d45d04d5bd4098daab01bb99513f001c9748b78ac58765414f3057baff550</t>
  </si>
  <si>
    <t>12/09/2026</t>
  </si>
  <si>
    <t>12/09/2026 09:17:49</t>
  </si>
  <si>
    <t>12/09/2026 16:00:31</t>
  </si>
  <si>
    <t>Inicio GPS tardío: 00:47:49 después de las 08:30.; Fin GPS dentro de la tolerancia del horario programado.; 2 hueco(s) GPS &gt;= 10 min.</t>
  </si>
  <si>
    <t>6.243124, -75.602213</t>
  </si>
  <si>
    <t>6.247789, -75.614942</t>
  </si>
  <si>
    <t>Sumatoria de tiempo total sin recorrido</t>
  </si>
  <si>
    <t>(Todas)</t>
  </si>
  <si>
    <t>(en blanco)</t>
  </si>
  <si>
    <t>Suma de Sumatoria de tiempo total sin recorrido</t>
  </si>
  <si>
    <t>Cuenta de Turno</t>
  </si>
  <si>
    <t>12b42f3142a0a948</t>
  </si>
  <si>
    <t>12b42f3142a0a948a3c42116179952c216f41cf0cde6db180ee4acd0861cec4a</t>
  </si>
  <si>
    <t>11/09/2026 17:11:09</t>
  </si>
  <si>
    <t>11/09/2026 23:57:13</t>
  </si>
  <si>
    <t>6.268460, -75.598605</t>
  </si>
  <si>
    <t>6.261512, -75.592320</t>
  </si>
  <si>
    <t>d182d0833a09621d</t>
  </si>
  <si>
    <t>11_09_2026_DV_Noct.gpx</t>
  </si>
  <si>
    <t>d182d0833a09621d0a513eb7d412c4bfcafa2ca1ea0c512db34325c14cabe0a3</t>
  </si>
  <si>
    <t>11/09/2026 17:46:18</t>
  </si>
  <si>
    <t>12/09/2026 01:11:07</t>
  </si>
  <si>
    <t>Inicio GPS dentro de la tolerancia del horario programado.; Fin GPS posterior: 01:11:07 después de las 00:00.</t>
  </si>
  <si>
    <t>6.272783, -75.601923</t>
  </si>
  <si>
    <t>6.273402, -75.602096</t>
  </si>
  <si>
    <t>3174bb6a9870fea4</t>
  </si>
  <si>
    <t>11_09_2026_IQ_Noct.gpx</t>
  </si>
  <si>
    <t>3174bb6a9870fea45a50cbd12a19351e9011c4d42b3cb1088a6e3b416001263d</t>
  </si>
  <si>
    <t>11/09/2026 18:20:17</t>
  </si>
  <si>
    <t>12/09/2026 00:00:08</t>
  </si>
  <si>
    <t>Inicio GPS tardío: 00:20:17 después de las 18:00.; Fin GPS dentro de la tolerancia del horario programado.; 4 hueco(s) GPS &gt;= 10 min.</t>
  </si>
  <si>
    <t>6.245280, -75.573187</t>
  </si>
  <si>
    <t>ed0e4e1d4d3a7045</t>
  </si>
  <si>
    <t>11_09_2026_JHP_Noct.gpx</t>
  </si>
  <si>
    <t>ed0e4e1d4d3a7045f5a58f3ae81dac01e679c8173646f4ee993ea002f789dfb6</t>
  </si>
  <si>
    <t>11/09/2026 16:54:22</t>
  </si>
  <si>
    <t>12/09/2026 00:06:07</t>
  </si>
  <si>
    <t>Inicio GPS anterior al horario: 01:05:38 antes de las 18:00.; Fin GPS dentro de la tolerancia del horario programado.</t>
  </si>
  <si>
    <t>6.290480, -75.546562</t>
  </si>
  <si>
    <t>6.290452, -75.546646</t>
  </si>
  <si>
    <t>c4d966cb83556657</t>
  </si>
  <si>
    <t>11_09_2026_JO_Diur.gpx</t>
  </si>
  <si>
    <t>c4d966cb83556657d134f8318260112284196e27faae77be0106a89509e50971</t>
  </si>
  <si>
    <t>11/09/2026 08:42:51</t>
  </si>
  <si>
    <t>11/09/2026 16:00:42</t>
  </si>
  <si>
    <t>6.225653, -75.599463</t>
  </si>
  <si>
    <t>6.259216, -75.620955</t>
  </si>
  <si>
    <t>921e3cf8f1c73d8e</t>
  </si>
  <si>
    <t>11_09_2026_JP_Noct.gpx</t>
  </si>
  <si>
    <t>921e3cf8f1c73d8efc1047f960af19364e7bcf8aa63025bbc69b615acd4fc9db</t>
  </si>
  <si>
    <t>11/09/2026 17:59:21</t>
  </si>
  <si>
    <t>11/09/2026 22:40:33</t>
  </si>
  <si>
    <t>Inicio GPS dentro de la tolerancia del horario programado.; Fin GPS anticipado: 01:19:27 antes de las 00:00.</t>
  </si>
  <si>
    <t>6.251770, -75.552062</t>
  </si>
  <si>
    <t>6.251843, -75.551862</t>
  </si>
  <si>
    <t>e8bbb4cd9f17894a</t>
  </si>
  <si>
    <t>12_09_2026_JO_Noct.gpx</t>
  </si>
  <si>
    <t>e8bbb4cd9f17894ad401cfb6fd1dceca91daeb6fdcf6b86d1fcab0bda39c2ae2</t>
  </si>
  <si>
    <t>12/09/2026 18:04:42</t>
  </si>
  <si>
    <t>13/09/2026 00:06:22</t>
  </si>
  <si>
    <t>Inicio GPS dentro de la tolerancia del horario programado.; Fin GPS dentro de la tolerancia del horario programado.; 6 hueco(s) GPS &gt;= 10 min.; Sábado nocturno: verificar técnico asignado.</t>
  </si>
  <si>
    <t>6.254250, -75.615747</t>
  </si>
  <si>
    <t>6.255112, -75.619004</t>
  </si>
  <si>
    <t>11_09_2026_LA_Noct.gpx</t>
  </si>
  <si>
    <t>Inicio GPS anterior al horario: 00:48:51 antes de las 18:00.; Fin GPS dentro de la tolerancia del horario programado.; 3 hueco(s) GPS &gt;= 10 min.</t>
  </si>
  <si>
    <t>64608d775471e888</t>
  </si>
  <si>
    <t>14_09_2026_AO_Diur.gpx</t>
  </si>
  <si>
    <t>64608d775471e88835392ff434de461429e8d784558f1c78facdbf0260003a55</t>
  </si>
  <si>
    <t>14/09/2026</t>
  </si>
  <si>
    <t>14/09/2026 08:49:52</t>
  </si>
  <si>
    <t>14/09/2026 16:59:42</t>
  </si>
  <si>
    <t>Inicio GPS tardío: 00:19:52 después de las 08:30.; Fin GPS posterior: 00:29:42 después de las 16:30.; 5 hueco(s) GPS &gt;= 10 min.</t>
  </si>
  <si>
    <t>6.225295, -75.599788</t>
  </si>
  <si>
    <t>6.221744, -75.593837</t>
  </si>
  <si>
    <t>d3a38467d28aea42</t>
  </si>
  <si>
    <t>14_09_2026_AR_Diur.gpx</t>
  </si>
  <si>
    <t>d3a38467d28aea420ccdc283b959d46ded65190cf988176747e8e2ccfdd5997a</t>
  </si>
  <si>
    <t>14/09/2026 08:13:31</t>
  </si>
  <si>
    <t>14/09/2026 16:00:40</t>
  </si>
  <si>
    <t>Inicio GPS anterior al horario: 00:16:29 antes de las 08:30.; Fin GPS anticipado: 00:29:20 antes de las 16:30.; 2 hueco(s) GPS &gt;= 10 min.</t>
  </si>
  <si>
    <t>6.225754, -75.599476</t>
  </si>
  <si>
    <t>6.250236, -75.604742</t>
  </si>
  <si>
    <t>9b80091cfa0bc372</t>
  </si>
  <si>
    <t>14_09_2026_DR_Diur.gpx</t>
  </si>
  <si>
    <t>9b80091cfa0bc372306c9ba91bf6256a061f1e34f8179fff16d59c3583f41a4d</t>
  </si>
  <si>
    <t>14/09/2026 09:05:21</t>
  </si>
  <si>
    <t>14/09/2026 15:39:31</t>
  </si>
  <si>
    <t>Inicio GPS tardío: 00:35:21 después de las 08:30.; Fin GPS anticipado: 00:50:29 antes de las 16:30.; 2 hueco(s) GPS &gt;= 10 min.</t>
  </si>
  <si>
    <t>6.237503, -75.606640</t>
  </si>
  <si>
    <t>6.263057, -75.595337</t>
  </si>
  <si>
    <t>087877c2cd424574</t>
  </si>
  <si>
    <t>14_09_2026_HC_Diur.gpx</t>
  </si>
  <si>
    <t>087877c2cd42457462ad2419ee8929ec30d937ab215bda615f1cc5533b13278a</t>
  </si>
  <si>
    <t>14/09/2026 08:16:51</t>
  </si>
  <si>
    <t>14/09/2026 14:04:45</t>
  </si>
  <si>
    <t>Inicio GPS dentro de la tolerancia del horario programado.; Fin GPS anticipado: 02:25:15 antes de las 16:30.</t>
  </si>
  <si>
    <t>6.225683, -75.599396</t>
  </si>
  <si>
    <t>6.274832, -75.579004</t>
  </si>
  <si>
    <t>a0ebf6c120309c0c</t>
  </si>
  <si>
    <t>14_09_2026_JZ_Diur.gpx</t>
  </si>
  <si>
    <t>a0ebf6c120309c0c2f3036aab4f2daedc622d401d4ff1245de0dca5345739069</t>
  </si>
  <si>
    <t>14/09/2026 08:35:02</t>
  </si>
  <si>
    <t>14/09/2026 16:32:34</t>
  </si>
  <si>
    <t>6.226757, -75.599795</t>
  </si>
  <si>
    <t>6.279339, -75.569377</t>
  </si>
  <si>
    <t>e2ecd19a94981685</t>
  </si>
  <si>
    <t>14_09_2026_SJ_Diur.gpx</t>
  </si>
  <si>
    <t>e2ecd19a94981685a641cc725303113f23247fb18ef773b1c075668c37cad329</t>
  </si>
  <si>
    <t>14/09/2026 08:51:42</t>
  </si>
  <si>
    <t>14/09/2026 16:09:06</t>
  </si>
  <si>
    <t>Inicio GPS tardío: 00:21:42 después de las 08:30.; Fin GPS anticipado: 00:20:54 antes de las 16:30.</t>
  </si>
  <si>
    <t>6.225185, -75.599488</t>
  </si>
  <si>
    <t>6.304969, -75.581789</t>
  </si>
  <si>
    <t>17813c2c4f61c56e</t>
  </si>
  <si>
    <t>14_09_2026_YL_Diur.gpx</t>
  </si>
  <si>
    <t>17813c2c4f61c56ea82fbe6ab194981f81baeea1f60c7c18a865e0c7a256a62e</t>
  </si>
  <si>
    <t>14/09/2026 08:48:38</t>
  </si>
  <si>
    <t>14/09/2026 16:33:57</t>
  </si>
  <si>
    <t>Inicio GPS tardío: 00:18:38 después de las 08:30.; Fin GPS dentro de la tolerancia del horario programado.</t>
  </si>
  <si>
    <t>6.225624, -75.599592</t>
  </si>
  <si>
    <t>6.258685, -75.616232</t>
  </si>
  <si>
    <t>2fb4c6305023bf8f</t>
  </si>
  <si>
    <t>14_09_2026_JA_Diur.gpx</t>
  </si>
  <si>
    <t>2fb4c6305023bf8fb43bfabe0b00fe20c31bd06c132fb4a51cd41f8194ca4b2c</t>
  </si>
  <si>
    <t>14/09/2026 08:16:49</t>
  </si>
  <si>
    <t>14/09/2026 12:56:56</t>
  </si>
  <si>
    <t>Inicio GPS dentro de la tolerancia del horario programado.; Fin GPS anticipado: 03:33:04 antes de las 16:30.; 1 hueco(s) GPS &gt;= 10 min.</t>
  </si>
  <si>
    <t>6.225730, -75.599396</t>
  </si>
  <si>
    <t>6.237066, -75.558842</t>
  </si>
  <si>
    <t>c6914eb88cd5f98b</t>
  </si>
  <si>
    <t>14_09_2026_DV_Noct.gpx</t>
  </si>
  <si>
    <t>c6914eb88cd5f98bf7d3cb5a4e7f264edd67b3f562bba28d2ca9ec7fd0a425cb</t>
  </si>
  <si>
    <t>14/09/2026 17:04:55</t>
  </si>
  <si>
    <t>15/09/2026 00:24:58</t>
  </si>
  <si>
    <t>Inicio GPS anterior al horario: 00:55:05 antes de las 18:00.; Fin GPS posterior: 00:24:58 después de las 00:00.</t>
  </si>
  <si>
    <t>6.226781, -75.599306</t>
  </si>
  <si>
    <t>6.272687, -75.602015</t>
  </si>
  <si>
    <t>c22ce3f880a76352</t>
  </si>
  <si>
    <t>14_09_2026_IQ_Noct.gpx</t>
  </si>
  <si>
    <t>c22ce3f880a76352ee249e038479ca23d76ce9e2ca26662b154aa53b2159668e</t>
  </si>
  <si>
    <t>14/09/2026 18:20:53</t>
  </si>
  <si>
    <t>15/09/2026 00:03:23</t>
  </si>
  <si>
    <t>Inicio GPS tardío: 00:20:53 después de las 18:00.; Fin GPS dentro de la tolerancia del horario programado.; 1 hueco(s) GPS &gt;= 10 min.</t>
  </si>
  <si>
    <t>6.275952, -75.554823</t>
  </si>
  <si>
    <t>6.274503, -75.540477</t>
  </si>
  <si>
    <t>f77269df50f1ad1f</t>
  </si>
  <si>
    <t>14_09_2026_JHP_Noct.gpx</t>
  </si>
  <si>
    <t>f77269df50f1ad1f2cddfe33fa12b1adae75d28c8df5349a3eb9d341ea04b0af</t>
  </si>
  <si>
    <t>14/09/2026 17:41:58</t>
  </si>
  <si>
    <t>15/09/2026 00:03:58</t>
  </si>
  <si>
    <t>Inicio GPS anterior al horario: 00:18:02 antes de las 18:00.; Fin GPS dentro de la tolerancia del horario programado.</t>
  </si>
  <si>
    <t>6.226539, -75.599269</t>
  </si>
  <si>
    <t>6.290382, -75.546633</t>
  </si>
  <si>
    <t>af238268905a721a</t>
  </si>
  <si>
    <t>14_09_2026_JP_Noct.gpx</t>
  </si>
  <si>
    <t>af238268905a721a65e42e2c4ef00e8085025a564f894f5af63ae97aca334ac7</t>
  </si>
  <si>
    <t>14/09/2026 17:08:15</t>
  </si>
  <si>
    <t>14/09/2026 23:22:19</t>
  </si>
  <si>
    <t>Inicio GPS anterior al horario: 00:51:45 antes de las 18:00.; Fin GPS anticipado: 00:37:41 antes de las 00:00.</t>
  </si>
  <si>
    <t>6.227012, -75.599712</t>
  </si>
  <si>
    <t>6.248315, -75.557350</t>
  </si>
  <si>
    <t>8db51ad76e93ce48</t>
  </si>
  <si>
    <t>14_09_2026_LA_Noct.gpx</t>
  </si>
  <si>
    <t>8db51ad76e93ce48967781d321dcf3cc81fe19b0a68dfbaa98ced51bb4793096</t>
  </si>
  <si>
    <t>14/09/2026 17:07:23</t>
  </si>
  <si>
    <t>14/09/2026 23:55:40</t>
  </si>
  <si>
    <t>Inicio GPS anterior al horario: 00:52:37 antes de las 18:00.; Fin GPS dentro de la tolerancia del horario programado.; 1 hueco(s) GPS &gt;= 10 min.</t>
  </si>
  <si>
    <t>6.226703, -75.599232</t>
  </si>
  <si>
    <t>6.253760, -75.576220</t>
  </si>
  <si>
    <t>6d383f5126627be4</t>
  </si>
  <si>
    <t>15_09_2026_AO_Diur.gpx</t>
  </si>
  <si>
    <t>6d383f5126627be401112e1581edf5783ae50b1c21b8d2025337951781db3b22</t>
  </si>
  <si>
    <t>15/09/2026</t>
  </si>
  <si>
    <t>15/09/2026 08:45:57</t>
  </si>
  <si>
    <t>15/09/2026 16:39:58</t>
  </si>
  <si>
    <t>Inicio GPS tardío: 00:15:57 después de las 08:30.; Fin GPS dentro de la tolerancia del horario programado.; 5 hueco(s) GPS &gt;= 10 min.</t>
  </si>
  <si>
    <t>6.225217, -75.599784</t>
  </si>
  <si>
    <t>6.232094, -75.602228</t>
  </si>
  <si>
    <t>4d27ae64e07a9404</t>
  </si>
  <si>
    <t>15_09_2026_AR_Diur.gpx</t>
  </si>
  <si>
    <t>4d27ae64e07a9404aa5d39fab767faf7cf4e5f540bab0c6e152567a5ad6e6e63</t>
  </si>
  <si>
    <t>15/09/2026 08:01:55</t>
  </si>
  <si>
    <t>15/09/2026 16:32:09</t>
  </si>
  <si>
    <t>Inicio GPS anterior al horario: 00:28:05 antes de las 08:30.; Fin GPS dentro de la tolerancia del horario programado.; 7 hueco(s) GPS &gt;= 10 min.</t>
  </si>
  <si>
    <t>6.225673, -75.599416</t>
  </si>
  <si>
    <t>6.247624, -75.614924</t>
  </si>
  <si>
    <t>8ecfd841945da9c4</t>
  </si>
  <si>
    <t>15_09_2026_DR_Diur.gpx</t>
  </si>
  <si>
    <t>8ecfd841945da9c4002d1f85112d3f8c7207b5c014a3b68465fae25ce35d189a</t>
  </si>
  <si>
    <t>15/09/2026 09:02:58</t>
  </si>
  <si>
    <t>15/09/2026 16:19:40</t>
  </si>
  <si>
    <t>Inicio GPS tardío: 00:32:58 después de las 08:30.; Fin GPS dentro de la tolerancia del horario programado.; 1 hueco(s) GPS &gt;= 10 min.</t>
  </si>
  <si>
    <t>6.259211, -75.597569</t>
  </si>
  <si>
    <t>6.244133, -75.612316</t>
  </si>
  <si>
    <t>e3104078aa2c2eab</t>
  </si>
  <si>
    <t>15_09_2026_HC_Diur.gpx</t>
  </si>
  <si>
    <t>e3104078aa2c2eab9b95e1615030c327378203ff9db0cfabc0922e82a3b91bdf</t>
  </si>
  <si>
    <t>15/09/2026 08:14:48</t>
  </si>
  <si>
    <t>15/09/2026 14:15:33</t>
  </si>
  <si>
    <t>Inicio GPS anterior al horario: 00:15:12 antes de las 08:30.; Fin GPS anticipado: 02:14:27 antes de las 16:30.</t>
  </si>
  <si>
    <t>6.225882, -75.599432</t>
  </si>
  <si>
    <t>6.271430, -75.586137</t>
  </si>
  <si>
    <t>d4d492c68722cb2b</t>
  </si>
  <si>
    <t>15_09_2026_JA_Diur.gpx</t>
  </si>
  <si>
    <t>d4d492c68722cb2b831d2d860db03a1f9931758c2958c1f7565139f596aca08f</t>
  </si>
  <si>
    <t>15/09/2026 08:08:17</t>
  </si>
  <si>
    <t>15/09/2026 11:33:01</t>
  </si>
  <si>
    <t>Inicio GPS anterior al horario: 00:21:43 antes de las 08:30.; Fin GPS anticipado: 04:56:59 antes de las 16:30.</t>
  </si>
  <si>
    <t>6.225631, -75.599101</t>
  </si>
  <si>
    <t>6.242762, -75.565274</t>
  </si>
  <si>
    <t>9b8ad0d75b183458</t>
  </si>
  <si>
    <t>15_09_2026_JO_Diur.gpx</t>
  </si>
  <si>
    <t>9b8ad0d75b183458c88a5d9c2e455fd9a72c0e2acf0ecbb212ee54543c045994</t>
  </si>
  <si>
    <t>15/09/2026 08:23:56</t>
  </si>
  <si>
    <t>15/09/2026 16:29:33</t>
  </si>
  <si>
    <t>6.225654, -75.599408</t>
  </si>
  <si>
    <t>6.259240, -75.620922</t>
  </si>
  <si>
    <t>5031b827ce5a2888</t>
  </si>
  <si>
    <t>15_09_2026_JZ_Diur.gpx</t>
  </si>
  <si>
    <t>5031b827ce5a288868319a26a4217c209c72fe1a6b47184ee6c7833b615a3f45</t>
  </si>
  <si>
    <t>15/09/2026 08:11:11</t>
  </si>
  <si>
    <t>15/09/2026 16:51:21</t>
  </si>
  <si>
    <t>Inicio GPS anterior al horario: 00:18:49 antes de las 08:30.; Fin GPS posterior: 00:21:21 después de las 16:30.</t>
  </si>
  <si>
    <t>6.226717, -75.599193</t>
  </si>
  <si>
    <t>6.279619, -75.572063</t>
  </si>
  <si>
    <t>2b7fff97dbe28da1</t>
  </si>
  <si>
    <t>15_09_2026_SJ_Diur.gpx</t>
  </si>
  <si>
    <t>2b7fff97dbe28da1a4a4a793da92ce0f8dac17afddeef474c1b0334c2c675801</t>
  </si>
  <si>
    <t>15/09/2026 08:33:13</t>
  </si>
  <si>
    <t>15/09/2026 16:54:43</t>
  </si>
  <si>
    <t>Inicio GPS dentro de la tolerancia del horario programado.; Fin GPS posterior: 00:24:43 después de las 16:30.; 1 hueco(s) GPS &gt;= 10 min.</t>
  </si>
  <si>
    <t>6.225624, -75.599386</t>
  </si>
  <si>
    <t>6.265476, -75.574817</t>
  </si>
  <si>
    <t>0ffd8dceae54f308</t>
  </si>
  <si>
    <t>15_09_2026_YL_Diur.gpx</t>
  </si>
  <si>
    <t>0ffd8dceae54f308689f3f62a5ca513e819061f2ef3e0745cd3ffe5edbcc6a20</t>
  </si>
  <si>
    <t>15/09/2026 08:21:05</t>
  </si>
  <si>
    <t>15/09/2026 16:26:08</t>
  </si>
  <si>
    <t>6.225427, -75.599320</t>
  </si>
  <si>
    <t>6.258435, -75.615872</t>
  </si>
  <si>
    <t>Se revisa el recorrido y se verifico inconsistencias en el gps del equipo</t>
  </si>
  <si>
    <t>a7be8528a7abbac9</t>
  </si>
  <si>
    <t>15_09_2026_DV_Noct.gpx</t>
  </si>
  <si>
    <t>a7be8528a7abbac9737086375e0e27be9d77a33a0372117fb8b07910c0fa7166</t>
  </si>
  <si>
    <t>15/09/2026 17:06:25</t>
  </si>
  <si>
    <t>16/09/2026 00:17:19</t>
  </si>
  <si>
    <t>Inicio GPS anterior al horario: 00:53:35 antes de las 18:00.; Fin GPS posterior: 00:17:19 después de las 00:00.</t>
  </si>
  <si>
    <t>6.226257, -75.598450</t>
  </si>
  <si>
    <t>6.272815, -75.601960</t>
  </si>
  <si>
    <t>97aa6c8b72ea29e1</t>
  </si>
  <si>
    <t>15_09_2026_IQ_Noct.gpx</t>
  </si>
  <si>
    <t>97aa6c8b72ea29e10dd0df2ab21223ef9e5a1a3a7df9f678d7956e27f9d98b49</t>
  </si>
  <si>
    <t>15/09/2026 20:18:15</t>
  </si>
  <si>
    <t>16/09/2026 00:00:27</t>
  </si>
  <si>
    <t>Inicio GPS tardío: 02:18:15 después de las 18:00.; Fin GPS dentro de la tolerancia del horario programado.; 1 hueco(s) GPS &gt;= 10 min.</t>
  </si>
  <si>
    <t>6.274147, -75.559567</t>
  </si>
  <si>
    <t>6.263254, -75.556407</t>
  </si>
  <si>
    <t>04521f33ccb9cfd5</t>
  </si>
  <si>
    <t>15_09_2026_JHP_Noct.gpx</t>
  </si>
  <si>
    <t>04521f33ccb9cfd5c00dcd03b275fe7678fd93dcd8760f0e3be73b414b1b9a8f</t>
  </si>
  <si>
    <t>15/09/2026 17:24:11</t>
  </si>
  <si>
    <t>16/09/2026 00:01:01</t>
  </si>
  <si>
    <t>Inicio GPS anterior al horario: 00:35:49 antes de las 18:00.; Fin GPS dentro de la tolerancia del horario programado.</t>
  </si>
  <si>
    <t>6.225314, -75.599263</t>
  </si>
  <si>
    <t>6.290403, -75.546654</t>
  </si>
  <si>
    <t>98fa2bbce48b2177</t>
  </si>
  <si>
    <t>15_09_2026_JP_Noct.gpx</t>
  </si>
  <si>
    <t>98fa2bbce48b21778d5aa86ad2ed4fbca419da04a870c06f9d4675f766176d6c</t>
  </si>
  <si>
    <t>15/09/2026 17:04:55</t>
  </si>
  <si>
    <t>15/09/2026 23:57:33</t>
  </si>
  <si>
    <t>Inicio GPS anterior al horario: 00:55:05 antes de las 18:00.; Fin GPS dentro de la tolerancia del horario programado.; 2 hueco(s) GPS &gt;= 10 min.; 1 permanencia(s) GPS detectada(s); requiere contexto.</t>
  </si>
  <si>
    <t>6.225228, -75.597255</t>
  </si>
  <si>
    <t>6.251742, -75.551962</t>
  </si>
  <si>
    <t>0d2068e33f3404c0</t>
  </si>
  <si>
    <t>15_09_2026_LA_Noct.gpx</t>
  </si>
  <si>
    <t>0d2068e33f3404c019b708a6448d49f1456c49b098ad02919091bc2cb0c8e751</t>
  </si>
  <si>
    <t>15/09/2026 17:28:19</t>
  </si>
  <si>
    <t>15/09/2026 23:49:05</t>
  </si>
  <si>
    <t>Inicio GPS anterior al horario: 00:31:41 antes de las 18:00.; Fin GPS dentro de la tolerancia del horario programado.; 3 hueco(s) GPS &gt;= 10 min.</t>
  </si>
  <si>
    <t>6.226602, -75.599207</t>
  </si>
  <si>
    <t>6.264360, -75.598920</t>
  </si>
  <si>
    <t>a9ac34af93719c48</t>
  </si>
  <si>
    <t>16_09_2026_AO_Diur.gpx</t>
  </si>
  <si>
    <t>a9ac34af93719c48bdfe031bcb9811f05f160a66f050698e91f8089cbd915e33</t>
  </si>
  <si>
    <t>16/09/2026</t>
  </si>
  <si>
    <t>16/09/2026 09:03:29</t>
  </si>
  <si>
    <t>16/09/2026 17:15:08</t>
  </si>
  <si>
    <t>Inicio GPS tardío: 00:33:30 después de las 08:30.; Fin GPS posterior: 00:45:08 después de las 16:30.; 2 hueco(s) GPS &gt;= 10 min.</t>
  </si>
  <si>
    <t>6.202411, -75.596128</t>
  </si>
  <si>
    <t>6.221709, -75.593846</t>
  </si>
  <si>
    <t>3ac851bf8705c0d1</t>
  </si>
  <si>
    <t>16_09_2026_AR_Diur.gpx</t>
  </si>
  <si>
    <t>3ac851bf8705c0d1f2c563800c8f4217be95fba18555ad4415b5cbb7038352e4</t>
  </si>
  <si>
    <t>16/09/2026 08:12:15</t>
  </si>
  <si>
    <t>16/09/2026 16:17:35</t>
  </si>
  <si>
    <t>Inicio GPS anterior al horario: 00:17:45 antes de las 08:30.; Fin GPS dentro de la tolerancia del horario programado.; 2 hueco(s) GPS &gt;= 10 min.</t>
  </si>
  <si>
    <t>6.225672, -75.599375</t>
  </si>
  <si>
    <t>6.250872, -75.604693</t>
  </si>
  <si>
    <t>3e39fdc211d07b1b</t>
  </si>
  <si>
    <t>16_09_2026_DR_Diur.gpx</t>
  </si>
  <si>
    <t>3e39fdc211d07b1bb3fc96650c6d83be3f58019cf17b652432d621619e052a96</t>
  </si>
  <si>
    <t>16/09/2026 08:27:23</t>
  </si>
  <si>
    <t>16/09/2026 16:34:27</t>
  </si>
  <si>
    <t>Inicio GPS dentro de la tolerancia del horario programado.; Fin GPS dentro de la tolerancia del horario programado.; 2 hueco(s) GPS &gt;= 10 min.</t>
  </si>
  <si>
    <t>6.225384, -75.599851</t>
  </si>
  <si>
    <t>6.249710, -75.599357</t>
  </si>
  <si>
    <t>b8bea033a4cc81a3</t>
  </si>
  <si>
    <t>16_09_2026_HC_Diur.gpx</t>
  </si>
  <si>
    <t>b8bea033a4cc81a3412c228b00eafc6534ebcfcf99fd3b99486ca816ff293681</t>
  </si>
  <si>
    <t>16/09/2026 08:45:39</t>
  </si>
  <si>
    <t>16/09/2026 14:29:19</t>
  </si>
  <si>
    <t>Inicio GPS tardío: 00:15:39 después de las 08:30.; Fin GPS anticipado: 02:00:41 antes de las 16:30.</t>
  </si>
  <si>
    <t>6.225695, -75.599414</t>
  </si>
  <si>
    <t>6.253920, -75.584341</t>
  </si>
  <si>
    <t>2fc7984f381079d1</t>
  </si>
  <si>
    <t>16_09_2026_JA_Diur.gpx</t>
  </si>
  <si>
    <t>2fc7984f381079d18ee6b999b1a24166315bcaefbdb1ca50a5f9d99856a66db1</t>
  </si>
  <si>
    <t>16/09/2026 08:31:09</t>
  </si>
  <si>
    <t>16/09/2026 14:06:45</t>
  </si>
  <si>
    <t>Inicio GPS dentro de la tolerancia del horario programado.; Fin GPS anticipado: 02:23:15 antes de las 16:30.; 1 hueco(s) GPS &gt;= 10 min.</t>
  </si>
  <si>
    <t>6.225450, -75.599217</t>
  </si>
  <si>
    <t>6.213333, -75.576360</t>
  </si>
  <si>
    <t>bd3c6d93c1f7f6fb</t>
  </si>
  <si>
    <t>16_09_2026_JO_Diur.gpx</t>
  </si>
  <si>
    <t>bd3c6d93c1f7f6fb21776f967fbdca69a3086d0520c82f46c9dda94aa1db2dda</t>
  </si>
  <si>
    <t>16/09/2026 08:28:22</t>
  </si>
  <si>
    <t>16/09/2026 16:47:18</t>
  </si>
  <si>
    <t>Inicio GPS dentro de la tolerancia del horario programado.; Fin GPS posterior: 00:17:19 después de las 16:30.; 11 hueco(s) GPS &gt;= 10 min.</t>
  </si>
  <si>
    <t>6.225617, -75.599124</t>
  </si>
  <si>
    <t>6.259223, -75.620932</t>
  </si>
  <si>
    <t>6c809a2f130808f0</t>
  </si>
  <si>
    <t>16_09_2026_JZ_Diur1.gpx</t>
  </si>
  <si>
    <t>6c809a2f130808f0c66761153ccb840c98df1ed0f335c47e144905a8badc8e8b</t>
  </si>
  <si>
    <t>16/09/2026 08:25:09</t>
  </si>
  <si>
    <t>16/09/2026 13:08:11</t>
  </si>
  <si>
    <t>Inicio GPS dentro de la tolerancia del horario programado.; Fin GPS anticipado: 03:21:49 antes de las 16:30.</t>
  </si>
  <si>
    <t>6.226913, -75.599265</t>
  </si>
  <si>
    <t>6.210324, -75.497533</t>
  </si>
  <si>
    <t>45d82fb81f8f9bba</t>
  </si>
  <si>
    <t>16_09_2026_JZ_Diur2.gpx</t>
  </si>
  <si>
    <t>45d82fb81f8f9bbafb415b302d30781be5c714eb81735c06aa39b857fcfbce17</t>
  </si>
  <si>
    <t>16/09/2026 13:10:10</t>
  </si>
  <si>
    <t>16/09/2026 16:44:14</t>
  </si>
  <si>
    <t>Inicio GPS tardío: 04:40:10 después de las 08:30.; Fin GPS dentro de la tolerancia del horario programado.</t>
  </si>
  <si>
    <t>6.210474, -75.497413</t>
  </si>
  <si>
    <t>6.279577, -75.571879</t>
  </si>
  <si>
    <t>5e62867aa9cc28bd</t>
  </si>
  <si>
    <t>16_09_2026_SJ_Diur.gpx</t>
  </si>
  <si>
    <t>5e62867aa9cc28bd45021a589af54341f64bb0f6aed6930d9b7703a502bf072d</t>
  </si>
  <si>
    <t>16/09/2026 08:38:41</t>
  </si>
  <si>
    <t>16/09/2026 15:47:14</t>
  </si>
  <si>
    <t>Inicio GPS dentro de la tolerancia del horario programado.; Fin GPS anticipado: 00:42:46 antes de las 16:30.</t>
  </si>
  <si>
    <t>6.225689, -75.599446</t>
  </si>
  <si>
    <t>6.280031, -75.586411</t>
  </si>
  <si>
    <t>e75ddf9347e9b447</t>
  </si>
  <si>
    <t>16_09_2026_YL_Diur.gpx</t>
  </si>
  <si>
    <t>e75ddf9347e9b4476f0a73f33c064b5ced25103c7bfdce32473c5a49caa3be30</t>
  </si>
  <si>
    <t>16/09/2026 08:33:02</t>
  </si>
  <si>
    <t>16/09/2026 14:16:23</t>
  </si>
  <si>
    <t>Inicio GPS dentro de la tolerancia del horario programado.; Fin GPS anticipado: 02:13:37 antes de las 16:30.</t>
  </si>
  <si>
    <t>6.225659, -75.598975</t>
  </si>
  <si>
    <t>6.225418, -75.599402</t>
  </si>
  <si>
    <t>cumple con el incio, ya que el recorrido fueron en 2 partes</t>
  </si>
  <si>
    <t>8505a438c7fcc5ce</t>
  </si>
  <si>
    <t>16_09_2026_DV_Noct.gpx</t>
  </si>
  <si>
    <t>8505a438c7fcc5ce63d1db6381c07848115a808c854f79a81edcf0e8bcf86c1d</t>
  </si>
  <si>
    <t>16/09/2026 17:05:59</t>
  </si>
  <si>
    <t>17/09/2026 00:17:51</t>
  </si>
  <si>
    <t>Inicio GPS anterior al horario: 00:54:01 antes de las 18:00.; Fin GPS posterior: 00:17:51 después de las 00:00.</t>
  </si>
  <si>
    <t>6.249323, -75.586797</t>
  </si>
  <si>
    <t>6.272695, -75.602047</t>
  </si>
  <si>
    <t>021d1d2d569dd0ec</t>
  </si>
  <si>
    <t>16_09_2026_IQ_Noct.gpx</t>
  </si>
  <si>
    <t>021d1d2d569dd0ec9de892ec20cd314ca53a44fd06c11a325fedb8633ba5fd89</t>
  </si>
  <si>
    <t>16/09/2026 18:11:25</t>
  </si>
  <si>
    <t>16/09/2026 23:58:01</t>
  </si>
  <si>
    <t>6.272410, -75.540272</t>
  </si>
  <si>
    <t>f0e1ec5408d8a40d</t>
  </si>
  <si>
    <t>16_09_2026_JHP_Noct.gpx</t>
  </si>
  <si>
    <t>f0e1ec5408d8a40dae9b5b446429552ddace2d70d1f96e30593b9fdf768d2ce9</t>
  </si>
  <si>
    <t>16/09/2026 18:40:50</t>
  </si>
  <si>
    <t>16/09/2026 23:57:54</t>
  </si>
  <si>
    <t>Inicio GPS tardío: 00:40:50 después de las 18:00.; Fin GPS dentro de la tolerancia del horario programado.</t>
  </si>
  <si>
    <t>6.272803, -75.574162</t>
  </si>
  <si>
    <t>6.272822, -75.574470</t>
  </si>
  <si>
    <t>6ed2472289c054f7</t>
  </si>
  <si>
    <t>16_09_2026_JP_Noct.gpx</t>
  </si>
  <si>
    <t>6ed2472289c054f711878f44854acc65dd1e9ad3fba0dee49264b9b66c78b22b</t>
  </si>
  <si>
    <t>16/09/2026 17:11:24</t>
  </si>
  <si>
    <t>16/09/2026 23:14:07</t>
  </si>
  <si>
    <t>Inicio GPS anterior al horario: 00:48:36 antes de las 18:00.; Fin GPS anticipado: 00:45:53 antes de las 00:00.</t>
  </si>
  <si>
    <t>6.227022, -75.599650</t>
  </si>
  <si>
    <t>6.251745, -75.551825</t>
  </si>
  <si>
    <t>1ce717193d8e1492</t>
  </si>
  <si>
    <t>16_09_2026_LA_Noct.gpx</t>
  </si>
  <si>
    <t>1ce717193d8e1492ba8d384a79f5ba5ed8f6971370881873dbab5964578c3400</t>
  </si>
  <si>
    <t>16/09/2026 17:09:24</t>
  </si>
  <si>
    <t>17/09/2026 00:04:20</t>
  </si>
  <si>
    <t>Inicio GPS anterior al horario: 00:50:36 antes de las 18:00.; Fin GPS dentro de la tolerancia del horario programado.; 2 hueco(s) GPS &gt;= 10 min.</t>
  </si>
  <si>
    <t>6.226797, -75.599227</t>
  </si>
  <si>
    <t>6.268487, -75.599357</t>
  </si>
  <si>
    <t>db9a6c93bcce8dcf</t>
  </si>
  <si>
    <t>17_09_2026_AO_Diur.gpx</t>
  </si>
  <si>
    <t>db9a6c93bcce8dcfb43d8d836998372371504459e792c4599942d0c6d0f419f4</t>
  </si>
  <si>
    <t>17/09/2026</t>
  </si>
  <si>
    <t>17/09/2026 09:07:46</t>
  </si>
  <si>
    <t>17/09/2026 16:13:45</t>
  </si>
  <si>
    <t>Inicio GPS tardío: 00:37:47 después de las 08:30.; Fin GPS anticipado: 00:16:15 antes de las 16:30.; 5 hueco(s) GPS &gt;= 10 min.</t>
  </si>
  <si>
    <t>6.225709, -75.599610</t>
  </si>
  <si>
    <t>6.221629, -75.593868</t>
  </si>
  <si>
    <t>48482f905abd0f80</t>
  </si>
  <si>
    <t>17_09_2026_AR_Diur.gpx</t>
  </si>
  <si>
    <t>48482f905abd0f80e843177b5a866e326f81a8c90e5deca481e4733892197fa0</t>
  </si>
  <si>
    <t>17/09/2026 09:25:00</t>
  </si>
  <si>
    <t>17/09/2026 16:23:45</t>
  </si>
  <si>
    <t>Inicio GPS tardío: 00:55:00 después de las 08:30.; Fin GPS dentro de la tolerancia del horario programado.; 8 hueco(s) GPS &gt;= 10 min.</t>
  </si>
  <si>
    <t>6.225651, -75.599445</t>
  </si>
  <si>
    <t>6.250871, -75.605402</t>
  </si>
  <si>
    <t>89c8e55171e9cf58</t>
  </si>
  <si>
    <t>17_09_2026_DR_Diur.gpx</t>
  </si>
  <si>
    <t>89c8e55171e9cf587e467d6c3c7aa85cbc1e6fe0af8b68727f2da7ca46094aae</t>
  </si>
  <si>
    <t>17/09/2026 16:32:09</t>
  </si>
  <si>
    <t>17/09/2026 20:15:20</t>
  </si>
  <si>
    <t>Inicio GPS tardío: 08:02:09 después de las 08:30.; Fin GPS posterior: 03:45:20 después de las 16:30.; 1 hueco(s) GPS &gt;= 10 min.</t>
  </si>
  <si>
    <t>6.250942, -75.605235</t>
  </si>
  <si>
    <t>6.213026, -75.583926</t>
  </si>
  <si>
    <t>c6fa90b043d988e3</t>
  </si>
  <si>
    <t>17_09_2026_HC_Diur.gpx</t>
  </si>
  <si>
    <t>c6fa90b043d988e3bf24d608c7264f4522da012f47bded55dee742c08acc26e5</t>
  </si>
  <si>
    <t>17/09/2026 08:38:37</t>
  </si>
  <si>
    <t>17/09/2026 16:01:16</t>
  </si>
  <si>
    <t>Inicio GPS dentro de la tolerancia del horario programado.; Fin GPS anticipado: 00:28:44 antes de las 16:30.; 1 hueco(s) GPS &gt;= 10 min.</t>
  </si>
  <si>
    <t>6.225759, -75.599501</t>
  </si>
  <si>
    <t>6.266046, -75.593370</t>
  </si>
  <si>
    <t>b0de4e1c7b0a338c</t>
  </si>
  <si>
    <t>17_09_2026_JA_Diur.gpx</t>
  </si>
  <si>
    <t>b0de4e1c7b0a338c3d00acc8a46510517793fa0c5b4fdfe61a2ae381fa38d42f</t>
  </si>
  <si>
    <t>17/09/2026 08:56:04</t>
  </si>
  <si>
    <t>17/09/2026 13:17:56</t>
  </si>
  <si>
    <t>Inicio GPS tardío: 00:26:04 después de las 08:30.; Fin GPS anticipado: 03:12:04 antes de las 16:30.; 1 hueco(s) GPS &gt;= 10 min.</t>
  </si>
  <si>
    <t>6.225752, -75.599103</t>
  </si>
  <si>
    <t>6.237069, -75.558764</t>
  </si>
  <si>
    <t>149d341aa6c6b8ef</t>
  </si>
  <si>
    <t>17_09_2026_JO_Diur.gpx</t>
  </si>
  <si>
    <t>149d341aa6c6b8efad940b1bb99234a47390dfde365fde8a2895918b68bc4f93</t>
  </si>
  <si>
    <t>17/09/2026 09:04:20</t>
  </si>
  <si>
    <t>17/09/2026 16:22:36</t>
  </si>
  <si>
    <t>Inicio GPS tardío: 00:34:21 después de las 08:30.; Fin GPS dentro de la tolerancia del horario programado.; 14 hueco(s) GPS &gt;= 10 min.</t>
  </si>
  <si>
    <t>6.225635, -75.599196</t>
  </si>
  <si>
    <t>6.246833, -75.554225</t>
  </si>
  <si>
    <t>695b287de97870f5</t>
  </si>
  <si>
    <t>17_09_2026_JZ_Diur.gpx</t>
  </si>
  <si>
    <t>695b287de97870f56d132e2cd9c698f8f5ae796e765fd2b587105a2119bee7b2</t>
  </si>
  <si>
    <t>17/09/2026 11:04:09</t>
  </si>
  <si>
    <t>17/09/2026 16:49:13</t>
  </si>
  <si>
    <t>Inicio GPS tardío: 02:34:09 después de las 08:30.; Fin GPS posterior: 00:19:13 después de las 16:30.</t>
  </si>
  <si>
    <t>6.228282, -75.599524</t>
  </si>
  <si>
    <t>6.259334, -75.597497</t>
  </si>
  <si>
    <t>47c288c4408e51e2</t>
  </si>
  <si>
    <t>17_09_2026_SJ_Diur.gpx</t>
  </si>
  <si>
    <t>47c288c4408e51e26e8f2e8f5a3fc9523c144af92e8ebcecce04521c5e40c8bf</t>
  </si>
  <si>
    <t>17/09/2026 09:07:36</t>
  </si>
  <si>
    <t>17/09/2026 16:28:04</t>
  </si>
  <si>
    <t>Inicio GPS tardío: 00:37:36 después de las 08:30.; Fin GPS dentro de la tolerancia del horario programado.</t>
  </si>
  <si>
    <t>6.225808, -75.599392</t>
  </si>
  <si>
    <t>6.267114, -75.576186</t>
  </si>
  <si>
    <t>0d73802b346ac592</t>
  </si>
  <si>
    <t>17_09_2026_YL_Diur.gpx</t>
  </si>
  <si>
    <t>0d73802b346ac592d8d6c8656e7f0be03292329a76a2237f51d4cec0bc3c2289</t>
  </si>
  <si>
    <t>17/09/2026 09:23:16</t>
  </si>
  <si>
    <t>17/09/2026 16:27:14</t>
  </si>
  <si>
    <t>Inicio GPS tardío: 00:53:16 después de las 08:30.; Fin GPS dentro de la tolerancia del horario programado.; 2 hueco(s) GPS &gt;= 10 min.</t>
  </si>
  <si>
    <t>6.225629, -75.599374</t>
  </si>
  <si>
    <t>6.258996, -75.616400</t>
  </si>
  <si>
    <t>El vehiculo llego tarde a recoger al tecnico.</t>
  </si>
  <si>
    <t>fff7f9eeb238f034</t>
  </si>
  <si>
    <t>17_09_2026_DV_Noct.gpx</t>
  </si>
  <si>
    <t>fff7f9eeb238f034fd6b1afc193a31f58c732ec7fc80dbb37b1e1e4faa2cda60</t>
  </si>
  <si>
    <t>17/09/2026 18:03:33</t>
  </si>
  <si>
    <t>18/09/2026 00:10:05</t>
  </si>
  <si>
    <t>6.268579, -75.597361</t>
  </si>
  <si>
    <t>6.272652, -75.602017</t>
  </si>
  <si>
    <t>90d0773390aedeab</t>
  </si>
  <si>
    <t>17_09_2026_IQ_Noct.gpx</t>
  </si>
  <si>
    <t>90d0773390aedeab4121f4063e189c889225c1ec7a0ff2874ad4aa036513428c</t>
  </si>
  <si>
    <t>17/09/2026 17:35:37</t>
  </si>
  <si>
    <t>17/09/2026 23:27:47</t>
  </si>
  <si>
    <t>Inicio GPS anterior al horario: 00:24:23 antes de las 18:00.; Fin GPS anticipado: 00:32:13 antes de las 00:00.; 2 hueco(s) GPS &gt;= 10 min.</t>
  </si>
  <si>
    <t>10.979990, -74.803665</t>
  </si>
  <si>
    <t>6.272397, -75.540292</t>
  </si>
  <si>
    <t>36d2a54507cdf0d9</t>
  </si>
  <si>
    <t>17_09_2026_JHP_Noct.gpx</t>
  </si>
  <si>
    <t>36d2a54507cdf0d92008ff785845ad240ecdfed5458c2151a3469acc1df89e04</t>
  </si>
  <si>
    <t>17/09/2026 17:06:35</t>
  </si>
  <si>
    <t>18/09/2026 00:03:33</t>
  </si>
  <si>
    <t>Inicio GPS anterior al horario: 00:53:25 antes de las 18:00.; Fin GPS dentro de la tolerancia del horario programado.</t>
  </si>
  <si>
    <t>6.226581, -75.599301</t>
  </si>
  <si>
    <t>6.290393, -75.546537</t>
  </si>
  <si>
    <t>3d8e25f8e5d40521</t>
  </si>
  <si>
    <t>17_09_2026_JP_Noct.gpx</t>
  </si>
  <si>
    <t>3d8e25f8e5d40521a4d29bb20f974cdac24f04478585e9b7f8f9513ccaaf7c4f</t>
  </si>
  <si>
    <t>17/09/2026 17:27:26</t>
  </si>
  <si>
    <t>17/09/2026 21:20:46</t>
  </si>
  <si>
    <t>Inicio GPS anterior al horario: 00:32:34 antes de las 18:00.; Fin GPS anticipado: 02:39:14 antes de las 00:00.; 1 hueco(s) GPS &gt;= 10 min.</t>
  </si>
  <si>
    <t>6.226895, -75.599648</t>
  </si>
  <si>
    <t>6.261828, -75.571967</t>
  </si>
  <si>
    <t>489f0c842f5e227a</t>
  </si>
  <si>
    <t>17_09_2026_LA_Noct.gpx</t>
  </si>
  <si>
    <t>489f0c842f5e227af2996fea935928f335b2763b3ab4144c5eac7192dc931080</t>
  </si>
  <si>
    <t>17/09/2026 17:12:50</t>
  </si>
  <si>
    <t>18/09/2026 00:12:09</t>
  </si>
  <si>
    <t>Inicio GPS anterior al horario: 00:47:09 antes de las 18:00.; Fin GPS dentro de la tolerancia del horario programado.; 3 hueco(s) GPS &gt;= 10 min.</t>
  </si>
  <si>
    <t>6.226662, -75.599262</t>
  </si>
  <si>
    <t>6.268457, -75.599375</t>
  </si>
  <si>
    <t>presenta error el GPS</t>
  </si>
  <si>
    <t>574ed8d39c896c02</t>
  </si>
  <si>
    <t>18_09_2026_AO_Diur.gpx</t>
  </si>
  <si>
    <t>574ed8d39c896c0247f665ebcba8d2a772669a22f14ae0070f8da719917542de</t>
  </si>
  <si>
    <t>18/09/2026</t>
  </si>
  <si>
    <t>18/09/2026 08:35:14</t>
  </si>
  <si>
    <t>18/09/2026 16:03:43</t>
  </si>
  <si>
    <t>Inicio GPS dentro de la tolerancia del horario programado.; Fin GPS dentro de la tolerancia del horario programado.; 4 hueco(s) GPS &gt;= 10 min.</t>
  </si>
  <si>
    <t>6.225611, -75.599078</t>
  </si>
  <si>
    <t>6.238764, -75.607866</t>
  </si>
  <si>
    <t>db75e5dbfc3c1eec</t>
  </si>
  <si>
    <t>18_09_2026_AR_Diur.gpx</t>
  </si>
  <si>
    <t>db75e5dbfc3c1eecb9afb154e5d6a0d39956d0605060534e537b415b99a07c0a</t>
  </si>
  <si>
    <t>18/09/2026 08:29:36</t>
  </si>
  <si>
    <t>18/09/2026 16:01:24</t>
  </si>
  <si>
    <t>6.225697, -75.599436</t>
  </si>
  <si>
    <t>6.247761, -75.614860</t>
  </si>
  <si>
    <t>28351e32ecc3aab7</t>
  </si>
  <si>
    <t>18_09_2026_DR_Diur.gpx</t>
  </si>
  <si>
    <t>28351e32ecc3aab71e662aabbd511301bdc231f6293fc5ff9d746e362336fe1a</t>
  </si>
  <si>
    <t>18/09/2026 08:37:58</t>
  </si>
  <si>
    <t>18/09/2026 15:42:52</t>
  </si>
  <si>
    <t>Inicio GPS dentro de la tolerancia del horario programado.; Fin GPS anticipado: 00:17:08 antes de las 16:00.; 2 hueco(s) GPS &gt;= 10 min.</t>
  </si>
  <si>
    <t>6.230816, -75.601884</t>
  </si>
  <si>
    <t>6.239649, -75.608310</t>
  </si>
  <si>
    <t>760f3e903b5a7381</t>
  </si>
  <si>
    <t>18_09_2026_JA_Diur.gpx</t>
  </si>
  <si>
    <t>760f3e903b5a7381a552db57ff0e37600bba53b1b5771d9f6458bc584420641b</t>
  </si>
  <si>
    <t>18/09/2026 08:43:57</t>
  </si>
  <si>
    <t>18/09/2026 12:05:04</t>
  </si>
  <si>
    <t>Inicio GPS dentro de la tolerancia del horario programado.; Fin GPS anticipado: 03:54:56 antes de las 16:00.</t>
  </si>
  <si>
    <t>6.225685, -75.599091</t>
  </si>
  <si>
    <t>6.237138, -75.558726</t>
  </si>
  <si>
    <t>09ab39dc75e7d94d</t>
  </si>
  <si>
    <t>18_09_2026_JO_Diur.gpx</t>
  </si>
  <si>
    <t>09ab39dc75e7d94d5332ccc0420aa8c018154017de4e948142214b7b19dd0966</t>
  </si>
  <si>
    <t>18/09/2026 08:46:27</t>
  </si>
  <si>
    <t>18/09/2026 16:00:31</t>
  </si>
  <si>
    <t>Inicio GPS tardío: 00:16:28 después de las 08:30.; Fin GPS dentro de la tolerancia del horario programado.; 11 hueco(s) GPS &gt;= 10 min.; 1 permanencia(s) GPS detectada(s); requiere contexto.</t>
  </si>
  <si>
    <t>6.225605, -75.599091</t>
  </si>
  <si>
    <t>6.246771, -75.554138</t>
  </si>
  <si>
    <t>9031de5bb9e7b3c5</t>
  </si>
  <si>
    <t>18_09_2026_JZ_Diur.gpx</t>
  </si>
  <si>
    <t>9031de5bb9e7b3c53e589e5b129dad5824953847aaa15e3f4a325f215adbb8cd</t>
  </si>
  <si>
    <t>18/09/2026 08:10:59</t>
  </si>
  <si>
    <t>18/09/2026 14:48:04</t>
  </si>
  <si>
    <t>Inicio GPS anterior al horario: 00:19:01 antes de las 08:30.; Fin GPS anticipado: 01:11:56 antes de las 16:00.</t>
  </si>
  <si>
    <t>6.226691, -75.599234</t>
  </si>
  <si>
    <t>6.241651, -75.516547</t>
  </si>
  <si>
    <t>d4b7f60cdb6f56d4</t>
  </si>
  <si>
    <t>18_09_2026_SJ_Diur.gpx</t>
  </si>
  <si>
    <t>d4b7f60cdb6f56d4d15ed5e2a9c06189fdbb0bf21191b183fc95e0debaba2af6</t>
  </si>
  <si>
    <t>18/09/2026 08:40:31</t>
  </si>
  <si>
    <t>18/09/2026 15:28:50</t>
  </si>
  <si>
    <t>Inicio GPS dentro de la tolerancia del horario programado.; Fin GPS anticipado: 00:31:10 antes de las 16:00.</t>
  </si>
  <si>
    <t>6.225759, -75.599410</t>
  </si>
  <si>
    <t>6.304929, -75.577502</t>
  </si>
  <si>
    <t>6dd1257b59b28db6</t>
  </si>
  <si>
    <t>18_09_2026_YL_Diur.gpx</t>
  </si>
  <si>
    <t>6dd1257b59b28db66571c1c0235809e4044da3a8f08fe8f8e2c5599b906ad4eb</t>
  </si>
  <si>
    <t>18/09/2026 08:47:14</t>
  </si>
  <si>
    <t>18/09/2026 15:59:49</t>
  </si>
  <si>
    <t>Inicio GPS tardío: 00:17:14 después de las 08:30.; Fin GPS dentro de la tolerancia del horario programado.</t>
  </si>
  <si>
    <t>6.225650, -75.599074</t>
  </si>
  <si>
    <t>6.258732, -75.616245</t>
  </si>
  <si>
    <t>08841ee0ded3204b</t>
  </si>
  <si>
    <t>19_09_2026_DR_Diur.gpx</t>
  </si>
  <si>
    <t>08841ee0ded3204baf0f20b9363ccba0e7e3c445dfce38bd70bfa3a7b5a4ec8c</t>
  </si>
  <si>
    <t>19/09/2026</t>
  </si>
  <si>
    <t>19/09/2026 09:28:26</t>
  </si>
  <si>
    <t>19/09/2026 14:22:55</t>
  </si>
  <si>
    <t>Inicio GPS tardío: 00:58:26 después de las 08:30.; Fin GPS anticipado: 01:37:05 antes de las 16:00.; 1 hueco(s) GPS &gt;= 10 min.</t>
  </si>
  <si>
    <t>6.252651, -75.609697</t>
  </si>
  <si>
    <t>6.243433, -75.602993</t>
  </si>
  <si>
    <t>retuvieron el vehículo donde estaba laborando en el corregimiento de Santa Elena</t>
  </si>
  <si>
    <t>d7b664ef81ad9651</t>
  </si>
  <si>
    <t>18_09_2026_DV_Noct1.gpx</t>
  </si>
  <si>
    <t>d7b664ef81ad9651554f4d4fa4321cd936eac554b8e90b2d1b9a7efec9642fb0</t>
  </si>
  <si>
    <t>18/09/2026 18:14:24</t>
  </si>
  <si>
    <t>18/09/2026 23:07:55</t>
  </si>
  <si>
    <t>Inicio GPS dentro de la tolerancia del horario programado.; Fin GPS anticipado: 00:52:05 antes de las 00:00.; 1 hueco(s) GPS &gt;= 10 min.</t>
  </si>
  <si>
    <t>6.270135, -75.601358</t>
  </si>
  <si>
    <t>6.246358, -75.604612</t>
  </si>
  <si>
    <t>0b3b3e04436c9877</t>
  </si>
  <si>
    <t>18_09_2026_DV_Noct2.gpx</t>
  </si>
  <si>
    <t>0b3b3e04436c9877c98cc7e76170acac75d69b6bfb77bc702a6e8b91134c7379</t>
  </si>
  <si>
    <t>18/09/2026 22:19:50</t>
  </si>
  <si>
    <t>19/09/2026 00:13:49</t>
  </si>
  <si>
    <t>Inicio GPS tardío: 04:19:51 después de las 18:00.; Fin GPS dentro de la tolerancia del horario programado.; 1 hueco(s) GPS &gt;= 10 min.</t>
  </si>
  <si>
    <t>6.251355, -75.607428</t>
  </si>
  <si>
    <t>6.272566, -75.602164</t>
  </si>
  <si>
    <t>411c6fb03be049a0</t>
  </si>
  <si>
    <t>18_09_2026_IQ_Noct.gpx</t>
  </si>
  <si>
    <t>411c6fb03be049a075a3b26e6982874b7088874c41de9683287188622862b445</t>
  </si>
  <si>
    <t>18/09/2026 18:02:40</t>
  </si>
  <si>
    <t>18/09/2026 23:44:35</t>
  </si>
  <si>
    <t>Inicio GPS dentro de la tolerancia del horario programado.; Fin GPS anticipado: 00:15:25 antes de las 00:00.; 3 hueco(s) GPS &gt;= 10 min.</t>
  </si>
  <si>
    <t>6.271953, -75.540673</t>
  </si>
  <si>
    <t>6.264430, -75.570660</t>
  </si>
  <si>
    <t>1c33940de6d83ac0</t>
  </si>
  <si>
    <t>18_09_2026_JHP_Noct.gpx</t>
  </si>
  <si>
    <t>1c33940de6d83ac0ea53dec915860f2c48d3fa189da38e1c9f34d7786ab4c7ba</t>
  </si>
  <si>
    <t>18/09/2026 17:31:58</t>
  </si>
  <si>
    <t>19/09/2026 00:21:47</t>
  </si>
  <si>
    <t>Inicio GPS anterior al horario: 00:28:02 antes de las 18:00.; Fin GPS posterior: 00:21:47 después de las 00:00.</t>
  </si>
  <si>
    <t>6.290363, -75.546539</t>
  </si>
  <si>
    <t>6.290377, -75.546586</t>
  </si>
  <si>
    <t>1f282216ee6e37f2</t>
  </si>
  <si>
    <t>18_09_2026_JP_Noct.gpx</t>
  </si>
  <si>
    <t>1f282216ee6e37f2520889c4282cf35711e63dfc3ceb4eb4602373514907a767</t>
  </si>
  <si>
    <t>18/09/2026 17:58:21</t>
  </si>
  <si>
    <t>18/09/2026 23:59:00</t>
  </si>
  <si>
    <t>6.252467, -75.551827</t>
  </si>
  <si>
    <t>6.251812, -75.551810</t>
  </si>
  <si>
    <t>4eaa6f0e3139ce9c</t>
  </si>
  <si>
    <t>18_09_2026_LA_Noct.gpx</t>
  </si>
  <si>
    <t>4eaa6f0e3139ce9c3a1da9d13c538d9ea5f60c113e3a1e72c2c5288d79d3016e</t>
  </si>
  <si>
    <t>18/09/2026 17:27:27</t>
  </si>
  <si>
    <t>19/09/2026 00:00:48</t>
  </si>
  <si>
    <t>Inicio GPS anterior al horario: 00:32:33 antes de las 18:00.; Fin GPS dentro de la tolerancia del horario programado.; 2 hueco(s) GPS &gt;= 10 min.</t>
  </si>
  <si>
    <t>6.268908, -75.598983</t>
  </si>
  <si>
    <t>6.239752, -75.575770</t>
  </si>
  <si>
    <t>3045fae0d268338d</t>
  </si>
  <si>
    <t>19_09_2026_AR_Noct.gpx</t>
  </si>
  <si>
    <t>3045fae0d268338d25d3cd23bdd9fd7b7ab66535277cf52b510b0f2255c64b2c</t>
  </si>
  <si>
    <t>19/09/2026 18:23:21</t>
  </si>
  <si>
    <t>20/09/2026 00:05:17</t>
  </si>
  <si>
    <t>Inicio GPS tardío: 00:23:21 después de las 18:00.; Fin GPS dentro de la tolerancia del horario programado.; Sábado nocturno: verificar técnico asignado.</t>
  </si>
  <si>
    <t>6.247751, -75.614997</t>
  </si>
  <si>
    <t>6.247642, -75.614915</t>
  </si>
  <si>
    <t>Este recorrido inicio temprano</t>
  </si>
  <si>
    <t>f5cb150a19768be1</t>
  </si>
  <si>
    <t>21_09_2026_AO_Diur.gpx</t>
  </si>
  <si>
    <t>f5cb150a19768be11f5f5f899eca0440e6e3b31b79532bd3d2717e1843b2aeee</t>
  </si>
  <si>
    <t>21/09/2026</t>
  </si>
  <si>
    <t>21/09/2026 09:19:43</t>
  </si>
  <si>
    <t>21/09/2026 16:31:57</t>
  </si>
  <si>
    <t>Inicio GPS tardío: 00:49:43 después de las 08:30.; Fin GPS dentro de la tolerancia del horario programado.; 7 hueco(s) GPS &gt;= 10 min.</t>
  </si>
  <si>
    <t>6.215855, -75.597796</t>
  </si>
  <si>
    <t>6.232111, -75.597014</t>
  </si>
  <si>
    <t>4af9429c979acd31</t>
  </si>
  <si>
    <t>21_09_2026_AR_Diur.gpx</t>
  </si>
  <si>
    <t>4af9429c979acd311095eb9d774c8740b3b098e341a257bcd082b7d3d591eaf8</t>
  </si>
  <si>
    <t>21/09/2026 08:30:35</t>
  </si>
  <si>
    <t>21/09/2026 16:31:01</t>
  </si>
  <si>
    <t>Inicio GPS dentro de la tolerancia del horario programado.; Fin GPS dentro de la tolerancia del horario programado.; 3 hueco(s) GPS &gt;= 10 min.; 1 permanencia(s) GPS detectada(s); requiere contexto.</t>
  </si>
  <si>
    <t>6.225557, -75.599429</t>
  </si>
  <si>
    <t>6.247690, -75.614950</t>
  </si>
  <si>
    <t>b710dc61d83a58bb</t>
  </si>
  <si>
    <t>21_09_2026_DR_Diur.gpx</t>
  </si>
  <si>
    <t>b710dc61d83a58bb2fd6232a2081ad7f1b35edb95d53d9681cfb5d0fc0a9002f</t>
  </si>
  <si>
    <t>21/09/2026 08:34:46</t>
  </si>
  <si>
    <t>21/09/2026 15:11:17</t>
  </si>
  <si>
    <t>Inicio GPS dentro de la tolerancia del horario programado.; Fin GPS anticipado: 01:18:43 antes de las 16:30.; 1 hueco(s) GPS &gt;= 10 min.</t>
  </si>
  <si>
    <t>6.229786, -75.602256</t>
  </si>
  <si>
    <t>6.250664, -75.602300</t>
  </si>
  <si>
    <t>df723bcb444a9b89</t>
  </si>
  <si>
    <t>21_09_2026_HC_Diur.gpx</t>
  </si>
  <si>
    <t>df723bcb444a9b89a96cfe59b0b091589c7ded961c305d4de77c75f601da7f63</t>
  </si>
  <si>
    <t>21/09/2026 08:20:27</t>
  </si>
  <si>
    <t>21/09/2026 14:33:13</t>
  </si>
  <si>
    <t>Inicio GPS dentro de la tolerancia del horario programado.; Fin GPS anticipado: 01:56:47 antes de las 16:30.</t>
  </si>
  <si>
    <t>6.225705, -75.599133</t>
  </si>
  <si>
    <t>6.272694, -75.593395</t>
  </si>
  <si>
    <t>6f27f1f7911931ca</t>
  </si>
  <si>
    <t>21_09_2026_JA_Diur.gpx</t>
  </si>
  <si>
    <t>6f27f1f7911931ca3828937e00b0d9d7e4b7f2e3b4a744bbd82905cb69fa15fb</t>
  </si>
  <si>
    <t>21/09/2026 08:36:56</t>
  </si>
  <si>
    <t>21/09/2026 12:04:26</t>
  </si>
  <si>
    <t>Inicio GPS dentro de la tolerancia del horario programado.; Fin GPS anticipado: 04:25:34 antes de las 16:30.</t>
  </si>
  <si>
    <t>6.225869, -75.599106</t>
  </si>
  <si>
    <t>6.239244, -75.561041</t>
  </si>
  <si>
    <t>27e8aa2b9041b83e</t>
  </si>
  <si>
    <t>21_09_2026_JO_Diur.gpx</t>
  </si>
  <si>
    <t>27e8aa2b9041b83e20a191f2772b4630e814d805f38d3a0411d9332a0dae3660</t>
  </si>
  <si>
    <t>21/09/2026 08:37:28</t>
  </si>
  <si>
    <t>21/09/2026 16:43:37</t>
  </si>
  <si>
    <t>6.225603, -75.599496</t>
  </si>
  <si>
    <t>6.259267, -75.620907</t>
  </si>
  <si>
    <t>dde7444915f2b4e9</t>
  </si>
  <si>
    <t>21_09_2026_JZ_Diur.gpx</t>
  </si>
  <si>
    <t>dde7444915f2b4e92aec2f1f976d41ad31491801b484ddb32cf638a5e3f4489c</t>
  </si>
  <si>
    <t>21/09/2026 08:24:13</t>
  </si>
  <si>
    <t>21/09/2026 16:37:06</t>
  </si>
  <si>
    <t>6.226645, -75.599253</t>
  </si>
  <si>
    <t>6.279198, -75.569200</t>
  </si>
  <si>
    <t>b634bea971084078</t>
  </si>
  <si>
    <t>21_09_2026_SJ_Diur.gpx</t>
  </si>
  <si>
    <t>b634bea971084078b58e036e265cc4e8a09286138fc0ba3da01e624fcd462fef</t>
  </si>
  <si>
    <t>21/09/2026 08:26:09</t>
  </si>
  <si>
    <t>21/09/2026 16:07:56</t>
  </si>
  <si>
    <t>Inicio GPS dentro de la tolerancia del horario programado.; Fin GPS anticipado: 00:22:04 antes de las 16:30.; 1 hueco(s) GPS &gt;= 10 min.</t>
  </si>
  <si>
    <t>6.225533, -75.599530</t>
  </si>
  <si>
    <t>6.305275, -75.581861</t>
  </si>
  <si>
    <t>04d5b448cbe1d3e9</t>
  </si>
  <si>
    <t>21_09_2026_YL_Diur.gpx</t>
  </si>
  <si>
    <t>04d5b448cbe1d3e9f8fbfd0ec274e7c976ba2c0c9862da1199250c1f56a6b3e4</t>
  </si>
  <si>
    <t>21/09/2026 08:53:20</t>
  </si>
  <si>
    <t>21/09/2026 16:34:39</t>
  </si>
  <si>
    <t>Inicio GPS tardío: 00:23:20 después de las 08:30.; Fin GPS dentro de la tolerancia del horario programado.; 2 hueco(s) GPS &gt;= 10 min.</t>
  </si>
  <si>
    <t>6.225541, -75.599001</t>
  </si>
  <si>
    <t>6.258346, -75.615844</t>
  </si>
  <si>
    <t>4884f203cb19cd6f</t>
  </si>
  <si>
    <t>21_09_2026_DV_Noct.gpx</t>
  </si>
  <si>
    <t>4884f203cb19cd6f079a749132d411d17323f85c044649c665815bb14f94daf2</t>
  </si>
  <si>
    <t>21/09/2026 16:49:40</t>
  </si>
  <si>
    <t>22/09/2026 00:19:36</t>
  </si>
  <si>
    <t>Inicio GPS anterior al horario: 01:10:20 antes de las 18:00.; Fin GPS posterior: 00:19:36 después de las 00:00.</t>
  </si>
  <si>
    <t>6.230358, -75.596036</t>
  </si>
  <si>
    <t>6.272685, -75.601995</t>
  </si>
  <si>
    <t>9e22990e3b4a2ca1</t>
  </si>
  <si>
    <t>21_09_2026_JHP_Noct.gpx</t>
  </si>
  <si>
    <t>9e22990e3b4a2ca1d3a52ec4fc41e1d02c472c3565f3e888499da61f9f20fd26</t>
  </si>
  <si>
    <t>21/09/2026 17:13:19</t>
  </si>
  <si>
    <t>21/09/2026 23:53:16</t>
  </si>
  <si>
    <t>Inicio GPS anterior al horario: 00:46:41 antes de las 18:00.; Fin GPS dentro de la tolerancia del horario programado.</t>
  </si>
  <si>
    <t>6.226799, -75.599269</t>
  </si>
  <si>
    <t>6.290376, -75.546627</t>
  </si>
  <si>
    <t>835e20c04a53828a</t>
  </si>
  <si>
    <t>21_09_2026_JP_Noct.gpx</t>
  </si>
  <si>
    <t>835e20c04a53828ac368be1f9fdba8cf009f6fbc15008e849ce99879df0dfc8c</t>
  </si>
  <si>
    <t>21/09/2026 17:18:13</t>
  </si>
  <si>
    <t>21/09/2026 21:40:42</t>
  </si>
  <si>
    <t>Inicio GPS anterior al horario: 00:41:47 antes de las 18:00.; Fin GPS anticipado: 02:19:18 antes de las 00:00.; 1 hueco(s) GPS &gt;= 10 min.</t>
  </si>
  <si>
    <t>6.227053, -75.599640</t>
  </si>
  <si>
    <t>6.251827, -75.551843</t>
  </si>
  <si>
    <t>b907b156e6a5331b</t>
  </si>
  <si>
    <t>b907b156e6a5331be632ae339c782b82f2745169ca62414b285562508b1a292d</t>
  </si>
  <si>
    <t>21/09/2026 17:05:19</t>
  </si>
  <si>
    <t>21/09/2026 23:58:09</t>
  </si>
  <si>
    <t>6.226718, -75.599287</t>
  </si>
  <si>
    <t>6.261535, -75.592328</t>
  </si>
  <si>
    <t>21_09_2026_LA_Noct.gpx</t>
  </si>
  <si>
    <t>Inicio GPS anterior al horario: 00:54:41 antes de las 18:00.; Fin GPS dentro de la tolerancia del horario programado.; 2 hueco(s) GPS &gt;= 10 min.</t>
  </si>
  <si>
    <t>74495a6fa19689de</t>
  </si>
  <si>
    <t>21_09_2026_IQ_Noct.gpx</t>
  </si>
  <si>
    <t>74495a6fa19689dec156654a51031c211e6db1b376f23ddef8a0e02cd742a84e</t>
  </si>
  <si>
    <t>21/09/2026 16:52:55</t>
  </si>
  <si>
    <t>21/09/2026 23:52:10</t>
  </si>
  <si>
    <t>Inicio GPS anterior al horario: 01:07:05 antes de las 18:00.; Fin GPS dentro de la tolerancia del horario programado.; 4 hueco(s) GPS &gt;= 10 min.</t>
  </si>
  <si>
    <t>6.307972, -75.566957</t>
  </si>
  <si>
    <t>2a5d12d522d0ec56</t>
  </si>
  <si>
    <t>22_09_2026_AO_Diur.gpx</t>
  </si>
  <si>
    <t>2a5d12d522d0ec56261ab7d8d6b1630a43e635bab73594f1404ba06b34c31210</t>
  </si>
  <si>
    <t>22/09/2026</t>
  </si>
  <si>
    <t>22/09/2026 08:59:19</t>
  </si>
  <si>
    <t>22/09/2026 15:52:59</t>
  </si>
  <si>
    <t>Inicio GPS tardío: 00:29:20 después de las 08:30.; Fin GPS anticipado: 00:37:01 antes de las 16:30.; 4 hueco(s) GPS &gt;= 10 min.</t>
  </si>
  <si>
    <t>6.202817, -75.600998</t>
  </si>
  <si>
    <t>6.221707, -75.593844</t>
  </si>
  <si>
    <t>7dc74d5317f3bd9f</t>
  </si>
  <si>
    <t>22_09_2026_AR_Diur.gpx</t>
  </si>
  <si>
    <t>7dc74d5317f3bd9fe1c3149f518fceb8b65009e52b7a0f0f33c11d75a47426b8</t>
  </si>
  <si>
    <t>22/09/2026 08:02:58</t>
  </si>
  <si>
    <t>22/09/2026 16:27:39</t>
  </si>
  <si>
    <t>Inicio GPS anterior al horario: 00:27:02 antes de las 08:30.; Fin GPS dentro de la tolerancia del horario programado.; 2 hueco(s) GPS &gt;= 10 min.</t>
  </si>
  <si>
    <t>6.225834, -75.599425</t>
  </si>
  <si>
    <t>6.243712, -75.598613</t>
  </si>
  <si>
    <t>70230eb672e9cc1f</t>
  </si>
  <si>
    <t>22_09_2026_DR_Diur.gpx</t>
  </si>
  <si>
    <t>70230eb672e9cc1f3460be4ad96f5705a18da9ce7ecdad2e58586d5e223e77af</t>
  </si>
  <si>
    <t>22/09/2026 08:32:25</t>
  </si>
  <si>
    <t>22/09/2026 16:42:18</t>
  </si>
  <si>
    <t>6.235689, -75.602202</t>
  </si>
  <si>
    <t>6.256139, -75.598315</t>
  </si>
  <si>
    <t>98c040a5bcec5b7b</t>
  </si>
  <si>
    <t>22_09_2026_HC_Diur.gpx</t>
  </si>
  <si>
    <t>98c040a5bcec5b7bf78e262a0f96c39560ec3f7438dae6d9eda28651eefdd49d</t>
  </si>
  <si>
    <t>22/09/2026 08:22:01</t>
  </si>
  <si>
    <t>22/09/2026 14:08:55</t>
  </si>
  <si>
    <t>Inicio GPS dentro de la tolerancia del horario programado.; Fin GPS anticipado: 02:21:05 antes de las 16:30.; 1 hueco(s) GPS &gt;= 10 min.</t>
  </si>
  <si>
    <t>6.225723, -75.599263</t>
  </si>
  <si>
    <t>6.259351, -75.597240</t>
  </si>
  <si>
    <t>244c815a07a75689</t>
  </si>
  <si>
    <t>22_09_2026_JA_Diur.gpx</t>
  </si>
  <si>
    <t>244c815a07a75689811bc095a5e4a5678d913ccb5415086f04a495333900a1b9</t>
  </si>
  <si>
    <t>22/09/2026 08:33:40</t>
  </si>
  <si>
    <t>22/09/2026 13:22:19</t>
  </si>
  <si>
    <t>Inicio GPS dentro de la tolerancia del horario programado.; Fin GPS anticipado: 03:07:41 antes de las 16:30.</t>
  </si>
  <si>
    <t>6.225658, -75.599198</t>
  </si>
  <si>
    <t>6.236572, -75.558755</t>
  </si>
  <si>
    <t>6c10f9a23867b808</t>
  </si>
  <si>
    <t>22_09_2026_JO_Diur.gpx</t>
  </si>
  <si>
    <t>6c10f9a23867b80804f0e0d3026cbd2377a4e84295aabb81f604aef45752b27f</t>
  </si>
  <si>
    <t>22/09/2026 08:20:47</t>
  </si>
  <si>
    <t>22/09/2026 16:34:54</t>
  </si>
  <si>
    <t>Inicio GPS dentro de la tolerancia del horario programado.; Fin GPS dentro de la tolerancia del horario programado.; 14 hueco(s) GPS &gt;= 10 min.</t>
  </si>
  <si>
    <t>6.225457, -75.599381</t>
  </si>
  <si>
    <t>6.259262, -75.620933</t>
  </si>
  <si>
    <t>f27b71b164cba290</t>
  </si>
  <si>
    <t>22_09_2026_JZ_Diur.gpx</t>
  </si>
  <si>
    <t>f27b71b164cba290e70f9cddfe830ad09af83e603900c2951d4a153691fc0b60</t>
  </si>
  <si>
    <t>22/09/2026 08:30:53</t>
  </si>
  <si>
    <t>22/09/2026 16:32:51</t>
  </si>
  <si>
    <t>6.226507, -75.599345</t>
  </si>
  <si>
    <t>6.279424, -75.569649</t>
  </si>
  <si>
    <t>0b975ab9cf7f549f</t>
  </si>
  <si>
    <t>22_09_2026_SJ_Diur.gpx</t>
  </si>
  <si>
    <t>0b975ab9cf7f549facbafc790c2cc7d87714627553ac9528f465dd26e9525b18</t>
  </si>
  <si>
    <t>22/09/2026 08:22:52</t>
  </si>
  <si>
    <t>22/09/2026 16:24:55</t>
  </si>
  <si>
    <t>6.225703, -75.599447</t>
  </si>
  <si>
    <t>6.308651, -75.580760</t>
  </si>
  <si>
    <t>08614fea07320d08</t>
  </si>
  <si>
    <t>22_09_2026_YL_Diur.gpx</t>
  </si>
  <si>
    <t>08614fea07320d08084c2296fd70d2e13d8b0c1f17fdd4872e33583594595dbf</t>
  </si>
  <si>
    <t>22/09/2026 08:32:21</t>
  </si>
  <si>
    <t>22/09/2026 16:33:25</t>
  </si>
  <si>
    <t>6.225757, -75.599180</t>
  </si>
  <si>
    <t>6.258719, -75.616753</t>
  </si>
  <si>
    <t>22e3cf1e69577752</t>
  </si>
  <si>
    <t>22_09_2026_IQ_Noct.gpx</t>
  </si>
  <si>
    <t>22e3cf1e6957775221afa64285023da562984dae936caa954ee47dc6fc339b1e</t>
  </si>
  <si>
    <t>22/09/2026 16:26:00</t>
  </si>
  <si>
    <t>22/09/2026 23:44:29</t>
  </si>
  <si>
    <t>Inicio GPS anterior al horario: 01:34:00 antes de las 18:00.; Fin GPS anticipado: 00:15:31 antes de las 00:00.; 3 hueco(s) GPS &gt;= 10 min.</t>
  </si>
  <si>
    <t>6.225582, -75.599125</t>
  </si>
  <si>
    <t>6.243778, -75.556727</t>
  </si>
  <si>
    <t>030c093ed850598e</t>
  </si>
  <si>
    <t>22_09_2026_JHP_Noct.gpx</t>
  </si>
  <si>
    <t>030c093ed850598ec0b41fe7b3c85401960f95f2dbbed6b59963263368016517</t>
  </si>
  <si>
    <t>22/09/2026 17:21:13</t>
  </si>
  <si>
    <t>23/09/2026 00:01:55</t>
  </si>
  <si>
    <t>Inicio GPS anterior al horario: 00:38:47 antes de las 18:00.; Fin GPS dentro de la tolerancia del horario programado.</t>
  </si>
  <si>
    <t>6.226689, -75.599312</t>
  </si>
  <si>
    <t>6.290541, -75.546397</t>
  </si>
  <si>
    <t>6c6a01bf19af2e78</t>
  </si>
  <si>
    <t>22_09_2026_JP_Noct.gpx</t>
  </si>
  <si>
    <t>6c6a01bf19af2e78e9bcfc6cc317e47b2a3f8fca1ba9f4a003178fda7d114836</t>
  </si>
  <si>
    <t>22/09/2026 17:43:40</t>
  </si>
  <si>
    <t>22/09/2026 22:07:06</t>
  </si>
  <si>
    <t>Inicio GPS anterior al horario: 00:16:20 antes de las 18:00.; Fin GPS anticipado: 01:52:54 antes de las 00:00.</t>
  </si>
  <si>
    <t>6.226945, -75.599697</t>
  </si>
  <si>
    <t>6.251832, -75.551803</t>
  </si>
  <si>
    <t>e2ed9061be63926a</t>
  </si>
  <si>
    <t>e2ed9061be63926a391cd48dc7c044e90a74ac21cbda166b2d4e8ac09b45c814</t>
  </si>
  <si>
    <t>22/09/2026 17:01:15</t>
  </si>
  <si>
    <t>22/09/2026 23:57:14</t>
  </si>
  <si>
    <t>6.226620, -75.598615</t>
  </si>
  <si>
    <t>6.252440, -75.582687</t>
  </si>
  <si>
    <t>43299031c0ccff50</t>
  </si>
  <si>
    <t>22_09_2026_DV_Noct.gpx</t>
  </si>
  <si>
    <t>43299031c0ccff50294b6f975c848301f36803586ffe271406e537e2a79cdfa0</t>
  </si>
  <si>
    <t>22/09/2026 16:55:24</t>
  </si>
  <si>
    <t>23/09/2026 00:21:54</t>
  </si>
  <si>
    <t>Inicio GPS anterior al horario: 01:04:36 antes de las 18:00.; Fin GPS posterior: 00:21:54 después de las 00:00.</t>
  </si>
  <si>
    <t>6.263043, -75.595582</t>
  </si>
  <si>
    <t>6.272825, -75.602050</t>
  </si>
  <si>
    <t>22_09_2026_LA_Noct.gpx</t>
  </si>
  <si>
    <t>Inicio GPS anterior al horario: 00:58:45 antes de las 18:00.; Fin GPS dentro de la tolerancia del horario programado.; 3 hueco(s) GPS &gt;= 10 min.</t>
  </si>
  <si>
    <t>27bf9ccc57f408d3</t>
  </si>
  <si>
    <t>23_09_2026_AO_Diur.gpx</t>
  </si>
  <si>
    <t>27bf9ccc57f408d3a1e58989de7178cb85dd167049fa727b70aa3a0879a845cb</t>
  </si>
  <si>
    <t>23/09/2026</t>
  </si>
  <si>
    <t>23/09/2026 09:17:02</t>
  </si>
  <si>
    <t>23/09/2026 17:09:42</t>
  </si>
  <si>
    <t>Inicio GPS tardío: 00:47:03 después de las 08:30.; Fin GPS posterior: 00:39:43 después de las 16:30.; 4 hueco(s) GPS &gt;= 10 min.</t>
  </si>
  <si>
    <t>6.203335, -75.600755</t>
  </si>
  <si>
    <t>6.233316, -75.603455</t>
  </si>
  <si>
    <t>7a91edd00a841142</t>
  </si>
  <si>
    <t>23_09_2026_AR_Diur.gpx</t>
  </si>
  <si>
    <t>7a91edd00a8411422c22e48ab6aa40db972723a3e6f81e1d911b47c901f33c40</t>
  </si>
  <si>
    <t>23/09/2026 08:16:16</t>
  </si>
  <si>
    <t>23/09/2026 16:11:11</t>
  </si>
  <si>
    <t>Inicio GPS dentro de la tolerancia del horario programado.; Fin GPS anticipado: 00:18:49 antes de las 16:30.; 2 hueco(s) GPS &gt;= 10 min.</t>
  </si>
  <si>
    <t>6.225747, -75.599410</t>
  </si>
  <si>
    <t>6.255957, -75.616418</t>
  </si>
  <si>
    <t>4408ac1d649faca3</t>
  </si>
  <si>
    <t>23_09_2026_DR_Diur.gpx</t>
  </si>
  <si>
    <t>4408ac1d649faca302b1a8ecf19b979de608bcd9adef35bce34292cd26b3aeb6</t>
  </si>
  <si>
    <t>23/09/2026 08:51:52</t>
  </si>
  <si>
    <t>23/09/2026 16:41:32</t>
  </si>
  <si>
    <t>Inicio GPS tardío: 00:21:52 después de las 08:30.; Fin GPS dentro de la tolerancia del horario programado.; 3 hueco(s) GPS &gt;= 10 min.</t>
  </si>
  <si>
    <t>6.232912, -75.602197</t>
  </si>
  <si>
    <t>6.250884, -75.621311</t>
  </si>
  <si>
    <t>cee7dbc94d8380b9</t>
  </si>
  <si>
    <t>23_09_2026_HC_Diur.gpx</t>
  </si>
  <si>
    <t>cee7dbc94d8380b967c51fa1a926584f6f8387e40221a1c8e56431369faf5ba9</t>
  </si>
  <si>
    <t>23/09/2026 08:20:00</t>
  </si>
  <si>
    <t>23/09/2026 14:17:50</t>
  </si>
  <si>
    <t>Inicio GPS dentro de la tolerancia del horario programado.; Fin GPS anticipado: 02:12:10 antes de las 16:30.</t>
  </si>
  <si>
    <t>6.225662, -75.599078</t>
  </si>
  <si>
    <t>6.271636, -75.597142</t>
  </si>
  <si>
    <t>abbfd962adecc6f9</t>
  </si>
  <si>
    <t>23_09_2026_JA_Diur1.gpx</t>
  </si>
  <si>
    <t>abbfd962adecc6f91b4e71bf28b254f741a22c8e9aedc308cb409194fbd1ad5b</t>
  </si>
  <si>
    <t>23/09/2026 16:26:53</t>
  </si>
  <si>
    <t>23/09/2026 17:31:38</t>
  </si>
  <si>
    <t>PARTE DE RECORRIDO</t>
  </si>
  <si>
    <t>dba3452836ba7e50</t>
  </si>
  <si>
    <t>23_09_2026_JA_Diur2.gpx</t>
  </si>
  <si>
    <t>dba3452836ba7e50cc3f660a7059238423e73768e6e6d9c1ebe7ef47a5a38bab</t>
  </si>
  <si>
    <t>23/09/2026 08:50:57</t>
  </si>
  <si>
    <t>23/09/2026 12:14:38</t>
  </si>
  <si>
    <t>025a647a490108ab</t>
  </si>
  <si>
    <t>23_09_2026_JO_Diur.gpx</t>
  </si>
  <si>
    <t>025a647a490108ab58e8e211691c0f25058cad25387522be9e59a593723a511c</t>
  </si>
  <si>
    <t>23/09/2026 08:45:49</t>
  </si>
  <si>
    <t>23/09/2026 16:45:11</t>
  </si>
  <si>
    <t>Inicio GPS tardío: 00:15:49 después de las 08:30.; Fin GPS posterior: 00:15:11 después de las 16:30.; 10 hueco(s) GPS &gt;= 10 min.</t>
  </si>
  <si>
    <t>6.225619, -75.599349</t>
  </si>
  <si>
    <t>6.246063, -75.561330</t>
  </si>
  <si>
    <t>902a3fd7e70712ae</t>
  </si>
  <si>
    <t>23_09_2026_JZ_Diur.gpx</t>
  </si>
  <si>
    <t>902a3fd7e70712aeca6629d519f06105047cecdd8a4069792258d07bdd369e43</t>
  </si>
  <si>
    <t>23/09/2026 08:04:28</t>
  </si>
  <si>
    <t>23/09/2026 16:34:36</t>
  </si>
  <si>
    <t>Inicio GPS anterior al horario: 00:25:32 antes de las 08:30.; Fin GPS dentro de la tolerancia del horario programado.; 3 hueco(s) GPS &gt;= 10 min.</t>
  </si>
  <si>
    <t>6.226573, -75.599305</t>
  </si>
  <si>
    <t>6.279455, -75.570395</t>
  </si>
  <si>
    <t>a87b9c61f88f6dc6</t>
  </si>
  <si>
    <t>23_09_2026_SJ_Diur.gpx</t>
  </si>
  <si>
    <t>a87b9c61f88f6dc61d7c57e704a7019cfeeb155863211b6fcd05b1a5345a41e2</t>
  </si>
  <si>
    <t>23/09/2026 08:39:04</t>
  </si>
  <si>
    <t>23/09/2026 16:04:43</t>
  </si>
  <si>
    <t>Inicio GPS dentro de la tolerancia del horario programado.; Fin GPS anticipado: 00:25:17 antes de las 16:30.; 1 hueco(s) GPS &gt;= 10 min.</t>
  </si>
  <si>
    <t>6.225663, -75.599389</t>
  </si>
  <si>
    <t>6.308000, -75.581952</t>
  </si>
  <si>
    <t>562b967a6b961354</t>
  </si>
  <si>
    <t>23_09_2026_YL_Diur.gpx</t>
  </si>
  <si>
    <t>562b967a6b961354db78b9cffe2da313776b367f0271c4f71ff1efefdac672ff</t>
  </si>
  <si>
    <t>23/09/2026 08:49:21</t>
  </si>
  <si>
    <t>23/09/2026 16:45:00</t>
  </si>
  <si>
    <t>Inicio GPS tardío: 00:19:21 después de las 08:30.; Fin GPS dentro de la tolerancia del horario programado.</t>
  </si>
  <si>
    <t>6.225580, -75.599298</t>
  </si>
  <si>
    <t>6.258559, -75.616272</t>
  </si>
  <si>
    <t>Recorrido fragmentado 2 parte(s): INICIO DE RECORRIDO. Inicio operativo 08:50:57 y fin operativo 17:31:38.; Inicio GPS tardío: 00:20:57 después de las 08:30.</t>
  </si>
  <si>
    <t>6.225734, -75.599447</t>
  </si>
  <si>
    <t>6.235813, -75.555079</t>
  </si>
  <si>
    <t>Recorrido fragmentado 2 parte(s): FIN DE RECORRIDO. Inicio operativo 08:50:57 y fin operativo 17:31:38.; Fin GPS posterior: 01:01:38 después de las 16:30.</t>
  </si>
  <si>
    <t>6.236402, -75.560054</t>
  </si>
  <si>
    <t>6.237026, -75.558757</t>
  </si>
  <si>
    <t>c7bcdda3448eca70</t>
  </si>
  <si>
    <t>23_09_2026_DV_Noct.gpx</t>
  </si>
  <si>
    <t>c7bcdda3448eca7014a76963f98c28a7628c901ad953ed367050d466f0da05ff</t>
  </si>
  <si>
    <t>23/09/2026 17:50:48</t>
  </si>
  <si>
    <t>24/09/2026 00:23:26</t>
  </si>
  <si>
    <t>Inicio GPS dentro de la tolerancia del horario programado.; Fin GPS posterior: 00:23:26 después de las 00:00.</t>
  </si>
  <si>
    <t>6.226789, -75.599344</t>
  </si>
  <si>
    <t>6.272684, -75.602048</t>
  </si>
  <si>
    <t>854b85750ca295ba</t>
  </si>
  <si>
    <t>23_09_2026_IQ_Noct.gpx</t>
  </si>
  <si>
    <t>854b85750ca295bab2dbaff996de56ef78092891b34f495b545a89ffb99f5af8</t>
  </si>
  <si>
    <t>23/09/2026 17:35:20</t>
  </si>
  <si>
    <t>23/09/2026 23:57:48</t>
  </si>
  <si>
    <t>Inicio GPS anterior al horario: 00:24:40 antes de las 18:00.; Fin GPS dentro de la tolerancia del horario programado.; 6 hueco(s) GPS &gt;= 10 min.</t>
  </si>
  <si>
    <t>6.213995, -75.596642</t>
  </si>
  <si>
    <t>6.270932, -75.554243</t>
  </si>
  <si>
    <t>1524ebf6e64c53aa</t>
  </si>
  <si>
    <t>23_09_2026_JP_Noct.gpx</t>
  </si>
  <si>
    <t>1524ebf6e64c53aa5e6027a2d921e2541675d5de5bc7ab5d37d972940274a473</t>
  </si>
  <si>
    <t>23/09/2026 17:30:41</t>
  </si>
  <si>
    <t>23/09/2026 21:41:04</t>
  </si>
  <si>
    <t>Inicio GPS anterior al horario: 00:29:19 antes de las 18:00.; Fin GPS anticipado: 02:18:56 antes de las 00:00.</t>
  </si>
  <si>
    <t>6.226977, -75.599622</t>
  </si>
  <si>
    <t>6.251832, -75.551835</t>
  </si>
  <si>
    <t>c28c6adae2a52086</t>
  </si>
  <si>
    <t>23_09_2026_LA_Noct.gpx</t>
  </si>
  <si>
    <t>c28c6adae2a52086a5b43f8adf2f7efb0ab6d21e943556b357652747d7f1966b</t>
  </si>
  <si>
    <t>23/09/2026 17:41:21</t>
  </si>
  <si>
    <t>24/09/2026 00:07:53</t>
  </si>
  <si>
    <t>Inicio GPS anterior al horario: 00:18:39 antes de las 18:00.; Fin GPS dentro de la tolerancia del horario programado.; 2 hueco(s) GPS &gt;= 10 min.</t>
  </si>
  <si>
    <t>6.226768, -75.599312</t>
  </si>
  <si>
    <t>6.268597, -75.599288</t>
  </si>
  <si>
    <t>d8610283ab31c17b</t>
  </si>
  <si>
    <t>24_09_2026_AO_Diur.gpx</t>
  </si>
  <si>
    <t>d8610283ab31c17b60cf55c57f3fef35c24792cb35cd6303472074d6dc57a9e2</t>
  </si>
  <si>
    <t>24/09/2026</t>
  </si>
  <si>
    <t>24/09/2026 09:11:42</t>
  </si>
  <si>
    <t>24/09/2026 15:36:24</t>
  </si>
  <si>
    <t>Inicio GPS tardío: 00:41:43 después de las 08:30.; Fin GPS anticipado: 00:53:36 antes de las 16:30.; 4 hueco(s) GPS &gt;= 10 min.</t>
  </si>
  <si>
    <t>6.216154, -75.597554</t>
  </si>
  <si>
    <t>6.222023, -75.593338</t>
  </si>
  <si>
    <t>80b1d8418c2b1eaa</t>
  </si>
  <si>
    <t>24_09_2026_AR_Diur.gpx</t>
  </si>
  <si>
    <t>80b1d8418c2b1eaab60e02e6a877ea0131fa1acbbaf1244fd97677a34ac1ea83</t>
  </si>
  <si>
    <t>24/09/2026 08:14:20</t>
  </si>
  <si>
    <t>24/09/2026 16:32:03</t>
  </si>
  <si>
    <t>Inicio GPS anterior al horario: 00:15:40 antes de las 08:30.; Fin GPS dentro de la tolerancia del horario programado.; 4 hueco(s) GPS &gt;= 10 min.</t>
  </si>
  <si>
    <t>6.225782, -75.599368</t>
  </si>
  <si>
    <t>6.247414, -75.615005</t>
  </si>
  <si>
    <t>26d8bdaf1d13469e</t>
  </si>
  <si>
    <t>24_09_2026_DR_Diur.gpx</t>
  </si>
  <si>
    <t>26d8bdaf1d13469ee33712c9bfcbfe9c5901905e2a80baf0fe4c1f50012cf2f3</t>
  </si>
  <si>
    <t>24/09/2026 08:27:18</t>
  </si>
  <si>
    <t>24/09/2026 15:51:15</t>
  </si>
  <si>
    <t>Inicio GPS dentro de la tolerancia del horario programado.; Fin GPS anticipado: 00:38:45 antes de las 16:30.; 2 hueco(s) GPS &gt;= 10 min.</t>
  </si>
  <si>
    <t>6.238194, -75.603010</t>
  </si>
  <si>
    <t>6.248174, -75.605002</t>
  </si>
  <si>
    <t>92b923405ece402b</t>
  </si>
  <si>
    <t>24_09_2026_HC_Diur.gpx</t>
  </si>
  <si>
    <t>92b923405ece402b75cd59de5c90e486ec87dfad75c78c4f899255e5739248da</t>
  </si>
  <si>
    <t>24/09/2026 09:16:50</t>
  </si>
  <si>
    <t>24/09/2026 13:34:41</t>
  </si>
  <si>
    <t>Inicio GPS tardío: 00:46:50 después de las 08:30.; Fin GPS anticipado: 02:55:19 antes de las 16:30.; 1 hueco(s) GPS &gt;= 10 min.</t>
  </si>
  <si>
    <t>6.225663, -75.599553</t>
  </si>
  <si>
    <t>6.261435, -75.603897</t>
  </si>
  <si>
    <t>676d50fbccc03774</t>
  </si>
  <si>
    <t>24_09_2026_JA_Diur.gpx</t>
  </si>
  <si>
    <t>676d50fbccc0377475a506b4c473ea57a7024889c5da3b94f8b6202fc5952dfe</t>
  </si>
  <si>
    <t>24/09/2026 08:52:25</t>
  </si>
  <si>
    <t>24/09/2026 12:37:22</t>
  </si>
  <si>
    <t>Inicio GPS tardío: 00:22:25 después de las 08:30.; Fin GPS anticipado: 03:52:38 antes de las 16:30.</t>
  </si>
  <si>
    <t>6.225514, -75.599447</t>
  </si>
  <si>
    <t>6.236992, -75.558877</t>
  </si>
  <si>
    <t>b4281bc6eb1402cd</t>
  </si>
  <si>
    <t>24_09_2026_JO_Diur.gpx</t>
  </si>
  <si>
    <t>b4281bc6eb1402cd6b1c175a0e75d9bca1eb794b273c036c77cd612468789d15</t>
  </si>
  <si>
    <t>24/09/2026 08:53:59</t>
  </si>
  <si>
    <t>24/09/2026 16:24:23</t>
  </si>
  <si>
    <t>Inicio GPS tardío: 00:23:59 después de las 08:30.; Fin GPS dentro de la tolerancia del horario programado.; 14 hueco(s) GPS &gt;= 10 min.</t>
  </si>
  <si>
    <t>6.225613, -75.599412</t>
  </si>
  <si>
    <t>6.246439, -75.552709</t>
  </si>
  <si>
    <t>9f4f0535ce907d5c</t>
  </si>
  <si>
    <t>24_09_2026_JZ_Diur.gpx</t>
  </si>
  <si>
    <t>9f4f0535ce907d5c87d52ce754bb4b9539a103e71e85d5792a13d7c8617a20d6</t>
  </si>
  <si>
    <t>24/09/2026 08:33:45</t>
  </si>
  <si>
    <t>24/09/2026 16:40:46</t>
  </si>
  <si>
    <t>6.226663, -75.599202</t>
  </si>
  <si>
    <t>6.279131, -75.569137</t>
  </si>
  <si>
    <t>6c891630b524a9ff</t>
  </si>
  <si>
    <t>24_09_2026_SJ_Diur.gpx</t>
  </si>
  <si>
    <t>6c891630b524a9ffafdb948e9cbc7937f36d22b6ca2cbcba2289b40b905b476d</t>
  </si>
  <si>
    <t>24/09/2026 08:53:57</t>
  </si>
  <si>
    <t>24/09/2026 15:52:13</t>
  </si>
  <si>
    <t>Inicio GPS tardío: 00:23:57 después de las 08:30.; Fin GPS anticipado: 00:37:47 antes de las 16:30.; 1 hueco(s) GPS &gt;= 10 min.</t>
  </si>
  <si>
    <t>6.225561, -75.599342</t>
  </si>
  <si>
    <t>6.311430, -75.558457</t>
  </si>
  <si>
    <t>564426f7571d7fb3</t>
  </si>
  <si>
    <t>24_09_2026_YL_Diur.gpx</t>
  </si>
  <si>
    <t>564426f7571d7fb39bec01e73fe74859f78006eae2f3d66e604884dc4b8f07a3</t>
  </si>
  <si>
    <t>24/09/2026 08:29:19</t>
  </si>
  <si>
    <t>24/09/2026 16:35:40</t>
  </si>
  <si>
    <t>6.225586, -75.599145</t>
  </si>
  <si>
    <t>6.258532, -75.615984</t>
  </si>
  <si>
    <t>bab305730ba056d1</t>
  </si>
  <si>
    <t>24_09_2026_DV_Noct.gpx</t>
  </si>
  <si>
    <t>bab305730ba056d176d0642f5f7797bef81782d99654b9a7d153eca74bc51454</t>
  </si>
  <si>
    <t>24/09/2026 17:45:06</t>
  </si>
  <si>
    <t>25/09/2026 00:20:21</t>
  </si>
  <si>
    <t>Inicio GPS dentro de la tolerancia del horario programado.; Fin GPS posterior: 00:20:21 después de las 00:00.</t>
  </si>
  <si>
    <t>6.226775, -75.599357</t>
  </si>
  <si>
    <t>6.272680, -75.601973</t>
  </si>
  <si>
    <t>517e09ca382f2401</t>
  </si>
  <si>
    <t>24_09_2026_IQ_Noct.gpx</t>
  </si>
  <si>
    <t>517e09ca382f240146f4d160e91a2e77611b8b3c7b2749178d70cd88ebdba105</t>
  </si>
  <si>
    <t>24/09/2026 16:44:27</t>
  </si>
  <si>
    <t>24/09/2026 23:53:58</t>
  </si>
  <si>
    <t>Inicio GPS anterior al horario: 01:15:33 antes de las 18:00.; Fin GPS dentro de la tolerancia del horario programado.; 2 hueco(s) GPS &gt;= 10 min.</t>
  </si>
  <si>
    <t>6.228867, -75.596225</t>
  </si>
  <si>
    <t>6.294895, -75.543944</t>
  </si>
  <si>
    <t>c91268ef9d9bb5cd</t>
  </si>
  <si>
    <t>24_09_2026_JP_Noct.gpx</t>
  </si>
  <si>
    <t>c91268ef9d9bb5cde23a9219657fe3b734c5e105bab9c46f195b8e269fa1ffd3</t>
  </si>
  <si>
    <t>24/09/2026 17:43:58</t>
  </si>
  <si>
    <t>24/09/2026 22:51:32</t>
  </si>
  <si>
    <t>Inicio GPS anterior al horario: 00:16:02 antes de las 18:00.; Fin GPS anticipado: 01:08:28 antes de las 00:00.</t>
  </si>
  <si>
    <t>6.226888, -75.599710</t>
  </si>
  <si>
    <t>6.251725, -75.551782</t>
  </si>
  <si>
    <t>7bc001476223be32</t>
  </si>
  <si>
    <t>24_09_2026_LA_Noct.gpx</t>
  </si>
  <si>
    <t>7bc001476223be32ca2e18bfca848d78c20a463a1f334d53d5ae105117f98a46</t>
  </si>
  <si>
    <t>24/09/2026 17:26:54</t>
  </si>
  <si>
    <t>25/09/2026 00:05:11</t>
  </si>
  <si>
    <t>Inicio GPS anterior al horario: 00:33:06 antes de las 18:00.; Fin GPS dentro de la tolerancia del horario programado.; 3 hueco(s) GPS &gt;= 10 min.</t>
  </si>
  <si>
    <t>6.226773, -75.599313</t>
  </si>
  <si>
    <t>6.263545, -75.596572</t>
  </si>
  <si>
    <t>66823889791403a1</t>
  </si>
  <si>
    <t>25_09_2026_AO_Diur.gpx</t>
  </si>
  <si>
    <t>66823889791403a126d911dc47e1d121fe441ef26c47416174d39d07380224a7</t>
  </si>
  <si>
    <t>25/09/2026</t>
  </si>
  <si>
    <t>25/09/2026 09:17:31</t>
  </si>
  <si>
    <t>25/09/2026 16:01:29</t>
  </si>
  <si>
    <t>Inicio GPS tardío: 00:47:32 después de las 08:30.; Fin GPS dentro de la tolerancia del horario programado.; 5 hueco(s) GPS &gt;= 10 min.</t>
  </si>
  <si>
    <t>6.220678, -75.593290</t>
  </si>
  <si>
    <t>6.221836, -75.593831</t>
  </si>
  <si>
    <t>f003510ff71a767b</t>
  </si>
  <si>
    <t>25_09_2026_AR_Diur.gpx</t>
  </si>
  <si>
    <t>f003510ff71a767bc3ed575332c6e60823f2ef2112d58474ef892ed3cb349b48</t>
  </si>
  <si>
    <t>25/09/2026 08:17:26</t>
  </si>
  <si>
    <t>25/09/2026 16:03:38</t>
  </si>
  <si>
    <t>6.225593, -75.599538</t>
  </si>
  <si>
    <t>6.247700, -75.615107</t>
  </si>
  <si>
    <t>cec1be82c82d8e62</t>
  </si>
  <si>
    <t>25_09_2026_DR_Diur.gpx</t>
  </si>
  <si>
    <t>cec1be82c82d8e62da311bb07b83e550afd873d4fecd0d016da15ee7afc2b77b</t>
  </si>
  <si>
    <t>25/09/2026 08:40:49</t>
  </si>
  <si>
    <t>25/09/2026 13:58:26</t>
  </si>
  <si>
    <t>Inicio GPS dentro de la tolerancia del horario programado.; Fin GPS anticipado: 02:01:34 antes de las 16:00.; 1 hueco(s) GPS &gt;= 10 min.</t>
  </si>
  <si>
    <t>6.238038, -75.602919</t>
  </si>
  <si>
    <t>6.250678, -75.602010</t>
  </si>
  <si>
    <t>dbe485f0783f5711</t>
  </si>
  <si>
    <t>25_09_2026_HC_Diur.gpx</t>
  </si>
  <si>
    <t>dbe485f0783f5711d5aeff872143aa2a4942a8963022affc3f06e544fe8ca4ad</t>
  </si>
  <si>
    <t>25/09/2026 08:29:46</t>
  </si>
  <si>
    <t>25/09/2026 14:29:25</t>
  </si>
  <si>
    <t>Inicio GPS dentro de la tolerancia del horario programado.; Fin GPS anticipado: 01:30:35 antes de las 16:00.</t>
  </si>
  <si>
    <t>6.225806, -75.599375</t>
  </si>
  <si>
    <t>6.296980, -75.582724</t>
  </si>
  <si>
    <t>667ac675a4f68eaf</t>
  </si>
  <si>
    <t>25_09_2026_JA_Diur.gpx</t>
  </si>
  <si>
    <t>667ac675a4f68eafc3da38fa706169b8e2184f033be2437f1d09db1f7d69088e</t>
  </si>
  <si>
    <t>25/09/2026 08:29:20</t>
  </si>
  <si>
    <t>25/09/2026 12:54:58</t>
  </si>
  <si>
    <t>Inicio GPS dentro de la tolerancia del horario programado.; Fin GPS anticipado: 03:05:02 antes de las 16:00.; 2 hueco(s) GPS &gt;= 10 min.</t>
  </si>
  <si>
    <t>6.225645, -75.599042</t>
  </si>
  <si>
    <t>6.237027, -75.558895</t>
  </si>
  <si>
    <t>b010c76cac8409c2</t>
  </si>
  <si>
    <t>25_09_2026_JO_Diur.gpx</t>
  </si>
  <si>
    <t>b010c76cac8409c2a157749e925a74b96d69d911005a380d7266c184438cbdcd</t>
  </si>
  <si>
    <t>25/09/2026 08:30:59</t>
  </si>
  <si>
    <t>25/09/2026 16:04:35</t>
  </si>
  <si>
    <t>6.225840, -75.599376</t>
  </si>
  <si>
    <t>6.259314, -75.620380</t>
  </si>
  <si>
    <t>4179c4693bca0dbb</t>
  </si>
  <si>
    <t>25_09_2026_JZ_Diur.gpx</t>
  </si>
  <si>
    <t>4179c4693bca0dbb3c70994a99f8c396a7b13745649d5c6657d557357528533b</t>
  </si>
  <si>
    <t>25/09/2026 08:13:48</t>
  </si>
  <si>
    <t>25/09/2026 14:39:11</t>
  </si>
  <si>
    <t>Inicio GPS anterior al horario: 00:16:12 antes de las 08:30.; Fin GPS anticipado: 01:20:49 antes de las 16:00.</t>
  </si>
  <si>
    <t>6.226632, -75.599344</t>
  </si>
  <si>
    <t>6.280067, -75.635467</t>
  </si>
  <si>
    <t>0701bdacf7671d43</t>
  </si>
  <si>
    <t>25_09_2026_SJ_Diur.gpx</t>
  </si>
  <si>
    <t>0701bdacf7671d43bf0f7a3a9f4e7bfa0432ce044dd120ea07efbcf187c6cd18</t>
  </si>
  <si>
    <t>25/09/2026 08:33:57</t>
  </si>
  <si>
    <t>25/09/2026 15:27:48</t>
  </si>
  <si>
    <t>Inicio GPS dentro de la tolerancia del horario programado.; Fin GPS anticipado: 00:32:12 antes de las 16:00.</t>
  </si>
  <si>
    <t>6.225620, -75.599405</t>
  </si>
  <si>
    <t>6.305035, -75.577577</t>
  </si>
  <si>
    <t>c322c2c243de6f1e</t>
  </si>
  <si>
    <t>25_09_2026_YL_Diur.gpx</t>
  </si>
  <si>
    <t>c322c2c243de6f1ee20eb3e05fd6f6fedfe6aa9c2d18fa10f21a216c72de0d01</t>
  </si>
  <si>
    <t>25/09/2026 09:22:22</t>
  </si>
  <si>
    <t>25/09/2026 16:07:40</t>
  </si>
  <si>
    <t>Inicio GPS tardío: 00:52:22 después de las 08:30.; Fin GPS dentro de la tolerancia del horario programado.; 1 hueco(s) GPS &gt;= 10 min.</t>
  </si>
  <si>
    <t>6.258981, -75.620635</t>
  </si>
  <si>
    <t>6.258362, -75.616013</t>
  </si>
  <si>
    <t>7d32aa5979d2510b</t>
  </si>
  <si>
    <t>26_09_2026_DR_Diur.gpx</t>
  </si>
  <si>
    <t>7d32aa5979d2510b20610445a2ecdaaec04d4a8bd9c9df4ba25d5854761f537c</t>
  </si>
  <si>
    <t>26/09/2026</t>
  </si>
  <si>
    <t>26/09/2026 09:20:19</t>
  </si>
  <si>
    <t>26/09/2026 16:27:06</t>
  </si>
  <si>
    <t>Inicio GPS tardío: 00:50:19 después de las 08:30.; Fin GPS posterior: 00:27:06 después de las 16:00.; 1 hueco(s) GPS &gt;= 10 min.</t>
  </si>
  <si>
    <t>6.247793, -75.615010</t>
  </si>
  <si>
    <t>6.198403, -75.593670</t>
  </si>
  <si>
    <t>f66a8c100b6e848a</t>
  </si>
  <si>
    <t>25_09_2026_DV_Noct.gpx</t>
  </si>
  <si>
    <t>f66a8c100b6e848a43fcac6a219f933bcf584666963af5f21548233d53e25cad</t>
  </si>
  <si>
    <t>25/09/2026 17:44:15</t>
  </si>
  <si>
    <t>26/09/2026 00:11:13</t>
  </si>
  <si>
    <t>Inicio GPS anterior al horario: 00:15:45 antes de las 18:00.; Fin GPS dentro de la tolerancia del horario programado.</t>
  </si>
  <si>
    <t>6.270332, -75.601577</t>
  </si>
  <si>
    <t>6.272546, -75.602211</t>
  </si>
  <si>
    <t>98ef2bb1e3bcdcdd</t>
  </si>
  <si>
    <t>25_09_2026_IQ_Noct.gpx</t>
  </si>
  <si>
    <t>98ef2bb1e3bcdcdd99d965cfc5ce068c8503b148f06f512488c3a213747fd43c</t>
  </si>
  <si>
    <t>25/09/2026 18:06:05</t>
  </si>
  <si>
    <t>25/09/2026 23:56:45</t>
  </si>
  <si>
    <t>6.276154, -75.547662</t>
  </si>
  <si>
    <t>d39b266810f7b37d</t>
  </si>
  <si>
    <t>25_09_2026_JHP_Noct.gpx</t>
  </si>
  <si>
    <t>d39b266810f7b37d1abf0df1454fa1c93c3fad59baee67376620344f8f8f9ea4</t>
  </si>
  <si>
    <t>25/09/2026 17:29:46</t>
  </si>
  <si>
    <t>25/09/2026 23:57:37</t>
  </si>
  <si>
    <t>Inicio GPS anterior al horario: 00:30:14 antes de las 18:00.; Fin GPS dentro de la tolerancia del horario programado.</t>
  </si>
  <si>
    <t>6.290356, -75.546460</t>
  </si>
  <si>
    <t>6.290575, -75.546401</t>
  </si>
  <si>
    <t>682f7b4c5630e227</t>
  </si>
  <si>
    <t>25_09_2026_JP_Noct.gpx</t>
  </si>
  <si>
    <t>682f7b4c5630e2272bb65f5837f35785f61bbb1e5c7d814072f85aceb352512c</t>
  </si>
  <si>
    <t>25/09/2026 17:59:05</t>
  </si>
  <si>
    <t>25/09/2026 21:49:32</t>
  </si>
  <si>
    <t>Inicio GPS dentro de la tolerancia del horario programado.; Fin GPS anticipado: 02:10:28 antes de las 00:00.</t>
  </si>
  <si>
    <t>6.250437, -75.552270</t>
  </si>
  <si>
    <t>6.251762, -75.551820</t>
  </si>
  <si>
    <t>229a5714387857ca</t>
  </si>
  <si>
    <t>25_09_2026_LA_Noct.gpx</t>
  </si>
  <si>
    <t>229a5714387857ca22b14197aba262334262bbc235c0e96cd056dc90088a6a12</t>
  </si>
  <si>
    <t>25/09/2026 17:53:08</t>
  </si>
  <si>
    <t>26/09/2026 00:08:46</t>
  </si>
  <si>
    <t>6.229498, -75.573103</t>
  </si>
  <si>
    <t>6.268447, -75.599478</t>
  </si>
  <si>
    <t>2f7a8ac218c53801</t>
  </si>
  <si>
    <t>26_09_2026_SJ_Noct.gpx</t>
  </si>
  <si>
    <t>2f7a8ac218c53801dbef96673bb11296ba26c958e205594090aa11249d471ff5</t>
  </si>
  <si>
    <t>26/09/2026 18:07:10</t>
  </si>
  <si>
    <t>27/09/2026 00:01:21</t>
  </si>
  <si>
    <t>Inicio GPS dentro de la tolerancia del horario programado.; Fin GPS dentro de la tolerancia del horario programado.; Sábado nocturno: verificar técnico asignado.</t>
  </si>
  <si>
    <t>6.308102, -75.582305</t>
  </si>
  <si>
    <t>6.310506, -75.578899</t>
  </si>
  <si>
    <t>e09abcfb16b8d148</t>
  </si>
  <si>
    <t>28_09_2026_AO_Diur.gpx</t>
  </si>
  <si>
    <t>e09abcfb16b8d148ee331ec53c480d3b7cbf22398c7bb29410be479d22da54cd</t>
  </si>
  <si>
    <t>28/09/2026</t>
  </si>
  <si>
    <t>28/09/2026 09:35:20</t>
  </si>
  <si>
    <t>28/09/2026 16:32:29</t>
  </si>
  <si>
    <t>Inicio GPS tardío: 01:05:20 después de las 08:30.; Fin GPS dentro de la tolerancia del horario programado.; 6 hueco(s) GPS &gt;= 10 min.</t>
  </si>
  <si>
    <t>6.225351, -75.599309</t>
  </si>
  <si>
    <t>6.223378, -75.595094</t>
  </si>
  <si>
    <t>9b16b42bb88697bf</t>
  </si>
  <si>
    <t>28_09_2026_AR_Diur.gpx</t>
  </si>
  <si>
    <t>9b16b42bb88697bfee1cfa01facf792fbe7fac95664b452176df52802a9f43da</t>
  </si>
  <si>
    <t>28/09/2026 08:48:50</t>
  </si>
  <si>
    <t>28/09/2026 16:33:03</t>
  </si>
  <si>
    <t>Inicio GPS tardío: 00:18:50 después de las 08:30.; Fin GPS dentro de la tolerancia del horario programado.; 4 hueco(s) GPS &gt;= 10 min.</t>
  </si>
  <si>
    <t>6.225617, -75.599421</t>
  </si>
  <si>
    <t>6.247649, -75.614938</t>
  </si>
  <si>
    <t>201ca3d0893d110b</t>
  </si>
  <si>
    <t>28_09_2026_HC_Diur.gpx</t>
  </si>
  <si>
    <t>201ca3d0893d110b69b3ff18f2455d01b453f9da146f32173b2d611789a14525</t>
  </si>
  <si>
    <t>28/09/2026 08:57:38</t>
  </si>
  <si>
    <t>28/09/2026 15:05:18</t>
  </si>
  <si>
    <t>Inicio GPS tardío: 00:27:38 después de las 08:30.; Fin GPS anticipado: 01:24:42 antes de las 16:30.</t>
  </si>
  <si>
    <t>6.225656, -75.599446</t>
  </si>
  <si>
    <t>6.285821, -75.584148</t>
  </si>
  <si>
    <t>55d70ad7975d0363</t>
  </si>
  <si>
    <t>28_09_2026_JA_Diur.gpx</t>
  </si>
  <si>
    <t>55d70ad7975d0363b44b368c702afb05fde4141435e3ab8b9e9eed35819b91f0</t>
  </si>
  <si>
    <t>28/09/2026 08:33:03</t>
  </si>
  <si>
    <t>28/09/2026 15:40:15</t>
  </si>
  <si>
    <t>Inicio GPS dentro de la tolerancia del horario programado.; Fin GPS anticipado: 00:49:45 antes de las 16:30.; 3 hueco(s) GPS &gt;= 10 min.</t>
  </si>
  <si>
    <t>6.225779, -75.599106</t>
  </si>
  <si>
    <t>6.245380, -75.571899</t>
  </si>
  <si>
    <t>96393fa30f5e8f00</t>
  </si>
  <si>
    <t>28_09_2026_JO_Diur.gpx</t>
  </si>
  <si>
    <t>96393fa30f5e8f00c86b506ef386a507b49d49562446d05be83d39d7b68277fd</t>
  </si>
  <si>
    <t>28/09/2026 09:18:49</t>
  </si>
  <si>
    <t>28/09/2026 16:26:00</t>
  </si>
  <si>
    <t>Inicio GPS tardío: 00:48:50 después de las 08:30.; Fin GPS dentro de la tolerancia del horario programado.; 8 hueco(s) GPS &gt;= 10 min.</t>
  </si>
  <si>
    <t>6.225461, -75.599212</t>
  </si>
  <si>
    <t>6.259254, -75.620910</t>
  </si>
  <si>
    <t>188c643cbefd7248</t>
  </si>
  <si>
    <t>28_09_2026_JZ_Diur.gpx</t>
  </si>
  <si>
    <t>188c643cbefd724868fbdfe05dd0bc08d588b11553ad07272605920ba2b04e47</t>
  </si>
  <si>
    <t>28/09/2026 08:21:27</t>
  </si>
  <si>
    <t>28/09/2026 16:37:25</t>
  </si>
  <si>
    <t>6.226722, -75.599289</t>
  </si>
  <si>
    <t>6.278847, -75.569133</t>
  </si>
  <si>
    <t>13a4011fb745e888</t>
  </si>
  <si>
    <t>28_09_2026_YL_Diur.gpx</t>
  </si>
  <si>
    <t>13a4011fb745e888f0c90c875d605ef3d7d1b4e4dc61732c958344172ffe8a1a</t>
  </si>
  <si>
    <t>28/09/2026 13:32:17</t>
  </si>
  <si>
    <t>28/09/2026 17:26:42</t>
  </si>
  <si>
    <t>Inicio GPS tardío: 05:02:17 después de las 08:30.; Fin GPS posterior: 00:56:42 después de las 16:30.</t>
  </si>
  <si>
    <t>6.259445, -75.599486</t>
  </si>
  <si>
    <t>6.258664, -75.616157</t>
  </si>
  <si>
    <t>b78760f0aa2ccf3b</t>
  </si>
  <si>
    <t>28_09_2026_DR_Diur.gpx</t>
  </si>
  <si>
    <t>b78760f0aa2ccf3b65363a2914f113ad8ced9b3fa9159b6541a9cfd3f072c103</t>
  </si>
  <si>
    <t>28/09/2026 09:14:07</t>
  </si>
  <si>
    <t>28/09/2026 16:17:38</t>
  </si>
  <si>
    <t>Inicio GPS tardío: 00:44:07 después de las 08:30.; Fin GPS dentro de la tolerancia del horario programado.; 2 hueco(s) GPS &gt;= 10 min.</t>
  </si>
  <si>
    <t>6.230128, -75.602008</t>
  </si>
  <si>
    <t>6.212384, -75.585820</t>
  </si>
  <si>
    <t>c95621971b404441</t>
  </si>
  <si>
    <t>28_09_2026_DV_Noct.gpx</t>
  </si>
  <si>
    <t>c95621971b404441dd1fb0c5f53f5eb3d09ba6b64da8ef77098bbd7ec5dbc0ec</t>
  </si>
  <si>
    <t>28/09/2026 17:36:42</t>
  </si>
  <si>
    <t>29/09/2026 00:10:58</t>
  </si>
  <si>
    <t>Inicio GPS anterior al horario: 00:23:18 antes de las 18:00.; Fin GPS dentro de la tolerancia del horario programado.</t>
  </si>
  <si>
    <t>6.227602, -75.599126</t>
  </si>
  <si>
    <t>6.272692, -75.601998</t>
  </si>
  <si>
    <t>4be13dd5ceb8b546</t>
  </si>
  <si>
    <t>28_09_2026_IQ_Noct.gpx</t>
  </si>
  <si>
    <t>4be13dd5ceb8b5461403faccc3fb970a8cb5c50a328069f17bf11d7009dfb820</t>
  </si>
  <si>
    <t>28/09/2026 16:58:01</t>
  </si>
  <si>
    <t>28/09/2026 23:54:55</t>
  </si>
  <si>
    <t>Inicio GPS anterior al horario: 01:01:59 antes de las 18:00.; Fin GPS dentro de la tolerancia del horario programado.; 3 hueco(s) GPS &gt;= 10 min.</t>
  </si>
  <si>
    <t>6.225432, -75.598767</t>
  </si>
  <si>
    <t>6.262243, -75.563856</t>
  </si>
  <si>
    <t>a02f732692cccbda</t>
  </si>
  <si>
    <t>28_09_2026_JHP_Noct.gpx</t>
  </si>
  <si>
    <t>a02f732692cccbdaa15ef541e635e3c20df3040343ad705250374d77e232d106</t>
  </si>
  <si>
    <t>28/09/2026 17:05:56</t>
  </si>
  <si>
    <t>29/09/2026 00:04:24</t>
  </si>
  <si>
    <t>Inicio GPS anterior al horario: 00:54:04 antes de las 18:00.; Fin GPS dentro de la tolerancia del horario programado.</t>
  </si>
  <si>
    <t>6.225661, -75.598487</t>
  </si>
  <si>
    <t>6.290383, -75.546595</t>
  </si>
  <si>
    <t>cbba0bb5622a2f00</t>
  </si>
  <si>
    <t>28_09_2026_JP_Noct.gpx</t>
  </si>
  <si>
    <t>cbba0bb5622a2f00356bd5d651455b9c7356c8f23b1af9ea04da9f48db91325e</t>
  </si>
  <si>
    <t>28/09/2026 17:19:11</t>
  </si>
  <si>
    <t>28/09/2026 22:27:09</t>
  </si>
  <si>
    <t>Inicio GPS anterior al horario: 00:40:49 antes de las 18:00.; Fin GPS anticipado: 01:32:51 antes de las 00:00.</t>
  </si>
  <si>
    <t>6.225658, -75.599368</t>
  </si>
  <si>
    <t>6.251833, -75.551855</t>
  </si>
  <si>
    <t>6776b68fc161c06e</t>
  </si>
  <si>
    <t>28_09_2026_LA_Noct.gpx</t>
  </si>
  <si>
    <t>6776b68fc161c06e663a6ea647c849f1691b6835e7daa54696ba7b34b6a6cb20</t>
  </si>
  <si>
    <t>28/09/2026 17:27:43</t>
  </si>
  <si>
    <t>29/09/2026 00:09:48</t>
  </si>
  <si>
    <t>Inicio GPS anterior al horario: 00:32:16 antes de las 18:00.; Fin GPS dentro de la tolerancia del horario programado.; 1 hueco(s) GPS &gt;= 10 min.</t>
  </si>
  <si>
    <t>6.226752, -75.599197</t>
  </si>
  <si>
    <t>6.268515, -75.599338</t>
  </si>
  <si>
    <t>Se inicio tarde ya que el tecnologo estaba entregando las actividades del dia</t>
  </si>
  <si>
    <t>OBSERVACIONES TECNICAS</t>
  </si>
  <si>
    <t>29fa25cdffae7211</t>
  </si>
  <si>
    <t>29_09_2026_AO_Diur.gpx</t>
  </si>
  <si>
    <t>29fa25cdffae7211db43cb658e22bb6b29565cdb8f8aeac561b57387d599ab8d</t>
  </si>
  <si>
    <t>29/09/2026</t>
  </si>
  <si>
    <t>29/09/2026 09:48:28</t>
  </si>
  <si>
    <t>29/09/2026 15:59:10</t>
  </si>
  <si>
    <t>Inicio GPS tardío: 01:18:29 después de las 08:30.; Fin GPS anticipado: 00:30:50 antes de las 16:30.; 4 hueco(s) GPS &gt;= 10 min.</t>
  </si>
  <si>
    <t>6.255719, -75.613168</t>
  </si>
  <si>
    <t>6.231463, -75.596321</t>
  </si>
  <si>
    <t>8246689c2d78bfb4</t>
  </si>
  <si>
    <t>29_09_2026_AR_Diur.gpx</t>
  </si>
  <si>
    <t>8246689c2d78bfb488b4224bc0c39a533018b048796fe1c7ebc8136d968deead</t>
  </si>
  <si>
    <t>29/09/2026 08:14:04</t>
  </si>
  <si>
    <t>29/09/2026 16:31:01</t>
  </si>
  <si>
    <t>Inicio GPS anterior al horario: 00:15:56 antes de las 08:30.; Fin GPS dentro de la tolerancia del horario programado.; 1 hueco(s) GPS &gt;= 10 min.</t>
  </si>
  <si>
    <t>6.225755, -75.599535</t>
  </si>
  <si>
    <t>6.247738, -75.614967</t>
  </si>
  <si>
    <t>b7b4f0a8ec1e9555</t>
  </si>
  <si>
    <t>29_09_2026_DR_Diur.gpx</t>
  </si>
  <si>
    <t>b7b4f0a8ec1e95559d87b25d5ecfbbd2dae166d2a196661c7996bda877bea030</t>
  </si>
  <si>
    <t>29/09/2026 08:39:58</t>
  </si>
  <si>
    <t>29/09/2026 15:49:06</t>
  </si>
  <si>
    <t>Inicio GPS dentro de la tolerancia del horario programado.; Fin GPS anticipado: 00:40:54 antes de las 16:30.; 3 hueco(s) GPS &gt;= 10 min.</t>
  </si>
  <si>
    <t>6.238225, -75.603070</t>
  </si>
  <si>
    <t>6.238777, -75.603745</t>
  </si>
  <si>
    <t>6135921608f0259e</t>
  </si>
  <si>
    <t>29_09_2026_HC_Diur.gpx</t>
  </si>
  <si>
    <t>6135921608f0259e1b8e5dd0e3361a6431ffa2ed98247402f9b2788fe48f7322</t>
  </si>
  <si>
    <t>29/09/2026 08:34:41</t>
  </si>
  <si>
    <t>29/09/2026 13:50:30</t>
  </si>
  <si>
    <t>Inicio GPS dentro de la tolerancia del horario programado.; Fin GPS anticipado: 02:39:30 antes de las 16:30.</t>
  </si>
  <si>
    <t>6.225921, -75.599410</t>
  </si>
  <si>
    <t>6.308389, -75.571086</t>
  </si>
  <si>
    <t>ffafebbe09c9bb93</t>
  </si>
  <si>
    <t>29_09_2026_JA_Diur.gpx</t>
  </si>
  <si>
    <t>ffafebbe09c9bb93ab06e67ccba4ac6173312addace65c02ca5cf189d111c167</t>
  </si>
  <si>
    <t>29/09/2026 08:43:26</t>
  </si>
  <si>
    <t>29/09/2026 13:16:49</t>
  </si>
  <si>
    <t>Inicio GPS dentro de la tolerancia del horario programado.; Fin GPS anticipado: 03:13:11 antes de las 16:30.; 1 hueco(s) GPS &gt;= 10 min.</t>
  </si>
  <si>
    <t>6.225841, -75.599694</t>
  </si>
  <si>
    <t>6.237045, -75.558818</t>
  </si>
  <si>
    <t>4f51a1dba469d9e1</t>
  </si>
  <si>
    <t>29_09_2026_JO_Diur.gpx</t>
  </si>
  <si>
    <t>4f51a1dba469d9e153f7bc32313f4969f48841444036759aa969f6c3e11758d5</t>
  </si>
  <si>
    <t>29/09/2026 09:24:53</t>
  </si>
  <si>
    <t>29/09/2026 16:14:09</t>
  </si>
  <si>
    <t>Inicio GPS tardío: 00:54:53 después de las 08:30.; Fin GPS anticipado: 00:15:51 antes de las 16:30.; 9 hueco(s) GPS &gt;= 10 min.</t>
  </si>
  <si>
    <t>6.225662, -75.599446</t>
  </si>
  <si>
    <t>6.246903, -75.554122</t>
  </si>
  <si>
    <t>59add364d9fa99e5</t>
  </si>
  <si>
    <t>29_09_2026_JZ_Diur.gpx</t>
  </si>
  <si>
    <t>59add364d9fa99e541a18ce4bd75f3485f24c81306df5fefbff91051cfc82f29</t>
  </si>
  <si>
    <t>29/09/2026 08:28:06</t>
  </si>
  <si>
    <t>29/09/2026 16:34:47</t>
  </si>
  <si>
    <t>6.226627, -75.599292</t>
  </si>
  <si>
    <t>6.278881, -75.569232</t>
  </si>
  <si>
    <t>0525223656604059</t>
  </si>
  <si>
    <t>29_09_2026_SJ_Diur.gpx</t>
  </si>
  <si>
    <t>05252236566040590deacac32ef84237f7b86802a50cdc698a93ced643febae6</t>
  </si>
  <si>
    <t>29/09/2026 08:39:43</t>
  </si>
  <si>
    <t>29/09/2026 15:59:39</t>
  </si>
  <si>
    <t>Inicio GPS dentro de la tolerancia del horario programado.; Fin GPS anticipado: 00:30:21 antes de las 16:30.; 1 permanencia(s) GPS detectada(s); requiere contexto.</t>
  </si>
  <si>
    <t>6.225829, -75.599388</t>
  </si>
  <si>
    <t>6.307830, -75.577472</t>
  </si>
  <si>
    <t>988c5ffb82e294ff</t>
  </si>
  <si>
    <t>29_09_2026_YL_Diur.gpx</t>
  </si>
  <si>
    <t>988c5ffb82e294ff30c17167c870986dc69e3d36a41699f7d2fa0d03f34d837b</t>
  </si>
  <si>
    <t>29/09/2026 08:46:19</t>
  </si>
  <si>
    <t>29/09/2026 15:17:02</t>
  </si>
  <si>
    <t>Inicio GPS tardío: 00:16:19 después de las 08:30.; Fin GPS anticipado: 01:12:58 antes de las 16:30.</t>
  </si>
  <si>
    <t>6.225785, -75.598634</t>
  </si>
  <si>
    <t>6.260023, -75.621120</t>
  </si>
  <si>
    <t>El tecnico estaba en cita medica entre 2:30 pm y 3:30 pm</t>
  </si>
  <si>
    <t>637012304ec244fd</t>
  </si>
  <si>
    <t>29_09_2026_DV_Noct.gpx</t>
  </si>
  <si>
    <t>637012304ec244fd23288c482baf6e70e02bcdbeb8b0014da77cb0884f675547</t>
  </si>
  <si>
    <t>29/09/2026 17:36:43</t>
  </si>
  <si>
    <t>30/09/2026 00:20:12</t>
  </si>
  <si>
    <t>Inicio GPS anterior al horario: 00:23:17 antes de las 18:00.; Fin GPS posterior: 00:20:12 después de las 00:00.; 1 hueco(s) GPS &gt;= 10 min.; 1 permanencia(s) GPS detectada(s); requiere contexto.</t>
  </si>
  <si>
    <t>6.226605, -75.599282</t>
  </si>
  <si>
    <t>6.272650, -75.601763</t>
  </si>
  <si>
    <t>5c8a35e773a8f9df</t>
  </si>
  <si>
    <t>29_09_2026_IQ_Noct.gpx</t>
  </si>
  <si>
    <t>5c8a35e773a8f9dfdea08493b318733f313254ae45acd01f23a7ee33e08b031c</t>
  </si>
  <si>
    <t>29/09/2026 16:49:08</t>
  </si>
  <si>
    <t>29/09/2026 23:51:48</t>
  </si>
  <si>
    <t>Inicio GPS anterior al horario: 01:10:52 antes de las 18:00.; Fin GPS dentro de la tolerancia del horario programado.; 7 hueco(s) GPS &gt;= 10 min.</t>
  </si>
  <si>
    <t>6.225573, -75.599452</t>
  </si>
  <si>
    <t>6.276114, -75.572663</t>
  </si>
  <si>
    <t>21e599f20e901e72</t>
  </si>
  <si>
    <t>29_09_2026_JHP_Noct.gpx</t>
  </si>
  <si>
    <t>21e599f20e901e720df8171920522b92965acbf1f29ec998126f75dcd44163e3</t>
  </si>
  <si>
    <t>29/09/2026 17:32:26</t>
  </si>
  <si>
    <t>29/09/2026 23:56:47</t>
  </si>
  <si>
    <t>Inicio GPS anterior al horario: 00:27:34 antes de las 18:00.; Fin GPS dentro de la tolerancia del horario programado.; 1 permanencia(s) GPS detectada(s); requiere contexto.</t>
  </si>
  <si>
    <t>6.226820, -75.599361</t>
  </si>
  <si>
    <t>6.290393, -75.546638</t>
  </si>
  <si>
    <t>0b0ef25ae6d19c0c</t>
  </si>
  <si>
    <t>29_09_2026_JP_Noct.gpx</t>
  </si>
  <si>
    <t>0b0ef25ae6d19c0c9456df6f1c08e465455052ac96234850ba3c019433ba550a</t>
  </si>
  <si>
    <t>29/09/2026 16:53:28</t>
  </si>
  <si>
    <t>29/09/2026 21:23:58</t>
  </si>
  <si>
    <t>Inicio GPS anterior al horario: 01:06:32 antes de las 18:00.; Fin GPS anticipado: 02:36:02 antes de las 00:00.; 1 hueco(s) GPS &gt;= 10 min.</t>
  </si>
  <si>
    <t>6.225657, -75.599422</t>
  </si>
  <si>
    <t>6.251825, -75.551900</t>
  </si>
  <si>
    <t>8a0f842ca0f96d9a</t>
  </si>
  <si>
    <t>29_09_2026_LA_Noct.gpx</t>
  </si>
  <si>
    <t>8a0f842ca0f96d9ae5bc5d3abc20ae11bf395a5017ee3dada2d79f364386aa9a</t>
  </si>
  <si>
    <t>29/09/2026 17:37:44</t>
  </si>
  <si>
    <t>30/09/2026 00:05:23</t>
  </si>
  <si>
    <t>Inicio GPS anterior al horario: 00:22:15 antes de las 18:00.; Fin GPS dentro de la tolerancia del horario programado.; 5 hueco(s) GPS &gt;= 10 min.</t>
  </si>
  <si>
    <t>6.227305, -75.599290</t>
  </si>
  <si>
    <t>6.268510, -75.599528</t>
  </si>
  <si>
    <t>6d4db840ac5e8c70</t>
  </si>
  <si>
    <t>30_09_2026_AO_Diur.gpx</t>
  </si>
  <si>
    <t>6d4db840ac5e8c70c58d6f077f271a9185021c031435d4d1960784206f2518ee</t>
  </si>
  <si>
    <t>30/09/2026</t>
  </si>
  <si>
    <t>30/09/2026 09:44:16</t>
  </si>
  <si>
    <t>30/09/2026 16:31:58</t>
  </si>
  <si>
    <t>Inicio GPS tardío: 01:14:16 después de las 08:30.; Fin GPS dentro de la tolerancia del horario programado.; 4 hueco(s) GPS &gt;= 10 min.</t>
  </si>
  <si>
    <t>6.221738, -75.593904</t>
  </si>
  <si>
    <t>6.245557, -75.583619</t>
  </si>
  <si>
    <t>764dc906fa83482e</t>
  </si>
  <si>
    <t>30_09_2026_AR_Diur.gpx</t>
  </si>
  <si>
    <t>764dc906fa83482ece90d4753dd8013fc7fc1662193a2e3f3e8186f56a5faa7f</t>
  </si>
  <si>
    <t>30/09/2026 08:16:32</t>
  </si>
  <si>
    <t>30/09/2026 18:00:58</t>
  </si>
  <si>
    <t>Inicio GPS dentro de la tolerancia del horario programado.; Fin GPS posterior: 01:30:58 después de las 16:30.; 5 hueco(s) GPS &gt;= 10 min.</t>
  </si>
  <si>
    <t>6.225666, -75.599403</t>
  </si>
  <si>
    <t>6.247758, -75.614985</t>
  </si>
  <si>
    <t>ad3e89aec19d71c5</t>
  </si>
  <si>
    <t>30_09_2026_DR_Diur.gpx</t>
  </si>
  <si>
    <t>ad3e89aec19d71c5d90e94d81bbe93682fc666acef829563760091be63de0ef3</t>
  </si>
  <si>
    <t>30/09/2026 08:39:29</t>
  </si>
  <si>
    <t>30/09/2026 16:31:55</t>
  </si>
  <si>
    <t>6.225550, -75.599417</t>
  </si>
  <si>
    <t>6.237958, -75.577249</t>
  </si>
  <si>
    <t>45dfc1f89a7dde74</t>
  </si>
  <si>
    <t>30_09_2026_HC_Diur.gpx</t>
  </si>
  <si>
    <t>45dfc1f89a7dde74a4415fb0e04641b88b2c76d8686c46f58268c64e067358f3</t>
  </si>
  <si>
    <t>30/09/2026 08:47:31</t>
  </si>
  <si>
    <t>30/09/2026 14:10:55</t>
  </si>
  <si>
    <t>Inicio GPS tardío: 00:17:31 después de las 08:30.; Fin GPS anticipado: 02:19:05 antes de las 16:30.; 1 permanencia(s) GPS detectada(s); requiere contexto.</t>
  </si>
  <si>
    <t>6.225625, -75.599011</t>
  </si>
  <si>
    <t>6.297761, -75.572980</t>
  </si>
  <si>
    <t>81b6406bb181788e</t>
  </si>
  <si>
    <t>30_09_2026_JA_Diur.gpx</t>
  </si>
  <si>
    <t>81b6406bb181788eb2b977a7e337b7fe1276e5e1b20bdb6aae5deca28aa1d7a3</t>
  </si>
  <si>
    <t>30/09/2026 08:34:34</t>
  </si>
  <si>
    <t>30/09/2026 11:56:39</t>
  </si>
  <si>
    <t>Inicio GPS dentro de la tolerancia del horario programado.; Fin GPS anticipado: 04:33:21 antes de las 16:30.; 1 hueco(s) GPS &gt;= 10 min.; 1 permanencia(s) GPS detectada(s); requiere contexto.</t>
  </si>
  <si>
    <t>6.224020, -75.601588</t>
  </si>
  <si>
    <t>6.241441, -75.559990</t>
  </si>
  <si>
    <t>5dddf97e3fd340a8</t>
  </si>
  <si>
    <t>30_09_2026_JO_Diur.gpx</t>
  </si>
  <si>
    <t>5dddf97e3fd340a86d473b626223cd317e35621f6dd5d8003f064828d682f918</t>
  </si>
  <si>
    <t>30/09/2026 08:36:36</t>
  </si>
  <si>
    <t>30/09/2026 16:28:53</t>
  </si>
  <si>
    <t>6.225662, -75.599354</t>
  </si>
  <si>
    <t>6.259229, -75.620970</t>
  </si>
  <si>
    <t>dde41d6e25042436</t>
  </si>
  <si>
    <t>30_09_2026_SJ_Diur.gpx</t>
  </si>
  <si>
    <t>dde41d6e250424368b9ac4dcff46f2b8c9029f30e3bfcd0b95c93daa45d9f3f3</t>
  </si>
  <si>
    <t>30/09/2026 08:34:27</t>
  </si>
  <si>
    <t>30/09/2026 16:24:18</t>
  </si>
  <si>
    <t>6.225575, -75.599417</t>
  </si>
  <si>
    <t>6.305221, -75.581879</t>
  </si>
  <si>
    <t>cd9924f35ffea61b</t>
  </si>
  <si>
    <t>30_09_2026_YL_Diur.gpx</t>
  </si>
  <si>
    <t>cd9924f35ffea61bcb0a084ae07eef5fa73b252e6417504c98b88d43d9e6cabd</t>
  </si>
  <si>
    <t>30/09/2026 08:40:36</t>
  </si>
  <si>
    <t>30/09/2026 16:05:03</t>
  </si>
  <si>
    <t>Inicio GPS dentro de la tolerancia del horario programado.; Fin GPS anticipado: 00:24:57 antes de las 16:30.; 5 hueco(s) GPS &gt;= 10 min.</t>
  </si>
  <si>
    <t>6.225478, -75.598914</t>
  </si>
  <si>
    <t>6.258690, -75.616228</t>
  </si>
  <si>
    <t>eb8524d06b9e5987</t>
  </si>
  <si>
    <t>eb8524d06b9e59872d4e7dd2f448bf165c8d0b8d7d2c28cdeeec7a68372a3829</t>
  </si>
  <si>
    <t>30/09/2026 08:42:19</t>
  </si>
  <si>
    <t>30/09/2026 16:37:02</t>
  </si>
  <si>
    <t>6.230354, -75.596052</t>
  </si>
  <si>
    <t>6.279095, -75.569126</t>
  </si>
  <si>
    <t>30_09_2026_JZ_Diur.gpx</t>
  </si>
  <si>
    <t>fee34950d931678f</t>
  </si>
  <si>
    <t>30_09_2026_DV_Noct.gpx</t>
  </si>
  <si>
    <t>fee34950d931678f0623a4acba5d69bab63a804529a0077727f9af12d01052e8</t>
  </si>
  <si>
    <t>30/09/2026 17:47:46</t>
  </si>
  <si>
    <t>01/10/2026 00:34:24</t>
  </si>
  <si>
    <t>Inicio GPS dentro de la tolerancia del horario programado.; Fin GPS posterior: 00:34:24 después de las 00:00.; 1 permanencia(s) GPS detectada(s); requiere contexto.</t>
  </si>
  <si>
    <t>6.228812, -75.597750</t>
  </si>
  <si>
    <t>6.272695, -75.602036</t>
  </si>
  <si>
    <t>ea68dcf2ddbc20ee</t>
  </si>
  <si>
    <t>30_09_2026_IQ_Noct.gpx</t>
  </si>
  <si>
    <t>ea68dcf2ddbc20ee9c4204fd85de82fad42c5536486aefc4bfd9cd996b6b30f1</t>
  </si>
  <si>
    <t>30/09/2026 16:48:36</t>
  </si>
  <si>
    <t>30/09/2026 23:55:18</t>
  </si>
  <si>
    <t>Inicio GPS anterior al horario: 01:11:24 antes de las 18:00.; Fin GPS dentro de la tolerancia del horario programado.; 5 hueco(s) GPS &gt;= 10 min.</t>
  </si>
  <si>
    <t>6.225570, -75.599332</t>
  </si>
  <si>
    <t>6.294171, -75.582820</t>
  </si>
  <si>
    <t>0aee5c24d8a08ec5</t>
  </si>
  <si>
    <t>30_09_2026_JHP_Noct.gpx</t>
  </si>
  <si>
    <t>0aee5c24d8a08ec5091ca828c3c5c9837fa8451b6df055fb02a2d7e02aa6f0dd</t>
  </si>
  <si>
    <t>30/09/2026 17:07:26</t>
  </si>
  <si>
    <t>01/10/2026 00:17:21</t>
  </si>
  <si>
    <t>Inicio GPS anterior al horario: 00:52:34 antes de las 18:00.; Fin GPS posterior: 00:17:21 después de las 00:00.</t>
  </si>
  <si>
    <t>6.226824, -75.599195</t>
  </si>
  <si>
    <t>6.290427, -75.546575</t>
  </si>
  <si>
    <t>de7d5603252942ad</t>
  </si>
  <si>
    <t>30_09_2026_JP_Noct.gpx</t>
  </si>
  <si>
    <t>de7d5603252942ada85328fb515221939c4a53af79be17ec17d8a3588bf56727</t>
  </si>
  <si>
    <t>30/09/2026 17:19:50</t>
  </si>
  <si>
    <t>30/09/2026 21:25:10</t>
  </si>
  <si>
    <t>Inicio GPS anterior al horario: 00:40:10 antes de las 18:00.; Fin GPS anticipado: 02:34:50 antes de las 00:00.</t>
  </si>
  <si>
    <t>6.228055, -75.599642</t>
  </si>
  <si>
    <t>6.251797, -75.551833</t>
  </si>
  <si>
    <t>1c0870d922c26ec1</t>
  </si>
  <si>
    <t>30_09_2026_LA_Noct.gpx</t>
  </si>
  <si>
    <t>1c0870d922c26ec19a7f22e1fd36ad2453230e4aff5e321c253e8992f45fb09e</t>
  </si>
  <si>
    <t>30/09/2026 17:38:58</t>
  </si>
  <si>
    <t>01/10/2026 00:00:10</t>
  </si>
  <si>
    <t>Inicio GPS anterior al horario: 00:21:02 antes de las 18:00.; Fin GPS dentro de la tolerancia del horario programado.; 3 hueco(s) GPS &gt;= 10 min.</t>
  </si>
  <si>
    <t>6.226787, -75.599262</t>
  </si>
  <si>
    <t>6.260170, -75.590198</t>
  </si>
  <si>
    <t>c32a8abfac3f0cbb</t>
  </si>
  <si>
    <t>01_10_2026_AO_Diur.gpx</t>
  </si>
  <si>
    <t>c32a8abfac3f0cbb861425af46f181a8243c374ba042a5af797b025cd293a190</t>
  </si>
  <si>
    <t>01/10/2026</t>
  </si>
  <si>
    <t>2026-10</t>
  </si>
  <si>
    <t>01/10/2026 09:34:03</t>
  </si>
  <si>
    <t>01/10/2026 17:04:27</t>
  </si>
  <si>
    <t>Inicio GPS tardío: 01:04:03 después de las 08:30.; Fin GPS posterior: 00:34:27 después de las 16:30.; 4 hueco(s) GPS &gt;= 10 min.; 1 permanencia(s) GPS detectada(s); requiere contexto.</t>
  </si>
  <si>
    <t>6.203297, -75.600991</t>
  </si>
  <si>
    <t>6.225552, -75.599130</t>
  </si>
  <si>
    <t>b5f0bf45945924ee</t>
  </si>
  <si>
    <t>01_10_2026_AR_Diur.gpx</t>
  </si>
  <si>
    <t>b5f0bf45945924eeed233dd1f781269a583139dfbff864997ef171ca82b7896b</t>
  </si>
  <si>
    <t>01/10/2026 09:04:46</t>
  </si>
  <si>
    <t>01/10/2026 16:17:14</t>
  </si>
  <si>
    <t>Inicio GPS tardío: 00:34:46 después de las 08:30.; Fin GPS dentro de la tolerancia del horario programado.; 2 hueco(s) GPS &gt;= 10 min.</t>
  </si>
  <si>
    <t>6.225631, -75.599385</t>
  </si>
  <si>
    <t>6.247747, -75.615037</t>
  </si>
  <si>
    <t>2bb4c020051e3381</t>
  </si>
  <si>
    <t>01_10_2026_DR_Diur.gpx</t>
  </si>
  <si>
    <t>2bb4c020051e3381d275fc2a1d744b82a2702f2085e6535d9c2e769ecb922275</t>
  </si>
  <si>
    <t>01/10/2026 09:28:38</t>
  </si>
  <si>
    <t>01/10/2026 16:29:24</t>
  </si>
  <si>
    <t>Inicio GPS tardío: 00:58:38 después de las 08:30.; Fin GPS dentro de la tolerancia del horario programado.; 2 hueco(s) GPS &gt;= 10 min.</t>
  </si>
  <si>
    <t>6.226977, -75.601635</t>
  </si>
  <si>
    <t>6.263678, -75.597012</t>
  </si>
  <si>
    <t>430141200c1e47c7</t>
  </si>
  <si>
    <t>01_10_2026_HC_Diur.gpx</t>
  </si>
  <si>
    <t>430141200c1e47c7c45b965db8507d1dc65af95a444f37a289e7c99051bdfd86</t>
  </si>
  <si>
    <t>01/10/2026 09:15:08</t>
  </si>
  <si>
    <t>01/10/2026 14:31:11</t>
  </si>
  <si>
    <t>Inicio GPS tardío: 00:45:08 después de las 08:30.; Fin GPS anticipado: 01:58:49 antes de las 16:30.</t>
  </si>
  <si>
    <t>6.225890, -75.599391</t>
  </si>
  <si>
    <t>6.304655, -75.569093</t>
  </si>
  <si>
    <t>2cab6e52e20f06ed</t>
  </si>
  <si>
    <t>01_10_2026_JA_Diur.gpx</t>
  </si>
  <si>
    <t>2cab6e52e20f06ed01b2a1f47f66b9b682689ef160a4003d79b00764edcf56b5</t>
  </si>
  <si>
    <t>01/10/2026 09:02:45</t>
  </si>
  <si>
    <t>01/10/2026 12:54:27</t>
  </si>
  <si>
    <t>Inicio GPS tardío: 00:32:45 después de las 08:30.; Fin GPS anticipado: 03:35:33 antes de las 16:30.</t>
  </si>
  <si>
    <t>6.225504, -75.599470</t>
  </si>
  <si>
    <t>6.236640, -75.559618</t>
  </si>
  <si>
    <t>ec846357b19abfae</t>
  </si>
  <si>
    <t>01_10_2026_JO_Diur.gpx</t>
  </si>
  <si>
    <t>ec846357b19abfae921d6e88f05a8363dccb7f3c0a29c20007544526b3411bfa</t>
  </si>
  <si>
    <t>01/10/2026 09:13:21</t>
  </si>
  <si>
    <t>01/10/2026 16:31:02</t>
  </si>
  <si>
    <t>Inicio GPS tardío: 00:43:21 después de las 08:30.; Fin GPS dentro de la tolerancia del horario programado.; 12 hueco(s) GPS &gt;= 10 min.; 1 permanencia(s) GPS detectada(s); requiere contexto.</t>
  </si>
  <si>
    <t>6.225577, -75.599403</t>
  </si>
  <si>
    <t>6.257788, -75.614191</t>
  </si>
  <si>
    <t>fad2dc235b63c1ec</t>
  </si>
  <si>
    <t>01_10_2026_JZ_Diur.gpx</t>
  </si>
  <si>
    <t>fad2dc235b63c1ec507431018e59133443622367dbb99a4b4cd6552a0418a62a</t>
  </si>
  <si>
    <t>01/10/2026 09:17:31</t>
  </si>
  <si>
    <t>01/10/2026 16:37:14</t>
  </si>
  <si>
    <t>Inicio GPS tardío: 00:47:31 después de las 08:30.; Fin GPS dentro de la tolerancia del horario programado.</t>
  </si>
  <si>
    <t>6.226567, -75.599173</t>
  </si>
  <si>
    <t>6.280118, -75.572308</t>
  </si>
  <si>
    <t>5f25d1d423ead8c0</t>
  </si>
  <si>
    <t>01_10_2026_SJ_Diur.gpx</t>
  </si>
  <si>
    <t>5f25d1d423ead8c030453c8cfba94b35fb6ffe31a1e151caddd65bd0591b36bd</t>
  </si>
  <si>
    <t>01/10/2026 08:59:51</t>
  </si>
  <si>
    <t>01/10/2026 16:28:22</t>
  </si>
  <si>
    <t>Inicio GPS tardío: 00:29:51 después de las 08:30.; Fin GPS dentro de la tolerancia del horario programado.</t>
  </si>
  <si>
    <t>6.225674, -75.599473</t>
  </si>
  <si>
    <t>6.304127, -75.581996</t>
  </si>
  <si>
    <t>c02bd79f578567ea</t>
  </si>
  <si>
    <t>01_10_2026_YL_Diur.gpx</t>
  </si>
  <si>
    <t>c02bd79f578567ea711c8aa642d38225310391b00b5e467caf67751bc3512d13</t>
  </si>
  <si>
    <t>01/10/2026 08:51:05</t>
  </si>
  <si>
    <t>01/10/2026 16:01:33</t>
  </si>
  <si>
    <t>Inicio GPS tardío: 00:21:05 después de las 08:30.; Fin GPS anticipado: 00:28:27 antes de las 16:30.; 1 hueco(s) GPS &gt;= 10 min.</t>
  </si>
  <si>
    <t>6.225526, -75.599444</t>
  </si>
  <si>
    <t>6.258196, -75.615996</t>
  </si>
  <si>
    <t>Se inició tarde el recorrido debido a capacitación de SSTT</t>
  </si>
  <si>
    <t>45ce0489dbd41294</t>
  </si>
  <si>
    <t>01_10_2026_DV_Noct.gpx</t>
  </si>
  <si>
    <t>45ce0489dbd4129473f5975af56c55383dc7002ca63aba9025b55d4533bddca4</t>
  </si>
  <si>
    <t>01/10/2026 16:47:18</t>
  </si>
  <si>
    <t>02/10/2026 00:18:12</t>
  </si>
  <si>
    <t>Inicio GPS anterior al horario: 01:12:42 antes de las 18:00.; Fin GPS posterior: 00:18:12 después de las 00:00.; 1 permanencia(s) GPS detectada(s); requiere contexto.</t>
  </si>
  <si>
    <t>6.225959, -75.599347</t>
  </si>
  <si>
    <t>6.272609, -75.602417</t>
  </si>
  <si>
    <t>a5865019b3da8b06</t>
  </si>
  <si>
    <t>01_10_2026_IQ_Noct.gpx</t>
  </si>
  <si>
    <t>a5865019b3da8b06bbf3725788ca0b1e1b459e8829b7b75c2f501a71f63920cd</t>
  </si>
  <si>
    <t>01/10/2026 16:59:31</t>
  </si>
  <si>
    <t>01/10/2026 23:42:28</t>
  </si>
  <si>
    <t>Inicio GPS anterior al horario: 01:00:29 antes de las 18:00.; Fin GPS anticipado: 00:17:32 antes de las 00:00.; 2 hueco(s) GPS &gt;= 10 min.</t>
  </si>
  <si>
    <t>6.225705, -75.599190</t>
  </si>
  <si>
    <t>6.295184, -75.554970</t>
  </si>
  <si>
    <t>73a450d8d2a5a73a</t>
  </si>
  <si>
    <t>01_10_2026_JHP_Noct.gpx</t>
  </si>
  <si>
    <t>73a450d8d2a5a73a8f4c1838150a60b678ab53372292019b0b1ad7afd20d62cb</t>
  </si>
  <si>
    <t>01/10/2026 17:33:15</t>
  </si>
  <si>
    <t>02/10/2026 01:02:42</t>
  </si>
  <si>
    <t>Inicio GPS anterior al horario: 00:26:45 antes de las 18:00.; Fin GPS posterior: 01:02:42 después de las 00:00.</t>
  </si>
  <si>
    <t>6.226865, -75.599376</t>
  </si>
  <si>
    <t>6.290404, -75.546580</t>
  </si>
  <si>
    <t>8c3b221084febd16</t>
  </si>
  <si>
    <t>01_10_2026_JP_Noct.gpx</t>
  </si>
  <si>
    <t>8c3b221084febd168ca23c8424974201e3351d7364ae431c34ddfd64c834b201</t>
  </si>
  <si>
    <t>01/10/2026 17:14:19</t>
  </si>
  <si>
    <t>01/10/2026 20:54:30</t>
  </si>
  <si>
    <t>Inicio GPS anterior al horario: 00:45:41 antes de las 18:00.; Fin GPS anticipado: 03:05:30 antes de las 00:00.; 1 hueco(s) GPS &gt;= 10 min.</t>
  </si>
  <si>
    <t>6.226025, -75.599370</t>
  </si>
  <si>
    <t>6.251767, -75.551830</t>
  </si>
  <si>
    <t>37c8b9ed40881b86</t>
  </si>
  <si>
    <t>01_10_2026_LA_Noct.gpx</t>
  </si>
  <si>
    <t>37c8b9ed40881b86418f46dfa5ab38c65bdea4f2b6480b215a3e55958cdd5ab4</t>
  </si>
  <si>
    <t>01/10/2026 17:31:45</t>
  </si>
  <si>
    <t>02/10/2026 00:21:08</t>
  </si>
  <si>
    <t>Inicio GPS anterior al horario: 00:28:15 antes de las 18:00.; Fin GPS posterior: 00:21:09 después de las 00:00.; 3 hueco(s) GPS &gt;= 10 min.; 1 permanencia(s) GPS detectada(s); requiere contexto.</t>
  </si>
  <si>
    <t>6.226470, -75.599548</t>
  </si>
  <si>
    <t>6.268432, -75.599477</t>
  </si>
  <si>
    <t>e5c067b0adfdcccc</t>
  </si>
  <si>
    <t>02_10_2026_AO_Diur.gpx</t>
  </si>
  <si>
    <t>e5c067b0adfdcccc03a89f1b777e4ecf77fcad228fe742b0da1269343dba242c</t>
  </si>
  <si>
    <t>02/10/2026</t>
  </si>
  <si>
    <t>02/10/2026 08:49:50</t>
  </si>
  <si>
    <t>02/10/2026 15:51:59</t>
  </si>
  <si>
    <t>Inicio GPS tardío: 00:19:50 después de las 08:30.; Fin GPS dentro de la tolerancia del horario programado.; 6 hueco(s) GPS &gt;= 10 min.</t>
  </si>
  <si>
    <t>6.221775, -75.593822</t>
  </si>
  <si>
    <t>6.221704, -75.593849</t>
  </si>
  <si>
    <t>1fb547a5b199ab38</t>
  </si>
  <si>
    <t>02_10_2026_AR_Diur.gpx</t>
  </si>
  <si>
    <t>1fb547a5b199ab383b471c1a3414961935a0b73b9afaeb490558211a78b19af7</t>
  </si>
  <si>
    <t>02/10/2026 08:06:50</t>
  </si>
  <si>
    <t>02/10/2026 16:02:21</t>
  </si>
  <si>
    <t>Inicio GPS anterior al horario: 00:23:10 antes de las 08:30.; Fin GPS dentro de la tolerancia del horario programado.; 3 hueco(s) GPS &gt;= 10 min.</t>
  </si>
  <si>
    <t>6.225841, -75.599310</t>
  </si>
  <si>
    <t>6.247778, -75.615000</t>
  </si>
  <si>
    <t>1a8aa5e7c41e821f</t>
  </si>
  <si>
    <t>02_10_2026_DR_Diur.gpx</t>
  </si>
  <si>
    <t>1a8aa5e7c41e821f08ca18f7e2b630416a65588da3ab2f5e5531cd6d3419b39c</t>
  </si>
  <si>
    <t>02/10/2026 08:54:39</t>
  </si>
  <si>
    <t>02/10/2026 15:16:52</t>
  </si>
  <si>
    <t>Inicio GPS tardío: 00:24:39 después de las 08:30.; Fin GPS anticipado: 00:43:08 antes de las 16:00.; 2 hueco(s) GPS &gt;= 10 min.</t>
  </si>
  <si>
    <t>6.226750, -75.601354</t>
  </si>
  <si>
    <t>6.251145, -75.602318</t>
  </si>
  <si>
    <t>eaea6d23da7b761c</t>
  </si>
  <si>
    <t>02_10_2026_HC_Diur.gpx</t>
  </si>
  <si>
    <t>eaea6d23da7b761c93962f169c114dc776e68c38465b4524c692dffadf90b804</t>
  </si>
  <si>
    <t>02/10/2026 09:12:25</t>
  </si>
  <si>
    <t>02/10/2026 13:41:43</t>
  </si>
  <si>
    <t>Inicio GPS tardío: 00:42:25 después de las 08:30.; Fin GPS anticipado: 02:18:17 antes de las 16:00.</t>
  </si>
  <si>
    <t>6.235251, -75.600564</t>
  </si>
  <si>
    <t>6.300592, -75.568960</t>
  </si>
  <si>
    <t>450cd602cedefc95</t>
  </si>
  <si>
    <t>02_10_2026_JO_Diur.gpx</t>
  </si>
  <si>
    <t>450cd602cedefc955e88d5935b628fd86f72d8273af3a2383be0b8e68e96f3ba</t>
  </si>
  <si>
    <t>02/10/2026 08:34:28</t>
  </si>
  <si>
    <t>02/10/2026 16:30:02</t>
  </si>
  <si>
    <t>Inicio GPS dentro de la tolerancia del horario programado.; Fin GPS posterior: 00:30:03 después de las 16:00.; 14 hueco(s) GPS &gt;= 10 min.</t>
  </si>
  <si>
    <t>6.225649, -75.599414</t>
  </si>
  <si>
    <t>6.246883, -75.554149</t>
  </si>
  <si>
    <t>8d66aba6155abfac</t>
  </si>
  <si>
    <t>02_10_2026_JZ_Diur.gpx</t>
  </si>
  <si>
    <t>8d66aba6155abfac0f7f421c56fbf1c269005edcec7f07a0c08829addf944dc7</t>
  </si>
  <si>
    <t>02/10/2026 08:32:36</t>
  </si>
  <si>
    <t>02/10/2026 15:46:25</t>
  </si>
  <si>
    <t>6.226870, -75.599140</t>
  </si>
  <si>
    <t>6.279449, -75.569809</t>
  </si>
  <si>
    <t>f6583665c5fdff79</t>
  </si>
  <si>
    <t>02_10_2026_SJ_Diur.gpx</t>
  </si>
  <si>
    <t>f6583665c5fdff79953483fa8c69d84a4f390f02c803e8ef5531ec1b197c96aa</t>
  </si>
  <si>
    <t>02/10/2026 08:42:19</t>
  </si>
  <si>
    <t>02/10/2026 14:49:05</t>
  </si>
  <si>
    <t>Inicio GPS dentro de la tolerancia del horario programado.; Fin GPS anticipado: 01:10:55 antes de las 16:00.; 1 hueco(s) GPS &gt;= 10 min.; 1 permanencia(s) GPS detectada(s); requiere contexto.</t>
  </si>
  <si>
    <t>6.225736, -75.599547</t>
  </si>
  <si>
    <t>6.307043, -75.555595</t>
  </si>
  <si>
    <t>2b423a0781dbdc93</t>
  </si>
  <si>
    <t>02_10_2026_YL_Diur.gpx</t>
  </si>
  <si>
    <t>2b423a0781dbdc9330dde4d6c8c1d8a58b4ca0cd462834d806b34cbe67e5b297</t>
  </si>
  <si>
    <t>02/10/2026 09:01:50</t>
  </si>
  <si>
    <t>02/10/2026 16:10:59</t>
  </si>
  <si>
    <t>Inicio GPS tardío: 00:31:50 después de las 08:30.; Fin GPS dentro de la tolerancia del horario programado.; 1 hueco(s) GPS &gt;= 10 min.</t>
  </si>
  <si>
    <t>6.225786, -75.599468</t>
  </si>
  <si>
    <t>6.231911, -75.603090</t>
  </si>
  <si>
    <t>51d9638b067a72fa</t>
  </si>
  <si>
    <t>03_10_2026_AR_Diur.gpx</t>
  </si>
  <si>
    <t>51d9638b067a72fa00b8bb8a8cb87d763f5758f150b6134dd0d05982afe6e868</t>
  </si>
  <si>
    <t>03/10/2026</t>
  </si>
  <si>
    <t>03/10/2026 08:49:53</t>
  </si>
  <si>
    <t>03/10/2026 15:33:48</t>
  </si>
  <si>
    <t>Inicio GPS tardío: 00:19:53 después de las 08:30.; Fin GPS anticipado: 00:26:12 antes de las 16:00.; 2 hueco(s) GPS &gt;= 10 min.</t>
  </si>
  <si>
    <t>6.247840, -75.615064</t>
  </si>
  <si>
    <t>6.228840, -75.578445</t>
  </si>
  <si>
    <t>bae4d1b308f77ad1</t>
  </si>
  <si>
    <t>03_10_2026_DR_Diur.gpx</t>
  </si>
  <si>
    <t>bae4d1b308f77ad17d97ef89e12c741bab5ce7c4794f651c3f70de38ac088c2b</t>
  </si>
  <si>
    <t>03/10/2026 09:21:53</t>
  </si>
  <si>
    <t>03/10/2026 15:27:22</t>
  </si>
  <si>
    <t>Inicio GPS tardío: 00:51:53 después de las 08:30.; Fin GPS anticipado: 00:32:38 antes de las 16:00.; 1 hueco(s) GPS &gt;= 10 min.</t>
  </si>
  <si>
    <t>6.250462, -75.601304</t>
  </si>
  <si>
    <t>6.243284, -75.602464</t>
  </si>
  <si>
    <t>ffbfada35b7216ea</t>
  </si>
  <si>
    <t>02_10_2026_JA_Diur.gpx</t>
  </si>
  <si>
    <t>ffbfada35b7216ea0139a296d196af87bf355f035c0d44112ba213ddccd84b31</t>
  </si>
  <si>
    <t>02/10/2026 08:16:08</t>
  </si>
  <si>
    <t>02/10/2026 14:17:08</t>
  </si>
  <si>
    <t>Inicio GPS dentro de la tolerancia del horario programado.; Fin GPS anticipado: 01:42:52 antes de las 16:00.; 3 hueco(s) GPS &gt;= 10 min.</t>
  </si>
  <si>
    <t>6.224999, -75.598747</t>
  </si>
  <si>
    <t>6.236920, -75.558722</t>
  </si>
  <si>
    <t>9583f15f3181f0af</t>
  </si>
  <si>
    <t>02_10_2026_DV_Noct.gpx</t>
  </si>
  <si>
    <t>9583f15f3181f0af433fd34630f02de464c82edacf317940228d7bc4b6b47c01</t>
  </si>
  <si>
    <t>02/10/2026 17:50:56</t>
  </si>
  <si>
    <t>03/10/2026 00:28:36</t>
  </si>
  <si>
    <t>Inicio GPS dentro de la tolerancia del horario programado.; Fin GPS posterior: 00:28:36 después de las 00:00.; 1 permanencia(s) GPS detectada(s); requiere contexto.</t>
  </si>
  <si>
    <t>6.272703, -75.602028</t>
  </si>
  <si>
    <t>6.272627, -75.602096</t>
  </si>
  <si>
    <t>b1dfd6c070766387</t>
  </si>
  <si>
    <t>02_10_2026_IQ_Noct.gpx</t>
  </si>
  <si>
    <t>b1dfd6c070766387e0bc6bac40161cec3f5705a570a1e0d67fbc70cce7c63165</t>
  </si>
  <si>
    <t>02/10/2026 17:49:44</t>
  </si>
  <si>
    <t>02/10/2026 23:59:25</t>
  </si>
  <si>
    <t>Inicio GPS dentro de la tolerancia del horario programado.; Fin GPS dentro de la tolerancia del horario programado.; 7 hueco(s) GPS &gt;= 10 min.</t>
  </si>
  <si>
    <t>6.189618, -75.580875</t>
  </si>
  <si>
    <t>6.249399, -75.591261</t>
  </si>
  <si>
    <t>9fb2a764ec483630</t>
  </si>
  <si>
    <t>02_10_2026_JHP_Noct.gpx</t>
  </si>
  <si>
    <t>9fb2a764ec483630db706c8ee3b0e2b3f16cf636c23997f2f1e1407fe9e825f1</t>
  </si>
  <si>
    <t>02/10/2026 19:06:45</t>
  </si>
  <si>
    <t>02/10/2026 23:57:57</t>
  </si>
  <si>
    <t>Inicio GPS tardío: 01:06:45 después de las 18:00.; Fin GPS dentro de la tolerancia del horario programado.</t>
  </si>
  <si>
    <t>6.290650, -75.546369</t>
  </si>
  <si>
    <t>6.290511, -75.546474</t>
  </si>
  <si>
    <t>425b7f4c3c65e05e</t>
  </si>
  <si>
    <t>02_10_2026_JP_Noct.gpx</t>
  </si>
  <si>
    <t>425b7f4c3c65e05ec21b32e5d863adee507d24715a1222e37b5f58f0bf889305</t>
  </si>
  <si>
    <t>02/10/2026 17:46:12</t>
  </si>
  <si>
    <t>02/10/2026 22:38:59</t>
  </si>
  <si>
    <t>Inicio GPS dentro de la tolerancia del horario programado.; Fin GPS anticipado: 01:21:01 antes de las 00:00.</t>
  </si>
  <si>
    <t>6.307070, -75.565537</t>
  </si>
  <si>
    <t>6.251880, -75.551852</t>
  </si>
  <si>
    <t>97f6d7b9866ae2b1</t>
  </si>
  <si>
    <t>02_10_2026_LA_Noct.gpx</t>
  </si>
  <si>
    <t>97f6d7b9866ae2b124b7d2f70fd44cba77593474c62bbb60b3aee77f5e30b90d</t>
  </si>
  <si>
    <t>02/10/2026 17:46:52</t>
  </si>
  <si>
    <t>03/10/2026 00:02:12</t>
  </si>
  <si>
    <t>6.267468, -75.597285</t>
  </si>
  <si>
    <t>6.268222, -75.598875</t>
  </si>
  <si>
    <t>dd33041de754b4fd</t>
  </si>
  <si>
    <t>03_10_2026_IQ_Noct.gpx</t>
  </si>
  <si>
    <t>dd33041de754b4fddd894b7dc2edf40cf50bcc3a504304b42cbc6bf042961285</t>
  </si>
  <si>
    <t>03/10/2026 17:18:24</t>
  </si>
  <si>
    <t>03/10/2026 23:56:24</t>
  </si>
  <si>
    <t>Inicio GPS anterior al horario: 00:41:36 antes de las 18:00.; Fin GPS dentro de la tolerancia del horario programado.; 2 hueco(s) GPS &gt;= 10 min.; Sábado nocturno: verificar técnico asignado.</t>
  </si>
  <si>
    <t>6.272210, -75.541080</t>
  </si>
  <si>
    <t>6.270882, -75.575442</t>
  </si>
  <si>
    <t>b28d738ca79ea138</t>
  </si>
  <si>
    <t>b28d738ca79ea1384ed93f00208ff4ed8e0389b2055ef109b8de74e8019c447f</t>
  </si>
  <si>
    <t>05/10/2026 08:51:33</t>
  </si>
  <si>
    <t>05/10/2026 16:05:54</t>
  </si>
  <si>
    <t>6.225809, -75.599311</t>
  </si>
  <si>
    <t>6.222975, -75.597691</t>
  </si>
  <si>
    <t>000db4b112a7fdff</t>
  </si>
  <si>
    <t>05_10_2026_AO_Diur.gpx</t>
  </si>
  <si>
    <t>000db4b112a7fdffe9bf860d9a5794fffc8afc25d59170c94c76329de0417480</t>
  </si>
  <si>
    <t>05/10/2026</t>
  </si>
  <si>
    <t>05/10/2026 09:05:36</t>
  </si>
  <si>
    <t>05/10/2026 16:20:08</t>
  </si>
  <si>
    <t>Inicio GPS tardío: 00:35:36 después de las 08:30.; Fin GPS dentro de la tolerancia del horario programado.; 4 hueco(s) GPS &gt;= 10 min.; 1 permanencia(s) GPS detectada(s); requiere contexto.</t>
  </si>
  <si>
    <t>6.203281, -75.600700</t>
  </si>
  <si>
    <t>6.203347, -75.600768</t>
  </si>
  <si>
    <t>3ce30b3ee2243db8</t>
  </si>
  <si>
    <t>05_10_2026_AR_Diur.gpx</t>
  </si>
  <si>
    <t>3ce30b3ee2243db8a9afc2db935fcd600ca24052e84710da81615106895bc156</t>
  </si>
  <si>
    <t>05/10/2026 07:57:47</t>
  </si>
  <si>
    <t>05/10/2026 17:14:43</t>
  </si>
  <si>
    <t>Inicio GPS anterior al horario: 00:32:13 antes de las 08:30.; Fin GPS posterior: 00:44:43 después de las 16:30.</t>
  </si>
  <si>
    <t>6.225678, -75.598975</t>
  </si>
  <si>
    <t>6.247758, -75.615007</t>
  </si>
  <si>
    <t>f5804608a96f6f19</t>
  </si>
  <si>
    <t>05_10_2026_DR_Diur.gpx</t>
  </si>
  <si>
    <t>f5804608a96f6f19bdfe7619d22f7da015a8ef974ecd661382f590bcd7fe0897</t>
  </si>
  <si>
    <t>05/10/2026 08:34:09</t>
  </si>
  <si>
    <t>05/10/2026 16:26:54</t>
  </si>
  <si>
    <t>Inicio GPS dentro de la tolerancia del horario programado.; Fin GPS dentro de la tolerancia del horario programado.; 2 hueco(s) GPS &gt;= 10 min.; 1 permanencia(s) GPS detectada(s); requiere contexto.</t>
  </si>
  <si>
    <t>6.229238, -75.602113</t>
  </si>
  <si>
    <t>6.239096, -75.582787</t>
  </si>
  <si>
    <t>75d0d14eff0c25a9</t>
  </si>
  <si>
    <t>05_10_2026_JHP_Diur.gpx</t>
  </si>
  <si>
    <t>75d0d14eff0c25a95d1bac9ccdcdfc1f3386de9c41d85de2acd509c4800ab9ea</t>
  </si>
  <si>
    <t>05/10/2026 08:37:21</t>
  </si>
  <si>
    <t>05/10/2026 16:02:09</t>
  </si>
  <si>
    <t>Inicio GPS dentro de la tolerancia del horario programado.; Fin GPS anticipado: 00:27:51 antes de las 16:30.</t>
  </si>
  <si>
    <t>6.225529, -75.599313</t>
  </si>
  <si>
    <t>6.272840, -75.574475</t>
  </si>
  <si>
    <t>a842fdce5f791451</t>
  </si>
  <si>
    <t>05_10_2026_JP_Diur.gpx</t>
  </si>
  <si>
    <t>a842fdce5f79145196f200f0242864f78c8bed23fc0c04eabaa13bcbadabef90</t>
  </si>
  <si>
    <t>05/10/2026 08:45:36</t>
  </si>
  <si>
    <t>05/10/2026 16:14:13</t>
  </si>
  <si>
    <t>Inicio GPS tardío: 00:15:36 después de las 08:30.; Fin GPS anticipado: 00:15:47 antes de las 16:30.</t>
  </si>
  <si>
    <t>6.225475, -75.599275</t>
  </si>
  <si>
    <t>6.251798, -75.551810</t>
  </si>
  <si>
    <t>dfa6c7b0c5a9ff1e</t>
  </si>
  <si>
    <t>05_10_2026_JZ_Diur.gpx</t>
  </si>
  <si>
    <t>dfa6c7b0c5a9ff1e9f448f6d3e237806262a1281348f6e2d0f5a1fcaacb4ae40</t>
  </si>
  <si>
    <t>05/10/2026 08:22:44</t>
  </si>
  <si>
    <t>05/10/2026 15:59:12</t>
  </si>
  <si>
    <t>Inicio GPS dentro de la tolerancia del horario programado.; Fin GPS anticipado: 00:30:48 antes de las 16:30.</t>
  </si>
  <si>
    <t>6.226452, -75.599304</t>
  </si>
  <si>
    <t>6.225353, -75.599345</t>
  </si>
  <si>
    <t>c8abba0914ab8c6e</t>
  </si>
  <si>
    <t>05_10_2026_YL_Diur.gpx</t>
  </si>
  <si>
    <t>c8abba0914ab8c6e1398f1c9df726d9dd065b8280584e7531684b3f24afc4094</t>
  </si>
  <si>
    <t>05/10/2026 08:26:30</t>
  </si>
  <si>
    <t>05/10/2026 17:41:58</t>
  </si>
  <si>
    <t>Inicio GPS dentro de la tolerancia del horario programado.; Fin GPS posterior: 01:11:58 después de las 16:30.</t>
  </si>
  <si>
    <t>6.225649, -75.599081</t>
  </si>
  <si>
    <t>6.258226, -75.615801</t>
  </si>
  <si>
    <t>544ee836374c4210</t>
  </si>
  <si>
    <t>05_10_2026_DV_Noct.gpx</t>
  </si>
  <si>
    <t>544ee836374c421028e5d9072846c2e5603c5c594e9b97dce803978994ec659d</t>
  </si>
  <si>
    <t>05/10/2026 17:17:32</t>
  </si>
  <si>
    <t>06/10/2026 00:12:19</t>
  </si>
  <si>
    <t>Inicio GPS anterior al horario: 00:42:28 antes de las 18:00.; Fin GPS dentro de la tolerancia del horario programado.</t>
  </si>
  <si>
    <t>6.229133, -75.602098</t>
  </si>
  <si>
    <t>6.272695, -75.602114</t>
  </si>
  <si>
    <t>3588b755c3ee0762</t>
  </si>
  <si>
    <t>05_10_2026_JA_Noct.gpx</t>
  </si>
  <si>
    <t>3588b755c3ee07620b6bbd579191210cc4fab2486e24b93e18bab46751c13fa4</t>
  </si>
  <si>
    <t>05/10/2026 16:14:50</t>
  </si>
  <si>
    <t>05/10/2026 22:48:01</t>
  </si>
  <si>
    <t>Inicio GPS anterior al horario: 01:45:10 antes de las 18:00.; Fin GPS anticipado: 01:11:59 antes de las 00:00.</t>
  </si>
  <si>
    <t>6.225731, -75.599151</t>
  </si>
  <si>
    <t>6.236581, -75.558187</t>
  </si>
  <si>
    <t>97fcac0a51fc46fe</t>
  </si>
  <si>
    <t>05_10_2026_JO_Noct.gpx</t>
  </si>
  <si>
    <t>97fcac0a51fc46fef5ea8ec86a96485df8d130e1a73c4a4b2fb2042f70ab223b</t>
  </si>
  <si>
    <t>05/10/2026 17:30:22</t>
  </si>
  <si>
    <t>05/10/2026 23:57:22</t>
  </si>
  <si>
    <t>Inicio GPS anterior al horario: 00:29:37 antes de las 18:00.; Fin GPS dentro de la tolerancia del horario programado.; 9 hueco(s) GPS &gt;= 10 min.</t>
  </si>
  <si>
    <t>6.225822, -75.599324</t>
  </si>
  <si>
    <t>6.259269, -75.620922</t>
  </si>
  <si>
    <t>8cd9ba2cb65fe97a</t>
  </si>
  <si>
    <t>05_10_2026_LA_Noct.gpx</t>
  </si>
  <si>
    <t>8cd9ba2cb65fe97a4748ade9a9c7c5125418a4daf8cb24f1d30e6bfba3142b4b</t>
  </si>
  <si>
    <t>05/10/2026 17:06:12</t>
  </si>
  <si>
    <t>05/10/2026 23:58:30</t>
  </si>
  <si>
    <t>Inicio GPS anterior al horario: 00:53:47 antes de las 18:00.; Fin GPS dentro de la tolerancia del horario programado.; 2 hueco(s) GPS &gt;= 10 min.</t>
  </si>
  <si>
    <t>6.241267, -75.586453</t>
  </si>
  <si>
    <t>6.256800, -75.580860</t>
  </si>
  <si>
    <t>d5cc161d9ce54fe5</t>
  </si>
  <si>
    <t>05_10_2026_SJ_Noct.gpx</t>
  </si>
  <si>
    <t>d5cc161d9ce54fe525ba7823212b60a76cccd5b55b9ac1b7316d3eee04b0933d</t>
  </si>
  <si>
    <t>05/10/2026 17:33:11</t>
  </si>
  <si>
    <t>05/10/2026 23:10:08</t>
  </si>
  <si>
    <t>Inicio GPS anterior al horario: 00:26:49 antes de las 18:00.; Fin GPS anticipado: 00:49:52 antes de las 00:00.; 1 permanencia(s) GPS detectada(s); requiere contexto.</t>
  </si>
  <si>
    <t>6.225800, -75.599363</t>
  </si>
  <si>
    <t>6.276571, -75.573235</t>
  </si>
  <si>
    <t>05_10_2026_HC_Diur.gpx</t>
  </si>
  <si>
    <t>Inicio GPS tardío: 00:21:33 después de las 08:30.; Fin GPS anticipado: 00:24:06 antes de las 16:30.; 1 permanencia(s) GPS detectada(s); requiere contexto.</t>
  </si>
  <si>
    <t>9cf18de374d275c4</t>
  </si>
  <si>
    <t>06_10_2026_AO_Diur.gpx</t>
  </si>
  <si>
    <t>9cf18de374d275c451d68cc2f62f8cc81c70f00a9ffd7272e17df44adb170ebe</t>
  </si>
  <si>
    <t>06/10/2026</t>
  </si>
  <si>
    <t>06/10/2026 09:00:59</t>
  </si>
  <si>
    <t>06/10/2026 16:33:37</t>
  </si>
  <si>
    <t>Inicio GPS tardío: 00:31:00 después de las 08:30.; Fin GPS dentro de la tolerancia del horario programado.; 4 hueco(s) GPS &gt;= 10 min.</t>
  </si>
  <si>
    <t>6.203244, -75.600826</t>
  </si>
  <si>
    <t>6.237179, -75.569824</t>
  </si>
  <si>
    <t>436b63e4bfdeab19</t>
  </si>
  <si>
    <t>06_10_2026_AR_Diur.gpx</t>
  </si>
  <si>
    <t>436b63e4bfdeab19c0dbf1d9c309ed00cfab5f8ffbd58105b36edf9d1b690095</t>
  </si>
  <si>
    <t>06/10/2026 08:12:00</t>
  </si>
  <si>
    <t>06/10/2026 16:21:38</t>
  </si>
  <si>
    <t>Inicio GPS anterior al horario: 00:18:00 antes de las 08:30.; Fin GPS dentro de la tolerancia del horario programado.; 1 permanencia(s) GPS detectada(s); requiere contexto.</t>
  </si>
  <si>
    <t>6.225562, -75.599151</t>
  </si>
  <si>
    <t>6.225658, -75.599071</t>
  </si>
  <si>
    <t>9d2efded79ea7d5e</t>
  </si>
  <si>
    <t>06_10_2026_DR_Diur.gpx</t>
  </si>
  <si>
    <t>9d2efded79ea7d5e1e9829c914a62b23ea606f38fb13051df790893616c456a1</t>
  </si>
  <si>
    <t>06/10/2026 08:26:25</t>
  </si>
  <si>
    <t>06/10/2026 16:30:56</t>
  </si>
  <si>
    <t>6.233598, -75.602124</t>
  </si>
  <si>
    <t>6.238812, -75.603425</t>
  </si>
  <si>
    <t>18e919bb77859506</t>
  </si>
  <si>
    <t>06_10_2026_HC_Diur.gpx</t>
  </si>
  <si>
    <t>18e919bb77859506cc0ec2d1dc2ac65612bf7c2ff3eae19a7487f3a0c3ba9873</t>
  </si>
  <si>
    <t>06/10/2026 08:25:08</t>
  </si>
  <si>
    <t>06/10/2026 13:53:00</t>
  </si>
  <si>
    <t>Inicio GPS dentro de la tolerancia del horario programado.; Fin GPS anticipado: 02:37:00 antes de las 16:30.; 1 hueco(s) GPS &gt;= 10 min.; 1 permanencia(s) GPS detectada(s); requiere contexto.</t>
  </si>
  <si>
    <t>6.225747, -75.599438</t>
  </si>
  <si>
    <t>6.235405, -75.603436</t>
  </si>
  <si>
    <t>803a78c382942ba8</t>
  </si>
  <si>
    <t>06_10_2026_IQ_Diur.gpx</t>
  </si>
  <si>
    <t>803a78c382942ba81434716a35c53bb8d95f5f51c1aa094e4fdc6d14d431889f</t>
  </si>
  <si>
    <t>06/10/2026 08:37:19</t>
  </si>
  <si>
    <t>06/10/2026 16:26:50</t>
  </si>
  <si>
    <t>Inicio GPS dentro de la tolerancia del horario programado.; Fin GPS dentro de la tolerancia del horario programado.; 9 hueco(s) GPS &gt;= 10 min.</t>
  </si>
  <si>
    <t>6.245427, -75.601678</t>
  </si>
  <si>
    <t>6.267248, -75.553902</t>
  </si>
  <si>
    <t>6840b2f8f77e43c2</t>
  </si>
  <si>
    <t>06_10_2026_JHP_Diur.gpx</t>
  </si>
  <si>
    <t>6840b2f8f77e43c22549afdf58137918bbae8cb0bd3768b19e1f2966d215b92d</t>
  </si>
  <si>
    <t>06/10/2026 08:28:34</t>
  </si>
  <si>
    <t>06/10/2026 16:19:30</t>
  </si>
  <si>
    <t>Inicio GPS dentro de la tolerancia del horario programado.; Fin GPS dentro de la tolerancia del horario programado.; 1 permanencia(s) GPS detectada(s); requiere contexto.</t>
  </si>
  <si>
    <t>6.272806, -75.574393</t>
  </si>
  <si>
    <t>6.272813, -75.574410</t>
  </si>
  <si>
    <t>06/10/2026 08:20:00</t>
  </si>
  <si>
    <t>6.225547, -75.599412</t>
  </si>
  <si>
    <t>06/10/2026 16:56:17</t>
  </si>
  <si>
    <t>6.251738, -75.551792</t>
  </si>
  <si>
    <t>5e4daeb415a7a104</t>
  </si>
  <si>
    <t>06_10_2026_JZ_Diur.gpx</t>
  </si>
  <si>
    <t>5e4daeb415a7a10429f52383f2475d615f1f9e6e8221f682fd5e235c8cb50c90</t>
  </si>
  <si>
    <t>06/10/2026 08:14:00</t>
  </si>
  <si>
    <t>06/10/2026 16:31:24</t>
  </si>
  <si>
    <t>Inicio GPS anterior al horario: 00:16:00 antes de las 08:30.; Fin GPS dentro de la tolerancia del horario programado.</t>
  </si>
  <si>
    <t>6.226333, -75.599212</t>
  </si>
  <si>
    <t>6.280109, -75.572559</t>
  </si>
  <si>
    <t>4b22fdd5b64f5ffc</t>
  </si>
  <si>
    <t>06_10_2026_YL_Diur.gpx</t>
  </si>
  <si>
    <t>4b22fdd5b64f5ffc54fa3c98f4a15bcf72f5967d0725de582fc141a008c5cee3</t>
  </si>
  <si>
    <t>06/10/2026 08:11:48</t>
  </si>
  <si>
    <t>06/10/2026 16:31:00</t>
  </si>
  <si>
    <t>Inicio GPS anterior al horario: 00:18:12 antes de las 08:30.; Fin GPS dentro de la tolerancia del horario programado.; 1 permanencia(s) GPS detectada(s); requiere contexto.</t>
  </si>
  <si>
    <t>6.225634, -75.599228</t>
  </si>
  <si>
    <t>6.258506, -75.616108</t>
  </si>
  <si>
    <t>d78f4ad8f367eb27</t>
  </si>
  <si>
    <t>06_10_2026_JP_Diur1.gpx + 06_10_2026_JP_Diur2.gpx</t>
  </si>
  <si>
    <t>d78f4ad8f367eb27be96d70e129f641290c33c716e14b6f17852864b0db7d2ee</t>
  </si>
  <si>
    <t>Recorrido unificado: 2 tramos (06_10_2026_JP_Diur1.gpx + 06_10_2026_JP_Diur2.gpx).; Inicio GPS dentro de la tolerancia del horario programado.; Fin GPS posterior: 00:26:17 después de las 16:30.; 1 hueco(s) GPS &gt;= 10 min.</t>
  </si>
  <si>
    <t>b91107a35565abff</t>
  </si>
  <si>
    <t>06_10_2026_DV_Noct.gpx</t>
  </si>
  <si>
    <t>b91107a35565abff4946074d3e646fdcc58c5d37c123da567febf3382e9c8f97</t>
  </si>
  <si>
    <t>06/10/2026 17:10:20</t>
  </si>
  <si>
    <t>07/10/2026 00:21:40</t>
  </si>
  <si>
    <t>Inicio GPS anterior al horario: 00:49:40 antes de las 18:00.; Fin GPS posterior: 00:21:40 después de las 00:00.; 1 permanencia(s) GPS detectada(s); requiere contexto.</t>
  </si>
  <si>
    <t>6.228431, -75.599153</t>
  </si>
  <si>
    <t>6.272858, -75.602092</t>
  </si>
  <si>
    <t>179db2a9ece79893</t>
  </si>
  <si>
    <t>06_10_2026_JA_Noct.gpx</t>
  </si>
  <si>
    <t>179db2a9ece7989345dd5c5812a19f0a1422faebac8cc465d443d2c2ebd364ca</t>
  </si>
  <si>
    <t>06/10/2026 16:36:29</t>
  </si>
  <si>
    <t>06/10/2026 23:04:41</t>
  </si>
  <si>
    <t>Inicio GPS anterior al horario: 01:23:31 antes de las 18:00.; Fin GPS anticipado: 00:55:19 antes de las 00:00.</t>
  </si>
  <si>
    <t>6.225775, -75.598817</t>
  </si>
  <si>
    <t>6.237004, -75.558804</t>
  </si>
  <si>
    <t>80cf2bf436a95fcb</t>
  </si>
  <si>
    <t>06_10_2026_JO_Noct.gpx</t>
  </si>
  <si>
    <t>80cf2bf436a95fcb4fbfb1b9daf376ef83b75c6f49bb79ae65319acec2dd0cf5</t>
  </si>
  <si>
    <t>06/10/2026 17:33:10</t>
  </si>
  <si>
    <t>06/10/2026 23:47:29</t>
  </si>
  <si>
    <t>Inicio GPS anterior al horario: 00:26:50 antes de las 18:00.; Fin GPS dentro de la tolerancia del horario programado.; 13 hueco(s) GPS &gt;= 10 min.</t>
  </si>
  <si>
    <t>6.225728, -75.599418</t>
  </si>
  <si>
    <t>6.255521, -75.620493</t>
  </si>
  <si>
    <t>be4c98fbe5532b22</t>
  </si>
  <si>
    <t>06_10_2026_LA_Noct.gpx</t>
  </si>
  <si>
    <t>be4c98fbe5532b22d8d26f83e9130bf9f576d06b0df34995446733de79f8fc7b</t>
  </si>
  <si>
    <t>06/10/2026 17:22:31</t>
  </si>
  <si>
    <t>07/10/2026 00:03:27</t>
  </si>
  <si>
    <t>Inicio GPS anterior al horario: 00:37:28 antes de las 18:00.; Fin GPS dentro de la tolerancia del horario programado.; 3 hueco(s) GPS &gt;= 10 min.</t>
  </si>
  <si>
    <t>6.227088, -75.599095</t>
  </si>
  <si>
    <t>6.268485, -75.599273</t>
  </si>
  <si>
    <t>a07b0fde3fde23e4</t>
  </si>
  <si>
    <t>06_10_2026_SJ_Noct.gpx</t>
  </si>
  <si>
    <t>a07b0fde3fde23e4f74a8a33bac2e339b0d95f36d4367b4a007109506e849233</t>
  </si>
  <si>
    <t>06/10/2026 17:29:35</t>
  </si>
  <si>
    <t>06/10/2026 23:28:07</t>
  </si>
  <si>
    <t>Inicio GPS anterior al horario: 00:30:25 antes de las 18:00.; Fin GPS anticipado: 00:31:53 antes de las 00:00.</t>
  </si>
  <si>
    <t>6.225821, -75.599392</t>
  </si>
  <si>
    <t>6.308009, -75.576628</t>
  </si>
  <si>
    <t>0f5907be229eb822</t>
  </si>
  <si>
    <t>07_10_2026_AO_Diur.gpx</t>
  </si>
  <si>
    <t>0f5907be229eb8225544bc1907a6ebe23bf7956461aeb7ecd85388f406aeae55</t>
  </si>
  <si>
    <t>07/10/2026</t>
  </si>
  <si>
    <t>07/10/2026 09:12:26</t>
  </si>
  <si>
    <t>07/10/2026 15:00:53</t>
  </si>
  <si>
    <t>Inicio GPS tardío: 00:42:27 después de las 08:30.; Fin GPS anticipado: 01:29:06 antes de las 16:30.; 4 hueco(s) GPS &gt;= 10 min.</t>
  </si>
  <si>
    <t>6.203339, -75.601052</t>
  </si>
  <si>
    <t>6.221813, -75.593834</t>
  </si>
  <si>
    <t>fc38733f90ae00de</t>
  </si>
  <si>
    <t>07_10_2026_AR_Diur.gpx</t>
  </si>
  <si>
    <t>fc38733f90ae00de1bd544340507d34b69708eead63dd43f1474dde053dfd350</t>
  </si>
  <si>
    <t>07/10/2026 08:32:49</t>
  </si>
  <si>
    <t>07/10/2026 16:19:52</t>
  </si>
  <si>
    <t>6.225203, -75.599356</t>
  </si>
  <si>
    <t>6.225819, -75.599132</t>
  </si>
  <si>
    <t>9e183893710cff8d</t>
  </si>
  <si>
    <t>07_10_2026_HC_DIur.gpx</t>
  </si>
  <si>
    <t>9e183893710cff8d292adc65ec93c624f8f7b05289dfb25cb424499e26065ae7</t>
  </si>
  <si>
    <t>07/10/2026 08:38:52</t>
  </si>
  <si>
    <t>07/10/2026 14:10:16</t>
  </si>
  <si>
    <t>Inicio GPS dentro de la tolerancia del horario programado.; Fin GPS anticipado: 02:19:44 antes de las 16:30.</t>
  </si>
  <si>
    <t>6.225820, -75.599392</t>
  </si>
  <si>
    <t>6.223946, -75.606025</t>
  </si>
  <si>
    <t>f7579a464938748c</t>
  </si>
  <si>
    <t>07_10_2026_IQ_Diur.gpx</t>
  </si>
  <si>
    <t>f7579a464938748c6e5feb63be8b55ffa582d2c3f53fed20299568af44aa6dd8</t>
  </si>
  <si>
    <t>07/10/2026 08:26:28</t>
  </si>
  <si>
    <t>07/10/2026 16:35:47</t>
  </si>
  <si>
    <t>6.255573, -75.571351</t>
  </si>
  <si>
    <t>4d1493d1b84ac9ed</t>
  </si>
  <si>
    <t>07_10_2026_JHP_Diur.gpx</t>
  </si>
  <si>
    <t>4d1493d1b84ac9ed32a0f91d1c475f9372f775cfdebcaacc8780a8a56fbd679a</t>
  </si>
  <si>
    <t>07/10/2026 08:25:21</t>
  </si>
  <si>
    <t>07/10/2026 16:14:02</t>
  </si>
  <si>
    <t>Inicio GPS dentro de la tolerancia del horario programado.; Fin GPS anticipado: 00:15:58 antes de las 16:30.</t>
  </si>
  <si>
    <t>6.225735, -75.599179</t>
  </si>
  <si>
    <t>6.272866, -75.574490</t>
  </si>
  <si>
    <t>ac00ea68f1c55973</t>
  </si>
  <si>
    <t>07_10_2026_JP_Diur.gpx</t>
  </si>
  <si>
    <t>ac00ea68f1c559737d4a9e2e7537a550ffa36e5cfe35e2459ca85e85ff76ecb7</t>
  </si>
  <si>
    <t>07/10/2026 08:35:22</t>
  </si>
  <si>
    <t>07/10/2026 17:23:16</t>
  </si>
  <si>
    <t>Inicio GPS dentro de la tolerancia del horario programado.; Fin GPS posterior: 00:53:16 después de las 16:30.; 1 hueco(s) GPS &gt;= 10 min.; 1 permanencia(s) GPS detectada(s); requiere contexto.</t>
  </si>
  <si>
    <t>6.225700, -75.599428</t>
  </si>
  <si>
    <t>6.251817, -75.551798</t>
  </si>
  <si>
    <t>24c444cc1d518cec</t>
  </si>
  <si>
    <t>07_10_2026_JZ_Diur.gpx</t>
  </si>
  <si>
    <t>24c444cc1d518cec0c87a4916461e457d39a5f82d965cbe4c761f1fb625cd0f6</t>
  </si>
  <si>
    <t>07/10/2026 08:14:49</t>
  </si>
  <si>
    <t>07/10/2026 12:48:58</t>
  </si>
  <si>
    <t>Inicio GPS anterior al horario: 00:15:11 antes de las 08:30.; Fin GPS anticipado: 03:41:02 antes de las 16:30.</t>
  </si>
  <si>
    <t>6.226574, -75.599252</t>
  </si>
  <si>
    <t>6.215536, -75.577033</t>
  </si>
  <si>
    <t>00c9fb665004f982</t>
  </si>
  <si>
    <t>07_10_2026_YL_Diur.gpx</t>
  </si>
  <si>
    <t>00c9fb665004f982dbe52088a3fe3a69a128d8c50219092f05d1c34e729b09ce</t>
  </si>
  <si>
    <t>07/10/2026 08:35:43</t>
  </si>
  <si>
    <t>07/10/2026 16:32:35</t>
  </si>
  <si>
    <t>Inicio GPS dentro de la tolerancia del horario programado.; Fin GPS dentro de la tolerancia del horario programado.; 1 hueco(s) GPS &gt;= 10 min.; 1 permanencia(s) GPS detectada(s); requiere contexto.</t>
  </si>
  <si>
    <t>6.225557, -75.599400</t>
  </si>
  <si>
    <t>6.258886, -75.616542</t>
  </si>
  <si>
    <t>07/10/2026 08:37:03</t>
  </si>
  <si>
    <t>07/10/2026 15:44:18</t>
  </si>
  <si>
    <t>6.231818, -75.602150</t>
  </si>
  <si>
    <t>6.248960, -75.587493</t>
  </si>
  <si>
    <t>c12d71e34cfb305e</t>
  </si>
  <si>
    <t>07_10_2026_DR_Diur.gpx</t>
  </si>
  <si>
    <t>c12d71e34cfb305ebb77ffcd08c464db2e205cb3a25740c422559fb8e36232bf</t>
  </si>
  <si>
    <t>Inicio GPS dentro de la tolerancia del horario programado.; Fin GPS anticipado: 00:45:42 antes de las 16:30.; 2 hueco(s) GPS &gt;= 10 min.</t>
  </si>
  <si>
    <t>26c59dfa43178de8</t>
  </si>
  <si>
    <t>07_10_2026_DV_Noct.gpx</t>
  </si>
  <si>
    <t>26c59dfa43178de80a5740c6e699fee664ffd705f5ccb4bba07deb94f074c6fa</t>
  </si>
  <si>
    <t>07/10/2026 17:52:38</t>
  </si>
  <si>
    <t>08/10/2026 00:11:16</t>
  </si>
  <si>
    <t>6.226424, -75.599276</t>
  </si>
  <si>
    <t>6.272736, -75.601936</t>
  </si>
  <si>
    <t>1c0a8c43cef0976b</t>
  </si>
  <si>
    <t>07_10_2026_JA_Noct.gpx</t>
  </si>
  <si>
    <t>1c0a8c43cef0976b96ae993f0d83a4de9341b0ac20a4e125237cce88171557c8</t>
  </si>
  <si>
    <t>07/10/2026 17:31:54</t>
  </si>
  <si>
    <t>07/10/2026 22:40:14</t>
  </si>
  <si>
    <t>Inicio GPS anterior al horario: 00:28:06 antes de las 18:00.; Fin GPS anticipado: 01:19:46 antes de las 00:00.</t>
  </si>
  <si>
    <t>6.225981, -75.599293</t>
  </si>
  <si>
    <t>6.237067, -75.558881</t>
  </si>
  <si>
    <t>27aafab07b2358fd</t>
  </si>
  <si>
    <t>07_10_2026_JO_Noct.gpx</t>
  </si>
  <si>
    <t>27aafab07b2358fd2fcbb33f05de148573521c3cfa346e152b33e07598448aad</t>
  </si>
  <si>
    <t>07/10/2026 17:51:14</t>
  </si>
  <si>
    <t>07/10/2026 23:56:48</t>
  </si>
  <si>
    <t>6.225701, -75.599422</t>
  </si>
  <si>
    <t>6.259250, -75.620927</t>
  </si>
  <si>
    <t>f6d90172af129486</t>
  </si>
  <si>
    <t>07_10_2026_LA_Noct.gpx</t>
  </si>
  <si>
    <t>f6d90172af1294868651e1f9c406d44c0b005f291ed84d40141d5aefb8989ef3</t>
  </si>
  <si>
    <t>07/10/2026 17:36:19</t>
  </si>
  <si>
    <t>08/10/2026 00:04:48</t>
  </si>
  <si>
    <t>Inicio GPS anterior al horario: 00:23:41 antes de las 18:00.; Fin GPS dentro de la tolerancia del horario programado.; 1 hueco(s) GPS &gt;= 10 min.</t>
  </si>
  <si>
    <t>6.229012, -75.602048</t>
  </si>
  <si>
    <t>6.268433, -75.599273</t>
  </si>
  <si>
    <t>efaae6553d3e8b43</t>
  </si>
  <si>
    <t>07_10_2026_SJ_Noct.gpx</t>
  </si>
  <si>
    <t>efaae6553d3e8b43f68e2be9ef22fb87c79f386798c14a3f415b2d21b39e4027</t>
  </si>
  <si>
    <t>07/10/2026 17:46:04</t>
  </si>
  <si>
    <t>07/10/2026 23:02:11</t>
  </si>
  <si>
    <t>Inicio GPS dentro de la tolerancia del horario programado.; Fin GPS anticipado: 00:57:49 antes de las 00:00.</t>
  </si>
  <si>
    <t>6.233283, -75.582739</t>
  </si>
  <si>
    <t>6.308959, -75.582460</t>
  </si>
  <si>
    <t>08/10/2026</t>
  </si>
  <si>
    <t>08/10/2026 08:48:26</t>
  </si>
  <si>
    <t>08/10/2026 15:02:54</t>
  </si>
  <si>
    <t>6.203267, -75.600633</t>
  </si>
  <si>
    <t>6.221692, -75.593850</t>
  </si>
  <si>
    <t>590c443e9c66a229</t>
  </si>
  <si>
    <t>08_10_2026_AR_Diur.gpx</t>
  </si>
  <si>
    <t>590c443e9c66a2298264890ceac5572cfb45df810d0375c8aeb4b3e583cc6f0f</t>
  </si>
  <si>
    <t>08/10/2026 08:02:52</t>
  </si>
  <si>
    <t>08/10/2026 16:16:26</t>
  </si>
  <si>
    <t>Inicio GPS anterior al horario: 00:27:08 antes de las 08:30.; Fin GPS dentro de la tolerancia del horario programado.</t>
  </si>
  <si>
    <t>6.225623, -75.598982</t>
  </si>
  <si>
    <t>6.225378, -75.599234</t>
  </si>
  <si>
    <t>b1508af2adf005ea</t>
  </si>
  <si>
    <t>08_10_2026_DR_Diur.gpx</t>
  </si>
  <si>
    <t>b1508af2adf005ea0397de3cd5ae5a1c6dfecf3beb5abb9b21f62dfe3221f4ed</t>
  </si>
  <si>
    <t>08/10/2026 08:56:21</t>
  </si>
  <si>
    <t>08/10/2026 16:13:31</t>
  </si>
  <si>
    <t>Inicio GPS tardío: 00:26:21 después de las 08:30.; Fin GPS anticipado: 00:16:29 antes de las 16:30.; 1 hueco(s) GPS &gt;= 10 min.</t>
  </si>
  <si>
    <t>6.253106, -75.609551</t>
  </si>
  <si>
    <t>6.239077, -75.595442</t>
  </si>
  <si>
    <t>527a2627c2fd5878</t>
  </si>
  <si>
    <t>08_10_2026_HC_Diur.gpx</t>
  </si>
  <si>
    <t>527a2627c2fd5878e7cad623c710f044c447fcd5f102cee280fdc05b91e32dcf</t>
  </si>
  <si>
    <t>08/10/2026 08:13:25</t>
  </si>
  <si>
    <t>08/10/2026 13:54:36</t>
  </si>
  <si>
    <t>Inicio GPS anterior al horario: 00:16:35 antes de las 08:30.; Fin GPS anticipado: 02:35:24 antes de las 16:30.; 1 hueco(s) GPS &gt;= 10 min.</t>
  </si>
  <si>
    <t>6.225842, -75.599387</t>
  </si>
  <si>
    <t>6.233981, -75.606674</t>
  </si>
  <si>
    <t>4afd83cf55f5a5ab</t>
  </si>
  <si>
    <t>08_10_2026_IQ_Diur.gpx</t>
  </si>
  <si>
    <t>4afd83cf55f5a5ab366ee51362d723e2b9f16e517cf46e6187055cbbad5d521f</t>
  </si>
  <si>
    <t>08/10/2026 08:10:29</t>
  </si>
  <si>
    <t>08/10/2026 16:30:37</t>
  </si>
  <si>
    <t>Inicio GPS anterior al horario: 00:19:31 antes de las 08:30.; Fin GPS dentro de la tolerancia del horario programado.; 5 hueco(s) GPS &gt;= 10 min.</t>
  </si>
  <si>
    <t>6.238151, -75.547310</t>
  </si>
  <si>
    <t>4ab34065028f9e81</t>
  </si>
  <si>
    <t>08_10_2026_JHP_Diur.gpx</t>
  </si>
  <si>
    <t>4ab34065028f9e81d3bfe3b2fcbde33d2a62bb6b57932033f557e9e8a8cc9238</t>
  </si>
  <si>
    <t>08/10/2026 08:20:48</t>
  </si>
  <si>
    <t>08/10/2026 15:58:19</t>
  </si>
  <si>
    <t>Inicio GPS dentro de la tolerancia del horario programado.; Fin GPS anticipado: 00:31:41 antes de las 16:30.</t>
  </si>
  <si>
    <t>6.272743, -75.574470</t>
  </si>
  <si>
    <t>6.272839, -75.574418</t>
  </si>
  <si>
    <t>0c5e16ef8882f5bd</t>
  </si>
  <si>
    <t>08_10_2026_JP_Diur.gpx</t>
  </si>
  <si>
    <t>0c5e16ef8882f5bd2780eb8e4404fa50ef22b35c9f00e3c7d067a97cdb04e7aa</t>
  </si>
  <si>
    <t>08/10/2026 08:14:08</t>
  </si>
  <si>
    <t>08/10/2026 17:21:44</t>
  </si>
  <si>
    <t>Inicio GPS anterior al horario: 00:15:52 antes de las 08:30.; Fin GPS posterior: 00:51:44 después de las 16:30.; 1 hueco(s) GPS &gt;= 10 min.</t>
  </si>
  <si>
    <t>6.225590, -75.599425</t>
  </si>
  <si>
    <t>6.310872, -75.565312</t>
  </si>
  <si>
    <t>a4d7b38fe3acb415</t>
  </si>
  <si>
    <t>08_10_2026_JZ_Diur.gpx</t>
  </si>
  <si>
    <t>a4d7b38fe3acb415ac5969e32c852c8c5ead8a597a1cf16b3184841ef77123b2</t>
  </si>
  <si>
    <t>08/10/2026 08:20:19</t>
  </si>
  <si>
    <t>08/10/2026 16:16:45</t>
  </si>
  <si>
    <t>6.226574, -75.599341</t>
  </si>
  <si>
    <t>6.279683, -75.572063</t>
  </si>
  <si>
    <t>808a595e6ac309a9</t>
  </si>
  <si>
    <t>08_10_2026_YL_Diur.gpx</t>
  </si>
  <si>
    <t>808a595e6ac309a972a17e31ceed8e4adb85b67ed14f49a55817f12da88b5812</t>
  </si>
  <si>
    <t>08/10/2026 08:20:23</t>
  </si>
  <si>
    <t>08/10/2026 16:32:00</t>
  </si>
  <si>
    <t>6.225651, -75.599123</t>
  </si>
  <si>
    <t>6.191036, -75.583236</t>
  </si>
  <si>
    <t>2bfb5545f66db420</t>
  </si>
  <si>
    <t>08_10_2026_AO_Diur1.gpx + 08_10_2026_AO_Diur2.gpx</t>
  </si>
  <si>
    <t>2bfb5545f66db4207db196d45748bf7faddad47e8cf23a76aec954be2faa7c71</t>
  </si>
  <si>
    <t>Recorrido unificado: 2 tramos (08_10_2026_AO_Diur1.gpx + 08_10_2026_AO_Diur2.gpx).; Inicio GPS tardío: 00:18:26 después de las 08:30.; Fin GPS anticipado: 01:27:05 antes de las 16:30.; 5 hueco(s) GPS &gt;= 10 min.; 1 permanencia(s) GPS detectada(s); requiere contexto.</t>
  </si>
  <si>
    <t>c2d7af7422527a2d</t>
  </si>
  <si>
    <t>08_10_2026_DV_Noct.gpx</t>
  </si>
  <si>
    <t>c2d7af7422527a2d539f47c7323944474da227da53c44ea202de1f2391fcd71b</t>
  </si>
  <si>
    <t>08/10/2026 17:30:31</t>
  </si>
  <si>
    <t>09/10/2026 00:14:58</t>
  </si>
  <si>
    <t>Inicio GPS anterior al horario: 00:29:29 antes de las 18:00.; Fin GPS dentro de la tolerancia del horario programado.; 1 permanencia(s) GPS detectada(s); requiere contexto.</t>
  </si>
  <si>
    <t>6.226374, -75.599348</t>
  </si>
  <si>
    <t>6.272647, -75.601989</t>
  </si>
  <si>
    <t>16b4a0e62704ebe4</t>
  </si>
  <si>
    <t>08_10_2026_JA_Noct.gpx</t>
  </si>
  <si>
    <t>16b4a0e62704ebe4f47aa786934b4851863c265be4edfbd3e482feb72f0c005e</t>
  </si>
  <si>
    <t>08/10/2026 17:37:28</t>
  </si>
  <si>
    <t>08/10/2026 22:41:38</t>
  </si>
  <si>
    <t>Inicio GPS anterior al horario: 00:22:32 antes de las 18:00.; Fin GPS anticipado: 01:18:22 antes de las 00:00.</t>
  </si>
  <si>
    <t>6.226029, -75.599327</t>
  </si>
  <si>
    <t>6.237062, -75.558768</t>
  </si>
  <si>
    <t>860ab6dbd2ee19fb</t>
  </si>
  <si>
    <t>08_10_2026_JO_Noct.gpx</t>
  </si>
  <si>
    <t>860ab6dbd2ee19fb38115cd28dfcf7dca27f81d2a6b8420cf0777d4e061471a3</t>
  </si>
  <si>
    <t>08/10/2026 17:42:48</t>
  </si>
  <si>
    <t>08/10/2026 23:56:40</t>
  </si>
  <si>
    <t>Inicio GPS anterior al horario: 00:17:12 antes de las 18:00.; Fin GPS dentro de la tolerancia del horario programado.; 11 hueco(s) GPS &gt;= 10 min.</t>
  </si>
  <si>
    <t>6.225644, -75.599370</t>
  </si>
  <si>
    <t>6.255499, -75.620519</t>
  </si>
  <si>
    <t>1811fc9217948d2b</t>
  </si>
  <si>
    <t>08_10_2026_LA_Noct.gpx</t>
  </si>
  <si>
    <t>1811fc9217948d2bdad42b2eb790ad3e8f10ed603234244ff27969aa6eb923a9</t>
  </si>
  <si>
    <t>Inicio GPS anterior al horario: 72:53:47 antes de las 18:00.; Fin GPS anticipado: 72:01:29 antes de las 00:00.; 2 hueco(s) GPS &gt;= 10 min.</t>
  </si>
  <si>
    <t>bddcdd831d8754ec</t>
  </si>
  <si>
    <t>08_10_2026_SJ_Noct.gpx</t>
  </si>
  <si>
    <t>bddcdd831d8754ec57ec3cfa4f0f91ec65c39e479137bbf17ef90862ce987f40</t>
  </si>
  <si>
    <t>08/10/2026 17:41:23</t>
  </si>
  <si>
    <t>08/10/2026 23:58:35</t>
  </si>
  <si>
    <t>Inicio GPS anterior al horario: 00:18:37 antes de las 18:00.; Fin GPS dentro de la tolerancia del horario programado.</t>
  </si>
  <si>
    <t>6.225624, -75.599417</t>
  </si>
  <si>
    <t>6.295303, -75.582172</t>
  </si>
  <si>
    <t>09389234b1ec7d6c</t>
  </si>
  <si>
    <t>09_10_2026_AO_Diur.gpx</t>
  </si>
  <si>
    <t>09389234b1ec7d6ced9ae730b99ef70c32703e6da1a22ecb463addd8561de68e</t>
  </si>
  <si>
    <t>09/10/2026</t>
  </si>
  <si>
    <t>09/10/2026 08:37:31</t>
  </si>
  <si>
    <t>09/10/2026 15:04:36</t>
  </si>
  <si>
    <t>Inicio GPS dentro de la tolerancia del horario programado.; Fin GPS anticipado: 00:55:24 antes de las 16:00.; 2 hueco(s) GPS &gt;= 10 min.</t>
  </si>
  <si>
    <t>6.203452, -75.600986</t>
  </si>
  <si>
    <t>6.202893, -75.569177</t>
  </si>
  <si>
    <t>2fba0594909c0a76</t>
  </si>
  <si>
    <t>09_10_2026_AR_Diur.gpx</t>
  </si>
  <si>
    <t>2fba0594909c0a76dd048ed5ab4b3c0aa7f8c58d63fb642550bad8182b7ed9c0</t>
  </si>
  <si>
    <t>09/10/2026 08:23:28</t>
  </si>
  <si>
    <t>09/10/2026 15:52:19</t>
  </si>
  <si>
    <t>6.225671, -75.599407</t>
  </si>
  <si>
    <t>6.252252, -75.607341</t>
  </si>
  <si>
    <t>2f6b2fae8f42312c</t>
  </si>
  <si>
    <t>09_10_2026_HC_Diur.gpx</t>
  </si>
  <si>
    <t>2f6b2fae8f42312c288e049b6ec3ddc4cc9633a3d1a876d857083525e1fa65f3</t>
  </si>
  <si>
    <t>09/10/2026 08:39:35</t>
  </si>
  <si>
    <t>09/10/2026 13:13:06</t>
  </si>
  <si>
    <t>Inicio GPS dentro de la tolerancia del horario programado.; Fin GPS anticipado: 02:46:54 antes de las 16:00.; 1 permanencia(s) GPS detectada(s); requiere contexto.</t>
  </si>
  <si>
    <t>6.225833, -75.599429</t>
  </si>
  <si>
    <t>6.296168, -75.585224</t>
  </si>
  <si>
    <t>d676ab6efc0d3ba5</t>
  </si>
  <si>
    <t>09_10_2026_IQ_Diur.gpx</t>
  </si>
  <si>
    <t>d676ab6efc0d3ba523aba64c780a862bbea156db117e3cabf30e76ab4b36e839</t>
  </si>
  <si>
    <t>09/10/2026 08:06:08</t>
  </si>
  <si>
    <t>09/10/2026 16:02:08</t>
  </si>
  <si>
    <t>Inicio GPS anterior al horario: 00:23:52 antes de las 08:30.; Fin GPS dentro de la tolerancia del horario programado.; 4 hueco(s) GPS &gt;= 10 min.</t>
  </si>
  <si>
    <t>6.280985, -75.545736</t>
  </si>
  <si>
    <t>359b42f4e07bedbe</t>
  </si>
  <si>
    <t>09_10_2026_JHP_Diur.gpx</t>
  </si>
  <si>
    <t>359b42f4e07bedbea1c90460e714b345e0f28ada4c64411d5b510a99a21ee9e5</t>
  </si>
  <si>
    <t>09/10/2026 07:58:04</t>
  </si>
  <si>
    <t>09/10/2026 12:42:03</t>
  </si>
  <si>
    <t>Inicio GPS anterior al horario: 00:31:56 antes de las 08:30.; Fin GPS anticipado: 03:17:57 antes de las 16:00.</t>
  </si>
  <si>
    <t>6.272746, -75.574455</t>
  </si>
  <si>
    <t>6.239404, -75.583635</t>
  </si>
  <si>
    <t>052effd44b9f30f4</t>
  </si>
  <si>
    <t>09_10_2026_JP_Diur.gpx</t>
  </si>
  <si>
    <t>052effd44b9f30f4f188a36daeb60239ef566941210654a2187146f7d26c5f56</t>
  </si>
  <si>
    <t>09/10/2026 08:00:01</t>
  </si>
  <si>
    <t>09/10/2026 16:16:56</t>
  </si>
  <si>
    <t>Inicio GPS anterior al horario: 00:29:59 antes de las 08:30.; Fin GPS posterior: 00:16:56 después de las 16:00.; 2 hueco(s) GPS &gt;= 10 min.</t>
  </si>
  <si>
    <t>6.280113, -75.572572</t>
  </si>
  <si>
    <t>6.251818, -75.551773</t>
  </si>
  <si>
    <t>ad0aba94e3c964d8</t>
  </si>
  <si>
    <t>09_10_2026_JZ_Diur.gpx</t>
  </si>
  <si>
    <t>ad0aba94e3c964d85ce3c98fc60a62a3e2a1ad073fda58788984d6e29d5f20d1</t>
  </si>
  <si>
    <t>09/10/2026 08:12:32</t>
  </si>
  <si>
    <t>09/10/2026 15:42:09</t>
  </si>
  <si>
    <t>Inicio GPS anterior al horario: 00:17:28 antes de las 08:30.; Fin GPS anticipado: 00:17:51 antes de las 16:00.</t>
  </si>
  <si>
    <t>6.226885, -75.599195</t>
  </si>
  <si>
    <t>6.279457, -75.570402</t>
  </si>
  <si>
    <t>bc626f26908fb3df</t>
  </si>
  <si>
    <t>09_10_2026_YL_Diur.gpx</t>
  </si>
  <si>
    <t>bc626f26908fb3dfdc593c6ad495692b6db89a9da27f677e7217148ddeb3c674</t>
  </si>
  <si>
    <t>09/10/2026 08:33:44</t>
  </si>
  <si>
    <t>09/10/2026 16:03:24</t>
  </si>
  <si>
    <t>6.225966, -75.598782</t>
  </si>
  <si>
    <t>6.284467, -75.573380</t>
  </si>
  <si>
    <t>56cede1607155507</t>
  </si>
  <si>
    <t>09_10_2026_DR_Diur.gpx</t>
  </si>
  <si>
    <t>56cede16071555072206280bcb907a8c85519519779389efae9a659c1b82a3b5</t>
  </si>
  <si>
    <t>09/10/2026 08:28:28</t>
  </si>
  <si>
    <t>09/10/2026 15:17:50</t>
  </si>
  <si>
    <t>Inicio GPS dentro de la tolerancia del horario programado.; Fin GPS anticipado: 00:42:10 antes de las 16:00.; 3 hueco(s) GPS &gt;= 10 min.</t>
  </si>
  <si>
    <t>6.226796, -75.601369</t>
  </si>
  <si>
    <t>6.248041, -75.605261</t>
  </si>
  <si>
    <t>d26dca0de20163ca</t>
  </si>
  <si>
    <t>09_10_2026_DV_Noct.gpx</t>
  </si>
  <si>
    <t>d26dca0de20163cae767730e26f9c2bb51c0f0553de3e617246bb9f805932f3a</t>
  </si>
  <si>
    <t>09/10/2026 17:54:44</t>
  </si>
  <si>
    <t>10/10/2026 00:15:52</t>
  </si>
  <si>
    <t>Inicio GPS dentro de la tolerancia del horario programado.; Fin GPS posterior: 00:15:52 después de las 00:00.; 1 permanencia(s) GPS detectada(s); requiere contexto.</t>
  </si>
  <si>
    <t>6.270269, -75.601672</t>
  </si>
  <si>
    <t>6.272616, -75.602027</t>
  </si>
  <si>
    <t>da6b11e56a00da62</t>
  </si>
  <si>
    <t>09_10_2026_JA_Noct.gpx</t>
  </si>
  <si>
    <t>da6b11e56a00da622aa44021a4898e07cb85fb4b0b2adfc8493d24d70e3af8e2</t>
  </si>
  <si>
    <t>09/10/2026 18:23:22</t>
  </si>
  <si>
    <t>09/10/2026 20:53:56</t>
  </si>
  <si>
    <t>Inicio GPS tardío: 00:23:22 después de las 18:00.; Fin GPS anticipado: 03:06:04 antes de las 00:00.</t>
  </si>
  <si>
    <t>6.237800, -75.559727</t>
  </si>
  <si>
    <t>6.239370, -75.561121</t>
  </si>
  <si>
    <t>e070bde016e7b08f</t>
  </si>
  <si>
    <t>09_10_2026_JO_Noct.gpx</t>
  </si>
  <si>
    <t>e070bde016e7b08faa2f793faa252dad9ff39e5bdd0a1fc1991d9a6b8c91d530</t>
  </si>
  <si>
    <t>09/10/2026 18:08:14</t>
  </si>
  <si>
    <t>09/10/2026 23:59:18</t>
  </si>
  <si>
    <t>6.257081, -75.614457</t>
  </si>
  <si>
    <t>6.257280, -75.606199</t>
  </si>
  <si>
    <t>68b9f873d4dde1f9</t>
  </si>
  <si>
    <t>09_10_2026_LA_Noct.gpx</t>
  </si>
  <si>
    <t>68b9f873d4dde1f91618e944dcc316bcf8a322dc9aa245fa6e132a759b2ab1a3</t>
  </si>
  <si>
    <t>09/10/2026 18:02:45</t>
  </si>
  <si>
    <t>10/10/2026 00:02:11</t>
  </si>
  <si>
    <t>6.268047, -75.598333</t>
  </si>
  <si>
    <t>6.279743, -75.570715</t>
  </si>
  <si>
    <t>d80e33247c4b11c6</t>
  </si>
  <si>
    <t>09_10_2026_SJ_Noct.gpx</t>
  </si>
  <si>
    <t>d80e33247c4b11c6f4dd636d9c4ca5b8b37283fa2dff8b76f7dcf69c93783806</t>
  </si>
  <si>
    <t>09/10/2026 18:33:51</t>
  </si>
  <si>
    <t>09/10/2026 23:36:36</t>
  </si>
  <si>
    <t>Inicio GPS tardío: 00:33:51 después de las 18:00.; Fin GPS anticipado: 00:23:24 antes de las 00:00.</t>
  </si>
  <si>
    <t>6.306987, -75.576482</t>
  </si>
  <si>
    <t>6.306895, -75.582076</t>
  </si>
  <si>
    <t>400430859be5782e</t>
  </si>
  <si>
    <t>10_10_2026_DR_Noct.gpx</t>
  </si>
  <si>
    <t>400430859be5782eaca28ada188c2d963fb3896923359d2bf4b74d70d5c7b7be</t>
  </si>
  <si>
    <t>10/10/2026</t>
  </si>
  <si>
    <t>10/10/2026 18:45:32</t>
  </si>
  <si>
    <t>10/10/2026 23:49:21</t>
  </si>
  <si>
    <t>Inicio GPS tardío: 00:45:32 después de las 18:00.; Fin GPS dentro de la tolerancia del horario programado.; Sábado nocturno: verificar técnico asignado.</t>
  </si>
  <si>
    <t>6.246300, -75.613915</t>
  </si>
  <si>
    <t>6.247823, -75.615000</t>
  </si>
  <si>
    <t>32e547769a4f863b</t>
  </si>
  <si>
    <t>13_10_2026_AO_Diur.gpx</t>
  </si>
  <si>
    <t>32e547769a4f863b990fe51e644ca211980e2fed5aed80b38494b4bd58f61652</t>
  </si>
  <si>
    <t>13/10/2026</t>
  </si>
  <si>
    <t>13/10/2026 09:02:09</t>
  </si>
  <si>
    <t>13/10/2026 16:32:57</t>
  </si>
  <si>
    <t>Inicio GPS tardío: 00:32:09 después de las 08:30.; Fin GPS dentro de la tolerancia del horario programado.; 5 hueco(s) GPS &gt;= 10 min.</t>
  </si>
  <si>
    <t>6.203257, -75.600813</t>
  </si>
  <si>
    <t>6.204751, -75.581158</t>
  </si>
  <si>
    <t>4c113e365ed584be</t>
  </si>
  <si>
    <t>13_10_2026_AR_Diur.gpx</t>
  </si>
  <si>
    <t>4c113e365ed584be67b281c5555d584969289b11e501104ee4eaec08dae07c0c</t>
  </si>
  <si>
    <t>13/10/2026 08:28:59</t>
  </si>
  <si>
    <t>13/10/2026 16:36:26</t>
  </si>
  <si>
    <t>6.225394, -75.599215</t>
  </si>
  <si>
    <t>6.226732, -75.601241</t>
  </si>
  <si>
    <t>d9458e3c79778789</t>
  </si>
  <si>
    <t>13_10_2026_HC_Diur.gpx</t>
  </si>
  <si>
    <t>d9458e3c79778789981820cc0ab68d9f9dd77fee9561f198acd5597c896a366d</t>
  </si>
  <si>
    <t>13/10/2026 09:08:32</t>
  </si>
  <si>
    <t>13/10/2026 14:01:05</t>
  </si>
  <si>
    <t>Inicio GPS tardío: 00:38:32 después de las 08:30.; Fin GPS anticipado: 02:28:55 antes de las 16:30.; 1 permanencia(s) GPS detectada(s); requiere contexto.</t>
  </si>
  <si>
    <t>6.226195, -75.597046</t>
  </si>
  <si>
    <t>6.235937, -75.603783</t>
  </si>
  <si>
    <t>acf7769218f2342a</t>
  </si>
  <si>
    <t>13_10_2026_IQ_Diur.gpx</t>
  </si>
  <si>
    <t>acf7769218f2342a0901b65aa6e11fdc4a4334c169589c3eb736c85faa00c745</t>
  </si>
  <si>
    <t>13/10/2026 08:06:13</t>
  </si>
  <si>
    <t>13/10/2026 16:44:50</t>
  </si>
  <si>
    <t>Inicio GPS anterior al horario: 00:23:47 antes de las 08:30.; Fin GPS dentro de la tolerancia del horario programado.; 5 hueco(s) GPS &gt;= 10 min.; 1 permanencia(s) GPS detectada(s); requiere contexto.</t>
  </si>
  <si>
    <t>6.225930, -75.598502</t>
  </si>
  <si>
    <t>6.281515, -75.539471</t>
  </si>
  <si>
    <t>d5519d83e868c51d</t>
  </si>
  <si>
    <t>13_10_2026_JHP_Diur.gpx</t>
  </si>
  <si>
    <t>d5519d83e868c51de6bf17a2cac181c2f911fde732926be37cca2226bbe7ed3e</t>
  </si>
  <si>
    <t>13/10/2026 08:51:42</t>
  </si>
  <si>
    <t>13/10/2026 16:13:33</t>
  </si>
  <si>
    <t>Inicio GPS tardío: 00:21:42 después de las 08:30.; Fin GPS anticipado: 00:16:27 antes de las 16:30.</t>
  </si>
  <si>
    <t>6.225459, -75.598751</t>
  </si>
  <si>
    <t>6.225272, -75.599227</t>
  </si>
  <si>
    <t>bc525d9e6702a32a</t>
  </si>
  <si>
    <t>13_10_2026_JP_Diur.gpx</t>
  </si>
  <si>
    <t>bc525d9e6702a32a29e38faad9470f934d74b200588fee414267c8900755dd28</t>
  </si>
  <si>
    <t>13/10/2026 08:24:32</t>
  </si>
  <si>
    <t>13/10/2026 16:36:08</t>
  </si>
  <si>
    <t>6.225572, -75.599403</t>
  </si>
  <si>
    <t>6.251805, -75.551830</t>
  </si>
  <si>
    <t>bfece59965bbaeca</t>
  </si>
  <si>
    <t>13_10_2026_JZ_Diur.gpx</t>
  </si>
  <si>
    <t>bfece59965bbaeca99cdb11f6a15677811a26c22d8d743bf3ecd987a24084232</t>
  </si>
  <si>
    <t>13/10/2026 08:28:38</t>
  </si>
  <si>
    <t>13/10/2026 16:21:10</t>
  </si>
  <si>
    <t>6.226652, -75.598451</t>
  </si>
  <si>
    <t>6.278758, -75.569270</t>
  </si>
  <si>
    <t>dff8ea550e66bd33</t>
  </si>
  <si>
    <t>13_10_2026_YL_Diur.gpx</t>
  </si>
  <si>
    <t>dff8ea550e66bd3300bcb1bcf04c7f5daffd26c714bb52c19d6d2280db81c53e</t>
  </si>
  <si>
    <t>13/10/2026 08:27:42</t>
  </si>
  <si>
    <t>13/10/2026 16:32:03</t>
  </si>
  <si>
    <t>6.225090, -75.600031</t>
  </si>
  <si>
    <t>6.259476, -75.616858</t>
  </si>
  <si>
    <t>38277553e2aa48b3</t>
  </si>
  <si>
    <t>13_10_2026_DV_Noct.gpx</t>
  </si>
  <si>
    <t>38277553e2aa48b3b5192d5ffbfc84ae8ac7e51e06e978a6ef6df9d0b695439e</t>
  </si>
  <si>
    <t>13/10/2026 17:03:48</t>
  </si>
  <si>
    <t>14/10/2026 00:17:42</t>
  </si>
  <si>
    <t>Inicio GPS anterior al horario: 00:56:12 antes de las 18:00.; Fin GPS posterior: 00:17:42 después de las 00:00.; 1 permanencia(s) GPS detectada(s); requiere contexto.</t>
  </si>
  <si>
    <t>6.225995, -75.599416</t>
  </si>
  <si>
    <t>6.272586, -75.602054</t>
  </si>
  <si>
    <t>c7cc5df5a7914f2f</t>
  </si>
  <si>
    <t>13_10_2026_JA_Noct.gpx</t>
  </si>
  <si>
    <t>c7cc5df5a7914f2fcc883b2fd19059b55109a50e9775c18b17b6a96a76a5b4ea</t>
  </si>
  <si>
    <t>13/10/2026 16:28:35</t>
  </si>
  <si>
    <t>13/10/2026 22:11:04</t>
  </si>
  <si>
    <t>Inicio GPS anterior al horario: 01:31:25 antes de las 18:00.; Fin GPS anticipado: 01:48:56 antes de las 00:00.; 1 hueco(s) GPS &gt;= 10 min.</t>
  </si>
  <si>
    <t>6.225694, -75.598934</t>
  </si>
  <si>
    <t>6.237057, -75.558852</t>
  </si>
  <si>
    <t>c73c871c5c9d50a8</t>
  </si>
  <si>
    <t>13_10_2026_JO_Noct.gpx</t>
  </si>
  <si>
    <t>c73c871c5c9d50a87537491c35b545ad41741cd23f9558f4bb0327c0d4a85c03</t>
  </si>
  <si>
    <t>13/10/2026 18:04:56</t>
  </si>
  <si>
    <t>13/10/2026 23:51:26</t>
  </si>
  <si>
    <t>6.259285, -75.620910</t>
  </si>
  <si>
    <t>6.245555, -75.596427</t>
  </si>
  <si>
    <t>716d46e114e8e645</t>
  </si>
  <si>
    <t>13_10_2026_LA_Noct.gpx</t>
  </si>
  <si>
    <t>716d46e114e8e645e58d1dfa267483305deed064d322a310bf2ba0e2035b6ab2</t>
  </si>
  <si>
    <t>13/10/2026 17:18:50</t>
  </si>
  <si>
    <t>14/10/2026 00:01:56</t>
  </si>
  <si>
    <t>Inicio GPS anterior al horario: 00:41:09 antes de las 18:00.; Fin GPS dentro de la tolerancia del horario programado.; 3 hueco(s) GPS &gt;= 10 min.</t>
  </si>
  <si>
    <t>6.226548, -75.599262</t>
  </si>
  <si>
    <t>6.268820, -75.598403</t>
  </si>
  <si>
    <t>306a8e5e61d25a57</t>
  </si>
  <si>
    <t>13_10_2026_SJ_Noct.gpx</t>
  </si>
  <si>
    <t>306a8e5e61d25a573aa22bb5ff4ad0e256bc665512010477337e45dddce319f6</t>
  </si>
  <si>
    <t>13/10/2026 16:51:59</t>
  </si>
  <si>
    <t>13/10/2026 23:32:37</t>
  </si>
  <si>
    <t>Inicio GPS anterior al horario: 01:08:01 antes de las 18:00.; Fin GPS anticipado: 00:27:23 antes de las 00:00.</t>
  </si>
  <si>
    <t>6.228515, -75.598761</t>
  </si>
  <si>
    <t>6.306554, -75.576627</t>
  </si>
  <si>
    <t>8b7ce80fd10e1d3d</t>
  </si>
  <si>
    <t>14_10_2026_AO_Diur.gpx</t>
  </si>
  <si>
    <t>8b7ce80fd10e1d3d00c2d142cf1f7ab64e35b72658e4fe22a09b265b6f438b9e</t>
  </si>
  <si>
    <t>14/10/2026</t>
  </si>
  <si>
    <t>14/10/2026 08:56:18</t>
  </si>
  <si>
    <t>14/10/2026 16:51:50</t>
  </si>
  <si>
    <t>Inicio GPS tardío: 00:26:19 después de las 08:30.; Fin GPS posterior: 00:21:50 después de las 16:30.; 3 hueco(s) GPS &gt;= 10 min.; 1 permanencia(s) GPS detectada(s); requiere contexto.</t>
  </si>
  <si>
    <t>6.203227, -75.600756</t>
  </si>
  <si>
    <t>6.221865, -75.593827</t>
  </si>
  <si>
    <t>ffe5a9ed2891bbb4</t>
  </si>
  <si>
    <t>14_10_2026_AR_Diur.gpx</t>
  </si>
  <si>
    <t>ffe5a9ed2891bbb4c423992bf33168d6c5306b5804481a2ab13b050ed22d8325</t>
  </si>
  <si>
    <t>14/10/2026 08:13:30</t>
  </si>
  <si>
    <t>14/10/2026 17:39:45</t>
  </si>
  <si>
    <t>Inicio GPS anterior al horario: 00:16:30 antes de las 08:30.; Fin GPS posterior: 01:09:45 después de las 16:30.; 1 permanencia(s) GPS detectada(s); requiere contexto.</t>
  </si>
  <si>
    <t>6.225186, -75.599266</t>
  </si>
  <si>
    <t>6.247490, -75.615098</t>
  </si>
  <si>
    <t>88ae4a0bae4df545</t>
  </si>
  <si>
    <t>14_10_2026_DR_Diur.gpx</t>
  </si>
  <si>
    <t>88ae4a0bae4df54529d65dd2203e5abec6b30ab8f9345ba784c5ee5038670af4</t>
  </si>
  <si>
    <t>14/10/2026 08:37:22</t>
  </si>
  <si>
    <t>14/10/2026 16:21:41</t>
  </si>
  <si>
    <t>6.229101, -75.602048</t>
  </si>
  <si>
    <t>6.248697, -75.583498</t>
  </si>
  <si>
    <t>6d1cf52be27bce27</t>
  </si>
  <si>
    <t>14_10_2026_HC_Diur.gpx</t>
  </si>
  <si>
    <t>6d1cf52be27bce273e978163adb63d2ae5e1fd5885b55006deeb4649e22ac3d6</t>
  </si>
  <si>
    <t>14/10/2026 08:31:34</t>
  </si>
  <si>
    <t>14/10/2026 13:03:02</t>
  </si>
  <si>
    <t>Inicio GPS dentro de la tolerancia del horario programado.; Fin GPS anticipado: 03:26:58 antes de las 16:30.; 2 hueco(s) GPS &gt;= 10 min.; 1 permanencia(s) GPS detectada(s); requiere contexto.</t>
  </si>
  <si>
    <t>6.225642, -75.599112</t>
  </si>
  <si>
    <t>6.234715, -75.608236</t>
  </si>
  <si>
    <t>64509d321ef041bd</t>
  </si>
  <si>
    <t>14_10_2026_IQ_Diur.gpx</t>
  </si>
  <si>
    <t>64509d321ef041bde5da73f8c00e745c319e9fc405d1d03c584268f520093b2a</t>
  </si>
  <si>
    <t>14/10/2026 08:37:14</t>
  </si>
  <si>
    <t>14/10/2026 16:31:09</t>
  </si>
  <si>
    <t>6.225337, -75.599443</t>
  </si>
  <si>
    <t>6.250016, -75.556476</t>
  </si>
  <si>
    <t>f7d2441bb7475185</t>
  </si>
  <si>
    <t>14_10_2026_JHP_Diur.gpx</t>
  </si>
  <si>
    <t>f7d2441bb747518540529e28bca6efcb8bad3498ad8fdf4e5d3332896c719f8f</t>
  </si>
  <si>
    <t>14/10/2026 08:03:30</t>
  </si>
  <si>
    <t>14/10/2026 16:26:44</t>
  </si>
  <si>
    <t>Inicio GPS anterior al horario: 00:26:30 antes de las 08:30.; Fin GPS dentro de la tolerancia del horario programado.</t>
  </si>
  <si>
    <t>6.276895, -75.573033</t>
  </si>
  <si>
    <t>6.290654, -75.546259</t>
  </si>
  <si>
    <t>be7ef1cc7334a2cc</t>
  </si>
  <si>
    <t>14_10_2026_JP_Diur.gpx</t>
  </si>
  <si>
    <t>be7ef1cc7334a2cc001a50dc73afc51d329fbc4bf1a63fea64fa157b96de5863</t>
  </si>
  <si>
    <t>14/10/2026 08:29:59</t>
  </si>
  <si>
    <t>14/10/2026 17:07:32</t>
  </si>
  <si>
    <t>Inicio GPS dentro de la tolerancia del horario programado.; Fin GPS posterior: 00:37:32 después de las 16:30.; 2 hueco(s) GPS &gt;= 10 min.; 1 permanencia(s) GPS detectada(s); requiere contexto.</t>
  </si>
  <si>
    <t>6.225562, -75.599443</t>
  </si>
  <si>
    <t>6.251810, -75.551732</t>
  </si>
  <si>
    <t>8c543afda4b1ee42</t>
  </si>
  <si>
    <t>14_10_2026_JZ_Diur.gpx</t>
  </si>
  <si>
    <t>8c543afda4b1ee428c5e76172848f955062013ba9b88f800c4436d1222c12ae6</t>
  </si>
  <si>
    <t>14/10/2026 08:09:09</t>
  </si>
  <si>
    <t>14/10/2026 16:15:58</t>
  </si>
  <si>
    <t>Inicio GPS anterior al horario: 00:20:51 antes de las 08:30.; Fin GPS dentro de la tolerancia del horario programado.</t>
  </si>
  <si>
    <t>6.226667, -75.599209</t>
  </si>
  <si>
    <t>6.278609, -75.569281</t>
  </si>
  <si>
    <t>489a0fe801d49162</t>
  </si>
  <si>
    <t>14_10_2026_YL_Diur.gpx</t>
  </si>
  <si>
    <t>489a0fe801d49162410c678dd97aa168e1317a5ea6523061438649a3b0eca451</t>
  </si>
  <si>
    <t>14/10/2026 07:48:49</t>
  </si>
  <si>
    <t>14/10/2026 16:04:09</t>
  </si>
  <si>
    <t>Inicio GPS anterior al horario: 00:41:11 antes de las 08:30.; Fin GPS anticipado: 00:25:51 antes de las 16:30.; 4 hueco(s) GPS &gt;= 10 min.</t>
  </si>
  <si>
    <t>6.225636, -75.599136</t>
  </si>
  <si>
    <t>6.258233, -75.615764</t>
  </si>
  <si>
    <t>b9dcdc6b6293e815</t>
  </si>
  <si>
    <t>14_10_2026_DV_Noct.gpx</t>
  </si>
  <si>
    <t>b9dcdc6b6293e815883717ccbc59028d7b5215de3453006aca57554ee068132e</t>
  </si>
  <si>
    <t>14/10/2026 16:59:35</t>
  </si>
  <si>
    <t>15/10/2026 00:34:59</t>
  </si>
  <si>
    <t>Inicio GPS anterior al horario: 01:00:25 antes de las 18:00.; Fin GPS posterior: 00:34:59 después de las 00:00.; 1 permanencia(s) GPS detectada(s); requiere contexto.</t>
  </si>
  <si>
    <t>6.226742, -75.599953</t>
  </si>
  <si>
    <t>6.272717, -75.601748</t>
  </si>
  <si>
    <t>7ec49c8214a931c3</t>
  </si>
  <si>
    <t>14_10_2026_JA_Noct.gpx</t>
  </si>
  <si>
    <t>7ec49c8214a931c3be75085012d7e103f1fbd1c5f3c8771d97660ec9f51d1a1f</t>
  </si>
  <si>
    <t>14/10/2026 16:47:52</t>
  </si>
  <si>
    <t>14/10/2026 23:02:17</t>
  </si>
  <si>
    <t>Inicio GPS anterior al horario: 01:12:08 antes de las 18:00.; Fin GPS anticipado: 00:57:43 antes de las 00:00.; 1 hueco(s) GPS &gt;= 10 min.; 1 permanencia(s) GPS detectada(s); requiere contexto.</t>
  </si>
  <si>
    <t>6.225691, -75.599361</t>
  </si>
  <si>
    <t>6.237171, -75.558699</t>
  </si>
  <si>
    <t>2090423d82dc1cf0</t>
  </si>
  <si>
    <t>14_10_2026_JO_Noct.gpx</t>
  </si>
  <si>
    <t>2090423d82dc1cf03c36b79438baa95510dbea133ff7760546a23cdfe72ed0a9</t>
  </si>
  <si>
    <t>14/10/2026 18:10:21</t>
  </si>
  <si>
    <t>14/10/2026 22:48:24</t>
  </si>
  <si>
    <t>Inicio GPS dentro de la tolerancia del horario programado.; Fin GPS anticipado: 01:11:35 antes de las 00:00.; 11 hueco(s) GPS &gt;= 10 min.; 1 permanencia(s) GPS detectada(s); requiere contexto.</t>
  </si>
  <si>
    <t>6.259245, -75.621056</t>
  </si>
  <si>
    <t>6.269903, -75.653419</t>
  </si>
  <si>
    <t>6a051dfc98ca7b3a</t>
  </si>
  <si>
    <t>14_10_2026_LA_Noct.gpx</t>
  </si>
  <si>
    <t>6a051dfc98ca7b3a7bd711f6bf60a79a6a172902c331d5e644f28b2a4bfdb2bf</t>
  </si>
  <si>
    <t>14/10/2026 17:22:38</t>
  </si>
  <si>
    <t>15/10/2026 00:02:26</t>
  </si>
  <si>
    <t>Inicio GPS anterior al horario: 00:37:22 antes de las 18:00.; Fin GPS dentro de la tolerancia del horario programado.; 4 hueco(s) GPS &gt;= 10 min.</t>
  </si>
  <si>
    <t>6.260127, -75.597472</t>
  </si>
  <si>
    <t>6.273610, -75.593003</t>
  </si>
  <si>
    <t>8ec31d91e6fc1c86</t>
  </si>
  <si>
    <t>14_10_2026_SJ_Noct.gpx</t>
  </si>
  <si>
    <t>8ec31d91e6fc1c862c2a075d1ffcadede8b79a57bdd87a6af7602c6ab600fa74</t>
  </si>
  <si>
    <t>14/10/2026 17:11:45</t>
  </si>
  <si>
    <t>15/10/2026 00:08:22</t>
  </si>
  <si>
    <t>Inicio GPS anterior al horario: 00:48:15 antes de las 18:00.; Fin GPS dentro de la tolerancia del horario programado.; 1 hueco(s) GPS &gt;= 10 min.</t>
  </si>
  <si>
    <t>6.225633, -75.599464</t>
  </si>
  <si>
    <t>6.304074, -75.582063</t>
  </si>
  <si>
    <t>Presenta daño en la motocicleta, el tecnico hace el reporte a SST</t>
  </si>
  <si>
    <t>fc4d4f420452569e</t>
  </si>
  <si>
    <t>15_10_2026_AO_Diur.gpx</t>
  </si>
  <si>
    <t>fc4d4f420452569e41574436c0dec5d57e246a6a5716b6bec0749990104342f3</t>
  </si>
  <si>
    <t>15/10/2026</t>
  </si>
  <si>
    <t>15/10/2026 09:03:58</t>
  </si>
  <si>
    <t>15/10/2026 16:36:21</t>
  </si>
  <si>
    <t>Inicio GPS tardío: 00:33:58 después de las 08:30.; Fin GPS dentro de la tolerancia del horario programado.; 1 hueco(s) GPS &gt;= 10 min.</t>
  </si>
  <si>
    <t>6.203253, -75.600691</t>
  </si>
  <si>
    <t>6.230093, -75.599961</t>
  </si>
  <si>
    <t>a6bf47115fa091b5</t>
  </si>
  <si>
    <t>15_10_2026_AR_Diur.gpx</t>
  </si>
  <si>
    <t>a6bf47115fa091b5933f92eaf7aafd3df028660dc22f0bc5a83df9dc189446ef</t>
  </si>
  <si>
    <t>15/10/2026 08:03:37</t>
  </si>
  <si>
    <t>15/10/2026 16:54:11</t>
  </si>
  <si>
    <t>Inicio GPS anterior al horario: 00:26:23 antes de las 08:30.; Fin GPS posterior: 00:24:11 después de las 16:30.; 1 permanencia(s) GPS detectada(s); requiere contexto.</t>
  </si>
  <si>
    <t>6.225396, -75.599065</t>
  </si>
  <si>
    <t>6.247533, -75.614945</t>
  </si>
  <si>
    <t>7655e6052a0a5ede</t>
  </si>
  <si>
    <t>15_10_2026_HC_Diur.gpx</t>
  </si>
  <si>
    <t>7655e6052a0a5ede460859a31be94ccebd047828dcbd9b7c3f059c3b7685104d</t>
  </si>
  <si>
    <t>15/10/2026 08:21:19</t>
  </si>
  <si>
    <t>15/10/2026 14:11:34</t>
  </si>
  <si>
    <t>Inicio GPS dentro de la tolerancia del horario programado.; Fin GPS anticipado: 02:18:26 antes de las 16:30.; 1 hueco(s) GPS &gt;= 10 min.</t>
  </si>
  <si>
    <t>6.225870, -75.599430</t>
  </si>
  <si>
    <t>6.304631, -75.577947</t>
  </si>
  <si>
    <t>ef45c1c66bcabad8</t>
  </si>
  <si>
    <t>15_10_2026_IQ_Diur.gpx</t>
  </si>
  <si>
    <t>ef45c1c66bcabad82c768d0d579ad8a3ef63f817abd4061bf5994c75cc9cd5f7</t>
  </si>
  <si>
    <t>15/10/2026 08:28:23</t>
  </si>
  <si>
    <t>15/10/2026 16:33:10</t>
  </si>
  <si>
    <t>6.244765, -75.570938</t>
  </si>
  <si>
    <t>6.243089, -75.548853</t>
  </si>
  <si>
    <t>96084586681ba3af</t>
  </si>
  <si>
    <t>15_10_2026_JHP_Diur.gpx</t>
  </si>
  <si>
    <t>96084586681ba3aff069d9f83463bdfc1d1f2e43a890d7656d6014a6e8557e06</t>
  </si>
  <si>
    <t>15/10/2026 08:07:14</t>
  </si>
  <si>
    <t>15/10/2026 16:13:07</t>
  </si>
  <si>
    <t>Inicio GPS anterior al horario: 00:22:46 antes de las 08:30.; Fin GPS anticipado: 00:16:53 antes de las 16:30.</t>
  </si>
  <si>
    <t>6.272866, -75.574478</t>
  </si>
  <si>
    <t>6.272870, -75.574525</t>
  </si>
  <si>
    <t>146963c33a5f42de</t>
  </si>
  <si>
    <t>15_10_2026_JP_Diur.gpx</t>
  </si>
  <si>
    <t>146963c33a5f42de81af675ef15449ca6d5cde49fe26b7cbfa632412887d083e</t>
  </si>
  <si>
    <t>15/10/2026 08:31:26</t>
  </si>
  <si>
    <t>15/10/2026 12:39:14</t>
  </si>
  <si>
    <t>Inicio GPS dentro de la tolerancia del horario programado.; Fin GPS anticipado: 03:50:46 antes de las 16:30.; 1 hueco(s) GPS &gt;= 10 min.</t>
  </si>
  <si>
    <t>6.225523, -75.598997</t>
  </si>
  <si>
    <t>6.251848, -75.551895</t>
  </si>
  <si>
    <t>bbdfea9601347182</t>
  </si>
  <si>
    <t>15_10_2026_JZ_Diur.gpx</t>
  </si>
  <si>
    <t>bbdfea9601347182401cdbb59b104c2a898f2e0e3967ef3c7c12d8a3c0e1eea9</t>
  </si>
  <si>
    <t>15/10/2026 12:10:49</t>
  </si>
  <si>
    <t>15/10/2026 16:23:48</t>
  </si>
  <si>
    <t>Inicio GPS tardío: 03:40:49 después de las 08:30.; Fin GPS dentro de la tolerancia del horario programado.</t>
  </si>
  <si>
    <t>6.257584, -75.561883</t>
  </si>
  <si>
    <t>6.278348, -75.569460</t>
  </si>
  <si>
    <t>1be9f84d3523cfc0</t>
  </si>
  <si>
    <t>15_10_2026_YL_Diur.gpx</t>
  </si>
  <si>
    <t>1be9f84d3523cfc0a9fe805410531891200c0cf4c5692506fbab0ebcbf5e133f</t>
  </si>
  <si>
    <t>15/10/2026 08:54:57</t>
  </si>
  <si>
    <t>15/10/2026 16:35:09</t>
  </si>
  <si>
    <t>Inicio GPS tardío: 00:24:57 después de las 08:30.; Fin GPS dentro de la tolerancia del horario programado.; 1 hueco(s) GPS &gt;= 10 min.; 1 permanencia(s) GPS detectada(s); requiere contexto.</t>
  </si>
  <si>
    <t>6.225550, -75.599145</t>
  </si>
  <si>
    <t>6.258654, -75.616274</t>
  </si>
  <si>
    <t>0b39ab11a81c59c9</t>
  </si>
  <si>
    <t>15_10_2026_DR_Diur.gpx</t>
  </si>
  <si>
    <t>0b39ab11a81c59c9607a46375883355629dbaf816eda64d44ed1d7a4b87187bf</t>
  </si>
  <si>
    <t>15/10/2026 08:23:05</t>
  </si>
  <si>
    <t>15/10/2026 16:21:27</t>
  </si>
  <si>
    <t>6.233731, -75.602238</t>
  </si>
  <si>
    <t>6.247455, -75.578223</t>
  </si>
  <si>
    <t>eb34b7b8af8e9044</t>
  </si>
  <si>
    <t>15_10_2026_DV_Noct.gpx</t>
  </si>
  <si>
    <t>eb34b7b8af8e904464913c097384766186baa0e85b40d49ef5e2528081c3d7f8</t>
  </si>
  <si>
    <t>15/10/2026 17:08:22</t>
  </si>
  <si>
    <t>16/10/2026 00:09:48</t>
  </si>
  <si>
    <t>Inicio GPS anterior al horario: 00:51:38 antes de las 18:00.; Fin GPS dentro de la tolerancia del horario programado.; 1 permanencia(s) GPS detectada(s); requiere contexto.</t>
  </si>
  <si>
    <t>6.231068, -75.601835</t>
  </si>
  <si>
    <t>6.272533, -75.601931</t>
  </si>
  <si>
    <t>167151d2247dc5e4</t>
  </si>
  <si>
    <t>15_10_2026_JA_Noct.gpx</t>
  </si>
  <si>
    <t>167151d2247dc5e442e8bf88091f05a51cec8b09cf58456b6c0ce3df1d8d05e8</t>
  </si>
  <si>
    <t>15/10/2026 16:37:19</t>
  </si>
  <si>
    <t>15/10/2026 21:04:52</t>
  </si>
  <si>
    <t>Inicio GPS anterior al horario: 01:22:41 antes de las 18:00.; Fin GPS anticipado: 02:55:08 antes de las 00:00.</t>
  </si>
  <si>
    <t>6.225831, -75.599080</t>
  </si>
  <si>
    <t>6.236915, -75.558754</t>
  </si>
  <si>
    <t>15/10/2026 23:52:53</t>
  </si>
  <si>
    <t>6.259223, -75.620935</t>
  </si>
  <si>
    <t>89ca1c12a53072a4</t>
  </si>
  <si>
    <t>15_10_2026_LA_Noct.gpx</t>
  </si>
  <si>
    <t>89ca1c12a53072a4adb61143c9654995ac9b86a84cfd8b843f79e1962da0d318</t>
  </si>
  <si>
    <t>15/10/2026 17:07:44</t>
  </si>
  <si>
    <t>16/10/2026 00:03:50</t>
  </si>
  <si>
    <t>Inicio GPS anterior al horario: 00:52:15 antes de las 18:00.; Fin GPS dentro de la tolerancia del horario programado.; 2 hueco(s) GPS &gt;= 10 min.; 1 permanencia(s) GPS detectada(s); requiere contexto.</t>
  </si>
  <si>
    <t>6.226657, -75.599265</t>
  </si>
  <si>
    <t>6.268452, -75.599155</t>
  </si>
  <si>
    <t>084d33977dc47ca5</t>
  </si>
  <si>
    <t>15_10_2026_SJ_Noct.gpx</t>
  </si>
  <si>
    <t>084d33977dc47ca5c2950c7e49f75adb3afde090f824ed835864cb98262222c6</t>
  </si>
  <si>
    <t>15/10/2026 18:26:04</t>
  </si>
  <si>
    <t>15/10/2026 23:47:09</t>
  </si>
  <si>
    <t>Inicio GPS tardío: 00:26:04 después de las 18:00.; Fin GPS dentro de la tolerancia del horario programado.</t>
  </si>
  <si>
    <t>6.222780, -75.598580</t>
  </si>
  <si>
    <t>6.305086, -75.581832</t>
  </si>
  <si>
    <t>f855d1ec6c717787</t>
  </si>
  <si>
    <t>15_10_2026_JO_Noct.gpx</t>
  </si>
  <si>
    <t>f855d1ec6c7177870098c1a2eafb03d551db5067eca67f11d9705d793461248c</t>
  </si>
  <si>
    <t>15/10/2026 18:06:00</t>
  </si>
  <si>
    <t>6.238250, -75.602973</t>
  </si>
  <si>
    <t>63a08f884acccff8</t>
  </si>
  <si>
    <t>16_10_2026_AR_Diur.gpx</t>
  </si>
  <si>
    <t>63a08f884acccff82dc1cf38a3f5cbfd64d78f5f9dc47a4045f5d0b37b98662c</t>
  </si>
  <si>
    <t>16/10/2026</t>
  </si>
  <si>
    <t>16/10/2026 08:38:18</t>
  </si>
  <si>
    <t>16/10/2026 16:13:17</t>
  </si>
  <si>
    <t>6.225667, -75.599477</t>
  </si>
  <si>
    <t>6.228534, -75.577227</t>
  </si>
  <si>
    <t>2a96fa77753f7397</t>
  </si>
  <si>
    <t>16_10_2026_HC_Diur.gpx</t>
  </si>
  <si>
    <t>2a96fa77753f7397ac62e100b34fd859f1048c407d064988f8b5739d73385859</t>
  </si>
  <si>
    <t>16/10/2026 08:28:02</t>
  </si>
  <si>
    <t>16/10/2026 13:47:10</t>
  </si>
  <si>
    <t>Inicio GPS dentro de la tolerancia del horario programado.; Fin GPS anticipado: 02:12:50 antes de las 16:00.; 2 hueco(s) GPS &gt;= 10 min.</t>
  </si>
  <si>
    <t>6.225815, -75.599409</t>
  </si>
  <si>
    <t>6.290298, -75.558482</t>
  </si>
  <si>
    <t>6f5e4ab8829a2de0</t>
  </si>
  <si>
    <t>16_10_2026_JHP_Diur.gpx</t>
  </si>
  <si>
    <t>6f5e4ab8829a2de012b8871a4da8b122c39fae37e26edfc560afb3749c5b9be2</t>
  </si>
  <si>
    <t>16/10/2026 08:05:40</t>
  </si>
  <si>
    <t>16/10/2026 15:54:01</t>
  </si>
  <si>
    <t>Inicio GPS anterior al horario: 00:24:20 antes de las 08:30.; Fin GPS dentro de la tolerancia del horario programado.</t>
  </si>
  <si>
    <t>6.272756, -75.574512</t>
  </si>
  <si>
    <t>6.272789, -75.574416</t>
  </si>
  <si>
    <t>177a38854fe516fc</t>
  </si>
  <si>
    <t>16_10_2026_JP_Diur.gpx</t>
  </si>
  <si>
    <t>177a38854fe516fcf5f13d5ef86dd3fa1afa46189dc4525c0ccbb4dcac5baa8b</t>
  </si>
  <si>
    <t>16/10/2026 07:28:54</t>
  </si>
  <si>
    <t>16/10/2026 14:39:40</t>
  </si>
  <si>
    <t>Inicio GPS anterior al horario: 01:01:06 antes de las 08:30.; Fin GPS anticipado: 01:20:20 antes de las 16:00.</t>
  </si>
  <si>
    <t>6.253973, -75.588213</t>
  </si>
  <si>
    <t>6.251860, -75.551798</t>
  </si>
  <si>
    <t>5af2585f97579082</t>
  </si>
  <si>
    <t>16_10_2026_JZ_Diur.gpx</t>
  </si>
  <si>
    <t>5af2585f975790826052d08a4d4417429b51098e86e8f45b84dbd5721dd94261</t>
  </si>
  <si>
    <t>16/10/2026 08:17:52</t>
  </si>
  <si>
    <t>16/10/2026 15:58:25</t>
  </si>
  <si>
    <t>6.226635, -75.599202</t>
  </si>
  <si>
    <t>6.248627, -75.565271</t>
  </si>
  <si>
    <t>c4058691c0592d43</t>
  </si>
  <si>
    <t>17_10_2026_AR_Diur.gpx</t>
  </si>
  <si>
    <t>c4058691c0592d43d96214182456c8c9c41b88acb7745edcc49ada941f18453b</t>
  </si>
  <si>
    <t>17/10/2026</t>
  </si>
  <si>
    <t>17/10/2026 08:41:07</t>
  </si>
  <si>
    <t>17/10/2026 15:47:11</t>
  </si>
  <si>
    <t>6.247571, -75.614759</t>
  </si>
  <si>
    <t>6.246129, -75.609533</t>
  </si>
  <si>
    <t>22f6e4de52031af7</t>
  </si>
  <si>
    <t>16_10_2026_YL_Diur.gpx</t>
  </si>
  <si>
    <t>22f6e4de52031af7b8fb1e0615805d8b09d771dd35cda74617771c58e7bbcfd0</t>
  </si>
  <si>
    <t>16/10/2026 09:08:57</t>
  </si>
  <si>
    <t>16/10/2026 16:33:50</t>
  </si>
  <si>
    <t>Inicio GPS tardío: 00:38:57 después de las 08:30.; Fin GPS posterior: 00:33:50 después de las 16:00.; 1 hueco(s) GPS &gt;= 10 min.; 1 permanencia(s) GPS detectada(s); requiere contexto.</t>
  </si>
  <si>
    <t>6.225578, -75.599353</t>
  </si>
  <si>
    <t>6.258547, -75.616319</t>
  </si>
  <si>
    <t>7c074dbd9e384ac2</t>
  </si>
  <si>
    <t>16_10_2026_DR_Noct.gpx</t>
  </si>
  <si>
    <t>7c074dbd9e384ac2704dcdb53850e149f544807397a5646b4de4a20a68665fd1</t>
  </si>
  <si>
    <t>16/10/2026 18:33:45</t>
  </si>
  <si>
    <t>16/10/2026 23:21:03</t>
  </si>
  <si>
    <t>Inicio GPS tardío: 00:33:45 después de las 18:00.; Fin GPS anticipado: 00:38:57 antes de las 00:00.</t>
  </si>
  <si>
    <t>6.253186, -75.609389</t>
  </si>
  <si>
    <t>6.245612, -75.616992</t>
  </si>
  <si>
    <t>6f92dbbc23f7c69c</t>
  </si>
  <si>
    <t>16_10_2026_DV_Noct.gpx</t>
  </si>
  <si>
    <t>6f92dbbc23f7c69c6755e4b69b42369fe402dcf27036a58c3a5aa72586329d8a</t>
  </si>
  <si>
    <t>16/10/2026 17:45:31</t>
  </si>
  <si>
    <t>17/10/2026 00:09:12</t>
  </si>
  <si>
    <t>6.272485, -75.602200</t>
  </si>
  <si>
    <t>6.273327, -75.602161</t>
  </si>
  <si>
    <t>21f0c25e11476e13</t>
  </si>
  <si>
    <t>16_10_2026_IQ_Noct.gpx</t>
  </si>
  <si>
    <t>21f0c25e11476e13ffdb71147d0dffbd71108a40e47be43f503225d0fc174850</t>
  </si>
  <si>
    <t>16/10/2026 16:12:39</t>
  </si>
  <si>
    <t>16/10/2026 23:53:36</t>
  </si>
  <si>
    <t>Inicio GPS anterior al horario: 01:47:21 antes de las 18:00.; Fin GPS dentro de la tolerancia del horario programado.; 3 hueco(s) GPS &gt;= 10 min.</t>
  </si>
  <si>
    <t>6.274655, -75.540585</t>
  </si>
  <si>
    <t>6.252734, -75.556586</t>
  </si>
  <si>
    <t>438543b52fd9adbe</t>
  </si>
  <si>
    <t>16_10_2026_JA_Noct.gpx</t>
  </si>
  <si>
    <t>438543b52fd9adbe1580bd49cb5fe4a808fc432af83bd0c976f25ebccbfb161a</t>
  </si>
  <si>
    <t>16/10/2026 17:55:44</t>
  </si>
  <si>
    <t>16/10/2026 22:56:50</t>
  </si>
  <si>
    <t>Inicio GPS dentro de la tolerancia del horario programado.; Fin GPS anticipado: 01:03:10 antes de las 00:00.; 2 hueco(s) GPS &gt;= 10 min.; 1 permanencia(s) GPS detectada(s); requiere contexto.</t>
  </si>
  <si>
    <t>6.238265, -75.560160</t>
  </si>
  <si>
    <t>6.237090, -75.558795</t>
  </si>
  <si>
    <t>3a7a54da018aa3d8</t>
  </si>
  <si>
    <t>16_10_2026_JO_Noct.gpx</t>
  </si>
  <si>
    <t>3a7a54da018aa3d89116d4fe2e48e4fcd307d0cd9499396df427e651a6839750</t>
  </si>
  <si>
    <t>16/10/2026 18:13:38</t>
  </si>
  <si>
    <t>16/10/2026 23:53:06</t>
  </si>
  <si>
    <t>6.246878, -75.554066</t>
  </si>
  <si>
    <t>6.255427, -75.620604</t>
  </si>
  <si>
    <t>eb33a0ccdae538c5</t>
  </si>
  <si>
    <t>16_10_2026_LA_Noct.gpx</t>
  </si>
  <si>
    <t>eb33a0ccdae538c572e4bb01770f3dfc4d3e72d8f0428a65a3305a5df572e66d</t>
  </si>
  <si>
    <t>16/10/2026 17:49:23</t>
  </si>
  <si>
    <t>17/10/2026 00:23:46</t>
  </si>
  <si>
    <t>Inicio GPS dentro de la tolerancia del horario programado.; Fin GPS posterior: 00:23:47 después de las 00:00.; 1 hueco(s) GPS &gt;= 10 min.; 1 permanencia(s) GPS detectada(s); requiere contexto.</t>
  </si>
  <si>
    <t>6.267497, -75.598057</t>
  </si>
  <si>
    <t>6.279607, -75.570877</t>
  </si>
  <si>
    <t>020ac8ab1766c678</t>
  </si>
  <si>
    <t>16_10_2026_SJ_Noct.gpx</t>
  </si>
  <si>
    <t>020ac8ab1766c678a13dad4711a2861157e196dea630c0b76b610e97b90dd14e</t>
  </si>
  <si>
    <t>16/10/2026 18:09:24</t>
  </si>
  <si>
    <t>17/10/2026 00:18:04</t>
  </si>
  <si>
    <t>Inicio GPS dentro de la tolerancia del horario programado.; Fin GPS posterior: 00:18:04 después de las 00:00.</t>
  </si>
  <si>
    <t>6.306048, -75.581989</t>
  </si>
  <si>
    <t>6.306526, -75.581994</t>
  </si>
  <si>
    <t>5956d5b459e20741</t>
  </si>
  <si>
    <t>17_10_2026_JP_Noct.gpx</t>
  </si>
  <si>
    <t>5956d5b459e207417071618d368df2958d1d67c26020166a18cc9938ac7f6d66</t>
  </si>
  <si>
    <t>17/10/2026 18:06:54</t>
  </si>
  <si>
    <t>17/10/2026 23:28:39</t>
  </si>
  <si>
    <t>Inicio GPS dentro de la tolerancia del horario programado.; Fin GPS anticipado: 00:31:21 antes de las 00:00.; Sábado nocturno: verificar técnico asignado.</t>
  </si>
  <si>
    <t>6.251703, -75.551667</t>
  </si>
  <si>
    <t>6.310818, -75.566105</t>
  </si>
  <si>
    <t>a37c97e017d9bdd3</t>
  </si>
  <si>
    <t>19_10_2026_AO_Diur.gpx</t>
  </si>
  <si>
    <t>a37c97e017d9bdd3a3bc49947dc0f839a766f654e031a9401b1f762f137b4d44</t>
  </si>
  <si>
    <t>19/10/2026</t>
  </si>
  <si>
    <t>19/10/2026 08:54:44</t>
  </si>
  <si>
    <t>19/10/2026 16:31:50</t>
  </si>
  <si>
    <t>Inicio GPS tardío: 00:24:44 después de las 08:30.; Fin GPS dentro de la tolerancia del horario programado.; 1 permanencia(s) GPS detectada(s); requiere contexto.</t>
  </si>
  <si>
    <t>6.203423, -75.600455</t>
  </si>
  <si>
    <t>6.225669, -75.599111</t>
  </si>
  <si>
    <t>206e17caac91c772</t>
  </si>
  <si>
    <t>19_10_2026_AR_Diur.gpx</t>
  </si>
  <si>
    <t>206e17caac91c772f4b0264a04e5e36d696e48b901e5caac2c94acdaac4c93a1</t>
  </si>
  <si>
    <t>19/10/2026 08:40:23</t>
  </si>
  <si>
    <t>19/10/2026 16:33:35</t>
  </si>
  <si>
    <t>6.225639, -75.599331</t>
  </si>
  <si>
    <t>6.225685, -75.599348</t>
  </si>
  <si>
    <t>6c0c90c68aeeb583</t>
  </si>
  <si>
    <t>19_10_2026_HC_Diur.gpx</t>
  </si>
  <si>
    <t>6c0c90c68aeeb5832d831770358950e28210ab8469f559232f503fc9043e0764</t>
  </si>
  <si>
    <t>19/10/2026 08:47:23</t>
  </si>
  <si>
    <t>19/10/2026 18:45:43</t>
  </si>
  <si>
    <t>Inicio GPS tardío: 00:17:23 después de las 08:30.; Fin GPS posterior: 02:15:43 después de las 16:30.; 3 hueco(s) GPS &gt;= 10 min.; 1 permanencia(s) GPS detectada(s); requiere contexto.</t>
  </si>
  <si>
    <t>6.225630, -75.599422</t>
  </si>
  <si>
    <t>6.310233, -75.578072</t>
  </si>
  <si>
    <t>8a9002ee96de3999</t>
  </si>
  <si>
    <t>19_10_2026_JHP_Diur.gpx</t>
  </si>
  <si>
    <t>8a9002ee96de3999b0c2ebfc8bdcf992ff69f0a0c8ad2428991e9350de0cf57d</t>
  </si>
  <si>
    <t>19/10/2026 08:25:44</t>
  </si>
  <si>
    <t>19/10/2026 16:22:51</t>
  </si>
  <si>
    <t>6.225702, -75.599575</t>
  </si>
  <si>
    <t>6.290496, -75.546455</t>
  </si>
  <si>
    <t>db5bc8a0935fd218</t>
  </si>
  <si>
    <t>19_10_2026_JZ_Diur.gpx</t>
  </si>
  <si>
    <t>db5bc8a0935fd21811342322e937a9ced70020f8d90192cb108d8c52f0b2c5fd</t>
  </si>
  <si>
    <t>19/10/2026 08:39:18</t>
  </si>
  <si>
    <t>19/10/2026 14:00:30</t>
  </si>
  <si>
    <t>Inicio GPS dentro de la tolerancia del horario programado.; Fin GPS anticipado: 02:29:30 antes de las 16:30.; 1 permanencia(s) GPS detectada(s); requiere contexto.</t>
  </si>
  <si>
    <t>6.226946, -75.599124</t>
  </si>
  <si>
    <t>6.282292, -75.563463</t>
  </si>
  <si>
    <t>94dd49ec46fbb5c3</t>
  </si>
  <si>
    <t>19_10_2026_DR_Noct.gpx</t>
  </si>
  <si>
    <t>94dd49ec46fbb5c3b3819020e15be24041fa3f8a3b45868baf3f55035d07ac99</t>
  </si>
  <si>
    <t>19/10/2026 18:13:05</t>
  </si>
  <si>
    <t>19/10/2026 23:57:32</t>
  </si>
  <si>
    <t>6.259172, -75.600714</t>
  </si>
  <si>
    <t>6.247829, -75.615062</t>
  </si>
  <si>
    <t>f15385f877711fc4</t>
  </si>
  <si>
    <t>19_10_2026_DV_Noct.gpx</t>
  </si>
  <si>
    <t>f15385f877711fc4244872e44d807b3e46d2e940dba3239989670c83942f8d74</t>
  </si>
  <si>
    <t>19/10/2026 16:42:35</t>
  </si>
  <si>
    <t>20/10/2026 00:24:01</t>
  </si>
  <si>
    <t>Inicio GPS anterior al horario: 01:17:25 antes de las 18:00.; Fin GPS posterior: 00:24:01 después de las 00:00.; 1 permanencia(s) GPS detectada(s); requiere contexto.</t>
  </si>
  <si>
    <t>6.227892, -75.599327</t>
  </si>
  <si>
    <t>6.272698, -75.602052</t>
  </si>
  <si>
    <t>c93969b3eb2ce2fc</t>
  </si>
  <si>
    <t>19_10_2026_IQ_Noct.gpx</t>
  </si>
  <si>
    <t>c93969b3eb2ce2fc8cba6461776bf38728d936fbfaa9df12966046888982c98a</t>
  </si>
  <si>
    <t>19/10/2026 17:10:14</t>
  </si>
  <si>
    <t>19/10/2026 23:47:14</t>
  </si>
  <si>
    <t>Inicio GPS anterior al horario: 00:49:46 antes de las 18:00.; Fin GPS dentro de la tolerancia del horario programado.; 6 hueco(s) GPS &gt;= 10 min.</t>
  </si>
  <si>
    <t>6.228041, -75.596376</t>
  </si>
  <si>
    <t>6.272547, -75.540334</t>
  </si>
  <si>
    <t>d98aea1761399aac</t>
  </si>
  <si>
    <t>19_10_2026_JA_Noct.gpx</t>
  </si>
  <si>
    <t>d98aea1761399aace84d9ff09ac83c7056ebe96b4081003b66ee016b94129fb5</t>
  </si>
  <si>
    <t>19/10/2026 16:34:59</t>
  </si>
  <si>
    <t>19/10/2026 22:15:50</t>
  </si>
  <si>
    <t>Inicio GPS anterior al horario: 01:25:01 antes de las 18:00.; Fin GPS anticipado: 01:44:10 antes de las 00:00.; 1 hueco(s) GPS &gt;= 10 min.</t>
  </si>
  <si>
    <t>6.225938, -75.599412</t>
  </si>
  <si>
    <t>6.236962, -75.558886</t>
  </si>
  <si>
    <t>22bcbddd91965fc2</t>
  </si>
  <si>
    <t>19_10_2026_JO_Noct.gpx</t>
  </si>
  <si>
    <t>22bcbddd91965fc2669666fa8c990b466418ab992288e22493bfcf5a3c299e1c</t>
  </si>
  <si>
    <t>19/10/2026 16:59:11</t>
  </si>
  <si>
    <t>19/10/2026 23:52:40</t>
  </si>
  <si>
    <t>Inicio GPS anterior al horario: 01:00:49 antes de las 18:00.; Fin GPS dentro de la tolerancia del horario programado.; 13 hueco(s) GPS &gt;= 10 min.</t>
  </si>
  <si>
    <t>6.225730, -75.599359</t>
  </si>
  <si>
    <t>6.259324, -75.620675</t>
  </si>
  <si>
    <t>41cb733f7bfec6ab</t>
  </si>
  <si>
    <t>19_10_2026_JP_Noct.gpx</t>
  </si>
  <si>
    <t>41cb733f7bfec6ab745d7c97848ffbdc11d20b2736d6462960e2c5841bfe3c69</t>
  </si>
  <si>
    <t>19/10/2026 16:54:43</t>
  </si>
  <si>
    <t>20/10/2026 00:00:32</t>
  </si>
  <si>
    <t>Inicio GPS anterior al horario: 01:05:17 antes de las 18:00.; Fin GPS dentro de la tolerancia del horario programado.; 1 permanencia(s) GPS detectada(s); requiere contexto.</t>
  </si>
  <si>
    <t>6.225638, -75.599412</t>
  </si>
  <si>
    <t>6.251882, -75.551742</t>
  </si>
  <si>
    <t>619080a2d6cd6bc4</t>
  </si>
  <si>
    <t>19_10_2026_LA_Noct.gpx</t>
  </si>
  <si>
    <t>619080a2d6cd6bc470a919bac9bd6136c2446550ac402d435e16e46a9d03353d</t>
  </si>
  <si>
    <t>19/10/2026 17:08:54</t>
  </si>
  <si>
    <t>20/10/2026 00:04:28</t>
  </si>
  <si>
    <t>Inicio GPS anterior al horario: 00:51:05 antes de las 18:00.; Fin GPS dentro de la tolerancia del horario programado.; 4 hueco(s) GPS &gt;= 10 min.</t>
  </si>
  <si>
    <t>6.225610, -75.599925</t>
  </si>
  <si>
    <t>6.268615, -75.599490</t>
  </si>
  <si>
    <t>74da49ed217785c0</t>
  </si>
  <si>
    <t>19_10_2026_SJ_Noct.gpx</t>
  </si>
  <si>
    <t>74da49ed217785c013f7644b1b71bec3581e6ffc8e50ea470766bc794ff8bb36</t>
  </si>
  <si>
    <t>19/10/2026 18:25:25</t>
  </si>
  <si>
    <t>19/10/2026 23:09:42</t>
  </si>
  <si>
    <t>Inicio GPS tardío: 00:25:25 después de las 18:00.; Fin GPS anticipado: 00:50:18 antes de las 00:00.; 1 hueco(s) GPS &gt;= 10 min.</t>
  </si>
  <si>
    <t>6.222809, -75.598542</t>
  </si>
  <si>
    <t>6.305238, -75.577175</t>
  </si>
  <si>
    <t>1633ed32c2015c26</t>
  </si>
  <si>
    <t>19_10_2026_YL_Noct.gpx</t>
  </si>
  <si>
    <t>1633ed32c2015c267691176aca62a36315b860e859163992d42f95147e771b9b</t>
  </si>
  <si>
    <t>19/10/2026 18:30:18</t>
  </si>
  <si>
    <t>20/10/2026 00:01:27</t>
  </si>
  <si>
    <t>Inicio GPS tardío: 00:30:18 después de las 18:00.; Fin GPS dentro de la tolerancia del horario programado.; 1 hueco(s) GPS &gt;= 10 min.</t>
  </si>
  <si>
    <t>6.258216, -75.622232</t>
  </si>
  <si>
    <t>6.258461, -75.615835</t>
  </si>
  <si>
    <t>98478583703aad5d</t>
  </si>
  <si>
    <t>20_10_2026_AO_Diur.gpx</t>
  </si>
  <si>
    <t>98478583703aad5d6173f9bf117caeca9153eecd0356d37ae278ff0b8d3af577</t>
  </si>
  <si>
    <t>20/10/2026</t>
  </si>
  <si>
    <t>20/10/2026 07:51:03</t>
  </si>
  <si>
    <t>20/10/2026 16:27:00</t>
  </si>
  <si>
    <t>Inicio GPS anterior al horario: 00:38:57 antes de las 08:30.; Fin GPS dentro de la tolerancia del horario programado.; 3 hueco(s) GPS &gt;= 10 min.</t>
  </si>
  <si>
    <t>6.225719, -75.599437</t>
  </si>
  <si>
    <t>6.250304, -75.599764</t>
  </si>
  <si>
    <t>4c5568c0a9bb6c48</t>
  </si>
  <si>
    <t>20_10_2026_AR_Diur.gpx</t>
  </si>
  <si>
    <t>4c5568c0a9bb6c48f3d33c5b7670402d2ec0830f9cf06f35caa1cd4e527e8fb0</t>
  </si>
  <si>
    <t>15576b773796bb55</t>
  </si>
  <si>
    <t>20_10_2026_JHP_Diur.gpx</t>
  </si>
  <si>
    <t>15576b773796bb559d0a5747576c159745ac8bc6dacb8488fe82581ed6277195</t>
  </si>
  <si>
    <t>20/10/2026 07:37:52</t>
  </si>
  <si>
    <t>20/10/2026 16:27:20</t>
  </si>
  <si>
    <t>Inicio GPS anterior al horario: 00:52:08 antes de las 08:30.; Fin GPS dentro de la tolerancia del horario programado.; 1 hueco(s) GPS &gt;= 10 min.</t>
  </si>
  <si>
    <t>6.290575, -75.546309</t>
  </si>
  <si>
    <t>6.272812, -75.574382</t>
  </si>
  <si>
    <t>1b823eb540dccc7a</t>
  </si>
  <si>
    <t>20_10_2026_JZ_Diur.gpx</t>
  </si>
  <si>
    <t>1b823eb540dccc7afc8c0ae4ba9f7f8e4e3a16879c9b4b70d65222e273324a6b</t>
  </si>
  <si>
    <t>20/10/2026 08:22:19</t>
  </si>
  <si>
    <t>20/10/2026 16:37:39</t>
  </si>
  <si>
    <t>6.226664, -75.599210</t>
  </si>
  <si>
    <t>6.279660, -75.572286</t>
  </si>
  <si>
    <t>248defe511bdd3a1</t>
  </si>
  <si>
    <t>20_10_2026_DR_Noct.gpx</t>
  </si>
  <si>
    <t>248defe511bdd3a183e9adfa4f3c67d3bab23bbe6ec53e9b785dc2e0190128f5</t>
  </si>
  <si>
    <t>20/10/2026 18:05:11</t>
  </si>
  <si>
    <t>20/10/2026 21:38:00</t>
  </si>
  <si>
    <t>Inicio GPS dentro de la tolerancia del horario programado.; Fin GPS anticipado: 02:22:00 antes de las 00:00.</t>
  </si>
  <si>
    <t>6.247880, -75.615136</t>
  </si>
  <si>
    <t>6.208443, -75.591437</t>
  </si>
  <si>
    <t>6186a84439c8c69e</t>
  </si>
  <si>
    <t>20_10_2026_DV_Noct.gpx</t>
  </si>
  <si>
    <t>6186a84439c8c69e87695b3306c3a5e49fad2496c68c685d3c0e4d18aebe3629</t>
  </si>
  <si>
    <t>20/10/2026 17:05:54</t>
  </si>
  <si>
    <t>21/10/2026 00:44:59</t>
  </si>
  <si>
    <t>Inicio GPS anterior al horario: 00:54:06 antes de las 18:00.; Fin GPS posterior: 00:44:59 después de las 00:00.; 1 permanencia(s) GPS detectada(s); requiere contexto.</t>
  </si>
  <si>
    <t>6.239574, -75.576549</t>
  </si>
  <si>
    <t>6.272927, -75.601972</t>
  </si>
  <si>
    <t>1dc7d2f2b70fdd9a</t>
  </si>
  <si>
    <t>20_10_2026_IQ_Noct.gpx</t>
  </si>
  <si>
    <t>1dc7d2f2b70fdd9ac192b3f4efce97c653f2bd7a7acbd1e4ea4c123679bf72a3</t>
  </si>
  <si>
    <t>20/10/2026 16:40:35</t>
  </si>
  <si>
    <t>20/10/2026 23:44:12</t>
  </si>
  <si>
    <t>Inicio GPS anterior al horario: 01:19:25 antes de las 18:00.; Fin GPS anticipado: 00:15:48 antes de las 00:00.; 2 hueco(s) GPS &gt;= 10 min.</t>
  </si>
  <si>
    <t>6.225198, -75.599368</t>
  </si>
  <si>
    <t>6.278241, -75.538991</t>
  </si>
  <si>
    <t>9646c9a0277f38cd</t>
  </si>
  <si>
    <t>20_10_2026_JA_Noct.gpx</t>
  </si>
  <si>
    <t>9646c9a0277f38cda05b5c2cb6b50afbb272619036d65e710bb50ef9db426ece</t>
  </si>
  <si>
    <t>20/10/2026 16:38:49</t>
  </si>
  <si>
    <t>20/10/2026 22:15:29</t>
  </si>
  <si>
    <t>Inicio GPS anterior al horario: 01:21:11 antes de las 18:00.; Fin GPS anticipado: 01:44:31 antes de las 00:00.; 1 hueco(s) GPS &gt;= 10 min.</t>
  </si>
  <si>
    <t>6.225693, -75.599403</t>
  </si>
  <si>
    <t>6.236988, -75.558809</t>
  </si>
  <si>
    <t>7463b2c261c779a8</t>
  </si>
  <si>
    <t>20_10_2026_JO_Noct.gpx</t>
  </si>
  <si>
    <t>7463b2c261c779a890604e0cf64c70b53d6d7eb4266ad70f23594592286f37b0</t>
  </si>
  <si>
    <t>20/10/2026 18:09:58</t>
  </si>
  <si>
    <t>20/10/2026 23:49:19</t>
  </si>
  <si>
    <t>6.249794, -75.584761</t>
  </si>
  <si>
    <t>6.259491, -75.620589</t>
  </si>
  <si>
    <t>6d4cf9b91d3518f2</t>
  </si>
  <si>
    <t>20_10_2026_JP_Noct.gpx</t>
  </si>
  <si>
    <t>6d4cf9b91d3518f2235f7c7a23c161c17018fd1a0bdac1ffa0596eb1afdb63aa</t>
  </si>
  <si>
    <t>20/10/2026 18:35:22</t>
  </si>
  <si>
    <t>21/10/2026 00:01:47</t>
  </si>
  <si>
    <t>Inicio GPS tardío: 00:35:22 después de las 18:00.; Fin GPS dentro de la tolerancia del horario programado.; 1 permanencia(s) GPS detectada(s); requiere contexto.</t>
  </si>
  <si>
    <t>6.251730, -75.551740</t>
  </si>
  <si>
    <t>6.251750, -75.551732</t>
  </si>
  <si>
    <t>4946238f323fadef</t>
  </si>
  <si>
    <t>20_10_2026_LA_Noct.gpx</t>
  </si>
  <si>
    <t>4946238f323fadef5e5cbf466d229d2af710f4da3467c785fb950af880e0edf1</t>
  </si>
  <si>
    <t>20/10/2026 16:49:03</t>
  </si>
  <si>
    <t>21/10/2026 00:03:44</t>
  </si>
  <si>
    <t>Inicio GPS anterior al horario: 01:10:56 antes de las 18:00.; Fin GPS dentro de la tolerancia del horario programado.; 3 hueco(s) GPS &gt;= 10 min.</t>
  </si>
  <si>
    <t>6.226665, -75.599373</t>
  </si>
  <si>
    <t>6.268590, -75.599512</t>
  </si>
  <si>
    <t>8a1c26c83158132e</t>
  </si>
  <si>
    <t>20_10_2026_SJ_Noct.gpx</t>
  </si>
  <si>
    <t>8a1c26c83158132e1c7334ba2530189881a1cf0173724ffd3b7294dfce14195f</t>
  </si>
  <si>
    <t>20/10/2026 18:07:16</t>
  </si>
  <si>
    <t>20/10/2026 22:34:45</t>
  </si>
  <si>
    <t>Inicio GPS dentro de la tolerancia del horario programado.; Fin GPS anticipado: 01:25:15 antes de las 00:00.</t>
  </si>
  <si>
    <t>6.222747, -75.598646</t>
  </si>
  <si>
    <t>6.240515, -75.552285</t>
  </si>
  <si>
    <t>6f7473bcb6f540eb</t>
  </si>
  <si>
    <t>20_10_2026_YL_Noct.gpx</t>
  </si>
  <si>
    <t>6f7473bcb6f540eb20d21327f9459be15d21fa1d28472d9f86901dd5fabfe278</t>
  </si>
  <si>
    <t>20/10/2026 17:58:05</t>
  </si>
  <si>
    <t>20/10/2026 17:58:29</t>
  </si>
  <si>
    <t>Inicio GPS dentro de la tolerancia del horario programado.; Fin GPS anticipado: 06:01:31 antes de las 00:00.</t>
  </si>
  <si>
    <t>6.258146, -75.615331</t>
  </si>
  <si>
    <t>6.258648, -75.615716</t>
  </si>
  <si>
    <t>Fuertes lluvias en la Noche</t>
  </si>
  <si>
    <t>ab3556093ee7f70c</t>
  </si>
  <si>
    <t>21_10_2026_AO_Diur.gpx</t>
  </si>
  <si>
    <t>ab3556093ee7f70ce2cd7eaaa52f5717235927b6e28a56088d15b79e7452a3f4</t>
  </si>
  <si>
    <t>21/10/2026</t>
  </si>
  <si>
    <t>21/10/2026 09:16:50</t>
  </si>
  <si>
    <t>21/10/2026 16:31:57</t>
  </si>
  <si>
    <t>Inicio GPS tardío: 00:46:50 después de las 08:30.; Fin GPS dentro de la tolerancia del horario programado.; 1 hueco(s) GPS &gt;= 10 min.; 1 permanencia(s) GPS detectada(s); requiere contexto.</t>
  </si>
  <si>
    <t>6.203249, -75.600743</t>
  </si>
  <si>
    <t>6.232174, -75.596886</t>
  </si>
  <si>
    <t>225613b22775d1f1</t>
  </si>
  <si>
    <t>21_10_2026_AR_Diur.gpx</t>
  </si>
  <si>
    <t>225613b22775d1f18fe5fe897761fd6a293740d709d3c2a9f177f515d9c4be5a</t>
  </si>
  <si>
    <t>21/10/2026 08:25:28</t>
  </si>
  <si>
    <t>21/10/2026 16:21:46</t>
  </si>
  <si>
    <t>6.225682, -75.599463</t>
  </si>
  <si>
    <t>6.241786, -75.607846</t>
  </si>
  <si>
    <t>f9e505ade0e5f3f7</t>
  </si>
  <si>
    <t>21_10_2026_JHP_Diur.gpx</t>
  </si>
  <si>
    <t>f9e505ade0e5f3f73f8956f618341e7005d6728701331ce1e41bacadef0ad630</t>
  </si>
  <si>
    <t>21/10/2026 08:32:02</t>
  </si>
  <si>
    <t>21/10/2026 16:14:22</t>
  </si>
  <si>
    <t>Inicio GPS dentro de la tolerancia del horario programado.; Fin GPS anticipado: 00:15:38 antes de las 16:30.</t>
  </si>
  <si>
    <t>6.254234, -75.574907</t>
  </si>
  <si>
    <t>6.272834, -75.574435</t>
  </si>
  <si>
    <t>992c8da8aa659d28</t>
  </si>
  <si>
    <t>21_10_2026_JP_Diur.gpx</t>
  </si>
  <si>
    <t>992c8da8aa659d287329a9a9de489d11203398897e275d187777a08cc8e91416</t>
  </si>
  <si>
    <t>21/10/2026 08:41:38</t>
  </si>
  <si>
    <t>21/10/2026 15:49:33</t>
  </si>
  <si>
    <t>Inicio GPS dentro de la tolerancia del horario programado.; Fin GPS anticipado: 00:40:27 antes de las 16:30.; 2 hueco(s) GPS &gt;= 10 min.</t>
  </si>
  <si>
    <t>6.225603, -75.599320</t>
  </si>
  <si>
    <t>6.251692, -75.551850</t>
  </si>
  <si>
    <t>7d410b20b76a6f30</t>
  </si>
  <si>
    <t>21_10_2026_JZ_Diur.gpx</t>
  </si>
  <si>
    <t>7d410b20b76a6f3072493e8c5f156ee3ce6a8c198591f8e77b2cb2ad72db6922</t>
  </si>
  <si>
    <t>21/10/2026 08:29:52</t>
  </si>
  <si>
    <t>21/10/2026 12:18:13</t>
  </si>
  <si>
    <t>Inicio GPS dentro de la tolerancia del horario programado.; Fin GPS anticipado: 04:11:47 antes de las 16:30.; 2 hueco(s) GPS &gt;= 10 min.</t>
  </si>
  <si>
    <t>6.226722, -75.599195</t>
  </si>
  <si>
    <t>6.257584, -75.565866</t>
  </si>
  <si>
    <t>d59d56d97e79581e</t>
  </si>
  <si>
    <t>21_10_2026_DR_Noct.gpx</t>
  </si>
  <si>
    <t>d59d56d97e79581e4f891202526ecb850708e9d2b9e6455e296dbcd4da772967</t>
  </si>
  <si>
    <t>21/10/2026 18:14:31</t>
  </si>
  <si>
    <t>21/10/2026 23:29:34</t>
  </si>
  <si>
    <t>Inicio GPS dentro de la tolerancia del horario programado.; Fin GPS anticipado: 00:30:26 antes de las 00:00.; 1 hueco(s) GPS &gt;= 10 min.</t>
  </si>
  <si>
    <t>6.235968, -75.602344</t>
  </si>
  <si>
    <t>6.250646, -75.602125</t>
  </si>
  <si>
    <t>1354139f6a7c3f2f</t>
  </si>
  <si>
    <t>21_10_2026_DV_Noct.gpx</t>
  </si>
  <si>
    <t>1354139f6a7c3f2fb592a44a3becbf0afd14e73ff79fea5d49e2eb962b2691b1</t>
  </si>
  <si>
    <t>21/10/2026 17:09:36</t>
  </si>
  <si>
    <t>22/10/2026 00:31:23</t>
  </si>
  <si>
    <t>Inicio GPS anterior al horario: 00:50:24 antes de las 18:00.; Fin GPS posterior: 00:31:23 después de las 00:00.; 1 permanencia(s) GPS detectada(s); requiere contexto.</t>
  </si>
  <si>
    <t>6.258391, -75.578306</t>
  </si>
  <si>
    <t>6.272633, -75.602018</t>
  </si>
  <si>
    <t>197acc7645cd2954</t>
  </si>
  <si>
    <t>21_10_2026_IQ_Noct.gpx</t>
  </si>
  <si>
    <t>197acc7645cd2954a260e0eb4b4902ab7f2214641ed7b584c10a4cd32003f01c</t>
  </si>
  <si>
    <t>21/10/2026 17:18:22</t>
  </si>
  <si>
    <t>21/10/2026 23:47:47</t>
  </si>
  <si>
    <t>Inicio GPS anterior al horario: 00:41:38 antes de las 18:00.; Fin GPS dentro de la tolerancia del horario programado.; 4 hueco(s) GPS &gt;= 10 min.; 1 permanencia(s) GPS detectada(s); requiere contexto.</t>
  </si>
  <si>
    <t>6.242035, -75.619494</t>
  </si>
  <si>
    <t>6.272381, -75.540345</t>
  </si>
  <si>
    <t>e9a11ba1766753d1</t>
  </si>
  <si>
    <t>21_10_2026_JA_Noct.gpx</t>
  </si>
  <si>
    <t>e9a11ba1766753d13c25bc00e51132c6f3f549bde30b86ff3391ae2b398ca4b0</t>
  </si>
  <si>
    <t>21/10/2026 16:35:05</t>
  </si>
  <si>
    <t>21/10/2026 21:35:33</t>
  </si>
  <si>
    <t>Inicio GPS anterior al horario: 01:24:55 antes de las 18:00.; Fin GPS anticipado: 02:24:27 antes de las 00:00.; 1 hueco(s) GPS &gt;= 10 min.</t>
  </si>
  <si>
    <t>6.225616, -75.599319</t>
  </si>
  <si>
    <t>6.237010, -75.558870</t>
  </si>
  <si>
    <t>6209f37c363cca0d</t>
  </si>
  <si>
    <t>21_10_2026_JO_Noct.gpx</t>
  </si>
  <si>
    <t>6209f37c363cca0d63a68f8a1a48c925f4e6089b796c10b21b20f6b362d8d3cb</t>
  </si>
  <si>
    <t>21/10/2026 16:27:16</t>
  </si>
  <si>
    <t>21/10/2026 23:58:28</t>
  </si>
  <si>
    <t>Inicio GPS anterior al horario: 01:32:43 antes de las 18:00.; Fin GPS dentro de la tolerancia del horario programado.; 6 hueco(s) GPS &gt;= 10 min.; 1 permanencia(s) GPS detectada(s); requiere contexto.</t>
  </si>
  <si>
    <t>6.229325, -75.602059</t>
  </si>
  <si>
    <t>6.225607, -75.599417</t>
  </si>
  <si>
    <t>0851bb6589dd1069</t>
  </si>
  <si>
    <t>21_10_2026_LA_Noct.gpx</t>
  </si>
  <si>
    <t>0851bb6589dd106994b343c0587fee04e7009e87308598adf3c3e0105b060d3a</t>
  </si>
  <si>
    <t>21/10/2026 16:58:08</t>
  </si>
  <si>
    <t>22/10/2026 00:03:29</t>
  </si>
  <si>
    <t>Inicio GPS anterior al horario: 01:01:51 antes de las 18:00.; Fin GPS dentro de la tolerancia del horario programado.; 1 hueco(s) GPS &gt;= 10 min.</t>
  </si>
  <si>
    <t>6.226735, -75.599273</t>
  </si>
  <si>
    <t>6.268395, -75.599342</t>
  </si>
  <si>
    <t>1289e74894e3056c</t>
  </si>
  <si>
    <t>21_10_2026_SJ_Noct.gpx</t>
  </si>
  <si>
    <t>1289e74894e3056cc21f8944ea302dc8521be91b7636548a1ff574551b0751ba</t>
  </si>
  <si>
    <t>21/10/2026 16:36:28</t>
  </si>
  <si>
    <t>21/10/2026 23:53:14</t>
  </si>
  <si>
    <t>Inicio GPS anterior al horario: 01:23:32 antes de las 18:00.; Fin GPS dentro de la tolerancia del horario programado.; 1 permanencia(s) GPS detectada(s); requiere contexto.</t>
  </si>
  <si>
    <t>6.225704, -75.599408</t>
  </si>
  <si>
    <t>6.308258, -75.581629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</si>
</sst>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h]:mm:ss"/>
  </numFmts>
  <fonts count="11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12"/>
      <name val="Arial"/>
      <family val="2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6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0" xfId="0" applyFont="1"/>
    <xf numFmtId="21" fontId="0" fillId="0" borderId="0" xfId="0" applyNumberFormat="1"/>
    <xf numFmtId="0" fontId="6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5" borderId="0" xfId="0" applyFill="1"/>
    <xf numFmtId="21" fontId="9" fillId="4" borderId="3" xfId="0" applyNumberFormat="1" applyFont="1" applyFill="1" applyBorder="1" applyAlignment="1">
      <alignment horizontal="center" vertical="center" wrapText="1"/>
    </xf>
    <xf numFmtId="21" fontId="0" fillId="0" borderId="3" xfId="0" applyNumberFormat="1" applyBorder="1" applyAlignment="1">
      <alignment horizontal="center" vertical="center"/>
    </xf>
    <xf numFmtId="21" fontId="0" fillId="0" borderId="4" xfId="0" applyNumberFormat="1" applyBorder="1" applyAlignment="1">
      <alignment horizontal="center" vertical="center"/>
    </xf>
    <xf numFmtId="21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21" fontId="9" fillId="4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6" fontId="10" fillId="0" borderId="1" xfId="0" applyNumberFormat="1" applyFont="1" applyBorder="1" applyAlignment="1">
      <alignment horizontal="center" vertical="center"/>
    </xf>
    <xf numFmtId="0" fontId="8" fillId="0" borderId="0" xfId="0" pivotButton="1" applyFont="1"/>
    <xf numFmtId="0" fontId="8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46" fontId="2" fillId="0" borderId="1" xfId="0" applyNumberFormat="1" applyFont="1" applyBorder="1" applyAlignment="1">
      <alignment horizontal="center"/>
    </xf>
    <xf numFmtId="46" fontId="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6" fontId="2" fillId="0" borderId="5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7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26" formatCode="h:mm:ss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[BASE_RECORRIDOS_PRO_JCA.xlsx]GRAFICAS!TablaDinámica1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281714785651791"/>
          <c:y val="0.34941382327209097"/>
          <c:w val="0.54858005249343833"/>
          <c:h val="0.32195756780402451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GRAFICAS!$B$6:$B$7</c:f>
              <c:strCache>
                <c:ptCount val="1"/>
                <c:pt idx="0">
                  <c:v>INICIO ANTES DEL HORARIO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GRAFICAS!$A$8:$A$22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GRAFICAS!$B$8:$B$22</c:f>
              <c:numCache>
                <c:formatCode>General</c:formatCode>
                <c:ptCount val="14"/>
                <c:pt idx="0">
                  <c:v>8</c:v>
                </c:pt>
                <c:pt idx="1">
                  <c:v>10</c:v>
                </c:pt>
                <c:pt idx="2">
                  <c:v>1</c:v>
                </c:pt>
                <c:pt idx="3">
                  <c:v>1</c:v>
                </c:pt>
                <c:pt idx="4">
                  <c:v>7</c:v>
                </c:pt>
                <c:pt idx="6">
                  <c:v>1</c:v>
                </c:pt>
                <c:pt idx="7">
                  <c:v>8</c:v>
                </c:pt>
                <c:pt idx="8">
                  <c:v>3</c:v>
                </c:pt>
                <c:pt idx="9">
                  <c:v>6</c:v>
                </c:pt>
                <c:pt idx="10">
                  <c:v>8</c:v>
                </c:pt>
                <c:pt idx="11">
                  <c:v>1</c:v>
                </c:pt>
                <c:pt idx="12">
                  <c:v>12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9-4FC7-9722-82D87A19C851}"/>
            </c:ext>
          </c:extLst>
        </c:ser>
        <c:ser>
          <c:idx val="1"/>
          <c:order val="1"/>
          <c:tx>
            <c:strRef>
              <c:f>GRAFICAS!$C$6:$C$7</c:f>
              <c:strCache>
                <c:ptCount val="1"/>
                <c:pt idx="0">
                  <c:v>INICIO CUMPLE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GRAFICAS!$A$8:$A$22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GRAFICAS!$C$8:$C$22</c:f>
              <c:numCache>
                <c:formatCode>General</c:formatCode>
                <c:ptCount val="14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11</c:v>
                </c:pt>
                <c:pt idx="4">
                  <c:v>2</c:v>
                </c:pt>
                <c:pt idx="5">
                  <c:v>11</c:v>
                </c:pt>
                <c:pt idx="6">
                  <c:v>2</c:v>
                </c:pt>
                <c:pt idx="7">
                  <c:v>1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10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49-4FC7-9722-82D87A19C851}"/>
            </c:ext>
          </c:extLst>
        </c:ser>
        <c:ser>
          <c:idx val="2"/>
          <c:order val="2"/>
          <c:tx>
            <c:strRef>
              <c:f>GRAFICAS!$D$6:$D$7</c:f>
              <c:strCache>
                <c:ptCount val="1"/>
                <c:pt idx="0">
                  <c:v>INICIO TARDÍO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GRAFICAS!$A$8:$A$22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GRAFICAS!$D$8:$D$22</c:f>
              <c:numCache>
                <c:formatCode>General</c:formatCode>
                <c:ptCount val="14"/>
                <c:pt idx="0">
                  <c:v>2</c:v>
                </c:pt>
                <c:pt idx="1">
                  <c:v>1</c:v>
                </c:pt>
                <c:pt idx="2">
                  <c:v>9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10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49-4FC7-9722-82D87A19C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0969312"/>
        <c:axId val="747955728"/>
        <c:axId val="0"/>
      </c:bar3DChart>
      <c:catAx>
        <c:axId val="78096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7955728"/>
        <c:crosses val="autoZero"/>
        <c:auto val="1"/>
        <c:lblAlgn val="ctr"/>
        <c:lblOffset val="100"/>
        <c:noMultiLvlLbl val="0"/>
      </c:catAx>
      <c:valAx>
        <c:axId val="74795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096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[BASE_RECORRIDOS_PRO_JCA.xlsx]GRAFICAS!TablaDinámica2</c:name>
    <c:fmtId val="2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70C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281714785651791"/>
          <c:y val="0.34941382327209097"/>
          <c:w val="0.54858005249343833"/>
          <c:h val="0.32195756780402451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GRAFICAS!$B$57:$B$58</c:f>
              <c:strCache>
                <c:ptCount val="1"/>
                <c:pt idx="0">
                  <c:v>FIN CUMPLE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GRAFICAS!$A$59:$A$73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GRAFICAS!$B$59:$B$73</c:f>
              <c:numCache>
                <c:formatCode>General</c:formatCode>
                <c:ptCount val="14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4">
                  <c:v>10</c:v>
                </c:pt>
                <c:pt idx="5">
                  <c:v>3</c:v>
                </c:pt>
                <c:pt idx="6">
                  <c:v>7</c:v>
                </c:pt>
                <c:pt idx="7">
                  <c:v>9</c:v>
                </c:pt>
                <c:pt idx="9">
                  <c:v>7</c:v>
                </c:pt>
                <c:pt idx="10">
                  <c:v>2</c:v>
                </c:pt>
                <c:pt idx="11">
                  <c:v>11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E4-4A25-839B-A2DA8A072684}"/>
            </c:ext>
          </c:extLst>
        </c:ser>
        <c:ser>
          <c:idx val="1"/>
          <c:order val="1"/>
          <c:tx>
            <c:strRef>
              <c:f>GRAFICAS!$C$57:$C$58</c:f>
              <c:strCache>
                <c:ptCount val="1"/>
                <c:pt idx="0">
                  <c:v>TERMINÓ ANTES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GRAFICAS!$A$59:$A$73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GRAFICAS!$C$59:$C$73</c:f>
              <c:numCache>
                <c:formatCode>General</c:formatCode>
                <c:ptCount val="14"/>
                <c:pt idx="0">
                  <c:v>7</c:v>
                </c:pt>
                <c:pt idx="1">
                  <c:v>1</c:v>
                </c:pt>
                <c:pt idx="2">
                  <c:v>9</c:v>
                </c:pt>
                <c:pt idx="3">
                  <c:v>13</c:v>
                </c:pt>
                <c:pt idx="4">
                  <c:v>2</c:v>
                </c:pt>
                <c:pt idx="5">
                  <c:v>9</c:v>
                </c:pt>
                <c:pt idx="6">
                  <c:v>3</c:v>
                </c:pt>
                <c:pt idx="7">
                  <c:v>2</c:v>
                </c:pt>
                <c:pt idx="8">
                  <c:v>13</c:v>
                </c:pt>
                <c:pt idx="9">
                  <c:v>3</c:v>
                </c:pt>
                <c:pt idx="10">
                  <c:v>9</c:v>
                </c:pt>
                <c:pt idx="11">
                  <c:v>1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4E4-4A25-839B-A2DA8A072684}"/>
            </c:ext>
          </c:extLst>
        </c:ser>
        <c:ser>
          <c:idx val="2"/>
          <c:order val="2"/>
          <c:tx>
            <c:strRef>
              <c:f>GRAFICAS!$D$57:$D$58</c:f>
              <c:strCache>
                <c:ptCount val="1"/>
                <c:pt idx="0">
                  <c:v>TERMINÓ DESPUÉS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GRAFICAS!$A$59:$A$73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GRAFICAS!$D$59:$D$73</c:f>
              <c:numCache>
                <c:formatCode>General</c:formatCode>
                <c:ptCount val="14"/>
                <c:pt idx="1">
                  <c:v>6</c:v>
                </c:pt>
                <c:pt idx="2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9">
                  <c:v>4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4E4-4A25-839B-A2DA8A072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0969312"/>
        <c:axId val="747955728"/>
        <c:axId val="0"/>
      </c:bar3DChart>
      <c:catAx>
        <c:axId val="78096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7955728"/>
        <c:crosses val="autoZero"/>
        <c:auto val="1"/>
        <c:lblAlgn val="ctr"/>
        <c:lblOffset val="100"/>
        <c:noMultiLvlLbl val="0"/>
      </c:catAx>
      <c:valAx>
        <c:axId val="74795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0969312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[BASE_RECORRIDOS_PRO_JCA.xlsx]GRAFICAS!TablaDinámica3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GRAFICAS!$B$107:$B$108</c:f>
              <c:strCache>
                <c:ptCount val="1"/>
                <c:pt idx="0">
                  <c:v>DIURNO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GRAFICAS!$A$109:$A$123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GRAFICAS!$B$109:$B$123</c:f>
              <c:numCache>
                <c:formatCode>General</c:formatCode>
                <c:ptCount val="14"/>
                <c:pt idx="0">
                  <c:v>606.1869999999999</c:v>
                </c:pt>
                <c:pt idx="2">
                  <c:v>399.06900000000002</c:v>
                </c:pt>
                <c:pt idx="3">
                  <c:v>722.3309999999999</c:v>
                </c:pt>
                <c:pt idx="5">
                  <c:v>469.54300000000001</c:v>
                </c:pt>
                <c:pt idx="6">
                  <c:v>684.553</c:v>
                </c:pt>
                <c:pt idx="8">
                  <c:v>492.46</c:v>
                </c:pt>
                <c:pt idx="9">
                  <c:v>1062.953</c:v>
                </c:pt>
                <c:pt idx="11">
                  <c:v>522.69000000000005</c:v>
                </c:pt>
                <c:pt idx="13">
                  <c:v>377.77300000000008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4-4A84-97B7-AAAEAE81D0A9}"/>
            </c:ext>
          </c:extLst>
        </c:ser>
        <c:ser>
          <c:idx val="1"/>
          <c:order val="1"/>
          <c:tx>
            <c:strRef>
              <c:f>GRAFICAS!$C$107:$C$108</c:f>
              <c:strCache>
                <c:ptCount val="1"/>
                <c:pt idx="0">
                  <c:v>NOCTURNO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GRAFICAS!$A$109:$A$123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GRAFICAS!$C$109:$C$123</c:f>
              <c:numCache>
                <c:formatCode>General</c:formatCode>
                <c:ptCount val="14"/>
                <c:pt idx="1">
                  <c:v>629.04100000000005</c:v>
                </c:pt>
                <c:pt idx="2">
                  <c:v>165.02199999999999</c:v>
                </c:pt>
                <c:pt idx="4">
                  <c:v>399.66999999999996</c:v>
                </c:pt>
                <c:pt idx="7">
                  <c:v>919.75</c:v>
                </c:pt>
                <c:pt idx="10">
                  <c:v>394.79400000000004</c:v>
                </c:pt>
                <c:pt idx="11">
                  <c:v>45.506</c:v>
                </c:pt>
                <c:pt idx="12">
                  <c:v>646.245</c:v>
                </c:pt>
                <c:pt idx="13">
                  <c:v>46.487000000000002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24-4A84-97B7-AAAEAE81D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1050048"/>
        <c:axId val="747958608"/>
        <c:axId val="0"/>
      </c:bar3DChart>
      <c:catAx>
        <c:axId val="781050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7958608"/>
        <c:crosses val="autoZero"/>
        <c:auto val="1"/>
        <c:lblAlgn val="ctr"/>
        <c:lblOffset val="100"/>
        <c:noMultiLvlLbl val="0"/>
      </c:catAx>
      <c:valAx>
        <c:axId val="74795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105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[BASE_RECORRIDOS_PRO_JCA.xlsx]GRAFICAS!TablaDinámica4</c:name>
    <c:fmtId val="28"/>
  </c:pivotSource>
  <c:chart>
    <c:title>
      <c:layout>
        <c:manualLayout>
          <c:xMode val="edge"/>
          <c:yMode val="edge"/>
          <c:x val="0.42206062356351881"/>
          <c:y val="6.7950795002141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GRAFICAS!$L$107:$L$108</c:f>
              <c:strCache>
                <c:ptCount val="1"/>
                <c:pt idx="0">
                  <c:v>TERMINÓ ANTES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GRAFICAS!$K$109:$K$122</c:f>
              <c:strCache>
                <c:ptCount val="13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Yeiner Alejandro López</c:v>
                </c:pt>
              </c:strCache>
            </c:strRef>
          </c:cat>
          <c:val>
            <c:numRef>
              <c:f>GRAFICAS!$L$109:$L$122</c:f>
              <c:numCache>
                <c:formatCode>General</c:formatCode>
                <c:ptCount val="13"/>
                <c:pt idx="0">
                  <c:v>8</c:v>
                </c:pt>
                <c:pt idx="1">
                  <c:v>2</c:v>
                </c:pt>
                <c:pt idx="2">
                  <c:v>14</c:v>
                </c:pt>
                <c:pt idx="3">
                  <c:v>18</c:v>
                </c:pt>
                <c:pt idx="4">
                  <c:v>4</c:v>
                </c:pt>
                <c:pt idx="5">
                  <c:v>14</c:v>
                </c:pt>
                <c:pt idx="6">
                  <c:v>5</c:v>
                </c:pt>
                <c:pt idx="7">
                  <c:v>2</c:v>
                </c:pt>
                <c:pt idx="8">
                  <c:v>18</c:v>
                </c:pt>
                <c:pt idx="9">
                  <c:v>5</c:v>
                </c:pt>
                <c:pt idx="10">
                  <c:v>13</c:v>
                </c:pt>
                <c:pt idx="11">
                  <c:v>1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3-4841-8E51-3D0DA259B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9211023"/>
        <c:axId val="2108941103"/>
        <c:axId val="0"/>
      </c:bar3DChart>
      <c:catAx>
        <c:axId val="210921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2108941103"/>
        <c:crosses val="autoZero"/>
        <c:auto val="1"/>
        <c:lblAlgn val="ctr"/>
        <c:lblOffset val="100"/>
        <c:noMultiLvlLbl val="0"/>
      </c:catAx>
      <c:valAx>
        <c:axId val="210894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0921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[BASE_RECORRIDOS_PRO_JCA.xlsx]GRAFICAS!TablaDinámica5</c:name>
    <c:fmtId val="3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GRAFICAS!$X$107:$X$108</c:f>
              <c:strCache>
                <c:ptCount val="1"/>
                <c:pt idx="0">
                  <c:v>INICIO TARDÍO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GRAFICAS!$W$109:$W$122</c:f>
              <c:strCache>
                <c:ptCount val="13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Yeiner Alejandro López</c:v>
                </c:pt>
              </c:strCache>
            </c:strRef>
          </c:cat>
          <c:val>
            <c:numRef>
              <c:f>GRAFICAS!$X$109:$X$122</c:f>
              <c:numCache>
                <c:formatCode>General</c:formatCode>
                <c:ptCount val="13"/>
                <c:pt idx="0">
                  <c:v>3</c:v>
                </c:pt>
                <c:pt idx="1">
                  <c:v>2</c:v>
                </c:pt>
                <c:pt idx="2">
                  <c:v>12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15</c:v>
                </c:pt>
                <c:pt idx="7">
                  <c:v>3</c:v>
                </c:pt>
                <c:pt idx="8">
                  <c:v>7</c:v>
                </c:pt>
                <c:pt idx="9">
                  <c:v>4</c:v>
                </c:pt>
                <c:pt idx="10">
                  <c:v>1</c:v>
                </c:pt>
                <c:pt idx="11">
                  <c:v>5</c:v>
                </c:pt>
                <c:pt idx="1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6-4884-8A9F-B04C31030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0533263"/>
        <c:axId val="2108775983"/>
        <c:axId val="0"/>
      </c:bar3DChart>
      <c:catAx>
        <c:axId val="132053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2108775983"/>
        <c:crosses val="autoZero"/>
        <c:auto val="1"/>
        <c:lblAlgn val="ctr"/>
        <c:lblOffset val="100"/>
        <c:noMultiLvlLbl val="0"/>
      </c:catAx>
      <c:valAx>
        <c:axId val="210877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053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87919339658375"/>
          <c:y val="0.4192601041167307"/>
          <c:w val="0.2011944101637623"/>
          <c:h val="0.417717165003591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[BASE_RECORRIDOS_PRO_JCA.xlsx]GRAFICAS!TablaDinámica6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TIEMPO SIN RECORRER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GRAFICAS!$B$169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GRAFICAS!$A$170:$A$185</c:f>
              <c:strCache>
                <c:ptCount val="15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  <c:pt idx="14">
                  <c:v>(en blanco)</c:v>
                </c:pt>
              </c:strCache>
            </c:strRef>
          </c:cat>
          <c:val>
            <c:numRef>
              <c:f>GRAFICAS!$B$170:$B$185</c:f>
              <c:numCache>
                <c:formatCode>h:mm:ss</c:formatCode>
                <c:ptCount val="15"/>
                <c:pt idx="0">
                  <c:v>0.30244212962962957</c:v>
                </c:pt>
                <c:pt idx="1">
                  <c:v>0.46855324074074078</c:v>
                </c:pt>
                <c:pt idx="2">
                  <c:v>1.5733333333333337</c:v>
                </c:pt>
                <c:pt idx="3">
                  <c:v>1.4687152777777779</c:v>
                </c:pt>
                <c:pt idx="4">
                  <c:v>0.18077546296296296</c:v>
                </c:pt>
                <c:pt idx="5">
                  <c:v>0.55533564814814818</c:v>
                </c:pt>
                <c:pt idx="6">
                  <c:v>0.49004629629629637</c:v>
                </c:pt>
                <c:pt idx="7">
                  <c:v>0.19089120370370369</c:v>
                </c:pt>
                <c:pt idx="8">
                  <c:v>3.0831365740740742</c:v>
                </c:pt>
                <c:pt idx="9">
                  <c:v>1.1536689814814813</c:v>
                </c:pt>
                <c:pt idx="10">
                  <c:v>0.83086805555555565</c:v>
                </c:pt>
                <c:pt idx="11">
                  <c:v>0.13722222222222222</c:v>
                </c:pt>
                <c:pt idx="12">
                  <c:v>0</c:v>
                </c:pt>
                <c:pt idx="13">
                  <c:v>0.73365740740740737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0-427F-914D-A24846257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6005599"/>
        <c:axId val="2108839343"/>
      </c:barChart>
      <c:catAx>
        <c:axId val="149600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2108839343"/>
        <c:crosses val="autoZero"/>
        <c:auto val="1"/>
        <c:lblAlgn val="ctr"/>
        <c:lblOffset val="100"/>
        <c:noMultiLvlLbl val="0"/>
      </c:catAx>
      <c:valAx>
        <c:axId val="210883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600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[BASE_RECORRIDOS_PRO_JCA.xlsx]GRAFICAS!TablaDinámica7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	CANTIDAD</a:t>
            </a:r>
            <a:r>
              <a:rPr lang="en-US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RECORRIDOS POR TECNICO</a:t>
            </a:r>
            <a:endParaRPr lang="en-US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6841999290150531"/>
          <c:y val="6.93865955614382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GRAFICAS!$AJ$107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GRAFICAS!$AI$108:$AI$122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GRAFICAS!$AJ$108:$AJ$122</c:f>
              <c:numCache>
                <c:formatCode>General</c:formatCode>
                <c:ptCount val="14"/>
                <c:pt idx="0">
                  <c:v>10</c:v>
                </c:pt>
                <c:pt idx="1">
                  <c:v>9</c:v>
                </c:pt>
                <c:pt idx="2">
                  <c:v>11</c:v>
                </c:pt>
                <c:pt idx="3">
                  <c:v>9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  <c:pt idx="10">
                  <c:v>7</c:v>
                </c:pt>
                <c:pt idx="11">
                  <c:v>10</c:v>
                </c:pt>
                <c:pt idx="12">
                  <c:v>8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F-4D84-B2E0-B59132004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7666095"/>
        <c:axId val="1102869711"/>
      </c:barChart>
      <c:catAx>
        <c:axId val="109766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102869711"/>
        <c:crosses val="autoZero"/>
        <c:auto val="1"/>
        <c:lblAlgn val="ctr"/>
        <c:lblOffset val="100"/>
        <c:noMultiLvlLbl val="0"/>
      </c:catAx>
      <c:valAx>
        <c:axId val="110286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766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[BASE_RECORRIDOS_PRO_JCA.xlsx]GRAFICAS!TablaDinámica2</c:name>
    <c:fmtId val="2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70C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70C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C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0070C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070C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281714785651791"/>
          <c:y val="0.34941382327209097"/>
          <c:w val="0.54858005249343833"/>
          <c:h val="0.32195756780402451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GRAFICAS!$B$57:$B$58</c:f>
              <c:strCache>
                <c:ptCount val="1"/>
                <c:pt idx="0">
                  <c:v>FIN CUMPLE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GRAFICAS!$A$59:$A$73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GRAFICAS!$B$59:$B$73</c:f>
              <c:numCache>
                <c:formatCode>General</c:formatCode>
                <c:ptCount val="14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4">
                  <c:v>10</c:v>
                </c:pt>
                <c:pt idx="5">
                  <c:v>3</c:v>
                </c:pt>
                <c:pt idx="6">
                  <c:v>7</c:v>
                </c:pt>
                <c:pt idx="7">
                  <c:v>9</c:v>
                </c:pt>
                <c:pt idx="9">
                  <c:v>7</c:v>
                </c:pt>
                <c:pt idx="10">
                  <c:v>2</c:v>
                </c:pt>
                <c:pt idx="11">
                  <c:v>11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A-4130-852A-6388F7AA7FAA}"/>
            </c:ext>
          </c:extLst>
        </c:ser>
        <c:ser>
          <c:idx val="1"/>
          <c:order val="1"/>
          <c:tx>
            <c:strRef>
              <c:f>GRAFICAS!$C$57:$C$58</c:f>
              <c:strCache>
                <c:ptCount val="1"/>
                <c:pt idx="0">
                  <c:v>TERMINÓ ANTES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GRAFICAS!$A$59:$A$73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GRAFICAS!$C$59:$C$73</c:f>
              <c:numCache>
                <c:formatCode>General</c:formatCode>
                <c:ptCount val="14"/>
                <c:pt idx="0">
                  <c:v>7</c:v>
                </c:pt>
                <c:pt idx="1">
                  <c:v>1</c:v>
                </c:pt>
                <c:pt idx="2">
                  <c:v>9</c:v>
                </c:pt>
                <c:pt idx="3">
                  <c:v>13</c:v>
                </c:pt>
                <c:pt idx="4">
                  <c:v>2</c:v>
                </c:pt>
                <c:pt idx="5">
                  <c:v>9</c:v>
                </c:pt>
                <c:pt idx="6">
                  <c:v>3</c:v>
                </c:pt>
                <c:pt idx="7">
                  <c:v>2</c:v>
                </c:pt>
                <c:pt idx="8">
                  <c:v>13</c:v>
                </c:pt>
                <c:pt idx="9">
                  <c:v>3</c:v>
                </c:pt>
                <c:pt idx="10">
                  <c:v>9</c:v>
                </c:pt>
                <c:pt idx="11">
                  <c:v>1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A-4130-852A-6388F7AA7FAA}"/>
            </c:ext>
          </c:extLst>
        </c:ser>
        <c:ser>
          <c:idx val="2"/>
          <c:order val="2"/>
          <c:tx>
            <c:strRef>
              <c:f>GRAFICAS!$D$57:$D$58</c:f>
              <c:strCache>
                <c:ptCount val="1"/>
                <c:pt idx="0">
                  <c:v>TERMINÓ DESPUÉS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GRAFICAS!$A$59:$A$73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GRAFICAS!$D$59:$D$73</c:f>
              <c:numCache>
                <c:formatCode>General</c:formatCode>
                <c:ptCount val="14"/>
                <c:pt idx="1">
                  <c:v>6</c:v>
                </c:pt>
                <c:pt idx="2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9">
                  <c:v>4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0A-4130-852A-6388F7AA7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0969312"/>
        <c:axId val="747955728"/>
        <c:axId val="0"/>
      </c:bar3DChart>
      <c:catAx>
        <c:axId val="78096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747955728"/>
        <c:crosses val="autoZero"/>
        <c:auto val="1"/>
        <c:lblAlgn val="ctr"/>
        <c:lblOffset val="100"/>
        <c:noMultiLvlLbl val="0"/>
      </c:catAx>
      <c:valAx>
        <c:axId val="74795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0969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8243069525068487"/>
          <c:y val="0.45023936756106925"/>
          <c:w val="0.21027003467632238"/>
          <c:h val="0.281422861710631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[BASE_RECORRIDOS_PRO_JCA.xlsx]GRAFICAS!TablaDinámica1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281714785651791"/>
          <c:y val="0.34941382327209097"/>
          <c:w val="0.54858005249343833"/>
          <c:h val="0.32195756780402451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GRAFICAS!$B$6:$B$7</c:f>
              <c:strCache>
                <c:ptCount val="1"/>
                <c:pt idx="0">
                  <c:v>INICIO ANTES DEL HORARIO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GRAFICAS!$A$8:$A$22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GRAFICAS!$B$8:$B$22</c:f>
              <c:numCache>
                <c:formatCode>General</c:formatCode>
                <c:ptCount val="14"/>
                <c:pt idx="0">
                  <c:v>8</c:v>
                </c:pt>
                <c:pt idx="1">
                  <c:v>10</c:v>
                </c:pt>
                <c:pt idx="2">
                  <c:v>1</c:v>
                </c:pt>
                <c:pt idx="3">
                  <c:v>1</c:v>
                </c:pt>
                <c:pt idx="4">
                  <c:v>7</c:v>
                </c:pt>
                <c:pt idx="6">
                  <c:v>1</c:v>
                </c:pt>
                <c:pt idx="7">
                  <c:v>8</c:v>
                </c:pt>
                <c:pt idx="8">
                  <c:v>3</c:v>
                </c:pt>
                <c:pt idx="9">
                  <c:v>6</c:v>
                </c:pt>
                <c:pt idx="10">
                  <c:v>8</c:v>
                </c:pt>
                <c:pt idx="11">
                  <c:v>1</c:v>
                </c:pt>
                <c:pt idx="12">
                  <c:v>12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B-4254-A995-7FABCB29CD99}"/>
            </c:ext>
          </c:extLst>
        </c:ser>
        <c:ser>
          <c:idx val="1"/>
          <c:order val="1"/>
          <c:tx>
            <c:strRef>
              <c:f>GRAFICAS!$C$6:$C$7</c:f>
              <c:strCache>
                <c:ptCount val="1"/>
                <c:pt idx="0">
                  <c:v>INICIO CUMPLE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GRAFICAS!$A$8:$A$22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GRAFICAS!$C$8:$C$22</c:f>
              <c:numCache>
                <c:formatCode>General</c:formatCode>
                <c:ptCount val="14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11</c:v>
                </c:pt>
                <c:pt idx="4">
                  <c:v>2</c:v>
                </c:pt>
                <c:pt idx="5">
                  <c:v>11</c:v>
                </c:pt>
                <c:pt idx="6">
                  <c:v>2</c:v>
                </c:pt>
                <c:pt idx="7">
                  <c:v>1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10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3B-4254-A995-7FABCB29CD99}"/>
            </c:ext>
          </c:extLst>
        </c:ser>
        <c:ser>
          <c:idx val="2"/>
          <c:order val="2"/>
          <c:tx>
            <c:strRef>
              <c:f>GRAFICAS!$D$6:$D$7</c:f>
              <c:strCache>
                <c:ptCount val="1"/>
                <c:pt idx="0">
                  <c:v>INICIO TARDÍO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GRAFICAS!$A$8:$A$22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GRAFICAS!$D$8:$D$22</c:f>
              <c:numCache>
                <c:formatCode>General</c:formatCode>
                <c:ptCount val="14"/>
                <c:pt idx="0">
                  <c:v>2</c:v>
                </c:pt>
                <c:pt idx="1">
                  <c:v>1</c:v>
                </c:pt>
                <c:pt idx="2">
                  <c:v>9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10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3B-4254-A995-7FABCB29C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0969312"/>
        <c:axId val="747955728"/>
        <c:axId val="0"/>
      </c:bar3DChart>
      <c:catAx>
        <c:axId val="78096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7955728"/>
        <c:crosses val="autoZero"/>
        <c:auto val="1"/>
        <c:lblAlgn val="ctr"/>
        <c:lblOffset val="100"/>
        <c:noMultiLvlLbl val="0"/>
      </c:catAx>
      <c:valAx>
        <c:axId val="74795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096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13971057671842"/>
          <c:y val="0.38732270341207348"/>
          <c:w val="0.29410353266652478"/>
          <c:h val="0.3853544619422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[BASE_RECORRIDOS_PRO_JCA.xlsx]GRAFICAS!TablaDinámica3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9139791883556457"/>
          <c:y val="8.8235698286405304E-2"/>
          <c:w val="0.4404320688964159"/>
          <c:h val="0.8712786687004439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GRAFICAS!$B$107:$B$108</c:f>
              <c:strCache>
                <c:ptCount val="1"/>
                <c:pt idx="0">
                  <c:v>DIURNO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GRAFICAS!$A$109:$A$123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GRAFICAS!$B$109:$B$123</c:f>
              <c:numCache>
                <c:formatCode>General</c:formatCode>
                <c:ptCount val="14"/>
                <c:pt idx="0">
                  <c:v>606.1869999999999</c:v>
                </c:pt>
                <c:pt idx="2">
                  <c:v>399.06900000000002</c:v>
                </c:pt>
                <c:pt idx="3">
                  <c:v>722.3309999999999</c:v>
                </c:pt>
                <c:pt idx="5">
                  <c:v>469.54300000000001</c:v>
                </c:pt>
                <c:pt idx="6">
                  <c:v>684.553</c:v>
                </c:pt>
                <c:pt idx="8">
                  <c:v>492.46</c:v>
                </c:pt>
                <c:pt idx="9">
                  <c:v>1062.953</c:v>
                </c:pt>
                <c:pt idx="11">
                  <c:v>522.69000000000005</c:v>
                </c:pt>
                <c:pt idx="13">
                  <c:v>377.77300000000008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B-4A9D-92E3-8882CBEA3C31}"/>
            </c:ext>
          </c:extLst>
        </c:ser>
        <c:ser>
          <c:idx val="1"/>
          <c:order val="1"/>
          <c:tx>
            <c:strRef>
              <c:f>GRAFICAS!$C$107:$C$108</c:f>
              <c:strCache>
                <c:ptCount val="1"/>
                <c:pt idx="0">
                  <c:v>NOCTURNO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GRAFICAS!$A$109:$A$123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GRAFICAS!$C$109:$C$123</c:f>
              <c:numCache>
                <c:formatCode>General</c:formatCode>
                <c:ptCount val="14"/>
                <c:pt idx="1">
                  <c:v>629.04100000000005</c:v>
                </c:pt>
                <c:pt idx="2">
                  <c:v>165.02199999999999</c:v>
                </c:pt>
                <c:pt idx="4">
                  <c:v>399.66999999999996</c:v>
                </c:pt>
                <c:pt idx="7">
                  <c:v>919.75</c:v>
                </c:pt>
                <c:pt idx="10">
                  <c:v>394.79400000000004</c:v>
                </c:pt>
                <c:pt idx="11">
                  <c:v>45.506</c:v>
                </c:pt>
                <c:pt idx="12">
                  <c:v>646.245</c:v>
                </c:pt>
                <c:pt idx="13">
                  <c:v>46.487000000000002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2B-4A9D-92E3-8882CBEA3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1050048"/>
        <c:axId val="747958608"/>
        <c:axId val="0"/>
      </c:bar3DChart>
      <c:catAx>
        <c:axId val="781050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747958608"/>
        <c:crosses val="autoZero"/>
        <c:auto val="1"/>
        <c:lblAlgn val="ctr"/>
        <c:lblOffset val="100"/>
        <c:noMultiLvlLbl val="0"/>
      </c:catAx>
      <c:valAx>
        <c:axId val="74795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105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75832978978185"/>
          <c:y val="0.492390237869481"/>
          <c:w val="0.15241670210218136"/>
          <c:h val="0.162791908864795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[BASE_RECORRIDOS_PRO_JCA.xlsx]GRAFICAS!TablaDinámica7</c:name>
    <c:fmtId val="5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	CANTIDAD</a:t>
            </a:r>
            <a:r>
              <a:rPr lang="en-US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RECORRIDOS POR TECNICO</a:t>
            </a:r>
            <a:endParaRPr lang="en-US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6841999290150531"/>
          <c:y val="6.93865955614382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935768684652123E-2"/>
          <c:y val="0.14196266102779556"/>
          <c:w val="0.87032110494384918"/>
          <c:h val="0.6376441390055924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GRAFICAS!$AJ$107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GRAFICAS!$AI$108:$AI$122</c:f>
              <c:strCache>
                <c:ptCount val="14"/>
                <c:pt idx="0">
                  <c:v>Alberto Ramos</c:v>
                </c:pt>
                <c:pt idx="1">
                  <c:v>Davison Alonso Vélez</c:v>
                </c:pt>
                <c:pt idx="2">
                  <c:v>Duván Andres Ramos</c:v>
                </c:pt>
                <c:pt idx="3">
                  <c:v>Hugo Cesar Caceres</c:v>
                </c:pt>
                <c:pt idx="4">
                  <c:v>Iván Andrés Quintana Vélez</c:v>
                </c:pt>
                <c:pt idx="5">
                  <c:v>Johan Steven Jaramillo</c:v>
                </c:pt>
                <c:pt idx="6">
                  <c:v>John Alexander Ortiz</c:v>
                </c:pt>
                <c:pt idx="7">
                  <c:v>John Alexander Porras</c:v>
                </c:pt>
                <c:pt idx="8">
                  <c:v>Johnatan Alexis Alvarez Florez</c:v>
                </c:pt>
                <c:pt idx="9">
                  <c:v>Jorge Alberto Zapata Vásquez</c:v>
                </c:pt>
                <c:pt idx="10">
                  <c:v>Jose David Patiño</c:v>
                </c:pt>
                <c:pt idx="11">
                  <c:v>Julian Oritz</c:v>
                </c:pt>
                <c:pt idx="12">
                  <c:v>Lácides Manuel Acevedo Márquez</c:v>
                </c:pt>
                <c:pt idx="13">
                  <c:v>Yeiner Alejandro López</c:v>
                </c:pt>
              </c:strCache>
            </c:strRef>
          </c:cat>
          <c:val>
            <c:numRef>
              <c:f>GRAFICAS!$AJ$108:$AJ$122</c:f>
              <c:numCache>
                <c:formatCode>General</c:formatCode>
                <c:ptCount val="14"/>
                <c:pt idx="0">
                  <c:v>10</c:v>
                </c:pt>
                <c:pt idx="1">
                  <c:v>9</c:v>
                </c:pt>
                <c:pt idx="2">
                  <c:v>11</c:v>
                </c:pt>
                <c:pt idx="3">
                  <c:v>9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  <c:pt idx="10">
                  <c:v>7</c:v>
                </c:pt>
                <c:pt idx="11">
                  <c:v>10</c:v>
                </c:pt>
                <c:pt idx="12">
                  <c:v>8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8-4B99-9A40-DEC5461B7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7666095"/>
        <c:axId val="1102869711"/>
      </c:barChart>
      <c:catAx>
        <c:axId val="109766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102869711"/>
        <c:crosses val="autoZero"/>
        <c:auto val="1"/>
        <c:lblAlgn val="ctr"/>
        <c:lblOffset val="100"/>
        <c:noMultiLvlLbl val="0"/>
      </c:catAx>
      <c:valAx>
        <c:axId val="110286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766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33336</xdr:rowOff>
    </xdr:from>
    <xdr:to>
      <xdr:col>6</xdr:col>
      <xdr:colOff>38100</xdr:colOff>
      <xdr:row>45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1F3DA0-19F8-86E0-B917-6040F6014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371475</xdr:colOff>
      <xdr:row>75</xdr:row>
      <xdr:rowOff>138111</xdr:rowOff>
    </xdr:from>
    <xdr:to>
      <xdr:col>7</xdr:col>
      <xdr:colOff>911532</xdr:colOff>
      <xdr:row>96</xdr:row>
      <xdr:rowOff>112662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58B2DD-BADE-FEB7-174E-46012320C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171448</xdr:colOff>
      <xdr:row>124</xdr:row>
      <xdr:rowOff>42861</xdr:rowOff>
    </xdr:from>
    <xdr:to>
      <xdr:col>6</xdr:col>
      <xdr:colOff>581024</xdr:colOff>
      <xdr:row>148</xdr:row>
      <xdr:rowOff>28574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0F7598-D0BD-8577-BD91-6118B8B9D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972909</xdr:colOff>
      <xdr:row>125</xdr:row>
      <xdr:rowOff>16328</xdr:rowOff>
    </xdr:from>
    <xdr:to>
      <xdr:col>15</xdr:col>
      <xdr:colOff>762000</xdr:colOff>
      <xdr:row>151</xdr:row>
      <xdr:rowOff>27214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F6C27C3-6FA2-953C-9D4F-2B875318E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115659</xdr:colOff>
      <xdr:row>124</xdr:row>
      <xdr:rowOff>29935</xdr:rowOff>
    </xdr:from>
    <xdr:to>
      <xdr:col>27</xdr:col>
      <xdr:colOff>1047750</xdr:colOff>
      <xdr:row>149</xdr:row>
      <xdr:rowOff>163286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77E3202-18D0-D570-6EAB-B6383CAD0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394605</xdr:colOff>
      <xdr:row>168</xdr:row>
      <xdr:rowOff>43542</xdr:rowOff>
    </xdr:from>
    <xdr:to>
      <xdr:col>15</xdr:col>
      <xdr:colOff>557892</xdr:colOff>
      <xdr:row>191</xdr:row>
      <xdr:rowOff>122464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241376D-9670-07DC-009C-D1B903B54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20410</xdr:colOff>
      <xdr:row>123</xdr:row>
      <xdr:rowOff>138792</xdr:rowOff>
    </xdr:from>
    <xdr:to>
      <xdr:col>37</xdr:col>
      <xdr:colOff>979714</xdr:colOff>
      <xdr:row>148</xdr:row>
      <xdr:rowOff>54429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A0D946EA-AC72-A4D2-83C8-AB7C71EA5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0.26667</cdr:x>
      <cdr:y>0.06302</cdr:y>
    </cdr:from>
    <cdr:to>
      <cdr:x>0.85897</cdr:x>
      <cdr:y>0.20571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91344E24-C900-CE1F-461F-7903905EEFD6}"/>
            </a:ext>
          </a:extLst>
        </cdr:cNvPr>
        <cdr:cNvSpPr txBox="1"/>
      </cdr:nvSpPr>
      <cdr:spPr>
        <a:xfrm xmlns:a="http://schemas.openxmlformats.org/drawingml/2006/main">
          <a:off x="1981200" y="252414"/>
          <a:ext cx="4400550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 kern="1200"/>
            <a:t>Cantidad</a:t>
          </a:r>
          <a:r>
            <a:rPr lang="es-CO" sz="1100" kern="1200" baseline="0"/>
            <a:t> y estados en inicio de recorridos diurno y nocturno</a:t>
          </a:r>
          <a:endParaRPr lang="es-CO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0.26667</cdr:x>
      <cdr:y>0.06302</cdr:y>
    </cdr:from>
    <cdr:to>
      <cdr:x>0.85897</cdr:x>
      <cdr:y>0.20571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91344E24-C900-CE1F-461F-7903905EEFD6}"/>
            </a:ext>
          </a:extLst>
        </cdr:cNvPr>
        <cdr:cNvSpPr txBox="1"/>
      </cdr:nvSpPr>
      <cdr:spPr>
        <a:xfrm xmlns:a="http://schemas.openxmlformats.org/drawingml/2006/main">
          <a:off x="1981200" y="252414"/>
          <a:ext cx="4400550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 kern="1200"/>
            <a:t>Cantidad</a:t>
          </a:r>
          <a:r>
            <a:rPr lang="es-CO" sz="1100" kern="1200" baseline="0"/>
            <a:t> y estados en FINAL de recorridos diurno y nocturno</a:t>
          </a:r>
          <a:endParaRPr lang="es-CO" sz="11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476250</xdr:colOff>
      <xdr:row>16</xdr:row>
      <xdr:rowOff>19050</xdr:rowOff>
    </xdr:from>
    <xdr:to>
      <xdr:col>36</xdr:col>
      <xdr:colOff>552450</xdr:colOff>
      <xdr:row>57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D6FF42-F0D6-47FB-8971-D39B958F4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94374</xdr:colOff>
      <xdr:row>9</xdr:row>
      <xdr:rowOff>31969</xdr:rowOff>
    </xdr:from>
    <xdr:to>
      <xdr:col>15</xdr:col>
      <xdr:colOff>437274</xdr:colOff>
      <xdr:row>49</xdr:row>
      <xdr:rowOff>31968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6A9B9F-9BD7-487E-8B61-8E3F8C1F1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857250</xdr:colOff>
      <xdr:row>57</xdr:row>
      <xdr:rowOff>57149</xdr:rowOff>
    </xdr:from>
    <xdr:to>
      <xdr:col>22</xdr:col>
      <xdr:colOff>495300</xdr:colOff>
      <xdr:row>99</xdr:row>
      <xdr:rowOff>71436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0248CDA-D947-4E49-B0E4-FEA013086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381000</xdr:colOff>
      <xdr:row>60</xdr:row>
      <xdr:rowOff>127000</xdr:rowOff>
    </xdr:from>
    <xdr:to>
      <xdr:col>43</xdr:col>
      <xdr:colOff>222250</xdr:colOff>
      <xdr:row>108</xdr:row>
      <xdr:rowOff>31750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CDFAE19-8454-4B3C-BE5B-07CD0D431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0.1078</cdr:x>
      <cdr:y>0.03797</cdr:y>
    </cdr:from>
    <cdr:to>
      <cdr:x>0.9633</cdr:x>
      <cdr:y>0.31013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91344E24-C900-CE1F-461F-7903905EEFD6}"/>
            </a:ext>
          </a:extLst>
        </cdr:cNvPr>
        <cdr:cNvSpPr txBox="1"/>
      </cdr:nvSpPr>
      <cdr:spPr>
        <a:xfrm xmlns:a="http://schemas.openxmlformats.org/drawingml/2006/main">
          <a:off x="895350" y="228600"/>
          <a:ext cx="7105650" cy="1638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s-CO" sz="3600" b="1" kern="1200">
              <a:latin typeface="Arial" panose="020B0604020202020204" pitchFamily="34" charset="0"/>
              <a:cs typeface="Arial" panose="020B0604020202020204" pitchFamily="34" charset="0"/>
            </a:rPr>
            <a:t>Cantidad</a:t>
          </a:r>
          <a:r>
            <a:rPr lang="es-CO" sz="3600" b="1" kern="1200" baseline="0">
              <a:latin typeface="Arial" panose="020B0604020202020204" pitchFamily="34" charset="0"/>
              <a:cs typeface="Arial" panose="020B0604020202020204" pitchFamily="34" charset="0"/>
            </a:rPr>
            <a:t> y estados en FINAL de recorridos diurno y nocturno</a:t>
          </a:r>
          <a:endParaRPr lang="es-CO" sz="3600" b="1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0.125</cdr:x>
      <cdr:y>0.04421</cdr:y>
    </cdr:from>
    <cdr:to>
      <cdr:x>0.93966</cdr:x>
      <cdr:y>0.29467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91344E24-C900-CE1F-461F-7903905EEFD6}"/>
            </a:ext>
          </a:extLst>
        </cdr:cNvPr>
        <cdr:cNvSpPr txBox="1"/>
      </cdr:nvSpPr>
      <cdr:spPr>
        <a:xfrm xmlns:a="http://schemas.openxmlformats.org/drawingml/2006/main">
          <a:off x="1104900" y="268668"/>
          <a:ext cx="7200899" cy="152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s-CO" sz="3600" b="1" kern="1200">
              <a:latin typeface="Arial" panose="020B0604020202020204" pitchFamily="34" charset="0"/>
              <a:cs typeface="Arial" panose="020B0604020202020204" pitchFamily="34" charset="0"/>
            </a:rPr>
            <a:t>Cantidad</a:t>
          </a:r>
          <a:r>
            <a:rPr lang="es-CO" sz="3600" b="1" kern="1200" baseline="0">
              <a:latin typeface="Arial" panose="020B0604020202020204" pitchFamily="34" charset="0"/>
              <a:cs typeface="Arial" panose="020B0604020202020204" pitchFamily="34" charset="0"/>
            </a:rPr>
            <a:t> y estados en inicio de recorridos diurno y nocturno</a:t>
          </a:r>
          <a:endParaRPr lang="es-CO" sz="3600" b="1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3.41988645833" createdVersion="8" refreshedVersion="8" minRefreshableVersion="3" recordCount="272" xr:uid="{FDEF9B37-15CF-42E8-BC5E-E1CE4649CF2B}">
  <cacheSource type="worksheet">
    <worksheetSource ref="A1:AM543" sheet="RECORRIDOS"/>
  </cacheSource>
  <cacheFields count="43">
    <cacheField name="ID" numFmtId="0">
      <sharedItems containsBlank="1" containsMixedTypes="1" containsNumber="1" containsInteger="1" minValue="0" maxValue="1"/>
    </cacheField>
    <cacheField name="Archivo" numFmtId="0">
      <sharedItems containsBlank="1"/>
    </cacheField>
    <cacheField name="Hash SHA256" numFmtId="0">
      <sharedItems containsBlank="1"/>
    </cacheField>
    <cacheField name="Fecha" numFmtId="0">
      <sharedItems containsBlank="1" count="24">
        <s v="01/09/2026"/>
        <s v="02/09/2026"/>
        <s v="03/09/2026"/>
        <s v="04/09/2026"/>
        <s v="05/09/2026"/>
        <s v="07/09/2026"/>
        <s v="08/09/2026"/>
        <s v="09/09/2026"/>
        <s v="10/09/2026"/>
        <s v="11/09/2026"/>
        <s v="12/09/2026"/>
        <s v="14/09/2026"/>
        <s v="15/09/2026"/>
        <s v="16/09/2026"/>
        <s v="17/09/2026"/>
        <s v="18/09/2026"/>
        <s v="19/09/2026"/>
        <s v="21/09/2026"/>
        <s v="22/09/2026"/>
        <s v="23/09/2026"/>
        <s v="24/09/2026"/>
        <s v="25/09/2026"/>
        <s v="26/09/2026"/>
        <m/>
      </sharedItems>
    </cacheField>
    <cacheField name="Año-Mes" numFmtId="0">
      <sharedItems containsBlank="1" count="2">
        <s v="2026-09"/>
        <m/>
      </sharedItems>
    </cacheField>
    <cacheField name="Día" numFmtId="0">
      <sharedItems containsBlank="1"/>
    </cacheField>
    <cacheField name="Técnico" numFmtId="0">
      <sharedItems containsBlank="1" count="15">
        <s v="John Alexander Ortiz"/>
        <s v="Alberto Ramos"/>
        <s v="Hugo Cesar Caceres"/>
        <s v="Johnatan Alexis Alvarez Florez"/>
        <s v="Julian Oritz"/>
        <s v="Jorge Alberto Zapata Vásquez"/>
        <s v="Johan Steven Jaramillo"/>
        <s v="Yeiner Alejandro López"/>
        <s v="Duván Andres Ramos"/>
        <s v="Davison Alonso Vélez"/>
        <s v="Iván Andrés Quintana Vélez"/>
        <s v="John Alexander Porras"/>
        <s v="Jose David Patiño"/>
        <s v="Lácides Manuel Acevedo Márquez"/>
        <m/>
      </sharedItems>
    </cacheField>
    <cacheField name="Iniciales" numFmtId="0">
      <sharedItems containsBlank="1"/>
    </cacheField>
    <cacheField name="Turno" numFmtId="0">
      <sharedItems containsBlank="1"/>
    </cacheField>
    <cacheField name="Puntos GPS" numFmtId="0">
      <sharedItems containsString="0" containsBlank="1" containsNumber="1" containsInteger="1" minValue="336" maxValue="12439"/>
    </cacheField>
    <cacheField name="Inicio Colombia" numFmtId="0">
      <sharedItems containsDate="1" containsBlank="1" containsMixedTypes="1" minDate="2026-09-02T08:29:19" maxDate="2026-09-08T08:30:00"/>
    </cacheField>
    <cacheField name="Inicio programado" numFmtId="0">
      <sharedItems containsBlank="1"/>
    </cacheField>
    <cacheField name="Diferencia inicio" numFmtId="0">
      <sharedItems containsNonDate="0" containsDate="1" containsString="0" containsBlank="1" minDate="1899-12-30T00:00:00" maxDate="1899-12-30T08:02:09"/>
    </cacheField>
    <cacheField name="Estado inicio" numFmtId="0">
      <sharedItems containsBlank="1"/>
    </cacheField>
    <cacheField name="Fin Colombia" numFmtId="0">
      <sharedItems containsDate="1" containsBlank="1" containsMixedTypes="1" minDate="2026-09-02T14:43:56" maxDate="2026-09-08T14:00:19"/>
    </cacheField>
    <cacheField name="Fin programado" numFmtId="0">
      <sharedItems containsBlank="1"/>
    </cacheField>
    <cacheField name="Diferencia fin" numFmtId="0">
      <sharedItems containsNonDate="0" containsDate="1" containsString="0" containsBlank="1" minDate="1899-12-30T00:00:08" maxDate="1899-12-30T07:33:33"/>
    </cacheField>
    <cacheField name="Estado fin" numFmtId="0">
      <sharedItems containsBlank="1"/>
    </cacheField>
    <cacheField name="Duración" numFmtId="0">
      <sharedItems containsNonDate="0" containsDate="1" containsString="0" containsBlank="1" minDate="1899-12-30T00:41:09" maxDate="1899-12-30T10:30:36"/>
    </cacheField>
    <cacheField name="Kilómetros" numFmtId="0">
      <sharedItems containsString="0" containsBlank="1" containsNumber="1" minValue="3.5720000000000001" maxValue="124.512"/>
    </cacheField>
    <cacheField name="Velocidad promedio (km/h)" numFmtId="0">
      <sharedItems containsString="0" containsBlank="1" containsNumber="1" minValue="1.71" maxValue="261"/>
    </cacheField>
    <cacheField name="Tiempo movimiento" numFmtId="0">
      <sharedItems containsNonDate="0" containsDate="1" containsString="0" containsBlank="1" minDate="1899-12-30T00:38:50" maxDate="1899-12-30T08:43:41"/>
    </cacheField>
    <cacheField name="Movimiento lento" numFmtId="0">
      <sharedItems containsNonDate="0" containsDate="1" containsString="0" containsBlank="1" minDate="1899-12-30T00:06:44" maxDate="1899-12-30T07:02:05"/>
    </cacheField>
    <cacheField name="Tiempo permanencias" numFmtId="0">
      <sharedItems containsNonDate="0" containsDate="1" containsString="0" containsBlank="1" minDate="1899-12-30T00:00:00" maxDate="1899-12-31T00:00:00"/>
    </cacheField>
    <cacheField name="Paradas &gt;=10 min" numFmtId="0">
      <sharedItems containsString="0" containsBlank="1" containsNumber="1" containsInteger="1" minValue="0" maxValue="1"/>
    </cacheField>
    <cacheField name="Paradas &gt;=15 min" numFmtId="0">
      <sharedItems containsString="0" containsBlank="1" containsNumber="1" containsInteger="1" minValue="0" maxValue="1"/>
    </cacheField>
    <cacheField name="Paradas &gt;=30 min" numFmtId="0">
      <sharedItems containsString="0" containsBlank="1" containsNumber="1" containsInteger="1" minValue="0" maxValue="1"/>
    </cacheField>
    <cacheField name="Paradas &gt;=40 min" numFmtId="0">
      <sharedItems containsString="0" containsBlank="1" containsNumber="1" containsInteger="1" minValue="0" maxValue="1"/>
    </cacheField>
    <cacheField name="Paradas &gt;=60 min" numFmtId="0">
      <sharedItems containsString="0" containsBlank="1" containsNumber="1" containsInteger="1" minValue="0" maxValue="1"/>
    </cacheField>
    <cacheField name="Huecos GPS &gt;=10 min" numFmtId="0">
      <sharedItems containsString="0" containsBlank="1" containsNumber="1" containsInteger="1" minValue="0" maxValue="14"/>
    </cacheField>
    <cacheField name="Estado recorrido" numFmtId="0">
      <sharedItems containsBlank="1"/>
    </cacheField>
    <cacheField name="Observaciones" numFmtId="0">
      <sharedItems containsBlank="1" longText="1"/>
    </cacheField>
    <cacheField name="Coordenada inicio recorrido" numFmtId="0">
      <sharedItems containsBlank="1"/>
    </cacheField>
    <cacheField name="Latitud inicio" numFmtId="0">
      <sharedItems containsString="0" containsBlank="1" containsNumber="1" minValue="6.1641009999999996" maxValue="10.979990000000001"/>
    </cacheField>
    <cacheField name="Longitud inicio" numFmtId="0">
      <sharedItems containsString="0" containsBlank="1" containsNumber="1" minValue="-75.637045999999998" maxValue="-74.803664999999995"/>
    </cacheField>
    <cacheField name="Coordenada fin recorrido" numFmtId="0">
      <sharedItems containsBlank="1"/>
    </cacheField>
    <cacheField name="Latitud fin" numFmtId="0">
      <sharedItems containsString="0" containsBlank="1" containsNumber="1" minValue="6.196637" maxValue="6.3234539999999999"/>
    </cacheField>
    <cacheField name="Longitud fin" numFmtId="0">
      <sharedItems containsString="0" containsBlank="1" containsNumber="1" minValue="-75.687256000000005" maxValue="-75.497533000000004"/>
    </cacheField>
    <cacheField name="Sumatoria de tiempo total sin recorrido" numFmtId="21">
      <sharedItems containsNonDate="0" containsDate="1" containsString="0" containsBlank="1" minDate="1899-12-30T00:00:00" maxDate="1899-12-30T08:02:09" count="152">
        <d v="1899-12-30T01:08:50"/>
        <d v="1899-12-30T02:16:18"/>
        <d v="1899-12-30T01:46:04"/>
        <d v="1899-12-30T05:00:37"/>
        <d v="1899-12-30T00:00:00"/>
        <d v="1899-12-30T02:53:06"/>
        <d v="1899-12-30T00:16:27"/>
        <d v="1899-12-30T00:20:48"/>
        <d v="1899-12-30T01:50:29"/>
        <d v="1899-12-30T00:38:12"/>
        <d v="1899-12-30T01:32:34"/>
        <d v="1899-12-30T00:32:15"/>
        <d v="1899-12-30T04:20:02"/>
        <d v="1899-12-30T00:25:02"/>
        <d v="1899-12-30T00:22:47"/>
        <d v="1899-12-30T01:41:27"/>
        <d v="1899-12-30T02:17:18"/>
        <d v="1899-12-30T01:57:29"/>
        <d v="1899-12-30T00:22:51"/>
        <d v="1899-12-30T03:44:30"/>
        <d v="1899-12-30T07:33:33"/>
        <d v="1899-12-30T02:55:33"/>
        <d v="1899-12-30T01:42:22"/>
        <d v="1899-12-30T05:30:35"/>
        <d v="1899-12-30T00:32:12"/>
        <d v="1899-12-30T00:17:45"/>
        <d v="1899-12-30T01:40:02"/>
        <d v="1899-12-30T00:30:47"/>
        <d v="1899-12-30T01:43:31"/>
        <d v="1899-12-30T05:33:04"/>
        <d v="1899-12-30T02:02:53"/>
        <d v="1899-12-30T03:05:32"/>
        <d v="1899-12-30T01:12:13"/>
        <d v="1899-12-30T01:47:44"/>
        <d v="1899-12-30T00:48:33"/>
        <d v="1899-12-30T03:47:41"/>
        <d v="1899-12-30T01:13:08"/>
        <d v="1899-12-30T03:13:54"/>
        <d v="1899-12-30T01:05:43"/>
        <d v="1899-12-30T00:44:01"/>
        <d v="1899-12-30T01:20:32"/>
        <d v="1899-12-30T00:58:05"/>
        <d v="1899-12-30T02:40:17"/>
        <d v="1899-12-30T04:05:30"/>
        <d v="1899-12-30T01:16:17"/>
        <d v="1899-12-30T00:17:01"/>
        <d v="1899-12-30T02:29:41"/>
        <d v="1899-12-30T00:44:08"/>
        <d v="1899-12-30T00:26:56"/>
        <d v="1899-12-30T00:24:34"/>
        <d v="1899-12-30T01:40:47"/>
        <d v="1899-12-30T04:30:23"/>
        <d v="1899-12-30T01:10:12"/>
        <d v="1899-12-30T02:40:12"/>
        <d v="1899-12-30T02:20:43"/>
        <d v="1899-12-30T00:58:33"/>
        <d v="1899-12-30T01:00:23"/>
        <d v="1899-12-30T01:10:52"/>
        <d v="1899-12-30T01:19:27"/>
        <d v="1899-12-30T04:30:04"/>
        <d v="1899-12-30T00:41:16"/>
        <d v="1899-12-30T00:59:24"/>
        <d v="1899-12-30T02:57:18"/>
        <d v="1899-12-30T02:48:55"/>
        <d v="1899-12-30T00:38:21"/>
        <d v="1899-12-30T00:27:02"/>
        <d v="1899-12-30T03:06:25"/>
        <d v="1899-12-30T02:12:03"/>
        <d v="1899-12-30T05:21:00"/>
        <d v="1899-12-30T00:47:49"/>
        <d v="1899-12-30T00:20:17"/>
        <d v="1899-12-30T00:19:52"/>
        <d v="1899-12-30T00:29:20"/>
        <d v="1899-12-30T01:25:50"/>
        <d v="1899-12-30T02:25:15"/>
        <d v="1899-12-30T00:42:36"/>
        <d v="1899-12-30T00:18:38"/>
        <d v="1899-12-30T03:33:04"/>
        <d v="1899-12-30T00:20:53"/>
        <d v="1899-12-30T00:37:41"/>
        <d v="1899-12-30T00:15:57"/>
        <d v="1899-12-30T00:32:58"/>
        <d v="1899-12-30T02:14:27"/>
        <d v="1899-12-30T04:56:59"/>
        <d v="1899-12-30T02:18:15"/>
        <d v="1899-12-30T00:33:30"/>
        <d v="1899-12-30T02:16:20"/>
        <d v="1899-12-30T02:23:15"/>
        <d v="1899-12-30T03:21:49"/>
        <d v="1899-12-30T04:40:10"/>
        <d v="1899-12-30T00:42:46"/>
        <d v="1899-12-30T02:13:37"/>
        <d v="1899-12-30T00:40:50"/>
        <d v="1899-12-30T00:45:53"/>
        <d v="1899-12-30T00:54:01"/>
        <d v="1899-12-30T00:55:00"/>
        <d v="1899-12-30T08:02:09"/>
        <d v="1899-12-30T00:28:44"/>
        <d v="1899-12-30T03:38:08"/>
        <d v="1899-12-30T00:34:21"/>
        <d v="1899-12-30T02:34:09"/>
        <d v="1899-12-30T00:37:36"/>
        <d v="1899-12-30T00:53:16"/>
        <d v="1899-12-30T00:32:13"/>
        <d v="1899-12-30T02:39:14"/>
        <d v="1899-12-30T00:17:08"/>
        <d v="1899-12-30T03:54:56"/>
        <d v="1899-12-30T00:16:28"/>
        <d v="1899-12-30T01:11:56"/>
        <d v="1899-12-30T00:31:10"/>
        <d v="1899-12-30T00:17:14"/>
        <d v="1899-12-30T02:35:31"/>
        <d v="1899-12-30T00:52:05"/>
        <d v="1899-12-30T04:19:51"/>
        <d v="1899-12-30T00:15:25"/>
        <d v="1899-12-30T00:23:21"/>
        <d v="1899-12-30T00:49:43"/>
        <d v="1899-12-30T01:18:43"/>
        <d v="1899-12-30T01:56:47"/>
        <d v="1899-12-30T04:25:34"/>
        <d v="1899-12-30T00:22:04"/>
        <d v="1899-12-30T00:23:20"/>
        <d v="1899-12-30T02:19:18"/>
        <d v="1899-12-30T01:06:21"/>
        <d v="1899-12-30T02:21:05"/>
        <d v="1899-12-30T03:07:41"/>
        <d v="1899-12-30T00:15:31"/>
        <d v="1899-12-30T01:52:54"/>
        <d v="1899-12-30T00:47:03"/>
        <d v="1899-12-30T00:18:49"/>
        <d v="1899-12-30T00:21:52"/>
        <d v="1899-12-30T02:12:10"/>
        <d v="1899-12-30T00:15:49"/>
        <d v="1899-12-30T00:25:17"/>
        <d v="1899-12-30T00:19:21"/>
        <d v="1899-12-30T00:20:57"/>
        <d v="1899-12-30T02:18:56"/>
        <d v="1899-12-30T01:35:18"/>
        <d v="1899-12-30T00:38:45"/>
        <d v="1899-12-30T03:42:09"/>
        <d v="1899-12-30T04:15:03"/>
        <d v="1899-12-30T00:23:59"/>
        <d v="1899-12-30T01:01:44"/>
        <d v="1899-12-30T01:08:28"/>
        <d v="1899-12-30T00:47:32"/>
        <d v="1899-12-30T02:01:34"/>
        <d v="1899-12-30T01:30:35"/>
        <d v="1899-12-30T03:05:02"/>
        <d v="1899-12-30T01:20:49"/>
        <d v="1899-12-30T00:52:22"/>
        <d v="1899-12-30T00:50:19"/>
        <m/>
      </sharedItems>
      <fieldGroup par="42"/>
    </cacheField>
    <cacheField name="Segundos (Sumatoria de tiempo total sin recorrido)" numFmtId="0" databaseField="0">
      <fieldGroup base="38">
        <rangePr groupBy="seconds" startDate="1899-12-30T00:00:00" endDate="1899-12-30T08:02:09"/>
        <groupItems count="62">
          <s v="&lt;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/01/1900"/>
        </groupItems>
      </fieldGroup>
    </cacheField>
    <cacheField name="Minutos (Sumatoria de tiempo total sin recorrido)" numFmtId="0" databaseField="0">
      <fieldGroup base="38">
        <rangePr groupBy="minutes" startDate="1899-12-30T00:00:00" endDate="1899-12-30T08:02:09"/>
        <groupItems count="62">
          <s v="&lt;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/01/1900"/>
        </groupItems>
      </fieldGroup>
    </cacheField>
    <cacheField name="Horas (Sumatoria de tiempo total sin recorrido)" numFmtId="0" databaseField="0">
      <fieldGroup base="38">
        <rangePr groupBy="hours" startDate="1899-12-30T00:00:00" endDate="1899-12-30T08:02:09"/>
        <groupItems count="26">
          <s v="&lt;0/01/1900"/>
          <s v="12 a. m."/>
          <s v="1 a. m."/>
          <s v="2 a. m."/>
          <s v="3 a. m."/>
          <s v="4 a. m."/>
          <s v="5 a. m."/>
          <s v="6 a. m."/>
          <s v="7 a. m."/>
          <s v="8 a. m."/>
          <s v="9 a. m."/>
          <s v="10 a. m."/>
          <s v="11 a. m."/>
          <s v="12 p. m."/>
          <s v="1 p. m."/>
          <s v="2 p. m."/>
          <s v="3 p. m."/>
          <s v="4 p. m."/>
          <s v="5 p. m."/>
          <s v="6 p. m."/>
          <s v="7 p. m."/>
          <s v="8 p. m."/>
          <s v="9 p. m."/>
          <s v="10 p. m."/>
          <s v="11 p. m."/>
          <s v="&gt;0/01/1900"/>
        </groupItems>
      </fieldGroup>
    </cacheField>
    <cacheField name="Días (Sumatoria de tiempo total sin recorrido)" numFmtId="0" databaseField="0">
      <fieldGroup base="38">
        <rangePr groupBy="days" startDate="1899-12-30T00:00:00" endDate="1899-12-30T08:02:09"/>
        <groupItems count="368">
          <s v="&lt;0/01/1900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3.419886805554" createdVersion="8" refreshedVersion="8" minRefreshableVersion="3" recordCount="272" xr:uid="{4743F9B8-9139-4DCD-A807-2514F242574C}">
  <cacheSource type="worksheet">
    <worksheetSource ref="A1:AF1048562" sheet="RECORRIDOS"/>
  </cacheSource>
  <cacheFields count="32">
    <cacheField name="ID" numFmtId="0">
      <sharedItems containsBlank="1" containsMixedTypes="1" containsNumber="1" containsInteger="1" minValue="0" maxValue="1"/>
    </cacheField>
    <cacheField name="Archivo" numFmtId="0">
      <sharedItems containsBlank="1"/>
    </cacheField>
    <cacheField name="Hash SHA256" numFmtId="0">
      <sharedItems containsBlank="1"/>
    </cacheField>
    <cacheField name="Fecha" numFmtId="0">
      <sharedItems containsBlank="1" containsMixedTypes="1" containsNumber="1" containsInteger="1" minValue="46268" maxValue="46268" count="25">
        <s v="01/09/2026"/>
        <s v="02/09/2026"/>
        <s v="03/09/2026"/>
        <s v="04/09/2026"/>
        <s v="05/09/2026"/>
        <s v="07/09/2026"/>
        <s v="08/09/2026"/>
        <s v="09/09/2026"/>
        <s v="10/09/2026"/>
        <s v="11/09/2026"/>
        <s v="12/09/2026"/>
        <s v="14/09/2026"/>
        <s v="15/09/2026"/>
        <s v="16/09/2026"/>
        <s v="17/09/2026"/>
        <s v="18/09/2026"/>
        <s v="19/09/2026"/>
        <s v="21/09/2026"/>
        <s v="22/09/2026"/>
        <s v="23/09/2026"/>
        <s v="24/09/2026"/>
        <s v="25/09/2026"/>
        <s v="26/09/2026"/>
        <m/>
        <n v="46268" u="1"/>
      </sharedItems>
    </cacheField>
    <cacheField name="Año-Mes" numFmtId="0">
      <sharedItems containsBlank="1" count="2">
        <s v="2026-09"/>
        <m/>
      </sharedItems>
    </cacheField>
    <cacheField name="Día" numFmtId="0">
      <sharedItems containsBlank="1"/>
    </cacheField>
    <cacheField name="Técnico" numFmtId="0">
      <sharedItems containsBlank="1" count="15">
        <s v="John Alexander Ortiz"/>
        <s v="Alberto Ramos"/>
        <s v="Hugo Cesar Caceres"/>
        <s v="Johnatan Alexis Alvarez Florez"/>
        <s v="Julian Oritz"/>
        <s v="Jorge Alberto Zapata Vásquez"/>
        <s v="Johan Steven Jaramillo"/>
        <s v="Yeiner Alejandro López"/>
        <s v="Duván Andres Ramos"/>
        <s v="Davison Alonso Vélez"/>
        <s v="Iván Andrés Quintana Vélez"/>
        <s v="John Alexander Porras"/>
        <s v="Jose David Patiño"/>
        <s v="Lácides Manuel Acevedo Márquez"/>
        <m/>
      </sharedItems>
    </cacheField>
    <cacheField name="Iniciales" numFmtId="0">
      <sharedItems containsBlank="1"/>
    </cacheField>
    <cacheField name="Turno" numFmtId="0">
      <sharedItems containsBlank="1" count="3">
        <s v="DIURNO"/>
        <s v="NOCTURNO"/>
        <m/>
      </sharedItems>
    </cacheField>
    <cacheField name="Puntos GPS" numFmtId="0">
      <sharedItems containsString="0" containsBlank="1" containsNumber="1" containsInteger="1" minValue="336" maxValue="12439"/>
    </cacheField>
    <cacheField name="Inicio Colombia" numFmtId="0">
      <sharedItems containsDate="1" containsBlank="1" containsMixedTypes="1" minDate="2026-09-02T08:29:19" maxDate="2026-09-08T08:30:00"/>
    </cacheField>
    <cacheField name="Inicio programado" numFmtId="0">
      <sharedItems containsBlank="1"/>
    </cacheField>
    <cacheField name="Diferencia inicio" numFmtId="0">
      <sharedItems containsNonDate="0" containsDate="1" containsString="0" containsBlank="1" minDate="1899-12-30T00:00:00" maxDate="1899-12-30T08:02:09"/>
    </cacheField>
    <cacheField name="Estado inicio" numFmtId="0">
      <sharedItems containsBlank="1" count="6">
        <s v="INICIO TARDÍO"/>
        <s v="INICIO CUMPLE"/>
        <s v="INICIO ANTES DEL HORARIO"/>
        <s v="PARTE DE RECORRIDO"/>
        <m/>
        <s v="NO DISPONIBLE" u="1"/>
      </sharedItems>
    </cacheField>
    <cacheField name="Fin Colombia" numFmtId="0">
      <sharedItems containsDate="1" containsBlank="1" containsMixedTypes="1" minDate="2026-09-02T14:43:56" maxDate="2026-09-08T14:00:19"/>
    </cacheField>
    <cacheField name="Fin programado" numFmtId="0">
      <sharedItems containsBlank="1"/>
    </cacheField>
    <cacheField name="Diferencia fin" numFmtId="0">
      <sharedItems containsNonDate="0" containsDate="1" containsString="0" containsBlank="1" minDate="1899-12-30T00:00:08" maxDate="1899-12-30T07:33:33"/>
    </cacheField>
    <cacheField name="Estado fin" numFmtId="0">
      <sharedItems containsBlank="1" count="6">
        <s v="FIN CUMPLE"/>
        <s v="TERMINÓ ANTES"/>
        <s v="TERMINÓ DESPUÉS"/>
        <s v="PARTE DE RECORRIDO"/>
        <m/>
        <s v="NO DISPONIBLE" u="1"/>
      </sharedItems>
    </cacheField>
    <cacheField name="Duración" numFmtId="0">
      <sharedItems containsNonDate="0" containsDate="1" containsString="0" containsBlank="1" minDate="1899-12-30T00:41:09" maxDate="1899-12-30T10:30:36"/>
    </cacheField>
    <cacheField name="Kilómetros" numFmtId="0">
      <sharedItems containsString="0" containsBlank="1" containsNumber="1" minValue="3.5720000000000001" maxValue="124.512"/>
    </cacheField>
    <cacheField name="Velocidad promedio (km/h)" numFmtId="0">
      <sharedItems containsString="0" containsBlank="1" containsNumber="1" minValue="1.71" maxValue="261"/>
    </cacheField>
    <cacheField name="Tiempo movimiento" numFmtId="0">
      <sharedItems containsNonDate="0" containsDate="1" containsString="0" containsBlank="1" minDate="1899-12-30T00:38:50" maxDate="1899-12-30T08:43:41"/>
    </cacheField>
    <cacheField name="Movimiento lento" numFmtId="0">
      <sharedItems containsNonDate="0" containsDate="1" containsString="0" containsBlank="1" minDate="1899-12-30T00:06:44" maxDate="1899-12-30T07:02:05"/>
    </cacheField>
    <cacheField name="Tiempo permanencias" numFmtId="0">
      <sharedItems containsNonDate="0" containsDate="1" containsString="0" containsBlank="1" minDate="1899-12-30T00:00:00" maxDate="1899-12-31T00:00:00"/>
    </cacheField>
    <cacheField name="Paradas &gt;=10 min" numFmtId="0">
      <sharedItems containsString="0" containsBlank="1" containsNumber="1" containsInteger="1" minValue="0" maxValue="1"/>
    </cacheField>
    <cacheField name="Paradas &gt;=15 min" numFmtId="0">
      <sharedItems containsString="0" containsBlank="1" containsNumber="1" containsInteger="1" minValue="0" maxValue="1"/>
    </cacheField>
    <cacheField name="Paradas &gt;=30 min" numFmtId="0">
      <sharedItems containsString="0" containsBlank="1" containsNumber="1" containsInteger="1" minValue="0" maxValue="1"/>
    </cacheField>
    <cacheField name="Paradas &gt;=40 min" numFmtId="0">
      <sharedItems containsString="0" containsBlank="1" containsNumber="1" containsInteger="1" minValue="0" maxValue="1"/>
    </cacheField>
    <cacheField name="Paradas &gt;=60 min" numFmtId="0">
      <sharedItems containsString="0" containsBlank="1" containsNumber="1" containsInteger="1" minValue="0" maxValue="1"/>
    </cacheField>
    <cacheField name="Huecos GPS &gt;=10 min" numFmtId="0">
      <sharedItems containsString="0" containsBlank="1" containsNumber="1" containsInteger="1" minValue="0" maxValue="14"/>
    </cacheField>
    <cacheField name="Estado recorrido" numFmtId="0">
      <sharedItems containsBlank="1"/>
    </cacheField>
    <cacheField name="Observacione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s v="ced367c3758385ee"/>
    <s v="01_09_2026_AO_Diur.gpx"/>
    <s v="ced367c3758385eed4de45aabf21d0294ddc2e98be8aa3a6e22b48d6a681476d"/>
    <x v="0"/>
    <x v="0"/>
    <s v="Martes"/>
    <x v="0"/>
    <s v="AO"/>
    <s v="DIURNO"/>
    <n v="11197"/>
    <s v="01/09/2026 09:38:49"/>
    <s v="08:30"/>
    <d v="1899-12-30T01:08:50"/>
    <s v="INICIO TARDÍO"/>
    <s v="01/09/2026 16:29:00"/>
    <s v="16:30"/>
    <d v="1899-12-30T00:01:00"/>
    <s v="FIN CUMPLE"/>
    <d v="1899-12-30T06:50:10"/>
    <n v="80.8"/>
    <n v="30.08"/>
    <d v="1899-12-30T02:41:10"/>
    <d v="1899-12-30T00:07:38"/>
    <d v="1899-12-30T00:00:00"/>
    <n v="0"/>
    <n v="0"/>
    <n v="0"/>
    <n v="0"/>
    <n v="0"/>
    <n v="6"/>
    <s v="INICIO TARDÍO / FIN CUMPLE"/>
    <s v="Inicio GPS tardío: 01:08:50 después de las 08:30.; Fin GPS dentro de la tolerancia del horario programado.; 6 hueco(s) GPS &gt;= 10 min."/>
    <s v="6.204958, -75.588589"/>
    <n v="6.2049580000000004"/>
    <n v="-75.588588999999999"/>
    <s v="6.231777, -75.597115"/>
    <n v="6.2317770000000001"/>
    <n v="-75.597115000000002"/>
    <x v="0"/>
  </r>
  <r>
    <s v="def0fdf1c3f42bfc"/>
    <s v="01_09_2026_AR_Diur.gpx"/>
    <s v="def0fdf1c3f42bfc46e7eec7c07750b2214a2bdc681ef88299474bd340369329"/>
    <x v="0"/>
    <x v="0"/>
    <s v="Martes"/>
    <x v="1"/>
    <s v="AR"/>
    <s v="DIURNO"/>
    <n v="3256"/>
    <s v="01/09/2026 10:10:46"/>
    <s v="08:30"/>
    <d v="1899-12-30T01:40:46"/>
    <s v="INICIO TARDÍO"/>
    <s v="01/09/2026 15:54:28"/>
    <s v="16:30"/>
    <d v="1899-12-30T00:35:32"/>
    <s v="TERMINÓ ANTES"/>
    <d v="1899-12-30T05:43:42"/>
    <n v="40.072000000000003"/>
    <n v="13.96"/>
    <d v="1899-12-30T02:52:17"/>
    <d v="1899-12-30T00:50:31"/>
    <d v="1899-12-30T00:00:00"/>
    <n v="0"/>
    <n v="0"/>
    <n v="0"/>
    <n v="0"/>
    <n v="0"/>
    <n v="0"/>
    <s v="INICIO TARDÍO / FIN ANTICIPADO"/>
    <s v="Inicio GPS tardío: 01:40:46 después de las 08:30.; Fin GPS anticipado: 00:35:32 antes de las 16:30."/>
    <s v="6.231165, -75.601383"/>
    <n v="6.2311649999999998"/>
    <n v="-75.601382999999998"/>
    <s v="6.196637, -75.594896"/>
    <n v="6.196637"/>
    <n v="-75.594896000000006"/>
    <x v="1"/>
  </r>
  <r>
    <s v="ffe1b2a105ff8d6f"/>
    <s v="01_09_2026_HC_Diur.gpx"/>
    <s v="ffe1b2a105ff8d6f2d4890284bbd4aa3f44ed758644fa3525834e8eb6f267891"/>
    <x v="0"/>
    <x v="0"/>
    <s v="Martes"/>
    <x v="2"/>
    <s v="HC"/>
    <s v="DIURNO"/>
    <n v="5047"/>
    <s v="01/09/2026 08:29:19"/>
    <s v="08:30"/>
    <d v="1899-12-30T00:00:41"/>
    <s v="INICIO CUMPLE"/>
    <s v="01/09/2026 14:43:56"/>
    <s v="16:30"/>
    <d v="1899-12-30T01:46:04"/>
    <s v="TERMINÓ ANTES"/>
    <d v="1899-12-30T06:14:37"/>
    <n v="65.918999999999997"/>
    <n v="15.72"/>
    <d v="1899-12-30T04:11:36"/>
    <d v="1899-12-30T01:19:12"/>
    <d v="1899-12-30T00:00:00"/>
    <n v="0"/>
    <n v="0"/>
    <n v="0"/>
    <n v="0"/>
    <n v="0"/>
    <n v="1"/>
    <s v="INICIO CUMPLE / FIN ANTICIPADO"/>
    <s v="Inicio GPS dentro de la tolerancia del horario programado.; Fin GPS anticipado: 01:46:04 antes de las 16:30.; 1 hueco(s) GPS &gt;= 10 min."/>
    <s v="6.225185, -75.599537"/>
    <n v="6.2251849999999997"/>
    <n v="-75.599536999999998"/>
    <s v="6.299875, -75.579885"/>
    <n v="6.2998750000000001"/>
    <n v="-75.579885000000004"/>
    <x v="2"/>
  </r>
  <r>
    <s v="d19559b0b3eddfd6"/>
    <s v="01_09_2026_JA_Diur.gpx"/>
    <s v="d19559b0b3eddfd6e735427bf7bb7440e315c7d6b819bfa8a66c5fcae38407dc"/>
    <x v="0"/>
    <x v="0"/>
    <s v="Martes"/>
    <x v="3"/>
    <s v="JA"/>
    <s v="DIURNO"/>
    <n v="3227"/>
    <s v="01/09/2026 11:22:21"/>
    <s v="08:30"/>
    <d v="1899-12-30T02:52:21"/>
    <s v="INICIO TARDÍO"/>
    <s v="01/09/2026 14:21:44"/>
    <s v="16:30"/>
    <d v="1899-12-30T02:08:16"/>
    <s v="TERMINÓ ANTES"/>
    <d v="1899-12-30T02:59:23"/>
    <n v="44.070999999999998"/>
    <n v="17.73"/>
    <d v="1899-12-30T02:29:08"/>
    <d v="1899-12-30T00:47:55"/>
    <d v="1899-12-30T00:00:00"/>
    <n v="0"/>
    <n v="0"/>
    <n v="0"/>
    <n v="0"/>
    <n v="0"/>
    <n v="0"/>
    <s v="INICIO TARDÍO / FIN ANTICIPADO"/>
    <s v="Inicio GPS tardío: 02:52:21 después de las 08:30.; Fin GPS anticipado: 02:08:16 antes de las 16:30."/>
    <s v="6.225018, -75.597339"/>
    <n v="6.2250180000000004"/>
    <n v="-75.597339000000005"/>
    <s v="6.239458, -75.561046"/>
    <n v="6.2394579999999999"/>
    <n v="-75.561046000000005"/>
    <x v="3"/>
  </r>
  <r>
    <s v="ab874b20b140f4f7"/>
    <s v="01_09_2026_JO_Diur.gpx"/>
    <s v="ab874b20b140f4f75ea82bec11a15fab3a6b324f51d3e2c8a533ae04455e7a8e"/>
    <x v="0"/>
    <x v="0"/>
    <s v="Martes"/>
    <x v="4"/>
    <s v="JO"/>
    <s v="DIURNO"/>
    <n v="7518"/>
    <s v="01/09/2026 08:19:55"/>
    <s v="08:30"/>
    <d v="1899-12-30T00:10:04"/>
    <s v="INICIO CUMPLE"/>
    <s v="01/09/2026 16:31:32"/>
    <s v="16:30"/>
    <d v="1899-12-30T00:01:32"/>
    <s v="FIN CUMPLE"/>
    <d v="1899-12-30T08:11:37"/>
    <n v="51.048999999999999"/>
    <n v="22.05"/>
    <d v="1899-12-30T02:18:53"/>
    <d v="1899-12-30T01:05:41"/>
    <d v="1899-12-30T00:00:00"/>
    <n v="0"/>
    <n v="0"/>
    <n v="0"/>
    <n v="0"/>
    <n v="0"/>
    <n v="12"/>
    <s v="DENTRO DE HORARIO"/>
    <s v="Inicio GPS dentro de la tolerancia del horario programado.; Fin GPS dentro de la tolerancia del horario programado.; 12 hueco(s) GPS &gt;= 10 min."/>
    <s v="6.225614, -75.599107"/>
    <n v="6.2256140000000002"/>
    <n v="-75.599107000000004"/>
    <s v="6.259257, -75.620980"/>
    <n v="6.2592569999999998"/>
    <n v="-75.620980000000003"/>
    <x v="4"/>
  </r>
  <r>
    <s v="9e0bda107497748a"/>
    <s v="01_09_2026_JZ_Diur.gpx"/>
    <s v="9e0bda107497748a6b5ea3bb79f1ce45eb9522e83c80e8c1d56dab6587b54b56"/>
    <x v="0"/>
    <x v="0"/>
    <s v="Martes"/>
    <x v="5"/>
    <s v="JZ"/>
    <s v="DIURNO"/>
    <n v="5358"/>
    <s v="01/09/2026 11:23:06"/>
    <s v="08:30"/>
    <d v="1899-12-30T02:53:06"/>
    <s v="INICIO TARDÍO"/>
    <s v="01/09/2026 16:35:55"/>
    <s v="16:30"/>
    <d v="1899-12-30T00:05:55"/>
    <s v="FIN CUMPLE"/>
    <d v="1899-12-30T05:12:49"/>
    <n v="70.408000000000001"/>
    <n v="14.95"/>
    <d v="1899-12-30T04:42:34"/>
    <d v="1899-12-30T01:07:37"/>
    <d v="1899-12-30T00:00:00"/>
    <n v="0"/>
    <n v="0"/>
    <n v="0"/>
    <n v="0"/>
    <n v="0"/>
    <n v="0"/>
    <s v="INICIO TARDÍO / FIN CUMPLE"/>
    <s v="Inicio GPS tardío: 02:53:06 después de las 08:30.; Fin GPS dentro de la tolerancia del horario programado."/>
    <s v="6.340515, -75.539415"/>
    <n v="6.3405149999999999"/>
    <n v="-75.539415000000005"/>
    <s v="6.308753, -75.559876"/>
    <n v="6.3087530000000003"/>
    <n v="-75.559876000000003"/>
    <x v="5"/>
  </r>
  <r>
    <s v="b51e0d2941336223"/>
    <s v="01_09_2026_SJ_Diur.gpx"/>
    <s v="b51e0d294133622324026908d2cfd998b4d4651f1aa52180ddaa2249255300a4"/>
    <x v="0"/>
    <x v="0"/>
    <s v="Martes"/>
    <x v="6"/>
    <s v="SJ"/>
    <s v="DIURNO"/>
    <n v="4561"/>
    <s v="01/09/2026 08:36:38"/>
    <s v="08:30"/>
    <d v="1899-12-30T00:06:38"/>
    <s v="INICIO CUMPLE"/>
    <s v="01/09/2026 16:13:33"/>
    <s v="16:30"/>
    <d v="1899-12-30T00:16:27"/>
    <s v="TERMINÓ ANTES"/>
    <d v="1899-12-30T07:36:55"/>
    <n v="60.509"/>
    <n v="11.47"/>
    <d v="1899-12-30T05:16:32"/>
    <d v="1899-12-30T02:51:14"/>
    <d v="1899-12-30T00:00:00"/>
    <n v="0"/>
    <n v="0"/>
    <n v="0"/>
    <n v="0"/>
    <n v="0"/>
    <n v="0"/>
    <s v="INICIO CUMPLE / FIN ANTICIPADO"/>
    <s v="Inicio GPS dentro de la tolerancia del horario programado.; Fin GPS anticipado: 00:16:27 antes de las 16:30."/>
    <s v="6.225704, -75.599072"/>
    <n v="6.2257040000000003"/>
    <n v="-75.599072000000007"/>
    <s v="6.294818, -75.582283"/>
    <n v="6.2948180000000002"/>
    <n v="-75.582283000000004"/>
    <x v="6"/>
  </r>
  <r>
    <s v="128eec6bd1ad56c9"/>
    <s v="01_09_2026_YL_Diur.gpx"/>
    <s v="128eec6bd1ad56c94f38054a8d4f987a4a35e0527fcd59cd392fe2dc28180cf2"/>
    <x v="0"/>
    <x v="0"/>
    <s v="Martes"/>
    <x v="7"/>
    <s v="YL"/>
    <s v="DIURNO"/>
    <n v="2608"/>
    <s v="01/09/2026 08:50:48"/>
    <s v="08:30"/>
    <d v="1899-12-30T00:20:48"/>
    <s v="INICIO TARDÍO"/>
    <s v="01/09/2026 16:15:03"/>
    <s v="16:30"/>
    <d v="1899-12-30T00:14:57"/>
    <s v="FIN CUMPLE"/>
    <d v="1899-12-30T07:24:15"/>
    <n v="36.395000000000003"/>
    <n v="8.93"/>
    <d v="1899-12-30T04:04:36"/>
    <d v="1899-12-30T02:30:20"/>
    <d v="1899-12-30T00:00:00"/>
    <n v="0"/>
    <n v="0"/>
    <n v="0"/>
    <n v="0"/>
    <n v="0"/>
    <n v="0"/>
    <s v="INICIO TARDÍO / FIN CUMPLE"/>
    <s v="Inicio GPS tardío: 00:20:48 después de las 08:30.; Fin GPS dentro de la tolerancia del horario programado."/>
    <s v="6.225723, -75.599062"/>
    <n v="6.2257230000000003"/>
    <n v="-75.599062000000004"/>
    <s v="6.225503, -75.599206"/>
    <n v="6.2255029999999998"/>
    <n v="-75.599205999999995"/>
    <x v="7"/>
  </r>
  <r>
    <s v="cf32724f2779e230"/>
    <s v="01_09_2026_DR_Noct.gpx"/>
    <s v="cf32724f2779e23028cbda4e52e5f8d99005bc190675cd481031d75a87505878"/>
    <x v="0"/>
    <x v="0"/>
    <s v="Martes"/>
    <x v="8"/>
    <s v="DR"/>
    <s v="NOCTURNO"/>
    <n v="1807"/>
    <s v="01/09/2026 18:34:18"/>
    <s v="18:00"/>
    <d v="1899-12-30T00:34:18"/>
    <s v="INICIO TARDÍO"/>
    <s v="01/09/2026 22:43:49"/>
    <s v="00:00"/>
    <d v="1899-12-30T01:16:11"/>
    <s v="TERMINÓ ANTES"/>
    <d v="1899-12-30T04:09:31"/>
    <n v="26.773"/>
    <n v="9.08"/>
    <d v="1899-12-30T02:56:55"/>
    <d v="1899-12-30T01:50:59"/>
    <d v="1899-12-30T00:00:00"/>
    <n v="0"/>
    <n v="0"/>
    <n v="0"/>
    <n v="0"/>
    <n v="0"/>
    <n v="0"/>
    <s v="INICIO TARDÍO / FIN ANTICIPADO"/>
    <s v="Inicio GPS tardío: 00:34:18 después de las 18:00.; Fin GPS anticipado: 01:16:11 antes de las 00:00."/>
    <s v="6.237852, -75.608055"/>
    <n v="6.2378520000000002"/>
    <n v="-75.608054999999993"/>
    <s v="6.254944, -75.613510"/>
    <n v="6.2549440000000001"/>
    <n v="-75.613510000000005"/>
    <x v="8"/>
  </r>
  <r>
    <s v="84b8dd69b678e5d2"/>
    <s v="01_09_2026_DV_Noct.gpx"/>
    <s v="84b8dd69b678e5d258010063a27aeb95877eb430a6405acd68b049d3282e48ad"/>
    <x v="0"/>
    <x v="0"/>
    <s v="Martes"/>
    <x v="9"/>
    <s v="DV"/>
    <s v="NOCTURNO"/>
    <n v="4693"/>
    <s v="01/09/2026 16:55:54"/>
    <s v="18:00"/>
    <d v="1899-12-30T01:04:06"/>
    <s v="INICIO ANTES DEL HORARIO"/>
    <s v="02/09/2026 01:04:05"/>
    <s v="00:00"/>
    <d v="1899-12-30T01:04:05"/>
    <s v="TERMINÓ DESPUÉS"/>
    <d v="1899-12-30T08:08:11"/>
    <n v="60.158999999999999"/>
    <n v="10.029999999999999"/>
    <d v="1899-12-30T05:59:52"/>
    <d v="1899-12-30T02:47:52"/>
    <d v="1899-12-30T00:00:00"/>
    <n v="0"/>
    <n v="0"/>
    <n v="0"/>
    <n v="0"/>
    <n v="0"/>
    <n v="0"/>
    <s v="FIN POSTERIOR"/>
    <s v="Inicio GPS anterior al horario: 01:04:06 antes de las 18:00.; Fin GPS posterior: 01:04:05 después de las 00:00."/>
    <s v="6.226193, -75.599279"/>
    <n v="6.2261930000000003"/>
    <n v="-75.599278999999996"/>
    <s v="6.272704, -75.602023"/>
    <n v="6.2727040000000001"/>
    <n v="-75.602023000000003"/>
    <x v="4"/>
  </r>
  <r>
    <s v="41a493fa401c0d5f"/>
    <s v="01_09_2026_IQ_Noct.gpx"/>
    <s v="41a493fa401c0d5f5b51f0397a10ad0e31c2c7cebd8fad803ebd57403289c66b"/>
    <x v="0"/>
    <x v="0"/>
    <s v="Martes"/>
    <x v="10"/>
    <s v="IQ"/>
    <s v="NOCTURNO"/>
    <n v="2378"/>
    <s v="01/09/2026 17:01:01"/>
    <s v="18:00"/>
    <d v="1899-12-30T00:58:59"/>
    <s v="INICIO ANTES DEL HORARIO"/>
    <s v="02/09/2026 00:00:16"/>
    <s v="00:00"/>
    <d v="1899-12-30T00:00:16"/>
    <s v="FIN CUMPLE"/>
    <d v="1899-12-30T06:59:15"/>
    <n v="45.13"/>
    <n v="11.1"/>
    <d v="1899-12-30T04:04:00"/>
    <d v="1899-12-30T02:25:35"/>
    <d v="1899-12-30T00:00:00"/>
    <n v="0"/>
    <n v="0"/>
    <n v="0"/>
    <n v="0"/>
    <n v="0"/>
    <n v="5"/>
    <s v="REVISAR"/>
    <s v="Inicio GPS anterior al horario: 00:58:59 antes de las 18:00.; Fin GPS dentro de la tolerancia del horario programado.; 5 hueco(s) GPS &gt;= 10 min."/>
    <s v="6.216180, -75.600253"/>
    <n v="6.2161799999999996"/>
    <n v="-75.600252999999995"/>
    <s v="6.234277, -75.572151"/>
    <n v="6.2342769999999996"/>
    <n v="-75.572151000000005"/>
    <x v="4"/>
  </r>
  <r>
    <s v="64b7f9194388a956"/>
    <s v="01_09_2026_JHP_Noct.gpx"/>
    <s v="64b7f9194388a9561a5bf868e711077947a15159ebb3cd6e1c293ae1f57d408e"/>
    <x v="0"/>
    <x v="0"/>
    <s v="Martes"/>
    <x v="11"/>
    <s v="JHP"/>
    <s v="NOCTURNO"/>
    <n v="6795"/>
    <s v="01/09/2026 16:58:32"/>
    <s v="18:00"/>
    <d v="1899-12-30T01:01:28"/>
    <s v="INICIO ANTES DEL HORARIO"/>
    <s v="01/09/2026 23:21:48"/>
    <s v="00:00"/>
    <d v="1899-12-30T00:38:12"/>
    <s v="TERMINÓ ANTES"/>
    <d v="1899-12-30T06:23:16"/>
    <n v="95.019000000000005"/>
    <n v="19.63"/>
    <d v="1899-12-30T04:50:30"/>
    <d v="1899-12-30T01:08:56"/>
    <d v="1899-12-30T00:00:00"/>
    <n v="0"/>
    <n v="0"/>
    <n v="0"/>
    <n v="0"/>
    <n v="0"/>
    <n v="0"/>
    <s v="REVISAR"/>
    <s v="Inicio GPS anterior al horario: 01:01:28 antes de las 18:00.; Fin GPS anticipado: 00:38:12 antes de las 00:00."/>
    <s v="6.226757, -75.599271"/>
    <n v="6.2267570000000001"/>
    <n v="-75.599271000000002"/>
    <s v="6.323454, -75.687256"/>
    <n v="6.3234539999999999"/>
    <n v="-75.687256000000005"/>
    <x v="9"/>
  </r>
  <r>
    <s v="ab81bd255207513a"/>
    <s v="01_09_2026_JP_Noct.gpx"/>
    <s v="ab81bd255207513a2667874c1009d77bb9c403ce643ceb792d7f7cd2032a08ac"/>
    <x v="0"/>
    <x v="0"/>
    <s v="Martes"/>
    <x v="12"/>
    <s v="JP"/>
    <s v="NOCTURNO"/>
    <n v="2821"/>
    <s v="01/09/2026 16:52:53"/>
    <s v="18:00"/>
    <d v="1899-12-30T01:07:07"/>
    <s v="INICIO ANTES DEL HORARIO"/>
    <s v="01/09/2026 22:27:26"/>
    <s v="00:00"/>
    <d v="1899-12-30T01:32:34"/>
    <s v="TERMINÓ ANTES"/>
    <d v="1899-12-30T05:34:33"/>
    <n v="37.137"/>
    <n v="9.7899999999999991"/>
    <d v="1899-12-30T03:47:39"/>
    <d v="1899-12-30T02:16:10"/>
    <d v="1899-12-30T00:00:00"/>
    <n v="0"/>
    <n v="0"/>
    <n v="0"/>
    <n v="0"/>
    <n v="0"/>
    <n v="0"/>
    <s v="REVISAR"/>
    <s v="Inicio GPS anterior al horario: 01:07:07 antes de las 18:00.; Fin GPS anticipado: 01:32:34 antes de las 00:00."/>
    <s v="6.226832, -75.599738"/>
    <n v="6.2268319999999999"/>
    <n v="-75.599738000000002"/>
    <s v="6.308050, -75.571287"/>
    <n v="6.3080499999999997"/>
    <n v="-75.571286999999998"/>
    <x v="10"/>
  </r>
  <r>
    <s v="7ad8b21bef5c67cc"/>
    <s v="01_09_2026_LA_Noct.gpx"/>
    <s v="7ad8b21bef5c67ccadd4e48fced83f5268f78a0d87f69794f49089f252a157b5"/>
    <x v="0"/>
    <x v="0"/>
    <s v="Martes"/>
    <x v="13"/>
    <s v="LA"/>
    <s v="NOCTURNO"/>
    <n v="12049"/>
    <s v="01/09/2026 17:02:23"/>
    <s v="18:00"/>
    <d v="1899-12-30T00:57:36"/>
    <s v="INICIO ANTES DEL HORARIO"/>
    <s v="02/09/2026 00:15:25"/>
    <s v="00:00"/>
    <d v="1899-12-30T00:15:26"/>
    <s v="TERMINÓ DESPUÉS"/>
    <d v="1899-12-30T07:13:02"/>
    <n v="59.566000000000003"/>
    <n v="15.83"/>
    <d v="1899-12-30T03:45:45"/>
    <d v="1899-12-30T02:47:19"/>
    <d v="1899-12-30T00:00:00"/>
    <n v="0"/>
    <n v="0"/>
    <n v="0"/>
    <n v="0"/>
    <n v="0"/>
    <n v="1"/>
    <s v="FIN POSTERIOR"/>
    <s v="Inicio GPS anterior al horario: 00:57:36 antes de las 18:00.; Fin GPS posterior: 00:15:26 después de las 00:00.; 1 hueco(s) GPS &gt;= 10 min."/>
    <s v="6.229698, -75.596122"/>
    <n v="6.229698"/>
    <n v="-75.596121999999994"/>
    <s v="6.268492, -75.599203"/>
    <n v="6.2684920000000002"/>
    <n v="-75.599203000000003"/>
    <x v="4"/>
  </r>
  <r>
    <s v="5facab3d709484a0"/>
    <s v="02_09_2026_AO_Diur.gpx"/>
    <s v="5facab3d709484a0a6a7e92adcbbd2b76afde8d10a1c93b712d35330da59d8ab"/>
    <x v="1"/>
    <x v="0"/>
    <s v="Miércoles"/>
    <x v="0"/>
    <s v="AO"/>
    <s v="DIURNO"/>
    <n v="8617"/>
    <s v="02/09/2026 08:44:28"/>
    <s v="08:30"/>
    <d v="1899-12-30T00:14:29"/>
    <s v="INICIO CUMPLE"/>
    <s v="02/09/2026 16:39:32"/>
    <s v="16:30"/>
    <d v="1899-12-30T00:09:32"/>
    <s v="FIN CUMPLE"/>
    <d v="1899-12-30T07:55:04"/>
    <n v="53.473999999999997"/>
    <n v="19.57"/>
    <d v="1899-12-30T02:43:58"/>
    <d v="1899-12-30T01:09:16"/>
    <d v="1899-12-30T00:00:00"/>
    <n v="0"/>
    <n v="0"/>
    <n v="0"/>
    <n v="0"/>
    <n v="0"/>
    <n v="6"/>
    <s v="DENTRO DE HORARIO"/>
    <s v="Inicio GPS dentro de la tolerancia del horario programado.; Fin GPS dentro de la tolerancia del horario programado.; 6 hueco(s) GPS &gt;= 10 min."/>
    <s v="6.203317, -75.600713"/>
    <n v="6.2033170000000002"/>
    <n v="-75.600712999999999"/>
    <s v="6.221597, -75.593840"/>
    <n v="6.221597"/>
    <n v="-75.59384"/>
    <x v="4"/>
  </r>
  <r>
    <s v="67cc835e2ba80d04"/>
    <s v="02_09_2026_AR_Diur.gpx"/>
    <s v="67cc835e2ba80d04c4e07c7aa94c563971f07161c4d4b9552572b4168324bc16"/>
    <x v="1"/>
    <x v="0"/>
    <s v="Miércoles"/>
    <x v="1"/>
    <s v="AR"/>
    <s v="DIURNO"/>
    <n v="4186"/>
    <s v="02/09/2026 08:08:01"/>
    <s v="08:30"/>
    <d v="1899-12-30T00:21:59"/>
    <s v="INICIO ANTES DEL HORARIO"/>
    <s v="02/09/2026 15:57:45"/>
    <s v="16:30"/>
    <d v="1899-12-30T00:32:15"/>
    <s v="TERMINÓ ANTES"/>
    <d v="1899-12-30T07:49:44"/>
    <n v="53.058"/>
    <n v="9.02"/>
    <d v="1899-12-30T05:52:46"/>
    <d v="1899-12-30T03:25:47"/>
    <d v="1899-12-30T00:00:00"/>
    <n v="0"/>
    <n v="0"/>
    <n v="0"/>
    <n v="0"/>
    <n v="0"/>
    <n v="3"/>
    <s v="REVISAR"/>
    <s v="Inicio GPS anterior al horario: 00:21:59 antes de las 08:30.; Fin GPS anticipado: 00:32:15 antes de las 16:30.; 3 hueco(s) GPS &gt;= 10 min."/>
    <s v="6.225431, -75.599253"/>
    <n v="6.2254310000000004"/>
    <n v="-75.599253000000004"/>
    <s v="6.256379, -75.616522"/>
    <n v="6.2563789999999999"/>
    <n v="-75.616522000000003"/>
    <x v="11"/>
  </r>
  <r>
    <s v="92ae7c426fb4dbac"/>
    <s v="02_09_2026_JA_Diur.gpx"/>
    <s v="92ae7c426fb4dbac37fff3a53bb3ab786a1c4d0ba545058e3600b5ecefe93da0"/>
    <x v="1"/>
    <x v="0"/>
    <s v="Miércoles"/>
    <x v="3"/>
    <s v="JA"/>
    <s v="DIURNO"/>
    <n v="4058"/>
    <s v="02/09/2026 08:35:04"/>
    <s v="08:30"/>
    <d v="1899-12-30T00:05:04"/>
    <s v="INICIO CUMPLE"/>
    <s v="02/09/2026 12:09:58"/>
    <s v="16:30"/>
    <d v="1899-12-30T04:20:02"/>
    <s v="TERMINÓ ANTES"/>
    <d v="1899-12-30T03:34:54"/>
    <n v="55.665999999999997"/>
    <n v="19.13"/>
    <d v="1899-12-30T02:54:34"/>
    <d v="1899-12-30T00:54:41"/>
    <d v="1899-12-30T00:00:00"/>
    <n v="0"/>
    <n v="0"/>
    <n v="0"/>
    <n v="0"/>
    <n v="0"/>
    <n v="0"/>
    <s v="INICIO CUMPLE / FIN ANTICIPADO"/>
    <s v="Inicio GPS dentro de la tolerancia del horario programado.; Fin GPS anticipado: 04:20:02 antes de las 16:30."/>
    <s v="6.225496, -75.599254"/>
    <n v="6.2254959999999997"/>
    <n v="-75.599254000000002"/>
    <s v="6.246814, -75.564496"/>
    <n v="6.2468139999999996"/>
    <n v="-75.564496000000005"/>
    <x v="12"/>
  </r>
  <r>
    <s v="402d02aa8a12a9ba"/>
    <s v="02_09_2026_JO_Diur.gpx"/>
    <s v="402d02aa8a12a9ba22aa6765a29da9cea9348b6db2f8fa70769fa1742a041a4c"/>
    <x v="1"/>
    <x v="0"/>
    <s v="Miércoles"/>
    <x v="4"/>
    <s v="JO"/>
    <s v="DIURNO"/>
    <n v="7728"/>
    <s v="02/09/2026 08:36:00"/>
    <s v="08:30"/>
    <d v="1899-12-30T00:06:01"/>
    <s v="INICIO CUMPLE"/>
    <s v="02/09/2026 16:30:45"/>
    <s v="16:30"/>
    <d v="1899-12-30T00:00:46"/>
    <s v="FIN CUMPLE"/>
    <d v="1899-12-30T07:54:45"/>
    <n v="50.911000000000001"/>
    <n v="14.81"/>
    <d v="1899-12-30T03:26:15"/>
    <d v="1899-12-30T02:11:36"/>
    <d v="1899-12-30T00:00:00"/>
    <n v="0"/>
    <n v="0"/>
    <n v="0"/>
    <n v="0"/>
    <n v="0"/>
    <n v="11"/>
    <s v="DENTRO DE HORARIO"/>
    <s v="Inicio GPS dentro de la tolerancia del horario programado.; Fin GPS dentro de la tolerancia del horario programado.; 11 hueco(s) GPS &gt;= 10 min."/>
    <s v="6.225180, -75.599445"/>
    <n v="6.2251799999999999"/>
    <n v="-75.599445000000003"/>
    <s v="6.259237, -75.620938"/>
    <n v="6.2592369999999997"/>
    <n v="-75.620937999999995"/>
    <x v="4"/>
  </r>
  <r>
    <s v="e0bb97405efbf09d"/>
    <s v="02_09_2026_JZ_Diur.gpx"/>
    <s v="e0bb97405efbf09dcbdb64ca1925cfad002b4c645046788805fd4df7a37af5c4"/>
    <x v="1"/>
    <x v="0"/>
    <s v="Miércoles"/>
    <x v="5"/>
    <s v="JZ"/>
    <s v="DIURNO"/>
    <n v="8741"/>
    <s v="02/09/2026 08:04:33"/>
    <s v="08:30"/>
    <d v="1899-12-30T00:25:27"/>
    <s v="INICIO ANTES DEL HORARIO"/>
    <s v="02/09/2026 16:23:16"/>
    <s v="16:30"/>
    <d v="1899-12-30T00:06:44"/>
    <s v="FIN CUMPLE"/>
    <d v="1899-12-30T08:18:43"/>
    <n v="124.512"/>
    <n v="20.32"/>
    <d v="1899-12-30T06:07:38"/>
    <d v="1899-12-30T01:45:21"/>
    <d v="1899-12-30T00:00:00"/>
    <n v="0"/>
    <n v="0"/>
    <n v="0"/>
    <n v="0"/>
    <n v="0"/>
    <n v="0"/>
    <s v="REVISAR"/>
    <s v="Inicio GPS anterior al horario: 00:25:27 antes de las 08:30.; Fin GPS dentro de la tolerancia del horario programado."/>
    <s v="6.226460, -75.599229"/>
    <n v="6.2264600000000003"/>
    <n v="-75.599228999999994"/>
    <s v="6.308907, -75.559782"/>
    <n v="6.3089069999999996"/>
    <n v="-75.559781999999998"/>
    <x v="4"/>
  </r>
  <r>
    <s v="f62124899818082c"/>
    <s v="02_09_2026_SJ_Diur.gpx"/>
    <s v="f62124899818082c503c4e95b294f758de08588593db467ae265663046f17255"/>
    <x v="1"/>
    <x v="0"/>
    <s v="Miércoles"/>
    <x v="6"/>
    <s v="SJ"/>
    <s v="DIURNO"/>
    <n v="5179"/>
    <s v="02/09/2026 08:34:26"/>
    <s v="08:30"/>
    <d v="1899-12-30T00:04:26"/>
    <s v="INICIO CUMPLE"/>
    <s v="02/09/2026 16:04:58"/>
    <s v="16:30"/>
    <d v="1899-12-30T00:25:02"/>
    <s v="TERMINÓ ANTES"/>
    <d v="1899-12-30T07:30:32"/>
    <n v="68.456999999999994"/>
    <n v="14.49"/>
    <d v="1899-12-30T04:43:29"/>
    <d v="1899-12-30T02:11:16"/>
    <d v="1899-12-30T00:00:00"/>
    <n v="0"/>
    <n v="0"/>
    <n v="0"/>
    <n v="0"/>
    <n v="0"/>
    <n v="0"/>
    <s v="INICIO CUMPLE / FIN ANTICIPADO"/>
    <s v="Inicio GPS dentro de la tolerancia del horario programado.; Fin GPS anticipado: 00:25:02 antes de las 16:30."/>
    <s v="6.229180, -75.596322"/>
    <n v="6.2291800000000004"/>
    <n v="-75.596322000000001"/>
    <s v="6.308344, -75.576536"/>
    <n v="6.308344"/>
    <n v="-75.576536000000004"/>
    <x v="13"/>
  </r>
  <r>
    <n v="0"/>
    <s v="02_09_2026_HC_Diur.gpx"/>
    <s v="cfe0b8c8df58659a38e16e626b0183a946392677f00ae3ed19903abfd39cfb09"/>
    <x v="1"/>
    <x v="0"/>
    <s v="Miércoles"/>
    <x v="2"/>
    <s v="HC"/>
    <s v="DIURNO"/>
    <n v="6624"/>
    <d v="2026-09-02T08:29:19"/>
    <s v="08:30:00"/>
    <d v="1899-12-30T00:00:41"/>
    <s v="INICIO CUMPLE"/>
    <d v="2026-09-02T14:43:56"/>
    <s v="16:30"/>
    <d v="1899-12-30T01:46:04"/>
    <s v="TERMINÓ ANTES"/>
    <d v="1899-12-30T06:14:37"/>
    <n v="69.915000000000006"/>
    <n v="20.3"/>
    <d v="1899-12-30T04:11:36"/>
    <d v="1899-12-30T01:19:12"/>
    <d v="1899-12-30T00:00:00"/>
    <n v="0"/>
    <n v="0"/>
    <n v="0"/>
    <n v="0"/>
    <n v="0"/>
    <n v="1"/>
    <s v="REVISAR GPX"/>
    <s v="GPX sin marcas de tiempo en los puntos (&lt;trkpt&gt;&lt;time&gt;). Se pueden calcular puntos y kilómetros, pero no inicio/fin GPS, duración, velocidad, movimiento, permanencias, paradas ni huecos GPS. El timestamp encontrado en &lt;desc&gt; corresponde al metadato de la ruta y no permite reconstruir los tiempos de cada punto."/>
    <s v="6.225185, -75.599537"/>
    <n v="6.2251849999999997"/>
    <n v="-75.599536999999998"/>
    <s v="6.299875, -75.579885"/>
    <n v="6.2998750000000001"/>
    <n v="-75.579885000000004"/>
    <x v="2"/>
  </r>
  <r>
    <s v="ad47cf36141805bc"/>
    <s v="02_09_2026_YL_Diur.gpx"/>
    <s v="ad47cf36141805bc3efac4c9964aabf7b3a5d6ec8c999800dad89f827164ec64"/>
    <x v="1"/>
    <x v="0"/>
    <s v="Miércoles"/>
    <x v="7"/>
    <s v="YL"/>
    <s v="DIURNO"/>
    <n v="3111"/>
    <s v="02/09/2026 08:37:51"/>
    <s v="08:30"/>
    <d v="1899-12-30T00:07:51"/>
    <s v="INICIO CUMPLE"/>
    <s v="02/09/2026 16:07:13"/>
    <s v="16:30"/>
    <d v="1899-12-30T00:22:47"/>
    <s v="TERMINÓ ANTES"/>
    <d v="1899-12-30T07:29:22"/>
    <n v="40.978000000000002"/>
    <n v="11.74"/>
    <d v="1899-12-30T03:29:23"/>
    <d v="1899-12-30T01:59:58"/>
    <d v="1899-12-30T00:00:00"/>
    <n v="0"/>
    <n v="0"/>
    <n v="0"/>
    <n v="0"/>
    <n v="0"/>
    <n v="0"/>
    <s v="INICIO CUMPLE / FIN ANTICIPADO"/>
    <s v="Inicio GPS dentro de la tolerancia del horario programado.; Fin GPS anticipado: 00:22:47 antes de las 16:30."/>
    <s v="6.231173, -75.598546"/>
    <n v="6.2311730000000001"/>
    <n v="-75.598545999999999"/>
    <s v="6.225498, -75.599267"/>
    <n v="6.225498"/>
    <n v="-75.599266999999998"/>
    <x v="14"/>
  </r>
  <r>
    <s v="8df1e6d7cfb2afc8"/>
    <s v="02_09_2026_DR_Noct.gpx"/>
    <s v="8df1e6d7cfb2afc8eda9ca2bc86d5e7eb39030d6e0b28f57a5529bc56c255f17"/>
    <x v="1"/>
    <x v="0"/>
    <s v="Miércoles"/>
    <x v="8"/>
    <s v="DR"/>
    <s v="NOCTURNO"/>
    <n v="3952"/>
    <s v="02/09/2026 18:11:53"/>
    <s v="18:00"/>
    <d v="1899-12-30T00:11:53"/>
    <s v="INICIO CUMPLE"/>
    <s v="02/09/2026 22:18:33"/>
    <s v="00:00"/>
    <d v="1899-12-30T01:41:27"/>
    <s v="TERMINÓ ANTES"/>
    <d v="1899-12-30T04:06:40"/>
    <n v="61.189"/>
    <n v="18.52"/>
    <d v="1899-12-30T03:18:16"/>
    <d v="1899-12-30T01:08:06"/>
    <d v="1899-12-30T00:00:00"/>
    <n v="0"/>
    <n v="0"/>
    <n v="0"/>
    <n v="0"/>
    <n v="0"/>
    <n v="0"/>
    <s v="INICIO CUMPLE / FIN ANTICIPADO"/>
    <s v="Inicio GPS dentro de la tolerancia del horario programado.; Fin GPS anticipado: 01:41:27 antes de las 00:00."/>
    <s v="6.164101, -75.615693"/>
    <n v="6.1641009999999996"/>
    <n v="-75.615692999999993"/>
    <s v="6.245675, -75.621076"/>
    <n v="6.2456750000000003"/>
    <n v="-75.621076000000002"/>
    <x v="15"/>
  </r>
  <r>
    <s v="45a7c46fc3c306c6"/>
    <s v="02_09_2026_DV_Noct.gpx"/>
    <s v="45a7c46fc3c306c652329ef3d7cb3309615d12444d4bdc0fd51cf66b1f44471c"/>
    <x v="1"/>
    <x v="0"/>
    <s v="Miércoles"/>
    <x v="9"/>
    <s v="DV"/>
    <s v="NOCTURNO"/>
    <n v="4654"/>
    <s v="02/09/2026 17:20:30"/>
    <s v="18:00"/>
    <d v="1899-12-30T00:39:30"/>
    <s v="INICIO ANTES DEL HORARIO"/>
    <s v="03/09/2026 00:25:50"/>
    <s v="00:00"/>
    <d v="1899-12-30T00:25:50"/>
    <s v="TERMINÓ DESPUÉS"/>
    <d v="1899-12-30T07:05:20"/>
    <n v="59.173000000000002"/>
    <n v="11.07"/>
    <d v="1899-12-30T05:20:43"/>
    <d v="1899-12-30T02:13:02"/>
    <d v="1899-12-30T00:00:00"/>
    <n v="0"/>
    <n v="0"/>
    <n v="0"/>
    <n v="0"/>
    <n v="0"/>
    <n v="0"/>
    <s v="FIN POSTERIOR"/>
    <s v="Inicio GPS anterior al horario: 00:39:30 antes de las 18:00.; Fin GPS posterior: 00:25:50 después de las 00:00."/>
    <s v="6.226543, -75.599319"/>
    <n v="6.2265430000000004"/>
    <n v="-75.599318999999994"/>
    <s v="6.272636, -75.602002"/>
    <n v="6.2726360000000003"/>
    <n v="-75.602001999999999"/>
    <x v="4"/>
  </r>
  <r>
    <s v="055a8d87bc74b761"/>
    <s v="02_09_2026_IQ_Noct.gpx"/>
    <s v="055a8d87bc74b761029634d8cf91caeeee6e873376a0ad528e0375bfa62b3fac"/>
    <x v="1"/>
    <x v="0"/>
    <s v="Miércoles"/>
    <x v="10"/>
    <s v="IQ"/>
    <s v="NOCTURNO"/>
    <n v="1814"/>
    <s v="02/09/2026 18:08:57"/>
    <s v="18:00"/>
    <d v="1899-12-30T00:08:57"/>
    <s v="INICIO CUMPLE"/>
    <s v="02/09/2026 23:54:06"/>
    <s v="00:00"/>
    <d v="1899-12-30T00:05:54"/>
    <s v="FIN CUMPLE"/>
    <d v="1899-12-30T05:45:09"/>
    <n v="25.899000000000001"/>
    <n v="13.01"/>
    <d v="1899-12-30T01:59:25"/>
    <d v="1899-12-30T01:18:35"/>
    <d v="1899-12-30T00:00:00"/>
    <n v="0"/>
    <n v="0"/>
    <n v="0"/>
    <n v="0"/>
    <n v="0"/>
    <n v="3"/>
    <s v="DENTRO DE HORARIO"/>
    <s v="Inicio GPS dentro de la tolerancia del horario programado.; Fin GPS dentro de la tolerancia del horario programado.; 3 hueco(s) GPS &gt;= 10 min."/>
    <s v="6.251700, -75.620225"/>
    <n v="6.2516999999999996"/>
    <n v="-75.620225000000005"/>
    <s v="6.268078, -75.591665"/>
    <n v="6.268078"/>
    <n v="-75.591665000000006"/>
    <x v="4"/>
  </r>
  <r>
    <s v="cc7ab99667e68d26"/>
    <s v="02_09_2026_JHP_Noct.gpx"/>
    <s v="cc7ab99667e68d26e88ffb424e0be1a2bdafb88c508a6fe227810c9165dd553c"/>
    <x v="1"/>
    <x v="0"/>
    <s v="Miércoles"/>
    <x v="11"/>
    <s v="JHP"/>
    <s v="NOCTURNO"/>
    <n v="4148"/>
    <s v="02/09/2026 19:52:29"/>
    <s v="18:00"/>
    <d v="1899-12-30T01:52:29"/>
    <s v="INICIO TARDÍO"/>
    <s v="02/09/2026 23:35:11"/>
    <s v="00:00"/>
    <d v="1899-12-30T00:24:49"/>
    <s v="TERMINÓ ANTES"/>
    <d v="1899-12-30T03:42:42"/>
    <n v="55.295000000000002"/>
    <n v="18.190000000000001"/>
    <d v="1899-12-30T03:02:22"/>
    <d v="1899-12-30T00:40:20"/>
    <d v="1899-12-30T00:00:00"/>
    <n v="0"/>
    <n v="0"/>
    <n v="0"/>
    <n v="0"/>
    <n v="0"/>
    <n v="0"/>
    <s v="INICIO TARDÍO / FIN ANTICIPADO"/>
    <s v="Inicio GPS tardío: 01:52:29 después de las 18:00.; Fin GPS anticipado: 00:24:49 antes de las 00:00."/>
    <s v="6.272634, -75.573853"/>
    <n v="6.272634"/>
    <n v="-75.573853"/>
    <s v="6.272805, -75.574418"/>
    <n v="6.272805"/>
    <n v="-75.574417999999994"/>
    <x v="16"/>
  </r>
  <r>
    <s v="1aaedffd7a302187"/>
    <s v="02_09_2026_JP_Noct.gpx"/>
    <s v="1aaedffd7a3021873504970c757383695d2ab4d79124ed87f9259d5f2c12b400"/>
    <x v="1"/>
    <x v="0"/>
    <s v="Miércoles"/>
    <x v="12"/>
    <s v="JP"/>
    <s v="NOCTURNO"/>
    <n v="1556"/>
    <s v="02/09/2026 17:05:57"/>
    <s v="18:00"/>
    <d v="1899-12-30T00:54:03"/>
    <s v="INICIO ANTES DEL HORARIO"/>
    <s v="02/09/2026 22:02:31"/>
    <s v="00:00"/>
    <d v="1899-12-30T01:57:29"/>
    <s v="TERMINÓ ANTES"/>
    <d v="1899-12-30T04:56:34"/>
    <n v="19.588999999999999"/>
    <n v="7.66"/>
    <d v="1899-12-30T02:33:21"/>
    <d v="1899-12-30T01:57:06"/>
    <d v="1899-12-30T00:00:00"/>
    <n v="0"/>
    <n v="0"/>
    <n v="0"/>
    <n v="0"/>
    <n v="0"/>
    <n v="0"/>
    <s v="REVISAR"/>
    <s v="Inicio GPS anterior al horario: 00:54:03 antes de las 18:00.; Fin GPS anticipado: 01:57:29 antes de las 00:00."/>
    <s v="6.226913, -75.599712"/>
    <n v="6.2269129999999997"/>
    <n v="-75.599711999999997"/>
    <s v="6.292020, -75.569182"/>
    <n v="6.2920199999999999"/>
    <n v="-75.569181999999998"/>
    <x v="17"/>
  </r>
  <r>
    <s v="32a9897bd9ba22d5"/>
    <s v="02_09_2026_LA_Noct.gpx"/>
    <s v="32a9897bd9ba22d51dd896725dc28d4a353846ff850fe8fa63981303fedf77d7"/>
    <x v="1"/>
    <x v="0"/>
    <s v="Miércoles"/>
    <x v="13"/>
    <s v="LA"/>
    <s v="NOCTURNO"/>
    <n v="12439"/>
    <s v="02/09/2026 17:37:12"/>
    <s v="18:00"/>
    <d v="1899-12-30T00:22:48"/>
    <s v="INICIO ANTES DEL HORARIO"/>
    <s v="03/09/2026 00:19:26"/>
    <s v="00:00"/>
    <d v="1899-12-30T00:19:26"/>
    <s v="TERMINÓ DESPUÉS"/>
    <d v="1899-12-30T06:42:13"/>
    <n v="60.595999999999997"/>
    <n v="15.14"/>
    <d v="1899-12-30T04:00:09"/>
    <d v="1899-12-30T02:38:18"/>
    <d v="1899-12-30T00:00:00"/>
    <n v="0"/>
    <n v="0"/>
    <n v="0"/>
    <n v="0"/>
    <n v="0"/>
    <n v="2"/>
    <s v="FIN POSTERIOR"/>
    <s v="Inicio GPS anterior al horario: 00:22:48 antes de las 18:00.; Fin GPS posterior: 00:19:26 después de las 00:00.; 2 hueco(s) GPS &gt;= 10 min."/>
    <s v="6.226643, -75.599172"/>
    <n v="6.2266430000000001"/>
    <n v="-75.599171999999996"/>
    <s v="6.268490, -75.599358"/>
    <n v="6.2684899999999999"/>
    <n v="-75.599357999999995"/>
    <x v="4"/>
  </r>
  <r>
    <s v="6c4d43da6790c964"/>
    <s v="03_09_2026_AO_Diur.gpx"/>
    <s v="6c4d43da6790c9648972d84a378dddc5cb6cd96b9d24ac60c59862b4eeb22708"/>
    <x v="2"/>
    <x v="0"/>
    <s v="Jueves"/>
    <x v="0"/>
    <s v="AO"/>
    <s v="DIURNO"/>
    <n v="7043"/>
    <s v="03/09/2026 08:52:50"/>
    <s v="08:30"/>
    <d v="1899-12-30T00:22:51"/>
    <s v="INICIO TARDÍO"/>
    <s v="03/09/2026 16:41:47"/>
    <s v="16:30"/>
    <d v="1899-12-30T00:11:48"/>
    <s v="FIN CUMPLE"/>
    <d v="1899-12-30T07:48:57"/>
    <n v="46.478999999999999"/>
    <n v="13.78"/>
    <d v="1899-12-30T03:22:26"/>
    <d v="1899-12-30T01:58:42"/>
    <d v="1899-12-30T00:00:00"/>
    <n v="0"/>
    <n v="0"/>
    <n v="0"/>
    <n v="0"/>
    <n v="0"/>
    <n v="5"/>
    <s v="INICIO TARDÍO / FIN CUMPLE"/>
    <s v="Inicio GPS tardío: 00:22:51 después de las 08:30.; Fin GPS dentro de la tolerancia del horario programado.; 5 hueco(s) GPS &gt;= 10 min."/>
    <s v="6.216006, -75.597631"/>
    <n v="6.2160060000000001"/>
    <n v="-75.597631000000007"/>
    <s v="6.221731, -75.593854"/>
    <n v="6.2217310000000001"/>
    <n v="-75.593853999999993"/>
    <x v="18"/>
  </r>
  <r>
    <s v="822239f48279266f"/>
    <s v="03_09_2026_AR_Diur.gpx"/>
    <s v="822239f48279266f3ac639a3e69207718138f0e17d5b3502a6af9343e483dd25"/>
    <x v="2"/>
    <x v="0"/>
    <s v="Jueves"/>
    <x v="1"/>
    <s v="AR"/>
    <s v="DIURNO"/>
    <n v="3948"/>
    <s v="03/09/2026 08:42:44"/>
    <s v="08:30"/>
    <d v="1899-12-30T00:12:44"/>
    <s v="INICIO CUMPLE"/>
    <s v="03/09/2026 16:31:45"/>
    <s v="16:30"/>
    <d v="1899-12-30T00:01:45"/>
    <s v="FIN CUMPLE"/>
    <d v="1899-12-30T07:49:01"/>
    <n v="51.637"/>
    <n v="8.9600000000000009"/>
    <d v="1899-12-30T05:45:58"/>
    <d v="1899-12-30T03:15:51"/>
    <d v="1899-12-30T00:00:00"/>
    <n v="0"/>
    <n v="0"/>
    <n v="0"/>
    <n v="0"/>
    <n v="0"/>
    <n v="1"/>
    <s v="DENTRO DE HORARIO"/>
    <s v="Inicio GPS dentro de la tolerancia del horario programado.; Fin GPS dentro de la tolerancia del horario programado.; 1 hueco(s) GPS &gt;= 10 min."/>
    <s v="6.238340, -75.602986"/>
    <n v="6.23834"/>
    <n v="-75.602986000000001"/>
    <s v="6.247825, -75.615007"/>
    <n v="6.2478249999999997"/>
    <n v="-75.615007000000006"/>
    <x v="4"/>
  </r>
  <r>
    <s v="743b57c8175b2ab0"/>
    <s v="03_09_2026_JA_Diur.gpx"/>
    <s v="743b57c8175b2ab0d878ae09f329131b91c94317f74f19c1de62349a45f89c44"/>
    <x v="2"/>
    <x v="0"/>
    <s v="Jueves"/>
    <x v="3"/>
    <s v="JA"/>
    <s v="DIURNO"/>
    <n v="3751"/>
    <s v="03/09/2026 08:12:05"/>
    <s v="08:30"/>
    <d v="1899-12-30T00:17:55"/>
    <s v="INICIO ANTES DEL HORARIO"/>
    <s v="03/09/2026 12:45:30"/>
    <s v="16:30"/>
    <d v="1899-12-30T03:44:30"/>
    <s v="TERMINÓ ANTES"/>
    <d v="1899-12-30T04:33:25"/>
    <n v="51.040999999999997"/>
    <n v="15.56"/>
    <d v="1899-12-30T03:16:47"/>
    <d v="1899-12-30T01:18:45"/>
    <d v="1899-12-30T00:00:00"/>
    <n v="0"/>
    <n v="0"/>
    <n v="0"/>
    <n v="0"/>
    <n v="0"/>
    <n v="0"/>
    <s v="REVISAR"/>
    <s v="Inicio GPS anterior al horario: 00:17:55 antes de las 08:30.; Fin GPS anticipado: 03:44:30 antes de las 16:30."/>
    <s v="6.225707, -75.599096"/>
    <n v="6.2257069999999999"/>
    <n v="-75.599096000000003"/>
    <s v="6.243273, -75.561981"/>
    <n v="6.2432730000000003"/>
    <n v="-75.561981000000003"/>
    <x v="19"/>
  </r>
  <r>
    <s v="b4e38e6c48aedbb0"/>
    <s v="03_09_2026_JO_Diur.gpx"/>
    <s v="b4e38e6c48aedbb0538e19d4f4ba428816cdaa62bafb88b421d661289a1e6ed2"/>
    <x v="2"/>
    <x v="0"/>
    <s v="Jueves"/>
    <x v="4"/>
    <s v="JO"/>
    <s v="DIURNO"/>
    <n v="7699"/>
    <s v="03/09/2026 08:31:24"/>
    <s v="08:30"/>
    <d v="1899-12-30T00:01:25"/>
    <s v="INICIO CUMPLE"/>
    <s v="03/09/2026 16:30:57"/>
    <s v="16:30"/>
    <d v="1899-12-30T00:00:58"/>
    <s v="FIN CUMPLE"/>
    <d v="1899-12-30T07:59:33"/>
    <n v="51.274999999999999"/>
    <n v="37.32"/>
    <d v="1899-12-30T01:22:26"/>
    <d v="1899-12-30T00:06:44"/>
    <d v="1899-12-30T00:00:00"/>
    <n v="0"/>
    <n v="0"/>
    <n v="0"/>
    <n v="0"/>
    <n v="0"/>
    <n v="13"/>
    <s v="DENTRO DE HORARIO"/>
    <s v="Inicio GPS dentro de la tolerancia del horario programado.; Fin GPS dentro de la tolerancia del horario programado.; 13 hueco(s) GPS &gt;= 10 min."/>
    <s v="6.233027, -75.602301"/>
    <n v="6.2330269999999999"/>
    <n v="-75.602300999999997"/>
    <s v="6.259259, -75.620961"/>
    <n v="6.2592590000000001"/>
    <n v="-75.620960999999994"/>
    <x v="4"/>
  </r>
  <r>
    <s v="4dedbf53cedf50ca"/>
    <s v="03_09_2026_JZ_Diun2.gpx"/>
    <s v="4dedbf53cedf50cafc487378b7df12a1fa9a8335dcb35aaba49acc5599b72c35"/>
    <x v="2"/>
    <x v="0"/>
    <s v="Jueves"/>
    <x v="5"/>
    <s v="JZ"/>
    <s v="DIURNO"/>
    <n v="2620"/>
    <s v="03/09/2026 13:38:45"/>
    <s v="18:00"/>
    <d v="1899-12-30T04:21:15"/>
    <s v="INICIO ANTES DEL HORARIO"/>
    <s v="03/09/2026 16:26:27"/>
    <s v="00:00"/>
    <d v="1899-12-30T07:33:33"/>
    <s v="TERMINÓ ANTES"/>
    <d v="1899-12-30T02:47:42"/>
    <n v="33.488"/>
    <n v="16.559999999999999"/>
    <d v="1899-12-30T02:01:19"/>
    <d v="1899-12-30T00:33:00"/>
    <d v="1899-12-30T00:00:00"/>
    <n v="0"/>
    <n v="0"/>
    <n v="0"/>
    <n v="0"/>
    <n v="0"/>
    <n v="0"/>
    <s v="REVISAR"/>
    <s v="Inicio GPS anterior al horario: 04:21:15 antes de las 18:00.; Fin GPS anticipado: 07:33:33 antes de las 00:00."/>
    <s v="6.278761, -75.637046"/>
    <n v="6.2787610000000003"/>
    <n v="-75.637045999999998"/>
    <s v="6.253288, -75.588838"/>
    <n v="6.2532880000000004"/>
    <n v="-75.588837999999996"/>
    <x v="20"/>
  </r>
  <r>
    <s v="fbe86ca39f48efb4"/>
    <s v="03_09_2026_JZ_Diurn1.gpx"/>
    <s v="fbe86ca39f48efb4c8cea5fb0c7fea638f508f6240dc6b2496aad8d34a4e4d08"/>
    <x v="2"/>
    <x v="0"/>
    <s v="Jueves"/>
    <x v="5"/>
    <s v="JZ"/>
    <s v="DIURNO"/>
    <n v="3960"/>
    <s v="03/09/2026 08:13:10"/>
    <s v="08:30"/>
    <d v="1899-12-30T00:16:50"/>
    <s v="INICIO ANTES DEL HORARIO"/>
    <s v="03/09/2026 13:34:27"/>
    <s v="16:30"/>
    <d v="1899-12-30T02:55:33"/>
    <s v="TERMINÓ ANTES"/>
    <d v="1899-12-30T05:21:17"/>
    <n v="49.508000000000003"/>
    <n v="12.04"/>
    <d v="1899-12-30T04:06:40"/>
    <d v="1899-12-30T01:25:53"/>
    <d v="1899-12-30T00:00:00"/>
    <n v="0"/>
    <n v="0"/>
    <n v="0"/>
    <n v="0"/>
    <n v="0"/>
    <n v="0"/>
    <s v="REVISAR"/>
    <s v="Inicio GPS anterior al horario: 00:16:50 antes de las 08:30.; Fin GPS anticipado: 02:55:33 antes de las 16:30."/>
    <s v="6.226751, -75.599289"/>
    <n v="6.2267510000000001"/>
    <n v="-75.599288999999999"/>
    <s v="6.278725, -75.637085"/>
    <n v="6.2787249999999997"/>
    <n v="-75.637084999999999"/>
    <x v="21"/>
  </r>
  <r>
    <s v="e6ac8c8844d3c867"/>
    <s v="03_09_2026_SJ_Diur.gpx"/>
    <s v="e6ac8c8844d3c867877e751eeadfaab706870248195f9f2622d285d6036c2fde"/>
    <x v="2"/>
    <x v="0"/>
    <s v="Jueves"/>
    <x v="6"/>
    <s v="SJ"/>
    <s v="DIURNO"/>
    <n v="1887"/>
    <s v="03/09/2026 08:27:21"/>
    <s v="08:30"/>
    <d v="1899-12-30T00:02:39"/>
    <s v="INICIO CUMPLE"/>
    <s v="03/09/2026 16:39:46"/>
    <s v="16:30"/>
    <d v="1899-12-30T00:09:46"/>
    <s v="FIN CUMPLE"/>
    <d v="1899-12-30T08:12:25"/>
    <n v="24.088999999999999"/>
    <n v="5.84"/>
    <d v="1899-12-30T04:07:21"/>
    <d v="1899-12-30T03:12:43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  <s v="6.226612, -75.599233"/>
    <n v="6.2266120000000003"/>
    <n v="-75.599232999999998"/>
    <s v="6.257329, -75.562563"/>
    <n v="6.2573290000000004"/>
    <n v="-75.562562999999997"/>
    <x v="4"/>
  </r>
  <r>
    <s v="85553d7e7a054529"/>
    <s v="03_09_2026_YL_Diur.gpx"/>
    <s v="85553d7e7a054529c3e91ddc681b52a7e7aca3a9b9029cf564b8bad6980a1bb4"/>
    <x v="2"/>
    <x v="0"/>
    <s v="Jueves"/>
    <x v="7"/>
    <s v="YL"/>
    <s v="DIURNO"/>
    <n v="2300"/>
    <s v="03/09/2026 10:12:22"/>
    <s v="08:30"/>
    <d v="1899-12-30T01:42:22"/>
    <s v="INICIO TARDÍO"/>
    <s v="03/09/2026 16:24:55"/>
    <s v="16:30"/>
    <d v="1899-12-30T00:05:05"/>
    <s v="FIN CUMPLE"/>
    <d v="1899-12-30T06:12:33"/>
    <n v="28.867999999999999"/>
    <n v="10.38"/>
    <d v="1899-12-30T02:46:51"/>
    <d v="1899-12-30T01:37:21"/>
    <d v="1899-12-30T00:00:00"/>
    <n v="0"/>
    <n v="0"/>
    <n v="0"/>
    <n v="0"/>
    <n v="0"/>
    <n v="0"/>
    <s v="INICIO TARDÍO / FIN CUMPLE"/>
    <s v="Inicio GPS tardío: 01:42:22 después de las 08:30.; Fin GPS dentro de la tolerancia del horario programado."/>
    <s v="6.225615, -75.599115"/>
    <n v="6.2256150000000003"/>
    <n v="-75.599114999999998"/>
    <s v="6.225462, -75.599331"/>
    <n v="6.2254620000000003"/>
    <n v="-75.599331000000006"/>
    <x v="22"/>
  </r>
  <r>
    <n v="1"/>
    <s v="03_09_2026_HC_Diur.gpx"/>
    <s v="4b994fffa339abf9fcb70e82534a202656064aeb861bca137cd94c71d5fa997f"/>
    <x v="2"/>
    <x v="0"/>
    <s v="Viernes"/>
    <x v="2"/>
    <s v="HC"/>
    <s v="DIURNO"/>
    <n v="6378"/>
    <d v="2026-09-03T08:29:19"/>
    <s v="08:30"/>
    <d v="1899-12-30T00:00:41"/>
    <s v="INICIO CUMPLE"/>
    <d v="2026-09-03T14:43:56"/>
    <s v="16:30"/>
    <d v="1899-12-30T01:46:04"/>
    <s v="TERMINÓ ANTES"/>
    <d v="1899-12-30T06:14:37"/>
    <n v="69.915000000000006"/>
    <n v="55.058999999999997"/>
    <d v="1899-12-30T04:11:36"/>
    <d v="1899-12-30T01:19:12"/>
    <d v="1899-12-30T00:00:00"/>
    <n v="0"/>
    <n v="0"/>
    <n v="0"/>
    <n v="0"/>
    <n v="0"/>
    <n v="1"/>
    <s v="REVISAR GPX"/>
    <s v="REVISAR GPX SIN TIMESTAMP"/>
    <s v="6.225185, -75.599537"/>
    <n v="6.2251849999999997"/>
    <n v="-75.599536999999998"/>
    <s v="6.299875, -75.579885"/>
    <n v="6.2998750000000001"/>
    <n v="-75.579885000000004"/>
    <x v="2"/>
  </r>
  <r>
    <s v="9129a7b7af86fe7d"/>
    <s v="03_09_2026_DR_Noct.gpx"/>
    <s v="9129a7b7af86fe7d5f77a4e3858f4b975baa811eae0d665c971e7d686591fd9b"/>
    <x v="2"/>
    <x v="0"/>
    <s v="Jueves"/>
    <x v="8"/>
    <s v="DR"/>
    <s v="NOCTURNO"/>
    <n v="3274"/>
    <s v="03/09/2026 18:03:55"/>
    <s v="18:00"/>
    <d v="1899-12-30T00:03:55"/>
    <s v="INICIO CUMPLE"/>
    <s v="04/09/2026 02:13:30"/>
    <s v="00:00"/>
    <d v="1899-12-30T02:13:30"/>
    <s v="TERMINÓ DESPUÉS"/>
    <d v="1899-12-30T08:09:35"/>
    <n v="51.040999999999997"/>
    <n v="7.88"/>
    <d v="1899-12-30T06:28:44"/>
    <d v="1899-12-30T04:50:38"/>
    <d v="1899-12-30T00:00:00"/>
    <n v="0"/>
    <n v="0"/>
    <n v="0"/>
    <n v="0"/>
    <n v="0"/>
    <n v="1"/>
    <s v="FIN POSTERIOR"/>
    <s v="Inicio GPS dentro de la tolerancia del horario programado.; Fin GPS posterior: 02:13:30 después de las 00:00.; 1 hueco(s) GPS &gt;= 10 min."/>
    <s v="6.222839, -75.598386"/>
    <n v="6.2228389999999996"/>
    <n v="-75.598386000000005"/>
    <s v="6.215058, -75.597427"/>
    <n v="6.215058"/>
    <n v="-75.597426999999996"/>
    <x v="4"/>
  </r>
  <r>
    <s v="57550da3425da14a"/>
    <s v="03_09_2026_DV_Noct1.gpx"/>
    <s v="57550da3425da14a9fb02a5f0ce724964e361fbef1d222c694f43b1e5ce64f04"/>
    <x v="2"/>
    <x v="0"/>
    <s v="Jueves"/>
    <x v="9"/>
    <s v="DV"/>
    <s v="NOCTURNO"/>
    <n v="593"/>
    <s v="03/09/2026 23:30:35"/>
    <s v="18:00"/>
    <d v="1899-12-30T05:30:35"/>
    <s v="INICIO TARDÍO"/>
    <s v="04/09/2026 00:11:44"/>
    <s v="00:00"/>
    <d v="1899-12-30T00:11:44"/>
    <s v="FIN CUMPLE"/>
    <d v="1899-12-30T00:41:09"/>
    <n v="7.2619999999999996"/>
    <n v="11.22"/>
    <d v="1899-12-30T00:38:50"/>
    <d v="1899-12-30T00:12:34"/>
    <d v="1899-12-30T00:00:00"/>
    <n v="0"/>
    <n v="0"/>
    <n v="0"/>
    <n v="0"/>
    <n v="0"/>
    <n v="0"/>
    <s v="INICIO TARDÍO / FIN CUMPLE"/>
    <s v="Inicio GPS tardío: 05:30:35 después de las 18:00.; Fin GPS dentro de la tolerancia del horario programado."/>
    <s v="6.268446, -75.587144"/>
    <n v="6.268446"/>
    <n v="-75.587143999999995"/>
    <s v="6.272662, -75.602045"/>
    <n v="6.2726620000000004"/>
    <n v="-75.602045000000004"/>
    <x v="23"/>
  </r>
  <r>
    <s v="d17c59d546d93f1e"/>
    <s v="03_09_2026_DV_Noct2.gpx"/>
    <s v="d17c59d546d93f1e9ade3caf58317ffac88215056b8d8021d1b251fb79741c8b"/>
    <x v="2"/>
    <x v="0"/>
    <s v="Jueves"/>
    <x v="9"/>
    <s v="DV"/>
    <s v="NOCTURNO"/>
    <n v="3229"/>
    <s v="03/09/2026 17:04:15"/>
    <s v="18:00"/>
    <d v="1899-12-30T00:55:45"/>
    <s v="INICIO ANTES DEL HORARIO"/>
    <s v="03/09/2026 23:27:48"/>
    <s v="00:00"/>
    <d v="1899-12-30T00:32:12"/>
    <s v="TERMINÓ ANTES"/>
    <d v="1899-12-30T06:23:33"/>
    <n v="40.777000000000001"/>
    <n v="9.7799999999999994"/>
    <d v="1899-12-30T04:10:17"/>
    <d v="1899-12-30T01:49:35"/>
    <d v="1899-12-30T00:00:00"/>
    <n v="0"/>
    <n v="0"/>
    <n v="0"/>
    <n v="0"/>
    <n v="0"/>
    <n v="0"/>
    <s v="REVISAR"/>
    <s v="Inicio GPS anterior al horario: 00:55:45 antes de las 18:00.; Fin GPS anticipado: 00:32:12 antes de las 00:00."/>
    <s v="6.226619, -75.599182"/>
    <n v="6.2266190000000003"/>
    <n v="-75.599181999999999"/>
    <s v="6.267490, -75.587032"/>
    <n v="6.2674899999999996"/>
    <n v="-75.587031999999994"/>
    <x v="24"/>
  </r>
  <r>
    <s v="37f2f45d2f373537"/>
    <s v="03_09_2026_IQ_Noct.gpx"/>
    <s v="37f2f45d2f373537f9e8ef2c71c7754d9c1f586a88e1aa69978910a1d4271af7"/>
    <x v="2"/>
    <x v="0"/>
    <s v="Jueves"/>
    <x v="10"/>
    <s v="IQ"/>
    <s v="NOCTURNO"/>
    <n v="962"/>
    <s v="03/09/2026 17:24:11"/>
    <s v="18:00"/>
    <d v="1899-12-30T00:35:49"/>
    <s v="INICIO ANTES DEL HORARIO"/>
    <s v="03/09/2026 23:42:15"/>
    <s v="00:00"/>
    <d v="1899-12-30T00:17:45"/>
    <s v="TERMINÓ ANTES"/>
    <d v="1899-12-30T06:18:04"/>
    <n v="25.725999999999999"/>
    <n v="17.23"/>
    <d v="1899-12-30T01:29:34"/>
    <d v="1899-12-30T00:55:52"/>
    <d v="1899-12-30T00:00:00"/>
    <n v="0"/>
    <n v="0"/>
    <n v="0"/>
    <n v="0"/>
    <n v="0"/>
    <n v="5"/>
    <s v="REVISAR"/>
    <s v="Inicio GPS anterior al horario: 00:35:49 antes de las 18:00.; Fin GPS anticipado: 00:17:45 antes de las 00:00.; 5 hueco(s) GPS &gt;= 10 min."/>
    <s v="6.268078, -75.591665"/>
    <n v="6.268078"/>
    <n v="-75.591665000000006"/>
    <s v="6.267013, -75.550280"/>
    <n v="6.2670130000000004"/>
    <n v="-75.550280000000001"/>
    <x v="25"/>
  </r>
  <r>
    <s v="3c7cdaa26d0ad43f"/>
    <s v="03_09_2026_JHP_Noct.gpx"/>
    <s v="3c7cdaa26d0ad43f434937fe091104471925c2d9fda3ec33f13118ffae02cb61"/>
    <x v="2"/>
    <x v="0"/>
    <s v="Jueves"/>
    <x v="11"/>
    <s v="JHP"/>
    <s v="NOCTURNO"/>
    <n v="6740"/>
    <s v="03/09/2026 17:01:16"/>
    <s v="18:00"/>
    <d v="1899-12-30T00:58:44"/>
    <s v="INICIO ANTES DEL HORARIO"/>
    <s v="04/09/2026 00:07:11"/>
    <s v="00:00"/>
    <d v="1899-12-30T00:07:11"/>
    <s v="FIN CUMPLE"/>
    <d v="1899-12-30T07:05:55"/>
    <n v="88.825000000000003"/>
    <n v="16.39"/>
    <d v="1899-12-30T05:25:05"/>
    <d v="1899-12-30T01:26:51"/>
    <d v="1899-12-30T00:00:00"/>
    <n v="0"/>
    <n v="0"/>
    <n v="0"/>
    <n v="0"/>
    <n v="0"/>
    <n v="0"/>
    <s v="REVISAR"/>
    <s v="Inicio GPS anterior al horario: 00:58:44 antes de las 18:00.; Fin GPS dentro de la tolerancia del horario programado."/>
    <s v="6.226564, -75.599241"/>
    <n v="6.2265639999999998"/>
    <n v="-75.599241000000006"/>
    <s v="6.290379, -75.546631"/>
    <n v="6.2903789999999997"/>
    <n v="-75.546631000000005"/>
    <x v="4"/>
  </r>
  <r>
    <s v="976bfdee80529c97"/>
    <s v="03_09_2026_JP_Noct.gpx"/>
    <s v="976bfdee80529c9790fe9c692739451bb06d88f0b067e15343226781092db1f3"/>
    <x v="2"/>
    <x v="0"/>
    <s v="Jueves"/>
    <x v="12"/>
    <s v="JP"/>
    <s v="NOCTURNO"/>
    <n v="2238"/>
    <s v="03/09/2026 16:53:44"/>
    <s v="18:00"/>
    <d v="1899-12-30T01:06:16"/>
    <s v="INICIO ANTES DEL HORARIO"/>
    <s v="03/09/2026 22:19:58"/>
    <s v="00:00"/>
    <d v="1899-12-30T01:40:02"/>
    <s v="TERMINÓ ANTES"/>
    <d v="1899-12-30T05:26:14"/>
    <n v="29.141999999999999"/>
    <n v="7.43"/>
    <d v="1899-12-30T03:55:29"/>
    <d v="1899-12-30T02:39:45"/>
    <d v="1899-12-30T00:00:00"/>
    <n v="0"/>
    <n v="0"/>
    <n v="0"/>
    <n v="0"/>
    <n v="0"/>
    <n v="0"/>
    <s v="REVISAR"/>
    <s v="Inicio GPS anterior al horario: 01:06:16 antes de las 18:00.; Fin GPS anticipado: 01:40:02 antes de las 00:00."/>
    <s v="6.227037, -75.599748"/>
    <n v="6.2270370000000002"/>
    <n v="-75.599748000000005"/>
    <s v="6.257297, -75.555535"/>
    <n v="6.2572970000000003"/>
    <n v="-75.555535000000006"/>
    <x v="26"/>
  </r>
  <r>
    <s v="a775905739524cf4"/>
    <s v="03_09_2026_LA_Noct.gpx"/>
    <s v="a775905739524cf4e8be5c8ad5da4a79f7b5dfb2746344f93380c32b658f7099"/>
    <x v="2"/>
    <x v="0"/>
    <s v="Jueves"/>
    <x v="13"/>
    <s v="LA"/>
    <s v="NOCTURNO"/>
    <n v="10166"/>
    <s v="03/09/2026 16:45:51"/>
    <s v="18:00"/>
    <d v="1899-12-30T01:14:08"/>
    <s v="INICIO ANTES DEL HORARIO"/>
    <s v="04/09/2026 00:13:06"/>
    <s v="00:00"/>
    <d v="1899-12-30T00:13:07"/>
    <s v="FIN CUMPLE"/>
    <d v="1899-12-30T07:27:15"/>
    <n v="52.485999999999997"/>
    <n v="11.53"/>
    <d v="1899-12-30T04:33:14"/>
    <d v="1899-12-30T03:37:03"/>
    <d v="1899-12-30T00:00:00"/>
    <n v="0"/>
    <n v="0"/>
    <n v="0"/>
    <n v="0"/>
    <n v="0"/>
    <n v="4"/>
    <s v="REVISAR"/>
    <s v="Inicio GPS anterior al horario: 01:14:08 antes de las 18:00.; Fin GPS dentro de la tolerancia del horario programado.; 4 hueco(s) GPS &gt;= 10 min."/>
    <s v="6.225578, -75.599153"/>
    <n v="6.2255779999999996"/>
    <n v="-75.599153000000001"/>
    <s v="6.268478, -75.599272"/>
    <n v="6.268478"/>
    <n v="-75.599271999999999"/>
    <x v="4"/>
  </r>
  <r>
    <s v="67f0081e17a28d28"/>
    <s v="04_09_2026_AO_Diur.gpx"/>
    <s v="67f0081e17a28d28d745dd196038bd02e7133edc3406bb34b19014fe55daea65"/>
    <x v="3"/>
    <x v="0"/>
    <s v="Viernes"/>
    <x v="0"/>
    <s v="AO"/>
    <s v="DIURNO"/>
    <n v="7869"/>
    <s v="04/09/2026 07:50:24"/>
    <s v="08:30"/>
    <d v="1899-12-30T00:39:36"/>
    <s v="INICIO ANTES DEL HORARIO"/>
    <s v="04/09/2026 15:53:01"/>
    <s v="16:00"/>
    <d v="1899-12-30T00:06:59"/>
    <s v="FIN CUMPLE"/>
    <d v="1899-12-30T08:02:37"/>
    <n v="41.305999999999997"/>
    <n v="11.28"/>
    <d v="1899-12-30T03:39:45"/>
    <d v="1899-12-30T02:29:00"/>
    <d v="1899-12-30T00:00:00"/>
    <n v="0"/>
    <n v="0"/>
    <n v="0"/>
    <n v="0"/>
    <n v="0"/>
    <n v="6"/>
    <s v="REVISAR"/>
    <s v="Inicio GPS anterior al horario: 00:39:36 antes de las 08:30.; Fin GPS dentro de la tolerancia del horario programado.; 6 hueco(s) GPS &gt;= 10 min."/>
    <s v="6.225481, -75.599737"/>
    <n v="6.2254810000000003"/>
    <n v="-75.599737000000005"/>
    <s v="6.231834, -75.597142"/>
    <n v="6.2318340000000001"/>
    <n v="-75.597142000000005"/>
    <x v="4"/>
  </r>
  <r>
    <s v="9615b5f9340fc1d9"/>
    <s v="04_09_2026_AR_Diur.gpx"/>
    <s v="9615b5f9340fc1d991a73c5f3e443a88cf132ac7e10922c86a3fcfbbc4ef37e1"/>
    <x v="3"/>
    <x v="0"/>
    <s v="Viernes"/>
    <x v="1"/>
    <s v="AR"/>
    <s v="DIURNO"/>
    <n v="4173"/>
    <s v="04/09/2026 08:13:49"/>
    <s v="08:30"/>
    <d v="1899-12-30T00:16:11"/>
    <s v="INICIO ANTES DEL HORARIO"/>
    <s v="04/09/2026 15:29:13"/>
    <s v="16:00"/>
    <d v="1899-12-30T00:30:47"/>
    <s v="TERMINÓ ANTES"/>
    <d v="1899-12-30T07:15:24"/>
    <n v="52.353999999999999"/>
    <n v="8.91"/>
    <d v="1899-12-30T05:52:43"/>
    <d v="1899-12-30T03:17:50"/>
    <d v="1899-12-30T00:00:00"/>
    <n v="0"/>
    <n v="0"/>
    <n v="0"/>
    <n v="0"/>
    <n v="0"/>
    <n v="2"/>
    <s v="REVISAR"/>
    <s v="Inicio GPS anterior al horario: 00:16:11 antes de las 08:30.; Fin GPS anticipado: 00:30:47 antes de las 16:00.; 2 hueco(s) GPS &gt;= 10 min."/>
    <s v="6.231545, -75.601986"/>
    <n v="6.2315449999999997"/>
    <n v="-75.601985999999997"/>
    <s v="6.238666, -75.607447"/>
    <n v="6.2386660000000003"/>
    <n v="-75.607446999999993"/>
    <x v="27"/>
  </r>
  <r>
    <s v="15606f86181ba976"/>
    <s v="04_09_2026_HC_Diur.gpx"/>
    <s v="15606f86181ba976bbf7360fa1a9da147bd167abd2b5f826852979079eff5ee2"/>
    <x v="3"/>
    <x v="0"/>
    <s v="Viernes"/>
    <x v="2"/>
    <s v="HC"/>
    <s v="DIURNO"/>
    <n v="4051"/>
    <s v="04/09/2026 08:28:14"/>
    <s v="08:30"/>
    <d v="1899-12-30T00:01:46"/>
    <s v="INICIO CUMPLE"/>
    <s v="04/09/2026 14:16:29"/>
    <s v="16:00"/>
    <d v="1899-12-30T01:43:31"/>
    <s v="TERMINÓ ANTES"/>
    <d v="1899-12-30T05:48:15"/>
    <n v="51.945"/>
    <n v="13.13"/>
    <d v="1899-12-30T03:57:20"/>
    <d v="1899-12-30T01:39:14"/>
    <d v="1899-12-30T00:00:00"/>
    <n v="0"/>
    <n v="0"/>
    <n v="0"/>
    <n v="0"/>
    <n v="0"/>
    <n v="0"/>
    <s v="INICIO CUMPLE / FIN ANTICIPADO"/>
    <s v="Inicio GPS dentro de la tolerancia del horario programado.; Fin GPS anticipado: 01:43:31 antes de las 16:00."/>
    <s v="6.225321, -75.599405"/>
    <n v="6.2253210000000001"/>
    <n v="-75.599405000000004"/>
    <s v="6.302853, -75.580264"/>
    <n v="6.3028529999999998"/>
    <n v="-75.580264"/>
    <x v="28"/>
  </r>
  <r>
    <s v="30294c7323b53f87"/>
    <s v="04_09_2026_JA_Diur.gpx"/>
    <s v="30294c7323b53f877b2f60ef26ad4ab4bd9955ef33bc286850a5410f92aee2cb"/>
    <x v="3"/>
    <x v="0"/>
    <s v="Viernes"/>
    <x v="3"/>
    <s v="JA"/>
    <s v="DIURNO"/>
    <n v="2454"/>
    <s v="04/09/2026 10:40:12"/>
    <s v="08:30"/>
    <d v="1899-12-30T02:10:12"/>
    <s v="INICIO TARDÍO"/>
    <s v="04/09/2026 12:37:08"/>
    <s v="16:00"/>
    <d v="1899-12-30T03:22:52"/>
    <s v="TERMINÓ ANTES"/>
    <d v="1899-12-30T01:56:56"/>
    <n v="33.722000000000001"/>
    <n v="18.940000000000001"/>
    <d v="1899-12-30T01:46:51"/>
    <d v="1899-12-30T00:33:11"/>
    <d v="1899-12-30T00:00:00"/>
    <n v="0"/>
    <n v="0"/>
    <n v="0"/>
    <n v="0"/>
    <n v="0"/>
    <n v="0"/>
    <s v="INICIO TARDÍO / FIN ANTICIPADO"/>
    <s v="Inicio GPS tardío: 02:10:12 después de las 08:30.; Fin GPS anticipado: 03:22:52 antes de las 16:00."/>
    <s v="6.225690, -75.600273"/>
    <n v="6.2256900000000002"/>
    <n v="-75.600273000000001"/>
    <s v="6.237877, -75.559748"/>
    <n v="6.2378770000000001"/>
    <n v="-75.559747999999999"/>
    <x v="29"/>
  </r>
  <r>
    <s v="369bcd10a8aa24b4"/>
    <s v="04_09_2026_JO_Diur.gpx"/>
    <s v="369bcd10a8aa24b4ac1b3f642e1851b4fba02eb337d72fba41076e4cf4ca444b"/>
    <x v="3"/>
    <x v="0"/>
    <s v="Viernes"/>
    <x v="4"/>
    <s v="JO"/>
    <s v="DIURNO"/>
    <n v="6851"/>
    <s v="04/09/2026 08:11:44"/>
    <s v="08:30"/>
    <d v="1899-12-30T00:18:15"/>
    <s v="INICIO ANTES DEL HORARIO"/>
    <s v="04/09/2026 16:01:38"/>
    <s v="16:00"/>
    <d v="1899-12-30T00:01:38"/>
    <s v="FIN CUMPLE"/>
    <d v="1899-12-30T07:49:54"/>
    <n v="48.073999999999998"/>
    <n v="12.47"/>
    <d v="1899-12-30T03:51:18"/>
    <d v="1899-12-30T02:34:02"/>
    <d v="1899-12-30T00:00:00"/>
    <n v="0"/>
    <n v="0"/>
    <n v="0"/>
    <n v="0"/>
    <n v="0"/>
    <n v="13"/>
    <s v="REVISAR"/>
    <s v="Inicio GPS anterior al horario: 00:18:15 antes de las 08:30.; Fin GPS dentro de la tolerancia del horario programado.; 13 hueco(s) GPS &gt;= 10 min."/>
    <s v="6.225625, -75.599158"/>
    <n v="6.225625"/>
    <n v="-75.599158000000003"/>
    <s v="6.259238, -75.620984"/>
    <n v="6.2592379999999999"/>
    <n v="-75.620984000000007"/>
    <x v="4"/>
  </r>
  <r>
    <s v="8bba77db5a7b9e67"/>
    <s v="04_09_2026_SJ_Diur.gpx"/>
    <s v="8bba77db5a7b9e670382bf6826a206f7f71b325fe4944b5410d50c68a13bf176"/>
    <x v="3"/>
    <x v="0"/>
    <s v="Viernes"/>
    <x v="6"/>
    <s v="SJ"/>
    <s v="DIURNO"/>
    <n v="2339"/>
    <s v="04/09/2026 08:31:52"/>
    <s v="08:30"/>
    <d v="1899-12-30T00:01:52"/>
    <s v="INICIO CUMPLE"/>
    <s v="04/09/2026 13:57:07"/>
    <s v="16:00"/>
    <d v="1899-12-30T02:02:53"/>
    <s v="TERMINÓ ANTES"/>
    <d v="1899-12-30T05:25:15"/>
    <n v="31.079000000000001"/>
    <n v="8.7100000000000009"/>
    <d v="1899-12-30T03:34:01"/>
    <d v="1899-12-30T02:20:28"/>
    <d v="1899-12-30T00:00:00"/>
    <n v="0"/>
    <n v="0"/>
    <n v="0"/>
    <n v="0"/>
    <n v="0"/>
    <n v="0"/>
    <s v="INICIO CUMPLE / FIN ANTICIPADO"/>
    <s v="Inicio GPS dentro de la tolerancia del horario programado.; Fin GPS anticipado: 02:02:53 antes de las 16:00."/>
    <s v="6.225776, -75.599372"/>
    <n v="6.2257759999999998"/>
    <n v="-75.599372000000002"/>
    <s v="6.295776, -75.575109"/>
    <n v="6.295776"/>
    <n v="-75.575108999999998"/>
    <x v="30"/>
  </r>
  <r>
    <s v="21e99cb3ea7ab02e"/>
    <s v="04_09_2026_YL_Diur.gpx"/>
    <s v="21e99cb3ea7ab02ed5c3713154f284943d4ff90d25d96e17f15687e3f1d9068c"/>
    <x v="3"/>
    <x v="0"/>
    <s v="Viernes"/>
    <x v="7"/>
    <s v="YL"/>
    <s v="DIURNO"/>
    <n v="1557"/>
    <s v="04/09/2026 08:31:28"/>
    <s v="08:30"/>
    <d v="1899-12-30T00:01:28"/>
    <s v="INICIO CUMPLE"/>
    <s v="04/09/2026 12:54:28"/>
    <s v="16:00"/>
    <d v="1899-12-30T03:05:32"/>
    <s v="TERMINÓ ANTES"/>
    <d v="1899-12-30T04:23:00"/>
    <n v="20.120999999999999"/>
    <n v="7.44"/>
    <d v="1899-12-30T02:42:10"/>
    <d v="1899-12-30T01:49:30"/>
    <d v="1899-12-30T00:00:00"/>
    <n v="0"/>
    <n v="0"/>
    <n v="0"/>
    <n v="0"/>
    <n v="0"/>
    <n v="0"/>
    <s v="INICIO CUMPLE / FIN ANTICIPADO"/>
    <s v="Inicio GPS dentro de la tolerancia del horario programado.; Fin GPS anticipado: 03:05:32 antes de las 16:00."/>
    <s v="6.225621, -75.599231"/>
    <n v="6.2256210000000003"/>
    <n v="-75.599231000000003"/>
    <s v="6.225365, -75.599449"/>
    <n v="6.225365"/>
    <n v="-75.599449000000007"/>
    <x v="31"/>
  </r>
  <r>
    <s v="a3f85936935b2bce"/>
    <s v="05_09_2026_AR_Diur.gpx"/>
    <s v="a3f85936935b2bceae939db9febf049781c55bc0bcc3dfc4f696c1a769cc1c8a"/>
    <x v="4"/>
    <x v="0"/>
    <s v="Sábado"/>
    <x v="1"/>
    <s v="AR"/>
    <s v="DIURNO"/>
    <n v="2747"/>
    <s v="05/09/2026 08:24:38"/>
    <s v="08:30"/>
    <d v="1899-12-30T00:05:22"/>
    <s v="INICIO CUMPLE"/>
    <s v="05/09/2026 16:05:40"/>
    <s v="16:00"/>
    <d v="1899-12-30T00:05:40"/>
    <s v="FIN CUMPLE"/>
    <d v="1899-12-30T07:41:02"/>
    <n v="36.771000000000001"/>
    <n v="6.61"/>
    <d v="1899-12-30T05:33:59"/>
    <d v="1899-12-30T04:03:15"/>
    <d v="1899-12-30T00:00:00"/>
    <n v="0"/>
    <n v="0"/>
    <n v="0"/>
    <n v="0"/>
    <n v="0"/>
    <n v="1"/>
    <s v="DENTRO DE HORARIO"/>
    <s v="Inicio GPS dentro de la tolerancia del horario programado.; Fin GPS dentro de la tolerancia del horario programado.; 1 hueco(s) GPS &gt;= 10 min."/>
    <s v="6.247937, -75.615140"/>
    <n v="6.2479370000000003"/>
    <n v="-75.615139999999997"/>
    <s v="6.241890, -75.607436"/>
    <n v="6.2418899999999997"/>
    <n v="-75.607436000000007"/>
    <x v="4"/>
  </r>
  <r>
    <s v="4a0dcf220721d050"/>
    <s v="05_09_2026_DR_Diur.gpx"/>
    <s v="4a0dcf220721d0506a185f1f04e487aaaf5f771eb6b09e65cb548015d356cc43"/>
    <x v="4"/>
    <x v="0"/>
    <s v="Sábado"/>
    <x v="8"/>
    <s v="DR"/>
    <s v="DIURNO"/>
    <n v="2654"/>
    <s v="05/09/2026 09:26:49"/>
    <s v="08:30"/>
    <d v="1899-12-30T00:56:49"/>
    <s v="INICIO TARDÍO"/>
    <s v="05/09/2026 15:44:36"/>
    <s v="16:00"/>
    <d v="1899-12-30T00:15:24"/>
    <s v="TERMINÓ ANTES"/>
    <d v="1899-12-30T06:17:47"/>
    <n v="34.832000000000001"/>
    <n v="8.4700000000000006"/>
    <d v="1899-12-30T04:06:42"/>
    <d v="1899-12-30T02:50:21"/>
    <d v="1899-12-30T00:00:00"/>
    <n v="0"/>
    <n v="0"/>
    <n v="0"/>
    <n v="0"/>
    <n v="0"/>
    <n v="1"/>
    <s v="INICIO TARDÍO / FIN ANTICIPADO"/>
    <s v="Inicio GPS tardío: 00:56:49 después de las 08:30.; Fin GPS anticipado: 00:15:24 antes de las 16:00.; 1 hueco(s) GPS &gt;= 10 min."/>
    <s v="6.247848, -75.614916"/>
    <n v="6.2478480000000003"/>
    <n v="-75.614915999999994"/>
    <s v="6.274836, -75.585511"/>
    <n v="6.2748359999999996"/>
    <n v="-75.585510999999997"/>
    <x v="32"/>
  </r>
  <r>
    <s v="7370c255e8fd019d"/>
    <s v="04_09_2026_DV_Noct.gpx"/>
    <s v="7370c255e8fd019d8385ecdc294131f35a734ddaef4ab6dda7b559fff19fdc82"/>
    <x v="3"/>
    <x v="0"/>
    <s v="Viernes"/>
    <x v="9"/>
    <s v="DV"/>
    <s v="NOCTURNO"/>
    <n v="4693"/>
    <s v="04/09/2026 17:43:38"/>
    <s v="18:00"/>
    <d v="1899-12-30T00:16:22"/>
    <s v="INICIO ANTES DEL HORARIO"/>
    <s v="05/09/2026 00:09:13"/>
    <s v="00:00"/>
    <d v="1899-12-30T00:09:13"/>
    <s v="FIN CUMPLE"/>
    <d v="1899-12-30T06:25:35"/>
    <n v="58.811"/>
    <n v="10.26"/>
    <d v="1899-12-30T05:43:47"/>
    <d v="1899-12-30T02:30:38"/>
    <d v="1899-12-30T00:00:00"/>
    <n v="0"/>
    <n v="0"/>
    <n v="0"/>
    <n v="0"/>
    <n v="0"/>
    <n v="0"/>
    <s v="REVISAR"/>
    <s v="Inicio GPS anterior al horario: 00:16:22 antes de las 18:00.; Fin GPS dentro de la tolerancia del horario programado."/>
    <s v="6.272751, -75.601885"/>
    <n v="6.2727510000000004"/>
    <n v="-75.601884999999996"/>
    <s v="6.273257, -75.602137"/>
    <n v="6.2732570000000001"/>
    <n v="-75.602136999999999"/>
    <x v="4"/>
  </r>
  <r>
    <s v="1afb68ab74f3965a"/>
    <s v="04_09_2026_IQ_Noct.gpx"/>
    <s v="1afb68ab74f3965aa105f27eb0ba0f0ad14ccf3cbd17f237c0ae79bf0bf45e6f"/>
    <x v="3"/>
    <x v="0"/>
    <s v="Viernes"/>
    <x v="10"/>
    <s v="IQ"/>
    <s v="NOCTURNO"/>
    <n v="2040"/>
    <s v="04/09/2026 17:10:52"/>
    <s v="18:00"/>
    <d v="1899-12-30T00:49:08"/>
    <s v="INICIO ANTES DEL HORARIO"/>
    <s v="04/09/2026 23:52:40"/>
    <s v="00:00"/>
    <d v="1899-12-30T00:07:20"/>
    <s v="FIN CUMPLE"/>
    <d v="1899-12-30T06:41:48"/>
    <n v="31.716999999999999"/>
    <n v="8.7899999999999991"/>
    <d v="1899-12-30T03:36:25"/>
    <d v="1899-12-30T02:34:34"/>
    <d v="1899-12-30T00:00:00"/>
    <n v="0"/>
    <n v="0"/>
    <n v="0"/>
    <n v="0"/>
    <n v="0"/>
    <n v="4"/>
    <s v="REVISAR"/>
    <s v="Inicio GPS anterior al horario: 00:49:08 antes de las 18:00.; Fin GPS dentro de la tolerancia del horario programado.; 4 hueco(s) GPS &gt;= 10 min."/>
    <s v="6.267013, -75.550280"/>
    <n v="6.2670130000000004"/>
    <n v="-75.550280000000001"/>
    <s v="6.267777, -75.558898"/>
    <n v="6.2677769999999997"/>
    <n v="-75.558897999999999"/>
    <x v="4"/>
  </r>
  <r>
    <s v="79508a861b1aa2c4"/>
    <s v="04_09_2026_JHP_Noct.gpx"/>
    <s v="79508a861b1aa2c47cb40a04cc7048204a785b1cfdf597fe13581d8c89bf6d28"/>
    <x v="3"/>
    <x v="0"/>
    <s v="Viernes"/>
    <x v="11"/>
    <s v="JHP"/>
    <s v="NOCTURNO"/>
    <n v="6045"/>
    <s v="04/09/2026 17:58:25"/>
    <s v="18:00"/>
    <d v="1899-12-30T00:01:35"/>
    <s v="INICIO CUMPLE"/>
    <s v="05/09/2026 00:10:40"/>
    <s v="00:00"/>
    <d v="1899-12-30T00:10:40"/>
    <s v="FIN CUMPLE"/>
    <d v="1899-12-30T06:12:15"/>
    <n v="77.063999999999993"/>
    <n v="16.079999999999998"/>
    <d v="1899-12-30T04:47:33"/>
    <d v="1899-12-30T00:57:03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  <s v="6.290621, -75.546622"/>
    <n v="6.2906209999999998"/>
    <n v="-75.546621999999999"/>
    <s v="6.290424, -75.546570"/>
    <n v="6.2904239999999998"/>
    <n v="-75.546570000000003"/>
    <x v="4"/>
  </r>
  <r>
    <s v="deedbdb22b548406"/>
    <s v="04_09_2026_JP_Noct.gpx"/>
    <s v="deedbdb22b548406f1667ee478d28be706a47624138e6929e01f19a5956cdc4e"/>
    <x v="3"/>
    <x v="0"/>
    <s v="Viernes"/>
    <x v="12"/>
    <s v="JP"/>
    <s v="NOCTURNO"/>
    <n v="4696"/>
    <s v="04/09/2026 17:52:00"/>
    <s v="18:00"/>
    <d v="1899-12-30T00:08:00"/>
    <s v="INICIO CUMPLE"/>
    <s v="04/09/2026 23:47:09"/>
    <s v="00:00"/>
    <d v="1899-12-30T00:12:51"/>
    <s v="FIN CUMPLE"/>
    <d v="1899-12-30T05:55:09"/>
    <n v="64.072000000000003"/>
    <n v="12.29"/>
    <d v="1899-12-30T05:12:47"/>
    <d v="1899-12-30T02:39:47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  <s v="6.250288, -75.552210"/>
    <n v="6.2502880000000003"/>
    <n v="-75.552210000000002"/>
    <s v="6.251782, -75.551778"/>
    <n v="6.2517820000000004"/>
    <n v="-75.551777999999999"/>
    <x v="4"/>
  </r>
  <r>
    <s v="6b55b67b7e632ebf"/>
    <s v="04_09_2026_LA_Noct.gpx"/>
    <s v="6b55b67b7e632ebf3d6c5a266758d1245e9b255fec6178a3d9b57e94770c4014"/>
    <x v="3"/>
    <x v="0"/>
    <s v="Viernes"/>
    <x v="13"/>
    <s v="LA"/>
    <s v="NOCTURNO"/>
    <n v="9697"/>
    <s v="04/09/2026 17:30:26"/>
    <s v="18:00"/>
    <d v="1899-12-30T00:29:33"/>
    <s v="INICIO ANTES DEL HORARIO"/>
    <s v="05/09/2026 00:08:50"/>
    <s v="00:00"/>
    <d v="1899-12-30T00:08:51"/>
    <s v="FIN CUMPLE"/>
    <d v="1899-12-30T06:38:24"/>
    <n v="49.506"/>
    <n v="13.49"/>
    <d v="1899-12-30T03:40:12"/>
    <d v="1899-12-30T02:41:45"/>
    <d v="1899-12-30T00:00:00"/>
    <n v="0"/>
    <n v="0"/>
    <n v="0"/>
    <n v="0"/>
    <n v="0"/>
    <n v="4"/>
    <s v="REVISAR"/>
    <s v="Inicio GPS anterior al horario: 00:29:33 antes de las 18:00.; Fin GPS dentro de la tolerancia del horario programado.; 4 hueco(s) GPS &gt;= 10 min."/>
    <s v="6.268417, -75.599548"/>
    <n v="6.2684170000000003"/>
    <n v="-75.599547999999999"/>
    <s v="6.268492, -75.599115"/>
    <n v="6.2684920000000002"/>
    <n v="-75.599114999999998"/>
    <x v="4"/>
  </r>
  <r>
    <s v="ef36d8739a581064"/>
    <s v="05_09_2026_YL_Noct.gpx"/>
    <s v="ef36d8739a5810643a61bb23a41c5d9545047dfd3f97967e3b0f54cbd65596b5"/>
    <x v="4"/>
    <x v="0"/>
    <s v="Sábado"/>
    <x v="7"/>
    <s v="YL"/>
    <s v="NOCTURNO"/>
    <n v="3556"/>
    <s v="05/09/2026 17:27:03"/>
    <s v="18:00"/>
    <d v="1899-12-30T00:32:57"/>
    <s v="INICIO ANTES DEL HORARIO"/>
    <s v="06/09/2026 00:07:39"/>
    <s v="00:00"/>
    <d v="1899-12-30T00:07:39"/>
    <s v="FIN CUMPLE"/>
    <d v="1899-12-30T06:40:36"/>
    <n v="46.487000000000002"/>
    <n v="9.6300000000000008"/>
    <d v="1899-12-30T04:49:41"/>
    <d v="1899-12-30T02:41:26"/>
    <d v="1899-12-30T00:00:00"/>
    <n v="0"/>
    <n v="0"/>
    <n v="0"/>
    <n v="0"/>
    <n v="0"/>
    <n v="0"/>
    <s v="REVISAR"/>
    <s v="Inicio GPS anterior al horario: 00:32:57 antes de las 18:00.; Fin GPS dentro de la tolerancia del horario programado.; Sábado nocturno: verificar técnico asignado."/>
    <s v="6.258504, -75.616452"/>
    <n v="6.2585040000000003"/>
    <n v="-75.616451999999995"/>
    <s v="6.258514, -75.616004"/>
    <n v="6.2585139999999999"/>
    <n v="-75.616004000000004"/>
    <x v="4"/>
  </r>
  <r>
    <s v="8b91759faefa088e"/>
    <s v="04_09_2026_DR_Noct.gpx"/>
    <s v="8b91759faefa088e6e2474bd6ad0e5900a77bdfbcac1bb2728706931eb179193"/>
    <x v="3"/>
    <x v="0"/>
    <s v="Viernes"/>
    <x v="8"/>
    <s v="DR"/>
    <s v="NOCTURNO"/>
    <n v="1805"/>
    <s v="04/09/2026 18:42:51"/>
    <s v="18:00"/>
    <d v="1899-12-30T00:42:51"/>
    <s v="INICIO TARDÍO"/>
    <s v="04/09/2026 22:55:07"/>
    <s v="00:00"/>
    <d v="1899-12-30T01:04:53"/>
    <s v="TERMINÓ ANTES"/>
    <d v="1899-12-30T04:12:16"/>
    <n v="26.018999999999998"/>
    <n v="8.59"/>
    <d v="1899-12-30T03:01:41"/>
    <d v="1899-12-30T02:06:30"/>
    <d v="1899-12-30T00:00:00"/>
    <n v="0"/>
    <n v="0"/>
    <n v="0"/>
    <n v="0"/>
    <n v="0"/>
    <n v="1"/>
    <s v="INICIO TARDÍO / FIN ANTICIPADO"/>
    <s v="Inicio GPS tardío: 00:42:51 después de las 18:00.; Fin GPS anticipado: 01:04:53 antes de las 00:00.; 1 hueco(s) GPS &gt;= 10 min."/>
    <s v="6.247718, -75.614855"/>
    <n v="6.2477179999999999"/>
    <n v="-75.614855000000006"/>
    <s v="6.250980, -75.605257"/>
    <n v="6.2509800000000002"/>
    <n v="-75.605256999999995"/>
    <x v="33"/>
  </r>
  <r>
    <s v="5b2112e7686d3a70"/>
    <s v="07_09_2026_AO_Diur.gpx"/>
    <s v="5b2112e7686d3a7072fd6028faec676eafff119dcd1d63a95637a4d43914ea54"/>
    <x v="5"/>
    <x v="0"/>
    <s v="Lunes"/>
    <x v="0"/>
    <s v="AO"/>
    <s v="DIURNO"/>
    <n v="4138"/>
    <s v="07/09/2026 08:54:54"/>
    <s v="08:30"/>
    <d v="1899-12-30T00:24:54"/>
    <s v="INICIO TARDÍO"/>
    <s v="07/09/2026 16:06:20"/>
    <s v="16:30"/>
    <d v="1899-12-30T00:23:39"/>
    <s v="TERMINÓ ANTES"/>
    <d v="1899-12-30T07:11:27"/>
    <n v="31.646000000000001"/>
    <n v="17.079999999999998"/>
    <d v="1899-12-30T01:51:08"/>
    <d v="1899-12-30T01:03:43"/>
    <d v="1899-12-30T00:00:00"/>
    <n v="0"/>
    <n v="0"/>
    <n v="0"/>
    <n v="0"/>
    <n v="0"/>
    <n v="4"/>
    <s v="INICIO TARDÍO / FIN ANTICIPADO"/>
    <s v="Inicio GPS tardío: 00:24:54 después de las 08:30.; Fin GPS anticipado: 00:23:39 antes de las 16:30.; 4 hueco(s) GPS &gt;= 10 min."/>
    <s v="6.225346, -75.599775"/>
    <n v="6.225346"/>
    <n v="-75.599774999999994"/>
    <s v="6.221587, -75.593845"/>
    <n v="6.2215870000000004"/>
    <n v="-75.593845000000002"/>
    <x v="34"/>
  </r>
  <r>
    <s v="97f01b7545fc3f4e"/>
    <s v="07_09_2026_AR_Diur.gpx"/>
    <s v="97f01b7545fc3f4ef98fc90cc8c8a20219600041914d00b25cb4adc6a40c5fa2"/>
    <x v="5"/>
    <x v="0"/>
    <s v="Lunes"/>
    <x v="1"/>
    <s v="AR"/>
    <s v="DIURNO"/>
    <n v="2338"/>
    <s v="07/09/2026 08:14:07"/>
    <s v="08:30"/>
    <d v="1899-12-30T00:15:53"/>
    <s v="INICIO ANTES DEL HORARIO"/>
    <s v="07/09/2026 16:35:50"/>
    <s v="16:30"/>
    <d v="1899-12-30T00:05:50"/>
    <s v="FIN CUMPLE"/>
    <d v="1899-12-30T08:21:43"/>
    <n v="28.484000000000002"/>
    <n v="5.7"/>
    <d v="1899-12-30T05:00:03"/>
    <d v="1899-12-30T03:44:22"/>
    <d v="1899-12-30T00:00:00"/>
    <n v="0"/>
    <n v="0"/>
    <n v="0"/>
    <n v="0"/>
    <n v="0"/>
    <n v="2"/>
    <s v="REVISAR"/>
    <s v="Inicio GPS anterior al horario: 00:15:53 antes de las 08:30.; Fin GPS dentro de la tolerancia del horario programado.; 2 hueco(s) GPS &gt;= 10 min."/>
    <s v="6.225333, -75.599201"/>
    <n v="6.225333"/>
    <n v="-75.599200999999994"/>
    <s v="6.247786, -75.615042"/>
    <n v="6.2477859999999996"/>
    <n v="-75.615042000000003"/>
    <x v="4"/>
  </r>
  <r>
    <s v="31d6c3e6ba90b488"/>
    <s v="07_09_2026_DR_Diur.gpx"/>
    <s v="31d6c3e6ba90b488df9cd14d5b9516273512af9e57589052ad9faaa10b7e228b"/>
    <x v="5"/>
    <x v="0"/>
    <s v="Lunes"/>
    <x v="8"/>
    <s v="DR"/>
    <s v="DIURNO"/>
    <n v="1619"/>
    <s v="07/09/2026 09:48:00"/>
    <s v="08:30"/>
    <d v="1899-12-30T01:18:00"/>
    <s v="INICIO TARDÍO"/>
    <s v="07/09/2026 14:00:19"/>
    <s v="16:30"/>
    <d v="1899-12-30T02:29:41"/>
    <s v="TERMINÓ ANTES"/>
    <d v="1899-12-30T04:12:19"/>
    <n v="20.939"/>
    <n v="8.64"/>
    <d v="1899-12-30T02:25:26"/>
    <d v="1899-12-30T01:32:47"/>
    <d v="1899-12-30T00:00:00"/>
    <n v="0"/>
    <n v="0"/>
    <n v="0"/>
    <n v="0"/>
    <n v="0"/>
    <n v="0"/>
    <s v="INICIO TARDÍO / FIN ANTICIPADO"/>
    <s v="Inicio GPS tardío: 01:18:00 después de las 08:30.; Fin GPS anticipado: 02:29:41 antes de las 16:30."/>
    <s v="6.225232, -75.598584"/>
    <n v="6.2252320000000001"/>
    <n v="-75.598584000000002"/>
    <s v="6.263559, -75.597028"/>
    <n v="6.2635589999999999"/>
    <n v="-75.597027999999995"/>
    <x v="35"/>
  </r>
  <r>
    <s v="b29fa710d0c63e23"/>
    <s v="07_09_2026_HC_Diur.gpx"/>
    <s v="b29fa710d0c63e23fe724231fb296251a6446a3208366fe3938636f6e326ba43"/>
    <x v="5"/>
    <x v="0"/>
    <s v="Lunes"/>
    <x v="2"/>
    <s v="HC"/>
    <s v="DIURNO"/>
    <n v="5104"/>
    <s v="07/09/2026 08:29:19"/>
    <s v="08:30"/>
    <d v="1899-12-30T00:00:41"/>
    <s v="INICIO CUMPLE"/>
    <s v="07/09/2026 15:16:52"/>
    <s v="16:30"/>
    <d v="1899-12-30T01:13:08"/>
    <s v="TERMINÓ ANTES"/>
    <d v="1899-12-30T06:47:33"/>
    <n v="65.27"/>
    <n v="12.02"/>
    <d v="1899-12-30T05:25:41"/>
    <d v="1899-12-30T02:07:31"/>
    <d v="1899-12-30T00:00:00"/>
    <n v="0"/>
    <n v="0"/>
    <n v="0"/>
    <n v="0"/>
    <n v="0"/>
    <n v="1"/>
    <s v="INICIO CUMPLE / FIN ANTICIPADO"/>
    <s v="Inicio GPS dentro de la tolerancia del horario programado.; Fin GPS anticipado: 01:13:08 antes de las 16:30.; 1 hueco(s) GPS &gt;= 10 min."/>
    <s v="6.225723, -75.599405"/>
    <n v="6.2257230000000003"/>
    <n v="-75.599405000000004"/>
    <s v="6.296780, -75.582291"/>
    <n v="6.29678"/>
    <n v="-75.582290999999998"/>
    <x v="36"/>
  </r>
  <r>
    <s v="7319203feb87eb5a"/>
    <s v="07_09_2026_JA_Diur.gpx"/>
    <s v="7319203feb87eb5a6cdbee3eaa32b93abf749c17055009b85f9035c11b0c7d32"/>
    <x v="5"/>
    <x v="0"/>
    <s v="Lunes"/>
    <x v="3"/>
    <s v="JA"/>
    <s v="DIURNO"/>
    <n v="1601"/>
    <s v="07/09/2026 08:09:03"/>
    <s v="08:30"/>
    <d v="1899-12-30T00:20:57"/>
    <s v="INICIO ANTES DEL HORARIO"/>
    <s v="07/09/2026 13:16:06"/>
    <s v="16:30"/>
    <d v="1899-12-30T03:13:54"/>
    <s v="TERMINÓ ANTES"/>
    <d v="1899-12-30T05:07:03"/>
    <n v="21.873000000000001"/>
    <n v="5.07"/>
    <d v="1899-12-30T04:18:39"/>
    <d v="1899-12-30T03:32:39"/>
    <d v="1899-12-30T00:00:00"/>
    <n v="0"/>
    <n v="0"/>
    <n v="0"/>
    <n v="0"/>
    <n v="0"/>
    <n v="1"/>
    <s v="REVISAR"/>
    <s v="Inicio GPS anterior al horario: 00:20:57 antes de las 08:30.; Fin GPS anticipado: 03:13:54 antes de las 16:30.; 1 hueco(s) GPS &gt;= 10 min."/>
    <s v="6.225594, -75.599468"/>
    <n v="6.2255940000000001"/>
    <n v="-75.599468000000002"/>
    <s v="6.237031, -75.558795"/>
    <n v="6.237031"/>
    <n v="-75.558795000000003"/>
    <x v="37"/>
  </r>
  <r>
    <s v="1dc2465d752346ae"/>
    <s v="07_09_2026_JO_Diur.gpx"/>
    <s v="1dc2465d752346ae1a81a5f1ddb36a6dc3d1363cb6dc5f9174a3e01d5ad22a09"/>
    <x v="5"/>
    <x v="0"/>
    <s v="Lunes"/>
    <x v="4"/>
    <s v="JO"/>
    <s v="DIURNO"/>
    <n v="4176"/>
    <s v="07/09/2026 09:35:42"/>
    <s v="08:30"/>
    <d v="1899-12-30T01:05:43"/>
    <s v="INICIO TARDÍO"/>
    <s v="07/09/2026 16:29:23"/>
    <s v="16:30"/>
    <d v="1899-12-30T00:00:37"/>
    <s v="FIN CUMPLE"/>
    <d v="1899-12-30T06:53:40"/>
    <n v="18.858000000000001"/>
    <n v="16.82"/>
    <d v="1899-12-30T01:07:16"/>
    <d v="1899-12-30T00:49:59"/>
    <d v="1899-12-30T00:00:00"/>
    <n v="0"/>
    <n v="0"/>
    <n v="0"/>
    <n v="0"/>
    <n v="0"/>
    <n v="5"/>
    <s v="INICIO TARDÍO / FIN CUMPLE"/>
    <s v="Inicio GPS tardío: 01:05:43 después de las 08:30.; Fin GPS dentro de la tolerancia del horario programado.; 5 hueco(s) GPS &gt;= 10 min."/>
    <s v="6.225392, -75.599263"/>
    <n v="6.2253920000000003"/>
    <n v="-75.599262999999993"/>
    <s v="6.247698, -75.551683"/>
    <n v="6.2476979999999998"/>
    <n v="-75.551682999999997"/>
    <x v="38"/>
  </r>
  <r>
    <s v="927e836c2bccf3f2"/>
    <s v="07_09_2026_JZ_Diur.gpx"/>
    <s v="927e836c2bccf3f2422c3ecf9d76f1d355a673a0ecb8e22371670b11cae4974d"/>
    <x v="5"/>
    <x v="0"/>
    <s v="Lunes"/>
    <x v="5"/>
    <s v="JZ"/>
    <s v="DIURNO"/>
    <n v="6900"/>
    <s v="07/09/2026 08:08:15"/>
    <s v="08:30"/>
    <d v="1899-12-30T00:21:45"/>
    <s v="INICIO ANTES DEL HORARIO"/>
    <s v="07/09/2026 16:33:57"/>
    <s v="16:30"/>
    <d v="1899-12-30T00:03:57"/>
    <s v="FIN CUMPLE"/>
    <d v="1899-12-30T08:25:42"/>
    <n v="88.251999999999995"/>
    <n v="12.64"/>
    <d v="1899-12-30T06:58:59"/>
    <d v="1899-12-30T02:33:52"/>
    <d v="1899-12-30T00:00:00"/>
    <n v="0"/>
    <n v="0"/>
    <n v="0"/>
    <n v="0"/>
    <n v="0"/>
    <n v="0"/>
    <s v="REVISAR"/>
    <s v="Inicio GPS anterior al horario: 00:21:45 antes de las 08:30.; Fin GPS dentro de la tolerancia del horario programado."/>
    <s v="6.226682, -75.599277"/>
    <n v="6.2266820000000003"/>
    <n v="-75.599277000000001"/>
    <s v="6.308676, -75.559915"/>
    <n v="6.3086760000000002"/>
    <n v="-75.559915000000004"/>
    <x v="4"/>
  </r>
  <r>
    <s v="1cb2d1efc5faa75f"/>
    <s v="07_09_2026_SJ_Diur.gpx"/>
    <s v="1cb2d1efc5faa75f8bcfc9ca616f4116ca9722834abd750eee9615f3cf6a2c73"/>
    <x v="5"/>
    <x v="0"/>
    <s v="Lunes"/>
    <x v="6"/>
    <s v="SJ"/>
    <s v="DIURNO"/>
    <n v="3968"/>
    <s v="07/09/2026 08:30:03"/>
    <s v="08:30"/>
    <d v="1899-12-30T00:00:03"/>
    <s v="INICIO CUMPLE"/>
    <s v="07/09/2026 15:45:59"/>
    <s v="16:30"/>
    <d v="1899-12-30T00:44:01"/>
    <s v="TERMINÓ ANTES"/>
    <d v="1899-12-30T07:15:56"/>
    <n v="52.521999999999998"/>
    <n v="12.62"/>
    <d v="1899-12-30T04:09:37"/>
    <d v="1899-12-30T02:23:40"/>
    <d v="1899-12-30T00:00:00"/>
    <n v="0"/>
    <n v="0"/>
    <n v="0"/>
    <n v="0"/>
    <n v="0"/>
    <n v="0"/>
    <s v="INICIO CUMPLE / FIN ANTICIPADO"/>
    <s v="Inicio GPS dentro de la tolerancia del horario programado.; Fin GPS anticipado: 00:44:01 antes de las 16:30."/>
    <s v="6.225687, -75.599424"/>
    <n v="6.2256869999999997"/>
    <n v="-75.599423999999999"/>
    <s v="6.307050, -75.578316"/>
    <n v="6.3070500000000003"/>
    <n v="-75.578316000000001"/>
    <x v="39"/>
  </r>
  <r>
    <s v="e842e22d1cb847dd"/>
    <s v="07_09_2026_YL_Diur.gpx"/>
    <s v="e842e22d1cb847dd6d272eff331d09e9c7c38eb26e28e7fd877e59e590cdfa85"/>
    <x v="5"/>
    <x v="0"/>
    <s v="Lunes"/>
    <x v="7"/>
    <s v="YL"/>
    <s v="DIURNO"/>
    <n v="3343"/>
    <s v="07/09/2026 09:29:45"/>
    <s v="08:30"/>
    <d v="1899-12-30T00:59:45"/>
    <s v="INICIO TARDÍO"/>
    <s v="07/09/2026 16:09:13"/>
    <s v="16:30"/>
    <d v="1899-12-30T00:20:47"/>
    <s v="TERMINÓ ANTES"/>
    <d v="1899-12-30T06:39:28"/>
    <n v="45.014000000000003"/>
    <n v="10.79"/>
    <d v="1899-12-30T04:10:14"/>
    <d v="1899-12-30T02:29:28"/>
    <d v="1899-12-30T00:00:00"/>
    <n v="0"/>
    <n v="0"/>
    <n v="0"/>
    <n v="0"/>
    <n v="0"/>
    <n v="0"/>
    <s v="INICIO TARDÍO / FIN ANTICIPADO"/>
    <s v="Inicio GPS tardío: 00:59:45 después de las 08:30.; Fin GPS anticipado: 00:20:47 antes de las 16:30."/>
    <s v="6.225577, -75.599168"/>
    <n v="6.2255770000000004"/>
    <n v="-75.599168000000006"/>
    <s v="6.225343, -75.599208"/>
    <n v="6.2253429999999996"/>
    <n v="-75.599208000000004"/>
    <x v="40"/>
  </r>
  <r>
    <s v="d05ae3e9a3e0b539"/>
    <s v="08_09_2026_AO_Diur.gpx"/>
    <s v="d05ae3e9a3e0b5393207d0c5148f6536f3154bd0cb8bed56cb98e3b7e8602c08"/>
    <x v="6"/>
    <x v="0"/>
    <s v="Martes"/>
    <x v="0"/>
    <s v="AO"/>
    <s v="DIURNO"/>
    <n v="3838"/>
    <s v="08/09/2026 08:38:19"/>
    <s v="08:30"/>
    <d v="1899-12-30T00:08:19"/>
    <s v="INICIO CUMPLE"/>
    <s v="08/09/2026 16:30:13"/>
    <s v="16:30"/>
    <d v="1899-12-30T00:00:13"/>
    <s v="FIN CUMPLE"/>
    <d v="1899-12-30T07:51:54"/>
    <n v="28.545000000000002"/>
    <n v="12.49"/>
    <d v="1899-12-30T02:17:08"/>
    <d v="1899-12-30T01:34:09"/>
    <d v="1899-12-30T00:00:00"/>
    <n v="0"/>
    <n v="0"/>
    <n v="0"/>
    <n v="0"/>
    <n v="0"/>
    <n v="8"/>
    <s v="DENTRO DE HORARIO"/>
    <s v="Inicio GPS dentro de la tolerancia del horario programado.; Fin GPS dentro de la tolerancia del horario programado.; 8 hueco(s) GPS &gt;= 10 min."/>
    <s v="6.221750, -75.593791"/>
    <n v="6.2217500000000001"/>
    <n v="-75.593790999999996"/>
    <s v="6.232172, -75.597104"/>
    <n v="6.2321720000000003"/>
    <n v="-75.597104000000002"/>
    <x v="4"/>
  </r>
  <r>
    <s v="8fb26cd9beb300ad"/>
    <s v="08_09_2026_AR_Diur.gpx"/>
    <s v="8fb26cd9beb300ad25705e9f992bf41fe4d9862054021d4b1f162f6fc890e776"/>
    <x v="6"/>
    <x v="0"/>
    <s v="Martes"/>
    <x v="1"/>
    <s v="AR"/>
    <s v="DIURNO"/>
    <n v="2322"/>
    <s v="08/09/2026 07:57:45"/>
    <s v="08:30"/>
    <d v="1899-12-30T00:32:15"/>
    <s v="INICIO ANTES DEL HORARIO"/>
    <s v="08/09/2026 15:31:55"/>
    <s v="16:30"/>
    <d v="1899-12-30T00:58:05"/>
    <s v="TERMINÓ ANTES"/>
    <d v="1899-12-30T07:34:10"/>
    <n v="30.937000000000001"/>
    <n v="5.82"/>
    <d v="1899-12-30T05:18:50"/>
    <d v="1899-12-30T04:09:06"/>
    <d v="1899-12-30T00:00:00"/>
    <n v="0"/>
    <n v="0"/>
    <n v="0"/>
    <n v="0"/>
    <n v="0"/>
    <n v="3"/>
    <s v="REVISAR"/>
    <s v="Inicio GPS anterior al horario: 00:32:15 antes de las 08:30.; Fin GPS anticipado: 00:58:05 antes de las 16:30.; 3 hueco(s) GPS &gt;= 10 min."/>
    <s v="6.225645, -75.599376"/>
    <n v="6.2256450000000001"/>
    <n v="-75.599376000000007"/>
    <s v="6.251752, -75.606869"/>
    <n v="6.2517519999999998"/>
    <n v="-75.606869000000003"/>
    <x v="41"/>
  </r>
  <r>
    <s v="c8d3c6782c8f7561"/>
    <s v="08_09_2026_HC_Diur.gpx"/>
    <s v="c8d3c6782c8f75617787b988619e0aae675ab27acbdf5709a6c6017e077c7963"/>
    <x v="6"/>
    <x v="0"/>
    <s v="Martes"/>
    <x v="2"/>
    <s v="HC"/>
    <s v="DIURNO"/>
    <n v="4626"/>
    <s v="08/09/2026 08:38:04"/>
    <s v="08:30"/>
    <d v="1899-12-30T00:08:04"/>
    <s v="INICIO CUMPLE"/>
    <s v="08/09/2026 13:49:43"/>
    <s v="16:30"/>
    <d v="1899-12-30T02:40:17"/>
    <s v="TERMINÓ ANTES"/>
    <d v="1899-12-30T05:11:39"/>
    <n v="64.143000000000001"/>
    <n v="18.079999999999998"/>
    <d v="1899-12-30T03:32:50"/>
    <d v="1899-12-30T01:09:36"/>
    <d v="1899-12-30T00:00:00"/>
    <n v="0"/>
    <n v="0"/>
    <n v="0"/>
    <n v="0"/>
    <n v="0"/>
    <n v="0"/>
    <s v="INICIO CUMPLE / FIN ANTICIPADO"/>
    <s v="Inicio GPS dentro de la tolerancia del horario programado.; Fin GPS anticipado: 02:40:17 antes de las 16:30."/>
    <s v="6.225651, -75.599455"/>
    <n v="6.225651"/>
    <n v="-75.599455000000006"/>
    <s v="6.258815, -75.597380"/>
    <n v="6.2588150000000002"/>
    <n v="-75.597380000000001"/>
    <x v="42"/>
  </r>
  <r>
    <s v="6b0e4d9d405ffcfb"/>
    <s v="08_09_2026_JA_Diur.gpx"/>
    <s v="6b0e4d9d405ffcfbe2b50e4da5a497346f4379439dc9745668c041b91e9a80eb"/>
    <x v="6"/>
    <x v="0"/>
    <s v="Martes"/>
    <x v="3"/>
    <s v="JA"/>
    <s v="DIURNO"/>
    <n v="1888"/>
    <s v="08/09/2026 08:20:29"/>
    <s v="08:30"/>
    <d v="1899-12-30T00:09:31"/>
    <s v="INICIO CUMPLE"/>
    <s v="08/09/2026 12:24:30"/>
    <s v="16:30"/>
    <d v="1899-12-30T04:05:30"/>
    <s v="TERMINÓ ANTES"/>
    <d v="1899-12-30T04:04:01"/>
    <n v="25.75"/>
    <n v="9"/>
    <d v="1899-12-30T02:51:41"/>
    <d v="1899-12-30T01:57:45"/>
    <d v="1899-12-30T00:00:00"/>
    <n v="0"/>
    <n v="0"/>
    <n v="0"/>
    <n v="0"/>
    <n v="0"/>
    <n v="2"/>
    <s v="INICIO CUMPLE / FIN ANTICIPADO"/>
    <s v="Inicio GPS dentro de la tolerancia del horario programado.; Fin GPS anticipado: 04:05:30 antes de las 16:30.; 2 hueco(s) GPS &gt;= 10 min."/>
    <s v="6.225740, -75.599145"/>
    <n v="6.2257400000000001"/>
    <n v="-75.599144999999993"/>
    <s v="6.246533, -75.568452"/>
    <n v="6.2465330000000003"/>
    <n v="-75.568451999999994"/>
    <x v="43"/>
  </r>
  <r>
    <s v="23886afeb9d1ab61"/>
    <s v="08_09_2026_JO_Diur.gpx"/>
    <s v="23886afeb9d1ab619864a069d2b1db0805b5316ab1ceeb7c01691672d9251a94"/>
    <x v="6"/>
    <x v="0"/>
    <s v="Martes"/>
    <x v="4"/>
    <s v="JO"/>
    <s v="DIURNO"/>
    <n v="6764"/>
    <s v="08/09/2026 08:26:51"/>
    <s v="08:30"/>
    <d v="1899-12-30T00:03:09"/>
    <s v="INICIO CUMPLE"/>
    <s v="08/09/2026 16:16:30"/>
    <s v="16:30"/>
    <d v="1899-12-30T00:13:30"/>
    <s v="FIN CUMPLE"/>
    <d v="1899-12-30T07:49:39"/>
    <n v="45.899000000000001"/>
    <n v="22.44"/>
    <d v="1899-12-30T02:02:45"/>
    <d v="1899-12-30T00:48:20"/>
    <d v="1899-12-30T00:00:00"/>
    <n v="0"/>
    <n v="0"/>
    <n v="0"/>
    <n v="0"/>
    <n v="0"/>
    <n v="10"/>
    <s v="DENTRO DE HORARIO"/>
    <s v="Inicio GPS dentro de la tolerancia del horario programado.; Fin GPS dentro de la tolerancia del horario programado.; 10 hueco(s) GPS &gt;= 10 min."/>
    <s v="6.225590, -75.599134"/>
    <n v="6.2255900000000004"/>
    <n v="-75.599134000000006"/>
    <s v="6.259212, -75.620937"/>
    <n v="6.2592119999999998"/>
    <n v="-75.620936999999998"/>
    <x v="4"/>
  </r>
  <r>
    <s v="b0e3e018588636b1"/>
    <s v="08_09_2026_JZ_Diur.gpx"/>
    <s v="b0e3e018588636b1975a680425a51f58b7d05612369237301944e59f47274eed"/>
    <x v="6"/>
    <x v="0"/>
    <s v="Martes"/>
    <x v="5"/>
    <s v="JZ"/>
    <s v="DIURNO"/>
    <n v="6390"/>
    <s v="08/09/2026 08:21:32"/>
    <s v="08:30"/>
    <d v="1899-12-30T00:08:28"/>
    <s v="INICIO CUMPLE"/>
    <s v="08/09/2026 16:49:42"/>
    <s v="16:30"/>
    <d v="1899-12-30T00:19:42"/>
    <s v="TERMINÓ DESPUÉS"/>
    <d v="1899-12-30T08:28:10"/>
    <n v="83.77"/>
    <n v="12.59"/>
    <d v="1899-12-30T06:39:16"/>
    <d v="1899-12-30T02:03:55"/>
    <d v="1899-12-30T00:00:00"/>
    <n v="0"/>
    <n v="0"/>
    <n v="0"/>
    <n v="0"/>
    <n v="0"/>
    <n v="1"/>
    <s v="FIN POSTERIOR"/>
    <s v="Inicio GPS dentro de la tolerancia del horario programado.; Fin GPS posterior: 00:19:42 después de las 16:30.; 1 hueco(s) GPS &gt;= 10 min."/>
    <s v="6.226786, -75.599287"/>
    <n v="6.2267859999999997"/>
    <n v="-75.599287000000004"/>
    <s v="6.279197, -75.569158"/>
    <n v="6.2791969999999999"/>
    <n v="-75.569158000000002"/>
    <x v="4"/>
  </r>
  <r>
    <s v="836074121bb53fd7"/>
    <s v="08_09_2026_SJ_Diur.gpx"/>
    <s v="836074121bb53fd71c132554ed2e02eee9fe5b48e6ff0b428736cc0d2960112f"/>
    <x v="6"/>
    <x v="0"/>
    <s v="Martes"/>
    <x v="6"/>
    <s v="SJ"/>
    <s v="DIURNO"/>
    <n v="2193"/>
    <s v="08/09/2026 08:29:21"/>
    <s v="08:30"/>
    <d v="1899-12-30T00:00:39"/>
    <s v="INICIO CUMPLE"/>
    <s v="08/09/2026 15:13:43"/>
    <s v="16:30"/>
    <d v="1899-12-30T01:16:17"/>
    <s v="TERMINÓ ANTES"/>
    <d v="1899-12-30T06:44:22"/>
    <n v="28.241"/>
    <n v="6.2"/>
    <d v="1899-12-30T04:33:16"/>
    <d v="1899-12-30T03:23:37"/>
    <d v="1899-12-30T00:00:00"/>
    <n v="0"/>
    <n v="0"/>
    <n v="0"/>
    <n v="0"/>
    <n v="0"/>
    <n v="1"/>
    <s v="INICIO CUMPLE / FIN ANTICIPADO"/>
    <s v="Inicio GPS dentro de la tolerancia del horario programado.; Fin GPS anticipado: 01:16:17 antes de las 16:30.; 1 hueco(s) GPS &gt;= 10 min."/>
    <s v="6.225717, -75.599404"/>
    <n v="6.2257170000000004"/>
    <n v="-75.599404000000007"/>
    <s v="6.303589, -75.574328"/>
    <n v="6.3035889999999997"/>
    <n v="-75.574327999999994"/>
    <x v="44"/>
  </r>
  <r>
    <s v="2182847adb621956"/>
    <s v="08_09_2026_YL_Diur.gpx"/>
    <s v="2182847adb621956bfde111289dca6380b2b353a2a3b5d4efdd550ed6650c986"/>
    <x v="6"/>
    <x v="0"/>
    <s v="Martes"/>
    <x v="7"/>
    <s v="YL"/>
    <s v="DIURNO"/>
    <n v="1986"/>
    <s v="08/09/2026 08:28:00"/>
    <s v="08:30"/>
    <d v="1899-12-30T00:02:00"/>
    <s v="INICIO CUMPLE"/>
    <s v="08/09/2026 16:12:59"/>
    <s v="16:30"/>
    <d v="1899-12-30T00:17:01"/>
    <s v="TERMINÓ ANTES"/>
    <d v="1899-12-30T07:44:59"/>
    <n v="25.768999999999998"/>
    <n v="6.75"/>
    <d v="1899-12-30T03:49:05"/>
    <d v="1899-12-30T02:46:38"/>
    <d v="1899-12-30T00:00:00"/>
    <n v="0"/>
    <n v="0"/>
    <n v="0"/>
    <n v="0"/>
    <n v="0"/>
    <n v="0"/>
    <s v="INICIO CUMPLE / FIN ANTICIPADO"/>
    <s v="Inicio GPS dentro de la tolerancia del horario programado.; Fin GPS anticipado: 00:17:01 antes de las 16:30."/>
    <s v="6.225521, -75.599044"/>
    <n v="6.2255209999999996"/>
    <n v="-75.599044000000006"/>
    <s v="6.225527, -75.599143"/>
    <n v="6.2255269999999996"/>
    <n v="-75.599142999999998"/>
    <x v="45"/>
  </r>
  <r>
    <s v="3cbe626b5b36bcd2"/>
    <s v="08_09_2026_DR_Diur.gpx"/>
    <s v="3cbe626b5b36bcd2176f786478a475f09990a81c1a09a92b26bde173d88a6717"/>
    <x v="6"/>
    <x v="0"/>
    <s v="Martes"/>
    <x v="8"/>
    <s v="DR"/>
    <s v="DIURNO"/>
    <n v="1619"/>
    <d v="2026-09-08T08:30:00"/>
    <s v="08:30"/>
    <d v="1899-12-30T00:00:00"/>
    <s v="INICIO ANTES DEL HORARIO"/>
    <d v="2026-09-08T14:00:19"/>
    <s v="16:30"/>
    <d v="1899-12-30T02:29:41"/>
    <s v="TERMINÓ ANTES"/>
    <d v="1899-12-30T04:12:19"/>
    <n v="20.939"/>
    <n v="8.64"/>
    <d v="1899-12-30T02:25:26"/>
    <d v="1899-12-30T01:32:47"/>
    <d v="1899-12-30T00:00:00"/>
    <n v="0"/>
    <n v="0"/>
    <n v="0"/>
    <n v="0"/>
    <n v="0"/>
    <n v="0"/>
    <s v="REVISAR"/>
    <s v="Inicio GPS anterior al horario: 22:42:00 antes de las 08:30.; Fin GPS anticipado: 26:29:41 antes de las 16:30."/>
    <s v="6.225232, -75.598584"/>
    <n v="6.2252320000000001"/>
    <n v="-75.598584000000002"/>
    <s v="6.263559, -75.597028"/>
    <n v="6.2635589999999999"/>
    <n v="-75.597027999999995"/>
    <x v="46"/>
  </r>
  <r>
    <s v="623dbd4adc044d1e"/>
    <s v="08_09_2026_DV_Noct.gpx"/>
    <s v="623dbd4adc044d1e78efa1c6301ecb42bdb10a42af6a88c9a832b5c1ef4bde81"/>
    <x v="6"/>
    <x v="0"/>
    <s v="Martes"/>
    <x v="9"/>
    <s v="DV"/>
    <s v="NOCTURNO"/>
    <n v="3792"/>
    <s v="08/09/2026 16:41:00"/>
    <s v="18:00"/>
    <d v="1899-12-30T01:19:00"/>
    <s v="INICIO ANTES DEL HORARIO"/>
    <s v="09/09/2026 00:13:36"/>
    <s v="00:00"/>
    <d v="1899-12-30T00:13:36"/>
    <s v="FIN CUMPLE"/>
    <d v="1899-12-30T07:32:36"/>
    <n v="46.256"/>
    <n v="9.7899999999999991"/>
    <d v="1899-12-30T04:43:33"/>
    <d v="1899-12-30T01:52:07"/>
    <d v="1899-12-30T00:00:00"/>
    <n v="0"/>
    <n v="0"/>
    <n v="0"/>
    <n v="0"/>
    <n v="0"/>
    <n v="0"/>
    <s v="REVISAR"/>
    <s v="Inicio GPS anterior al horario: 01:19:00 antes de las 18:00.; Fin GPS dentro de la tolerancia del horario programado."/>
    <s v="6.229153, -75.601985"/>
    <n v="6.2291530000000002"/>
    <n v="-75.601984999999999"/>
    <s v="6.272712, -75.602135"/>
    <n v="6.2727120000000003"/>
    <n v="-75.602135000000004"/>
    <x v="4"/>
  </r>
  <r>
    <s v="f0c24638a94bf9d6"/>
    <s v="08_09_2026_IQ_Noct.gpx"/>
    <s v="f0c24638a94bf9d6966fab43d59ea18ee254e0d00a1aace92c3cc7e41264e728"/>
    <x v="6"/>
    <x v="0"/>
    <s v="Martes"/>
    <x v="10"/>
    <s v="IQ"/>
    <s v="NOCTURNO"/>
    <n v="1478"/>
    <s v="08/09/2026 16:43:54"/>
    <s v="18:00"/>
    <d v="1899-12-30T01:16:06"/>
    <s v="INICIO ANTES DEL HORARIO"/>
    <s v="08/09/2026 23:51:23"/>
    <s v="00:00"/>
    <d v="1899-12-30T00:08:37"/>
    <s v="FIN CUMPLE"/>
    <d v="1899-12-30T07:07:29"/>
    <n v="43.536999999999999"/>
    <n v="8.2200000000000006"/>
    <d v="1899-12-30T05:17:45"/>
    <d v="1899-12-30T04:33:20"/>
    <d v="1899-12-30T00:00:00"/>
    <n v="0"/>
    <n v="0"/>
    <n v="0"/>
    <n v="0"/>
    <n v="0"/>
    <n v="3"/>
    <s v="REVISAR"/>
    <s v="Inicio GPS anterior al horario: 01:16:06 antes de las 18:00.; Fin GPS dentro de la tolerancia del horario programado.; 3 hueco(s) GPS &gt;= 10 min."/>
    <s v="6.284839, -75.562653"/>
    <n v="6.2848389999999998"/>
    <n v="-75.562652999999997"/>
    <s v="6.263311, -75.556538"/>
    <n v="6.2633109999999999"/>
    <n v="-75.556538000000003"/>
    <x v="4"/>
  </r>
  <r>
    <s v="83ae9919d351859e"/>
    <s v="08_09_2026_JHP_Noct.gpx"/>
    <s v="83ae9919d351859e6b93b29cdeee69a8ab828e42621354ba3897f88711d46378"/>
    <x v="6"/>
    <x v="0"/>
    <s v="Martes"/>
    <x v="11"/>
    <s v="JHP"/>
    <s v="NOCTURNO"/>
    <n v="4868"/>
    <s v="08/09/2026 17:40:32"/>
    <s v="18:00"/>
    <d v="1899-12-30T00:19:28"/>
    <s v="INICIO ANTES DEL HORARIO"/>
    <s v="09/09/2026 00:02:26"/>
    <s v="00:00"/>
    <d v="1899-12-30T00:02:26"/>
    <s v="FIN CUMPLE"/>
    <d v="1899-12-30T06:21:54"/>
    <n v="61.854999999999997"/>
    <n v="13.3"/>
    <d v="1899-12-30T04:39:03"/>
    <d v="1899-12-30T01:18:39"/>
    <d v="1899-12-30T00:00:00"/>
    <n v="0"/>
    <n v="0"/>
    <n v="0"/>
    <n v="0"/>
    <n v="0"/>
    <n v="0"/>
    <s v="REVISAR"/>
    <s v="Inicio GPS anterior al horario: 00:19:28 antes de las 18:00.; Fin GPS dentro de la tolerancia del horario programado."/>
    <s v="6.226996, -75.599277"/>
    <n v="6.2269959999999998"/>
    <n v="-75.599277000000001"/>
    <s v="6.290471, -75.546617"/>
    <n v="6.2904710000000001"/>
    <n v="-75.546616999999998"/>
    <x v="4"/>
  </r>
  <r>
    <s v="977be07413a6a54f"/>
    <s v="08_09_2026_JP_Noct.gpx"/>
    <s v="977be07413a6a54fda3f1c215dd7e858fbf230a514977fcb251bc712226fd12a"/>
    <x v="6"/>
    <x v="0"/>
    <s v="Martes"/>
    <x v="12"/>
    <s v="JP"/>
    <s v="NOCTURNO"/>
    <n v="4020"/>
    <s v="08/09/2026 17:40:07"/>
    <s v="18:00"/>
    <d v="1899-12-30T00:19:53"/>
    <s v="INICIO ANTES DEL HORARIO"/>
    <s v="08/09/2026 23:15:52"/>
    <s v="00:00"/>
    <d v="1899-12-30T00:44:08"/>
    <s v="TERMINÓ ANTES"/>
    <d v="1899-12-30T05:35:45"/>
    <n v="55.811"/>
    <n v="13.78"/>
    <d v="1899-12-30T04:02:59"/>
    <d v="1899-12-30T01:55:00"/>
    <d v="1899-12-30T00:00:00"/>
    <n v="0"/>
    <n v="0"/>
    <n v="0"/>
    <n v="0"/>
    <n v="0"/>
    <n v="0"/>
    <s v="REVISAR"/>
    <s v="Inicio GPS anterior al horario: 00:19:53 antes de las 18:00.; Fin GPS anticipado: 00:44:08 antes de las 00:00."/>
    <s v="6.225343, -75.599272"/>
    <n v="6.2253429999999996"/>
    <n v="-75.599271999999999"/>
    <s v="6.251735, -75.551813"/>
    <n v="6.251735"/>
    <n v="-75.551812999999996"/>
    <x v="47"/>
  </r>
  <r>
    <s v="b59692cadd895df4"/>
    <s v="08_09_2026_LA_Noct.gpx"/>
    <s v="b59692cadd895df4be0a7fb4435b4be5780e7fa87e1206ecf3c7499f8286f2cd"/>
    <x v="6"/>
    <x v="0"/>
    <s v="Martes"/>
    <x v="13"/>
    <s v="LA"/>
    <s v="NOCTURNO"/>
    <n v="7480"/>
    <s v="08/09/2026 17:19:00"/>
    <s v="18:00"/>
    <d v="1899-12-30T00:41:00"/>
    <s v="INICIO ANTES DEL HORARIO"/>
    <s v="08/09/2026 23:56:03"/>
    <s v="00:00"/>
    <d v="1899-12-30T00:03:56"/>
    <s v="FIN CUMPLE"/>
    <d v="1899-12-30T06:37:04"/>
    <n v="39.557000000000002"/>
    <n v="8.93"/>
    <d v="1899-12-30T04:25:50"/>
    <d v="1899-12-30T03:48:02"/>
    <d v="1899-12-30T00:00:00"/>
    <n v="0"/>
    <n v="0"/>
    <n v="0"/>
    <n v="0"/>
    <n v="0"/>
    <n v="3"/>
    <s v="REVISAR"/>
    <s v="Inicio GPS anterior al horario: 00:41:00 antes de las 18:00.; Fin GPS dentro de la tolerancia del horario programado.; 3 hueco(s) GPS &gt;= 10 min."/>
    <s v="6.226600, -75.599173"/>
    <n v="6.2266000000000004"/>
    <n v="-75.599172999999993"/>
    <s v="6.259097, -75.587133"/>
    <n v="6.2590969999999997"/>
    <n v="-75.587132999999994"/>
    <x v="4"/>
  </r>
  <r>
    <s v="99032add666a5b78"/>
    <s v="09_09_2026_AO_Diur.gpx"/>
    <s v="99032add666a5b78c7dc085ca160321662324a60c628fdba5fb80585d94232eb"/>
    <x v="7"/>
    <x v="0"/>
    <s v="Miércoles"/>
    <x v="0"/>
    <s v="AO"/>
    <s v="DIURNO"/>
    <n v="10331"/>
    <s v="09/09/2026 08:56:55"/>
    <s v="08:30"/>
    <d v="1899-12-30T00:26:56"/>
    <s v="INICIO TARDÍO"/>
    <s v="09/09/2026 16:41:47"/>
    <s v="16:30"/>
    <d v="1899-12-30T00:11:47"/>
    <s v="FIN CUMPLE"/>
    <d v="1899-12-30T07:44:51"/>
    <n v="96.043999999999997"/>
    <n v="26.29"/>
    <d v="1899-12-30T03:39:10"/>
    <d v="1899-12-30T01:08:00"/>
    <d v="1899-12-30T00:00:00"/>
    <n v="0"/>
    <n v="0"/>
    <n v="0"/>
    <n v="0"/>
    <n v="0"/>
    <n v="1"/>
    <s v="INICIO TARDÍO / FIN CUMPLE"/>
    <s v="Inicio GPS tardío: 00:26:56 después de las 08:30.; Fin GPS dentro de la tolerancia del horario programado.; 1 hueco(s) GPS &gt;= 10 min."/>
    <s v="6.221702, -75.593803"/>
    <n v="6.2217019999999996"/>
    <n v="-75.593802999999994"/>
    <s v="6.239052, -75.573688"/>
    <n v="6.239052"/>
    <n v="-75.573688000000004"/>
    <x v="48"/>
  </r>
  <r>
    <s v="7028c543c1a55e64"/>
    <s v="09_09_2026_AR_Diur.gpx"/>
    <s v="7028c543c1a55e64f9d6545d87150eaa38a664cc8771f16028ef8844e15768ed"/>
    <x v="7"/>
    <x v="0"/>
    <s v="Miércoles"/>
    <x v="1"/>
    <s v="AR"/>
    <s v="DIURNO"/>
    <n v="2906"/>
    <s v="09/09/2026 08:02:33"/>
    <s v="08:30"/>
    <d v="1899-12-30T00:27:27"/>
    <s v="INICIO ANTES DEL HORARIO"/>
    <s v="09/09/2026 16:05:26"/>
    <s v="16:30"/>
    <d v="1899-12-30T00:24:34"/>
    <s v="TERMINÓ ANTES"/>
    <d v="1899-12-30T08:02:53"/>
    <n v="38.857999999999997"/>
    <n v="6.95"/>
    <d v="1899-12-30T05:35:39"/>
    <d v="1899-12-30T04:05:24"/>
    <d v="1899-12-30T00:00:00"/>
    <n v="0"/>
    <n v="0"/>
    <n v="0"/>
    <n v="0"/>
    <n v="0"/>
    <n v="1"/>
    <s v="REVISAR"/>
    <s v="Inicio GPS anterior al horario: 00:27:27 antes de las 08:30.; Fin GPS anticipado: 00:24:34 antes de las 16:30.; 1 hueco(s) GPS &gt;= 10 min."/>
    <s v="6.247646, -75.614967"/>
    <n v="6.2476459999999996"/>
    <n v="-75.614966999999993"/>
    <s v="6.243440, -75.602892"/>
    <n v="6.2434399999999997"/>
    <n v="-75.602891999999997"/>
    <x v="49"/>
  </r>
  <r>
    <s v="99ef37226866ca3f"/>
    <s v="09_09_2026_DR_Diur.gpx"/>
    <s v="99ef37226866ca3fb47f572dc0ed087fa678d179df72524bb14dfb7fda9ed446"/>
    <x v="7"/>
    <x v="0"/>
    <s v="Miércoles"/>
    <x v="8"/>
    <s v="DR"/>
    <s v="DIURNO"/>
    <n v="3496"/>
    <s v="09/09/2026 08:26:08"/>
    <s v="08:30"/>
    <d v="1899-12-30T00:03:52"/>
    <s v="INICIO CUMPLE"/>
    <s v="09/09/2026 16:51:07"/>
    <s v="16:30"/>
    <d v="1899-12-30T00:21:07"/>
    <s v="TERMINÓ DESPUÉS"/>
    <d v="1899-12-30T08:24:59"/>
    <n v="47.039000000000001"/>
    <n v="6.38"/>
    <d v="1899-12-30T07:22:28"/>
    <d v="1899-12-30T05:39:44"/>
    <d v="1899-12-30T00:00:00"/>
    <n v="0"/>
    <n v="0"/>
    <n v="0"/>
    <n v="0"/>
    <n v="0"/>
    <n v="2"/>
    <s v="FIN POSTERIOR"/>
    <s v="Inicio GPS dentro de la tolerancia del horario programado.; Fin GPS posterior: 00:21:07 después de las 16:30.; 2 hueco(s) GPS &gt;= 10 min."/>
    <s v="6.258318, -75.597742"/>
    <n v="6.258318"/>
    <n v="-75.597741999999997"/>
    <s v="6.205405, -75.550645"/>
    <n v="6.2054049999999998"/>
    <n v="-75.550645000000003"/>
    <x v="4"/>
  </r>
  <r>
    <s v="5eed61f1895806bb"/>
    <s v="09_09_2026_HC_Diur.gpx"/>
    <s v="5eed61f1895806bb318c2af5513cd199c412f2ac040a2b306335e354499b960c"/>
    <x v="7"/>
    <x v="0"/>
    <s v="Miércoles"/>
    <x v="2"/>
    <s v="HC"/>
    <s v="DIURNO"/>
    <n v="4464"/>
    <s v="09/09/2026 08:35:37"/>
    <s v="08:30"/>
    <d v="1899-12-30T00:05:37"/>
    <s v="INICIO CUMPLE"/>
    <s v="09/09/2026 14:49:13"/>
    <s v="16:30"/>
    <d v="1899-12-30T01:40:47"/>
    <s v="TERMINÓ ANTES"/>
    <d v="1899-12-30T06:13:36"/>
    <n v="57.075000000000003"/>
    <n v="13.62"/>
    <d v="1899-12-30T04:11:29"/>
    <d v="1899-12-30T01:19:20"/>
    <d v="1899-12-30T00:00:00"/>
    <n v="0"/>
    <n v="0"/>
    <n v="0"/>
    <n v="0"/>
    <n v="0"/>
    <n v="1"/>
    <s v="INICIO CUMPLE / FIN ANTICIPADO"/>
    <s v="Inicio GPS dentro de la tolerancia del horario programado.; Fin GPS anticipado: 01:40:47 antes de las 16:30.; 1 hueco(s) GPS &gt;= 10 min."/>
    <s v="6.310053, -75.578041"/>
    <n v="6.3100529999999999"/>
    <n v="-75.578040999999999"/>
    <s v="6.306169, -75.573086"/>
    <n v="6.3061689999999997"/>
    <n v="-75.573086000000004"/>
    <x v="50"/>
  </r>
  <r>
    <s v="2438d2e0f02f05e4"/>
    <s v="09_09_2026_JA_Diur.gpx"/>
    <s v="2438d2e0f02f05e4cdd41ceeb72042b3d4a1f877ed8d3ae7d4be5a26f9d25a02"/>
    <x v="7"/>
    <x v="0"/>
    <s v="Miércoles"/>
    <x v="3"/>
    <s v="JA"/>
    <s v="DIURNO"/>
    <n v="3438"/>
    <s v="09/09/2026 09:19:06"/>
    <s v="08:30"/>
    <d v="1899-12-30T00:49:06"/>
    <s v="INICIO TARDÍO"/>
    <s v="09/09/2026 12:48:43"/>
    <s v="16:30"/>
    <d v="1899-12-30T03:41:17"/>
    <s v="TERMINÓ ANTES"/>
    <d v="1899-12-30T03:29:37"/>
    <n v="47.387999999999998"/>
    <n v="15.33"/>
    <d v="1899-12-30T03:05:25"/>
    <d v="1899-12-30T01:34:44"/>
    <d v="1899-12-30T00:00:00"/>
    <n v="0"/>
    <n v="0"/>
    <n v="0"/>
    <n v="0"/>
    <n v="0"/>
    <n v="0"/>
    <s v="INICIO TARDÍO / FIN ANTICIPADO"/>
    <s v="Inicio GPS tardío: 00:49:06 después de las 08:30.; Fin GPS anticipado: 03:41:17 antes de las 16:30."/>
    <s v="6.241583, -75.555442"/>
    <n v="6.2415830000000003"/>
    <n v="-75.555441999999999"/>
    <s v="6.236930, -75.558776"/>
    <n v="6.2369300000000001"/>
    <n v="-75.558775999999995"/>
    <x v="51"/>
  </r>
  <r>
    <s v="5540a1302384a7b2"/>
    <s v="09_09_2026_JO_Diur.gpx"/>
    <s v="5540a1302384a7b266d0763139567cb066671fe04e60482882ef1e679442d1c3"/>
    <x v="7"/>
    <x v="0"/>
    <s v="Miércoles"/>
    <x v="4"/>
    <s v="JO"/>
    <s v="DIURNO"/>
    <n v="6674"/>
    <s v="09/09/2026 08:36:02"/>
    <s v="08:30"/>
    <d v="1899-12-30T00:06:02"/>
    <s v="INICIO CUMPLE"/>
    <s v="09/09/2026 16:23:27"/>
    <s v="16:30"/>
    <d v="1899-12-30T00:06:32"/>
    <s v="FIN CUMPLE"/>
    <d v="1899-12-30T07:47:26"/>
    <n v="42.155999999999999"/>
    <n v="24.67"/>
    <d v="1899-12-30T01:42:31"/>
    <d v="1899-12-30T00:31:38"/>
    <d v="1899-12-30T00:00:00"/>
    <n v="0"/>
    <n v="0"/>
    <n v="0"/>
    <n v="0"/>
    <n v="0"/>
    <n v="10"/>
    <s v="DENTRO DE HORARIO"/>
    <s v="Inicio GPS dentro de la tolerancia del horario programado.; Fin GPS dentro de la tolerancia del horario programado.; 10 hueco(s) GPS &gt;= 10 min."/>
    <s v="6.259247, -75.620995"/>
    <n v="6.2592470000000002"/>
    <n v="-75.620994999999994"/>
    <s v="6.247496, -75.552144"/>
    <n v="6.2474959999999999"/>
    <n v="-75.552143999999998"/>
    <x v="4"/>
  </r>
  <r>
    <s v="9baae6386e744a5c"/>
    <s v="09_09_2026_JZ_Diur.gpx"/>
    <s v="9baae6386e744a5cf38abcbd9dc28772f92bc83a77f82bea3895976d4f7fa024"/>
    <x v="7"/>
    <x v="0"/>
    <s v="Miércoles"/>
    <x v="5"/>
    <s v="JZ"/>
    <s v="DIURNO"/>
    <n v="6609"/>
    <s v="09/09/2026 09:40:12"/>
    <s v="08:30"/>
    <d v="1899-12-30T01:10:12"/>
    <s v="INICIO TARDÍO"/>
    <s v="09/09/2026 16:43:25"/>
    <s v="16:30"/>
    <d v="1899-12-30T00:13:25"/>
    <s v="FIN CUMPLE"/>
    <d v="1899-12-30T07:03:13"/>
    <n v="92.83"/>
    <n v="16.16"/>
    <d v="1899-12-30T05:44:34"/>
    <d v="1899-12-30T01:57:25"/>
    <d v="1899-12-30T00:00:00"/>
    <n v="0"/>
    <n v="0"/>
    <n v="0"/>
    <n v="0"/>
    <n v="0"/>
    <n v="1"/>
    <s v="INICIO TARDÍO / FIN CUMPLE"/>
    <s v="Inicio GPS tardío: 01:10:12 después de las 08:30.; Fin GPS dentro de la tolerancia del horario programado.; 1 hueco(s) GPS &gt;= 10 min."/>
    <s v="6.217206, -75.576186"/>
    <n v="6.217206"/>
    <n v="-75.576186000000007"/>
    <s v="6.303643, -75.557889"/>
    <n v="6.3036430000000001"/>
    <n v="-75.557889000000003"/>
    <x v="52"/>
  </r>
  <r>
    <s v="64d25202a143c856"/>
    <s v="09_09_2026_SJ_Diur.gpx"/>
    <s v="64d25202a143c85670dbb4a2d7928068147edfd6b86f8f8d8327cabcf780a791"/>
    <x v="7"/>
    <x v="0"/>
    <s v="Miércoles"/>
    <x v="6"/>
    <s v="SJ"/>
    <s v="DIURNO"/>
    <n v="2010"/>
    <s v="09/09/2026 08:29:38"/>
    <s v="08:30"/>
    <d v="1899-12-30T00:00:22"/>
    <s v="INICIO CUMPLE"/>
    <s v="09/09/2026 13:49:48"/>
    <s v="16:30"/>
    <d v="1899-12-30T02:40:12"/>
    <s v="TERMINÓ ANTES"/>
    <d v="1899-12-30T05:20:10"/>
    <n v="24.972999999999999"/>
    <n v="8.4700000000000006"/>
    <d v="1899-12-30T02:56:50"/>
    <d v="1899-12-30T01:40:41"/>
    <d v="1899-12-30T00:00:00"/>
    <n v="0"/>
    <n v="0"/>
    <n v="0"/>
    <n v="0"/>
    <n v="0"/>
    <n v="0"/>
    <s v="INICIO CUMPLE / FIN ANTICIPADO"/>
    <s v="Inicio GPS dentro de la tolerancia del horario programado.; Fin GPS anticipado: 02:40:12 antes de las 16:30."/>
    <s v="6.308396, -75.576554"/>
    <n v="6.3083960000000001"/>
    <n v="-75.576554000000002"/>
    <s v="6.306907, -75.555557"/>
    <n v="6.3069069999999998"/>
    <n v="-75.555556999999993"/>
    <x v="53"/>
  </r>
  <r>
    <s v="257bfeb6a38e1dc5"/>
    <s v="09_09_2026_YL_Diur.gpx"/>
    <s v="257bfeb6a38e1dc53fbe6b1a48f666f5efb24c2e5a04433374c950f93a55e2d4"/>
    <x v="7"/>
    <x v="0"/>
    <s v="Miércoles"/>
    <x v="7"/>
    <s v="YL"/>
    <s v="DIURNO"/>
    <n v="1636"/>
    <s v="09/09/2026 08:55:30"/>
    <s v="08:30"/>
    <d v="1899-12-30T00:25:30"/>
    <s v="INICIO TARDÍO"/>
    <s v="09/09/2026 14:34:47"/>
    <s v="16:30"/>
    <d v="1899-12-30T01:55:13"/>
    <s v="TERMINÓ ANTES"/>
    <d v="1899-12-30T05:39:17"/>
    <n v="21.09"/>
    <n v="10.08"/>
    <d v="1899-12-30T02:05:31"/>
    <d v="1899-12-30T01:14:44"/>
    <d v="1899-12-30T00:00:00"/>
    <n v="0"/>
    <n v="0"/>
    <n v="0"/>
    <n v="0"/>
    <n v="0"/>
    <n v="0"/>
    <s v="INICIO TARDÍO / FIN ANTICIPADO"/>
    <s v="Inicio GPS tardío: 00:25:30 después de las 08:30.; Fin GPS anticipado: 01:55:13 antes de las 16:30."/>
    <s v="6.225372, -75.599439"/>
    <n v="6.2253720000000001"/>
    <n v="-75.599439000000004"/>
    <s v="6.225430, -75.599134"/>
    <n v="6.2254300000000002"/>
    <n v="-75.599134000000006"/>
    <x v="54"/>
  </r>
  <r>
    <s v="8489f5ca727c48b9"/>
    <s v="09_09_2026_DV_Noct.gpx"/>
    <s v="8489f5ca727c48b9206c42f67637d5103e839cbcd4b3101de42d6376f92ccdd3"/>
    <x v="7"/>
    <x v="0"/>
    <s v="Miércoles"/>
    <x v="9"/>
    <s v="DV"/>
    <s v="NOCTURNO"/>
    <n v="3917"/>
    <s v="09/09/2026 17:44:20"/>
    <s v="18:00"/>
    <d v="1899-12-30T00:15:40"/>
    <s v="INICIO ANTES DEL HORARIO"/>
    <s v="10/09/2026 00:04:06"/>
    <s v="00:00"/>
    <d v="1899-12-30T00:04:06"/>
    <s v="FIN CUMPLE"/>
    <d v="1899-12-30T06:19:46"/>
    <n v="47.945999999999998"/>
    <n v="10.35"/>
    <d v="1899-12-30T04:38:00"/>
    <d v="1899-12-30T01:43:05"/>
    <d v="1899-12-30T00:00:00"/>
    <n v="0"/>
    <n v="0"/>
    <n v="0"/>
    <n v="0"/>
    <n v="0"/>
    <n v="0"/>
    <s v="REVISAR"/>
    <s v="Inicio GPS anterior al horario: 00:15:40 antes de las 18:00.; Fin GPS dentro de la tolerancia del horario programado."/>
    <s v="6.272431, -75.602117"/>
    <n v="6.2724310000000001"/>
    <n v="-75.602117000000007"/>
    <s v="6.272750, -75.602029"/>
    <n v="6.2727500000000003"/>
    <n v="-75.602029000000002"/>
    <x v="4"/>
  </r>
  <r>
    <s v="37dbfb2410a78669"/>
    <s v="09_09_2026_IQ_Noct.gpx"/>
    <s v="37dbfb2410a78669d73e94f529ac859d840c050911e3ee33ca7ea067260690ca"/>
    <x v="7"/>
    <x v="0"/>
    <s v="Miércoles"/>
    <x v="10"/>
    <s v="IQ"/>
    <s v="NOCTURNO"/>
    <n v="1448"/>
    <s v="09/09/2026 17:44:02"/>
    <s v="18:00"/>
    <d v="1899-12-30T00:15:58"/>
    <s v="INICIO ANTES DEL HORARIO"/>
    <s v="09/09/2026 23:50:35"/>
    <s v="00:00"/>
    <d v="1899-12-30T00:09:25"/>
    <s v="FIN CUMPLE"/>
    <d v="1899-12-30T06:06:33"/>
    <n v="36.604999999999997"/>
    <n v="15.05"/>
    <d v="1899-12-30T02:25:55"/>
    <d v="1899-12-30T01:41:19"/>
    <d v="1899-12-30T00:00:00"/>
    <n v="0"/>
    <n v="0"/>
    <n v="0"/>
    <n v="0"/>
    <n v="0"/>
    <n v="2"/>
    <s v="REVISAR"/>
    <s v="Inicio GPS anterior al horario: 00:15:58 antes de las 18:00.; Fin GPS dentro de la tolerancia del horario programado.; 2 hueco(s) GPS &gt;= 10 min."/>
    <s v="6.263311, -75.556538"/>
    <n v="6.2633109999999999"/>
    <n v="-75.556538000000003"/>
    <s v="6.261107, -75.584667"/>
    <n v="6.261107"/>
    <n v="-75.584666999999996"/>
    <x v="4"/>
  </r>
  <r>
    <s v="8e51cb7bcda39249"/>
    <s v="09_09_2026_JHP_Noct.gpx"/>
    <s v="8e51cb7bcda39249e739e58e94512dc9e7ceae8e48d1de8cdc279bf91805f76b"/>
    <x v="7"/>
    <x v="0"/>
    <s v="Miércoles"/>
    <x v="11"/>
    <s v="JHP"/>
    <s v="NOCTURNO"/>
    <n v="4949"/>
    <s v="09/09/2026 18:58:33"/>
    <s v="18:00"/>
    <d v="1899-12-30T00:58:33"/>
    <s v="INICIO TARDÍO"/>
    <s v="10/09/2026 00:05:29"/>
    <s v="00:00"/>
    <d v="1899-12-30T00:05:29"/>
    <s v="FIN CUMPLE"/>
    <d v="1899-12-30T05:06:56"/>
    <n v="66.066999999999993"/>
    <n v="17.059999999999999"/>
    <d v="1899-12-30T03:52:19"/>
    <d v="1899-12-30T00:53:17"/>
    <d v="1899-12-30T00:00:00"/>
    <n v="0"/>
    <n v="0"/>
    <n v="0"/>
    <n v="0"/>
    <n v="0"/>
    <n v="0"/>
    <s v="INICIO TARDÍO / FIN CUMPLE"/>
    <s v="Inicio GPS tardío: 00:58:33 después de las 18:00.; Fin GPS dentro de la tolerancia del horario programado."/>
    <s v="6.272706, -75.573804"/>
    <n v="6.2727060000000003"/>
    <n v="-75.573803999999996"/>
    <s v="6.290610, -75.546388"/>
    <n v="6.29061"/>
    <n v="-75.546387999999993"/>
    <x v="55"/>
  </r>
  <r>
    <s v="aad319aa116864e7"/>
    <s v="09_09_2026_JP_Noct.gpx"/>
    <s v="aad319aa116864e7dd28f754de0c33e8689b34c39da53806fd044a1af5a431df"/>
    <x v="7"/>
    <x v="0"/>
    <s v="Miércoles"/>
    <x v="12"/>
    <s v="JP"/>
    <s v="NOCTURNO"/>
    <n v="1436"/>
    <s v="09/09/2026 18:24:15"/>
    <s v="18:00"/>
    <d v="1899-12-30T00:24:15"/>
    <s v="INICIO TARDÍO"/>
    <s v="09/09/2026 23:23:52"/>
    <s v="00:00"/>
    <d v="1899-12-30T00:36:08"/>
    <s v="TERMINÓ ANTES"/>
    <d v="1899-12-30T04:59:37"/>
    <n v="18.117999999999999"/>
    <n v="6.37"/>
    <d v="1899-12-30T02:50:33"/>
    <d v="1899-12-30T02:00:42"/>
    <d v="1899-12-30T00:00:00"/>
    <n v="0"/>
    <n v="0"/>
    <n v="0"/>
    <n v="0"/>
    <n v="0"/>
    <n v="0"/>
    <s v="INICIO TARDÍO / FIN ANTICIPADO"/>
    <s v="Inicio GPS tardío: 00:24:15 después de las 18:00.; Fin GPS anticipado: 00:36:08 antes de las 00:00."/>
    <s v="6.251808, -75.551905"/>
    <n v="6.2518079999999996"/>
    <n v="-75.551905000000005"/>
    <s v="6.251763, -75.551750"/>
    <n v="6.2517630000000004"/>
    <n v="-75.551749999999998"/>
    <x v="56"/>
  </r>
  <r>
    <s v="277b45e27a0c46f8"/>
    <s v="09_09_2026_LA_Noct.gpx"/>
    <s v="277b45e27a0c46f89e3fa48e83a1db2593bce72d88c914807a0d7f62b78c4b7b"/>
    <x v="7"/>
    <x v="0"/>
    <s v="Miércoles"/>
    <x v="13"/>
    <s v="LA"/>
    <s v="NOCTURNO"/>
    <n v="10950"/>
    <s v="09/09/2026 17:29:10"/>
    <s v="18:00"/>
    <d v="1899-12-30T00:30:50"/>
    <s v="INICIO ANTES DEL HORARIO"/>
    <s v="10/09/2026 00:04:12"/>
    <s v="00:00"/>
    <d v="1899-12-30T00:04:13"/>
    <s v="FIN CUMPLE"/>
    <d v="1899-12-30T06:35:03"/>
    <n v="56.308"/>
    <n v="14.4"/>
    <d v="1899-12-30T03:54:37"/>
    <d v="1899-12-30T02:41:45"/>
    <d v="1899-12-30T00:00:00"/>
    <n v="0"/>
    <n v="0"/>
    <n v="0"/>
    <n v="0"/>
    <n v="0"/>
    <n v="2"/>
    <s v="REVISAR"/>
    <s v="Inicio GPS anterior al horario: 00:30:50 antes de las 18:00.; Fin GPS dentro de la tolerancia del horario programado.; 2 hueco(s) GPS &gt;= 10 min."/>
    <s v="6.268532, -75.597140"/>
    <n v="6.2685320000000004"/>
    <n v="-75.597139999999996"/>
    <s v="6.268572, -75.599348"/>
    <n v="6.2685719999999998"/>
    <n v="-75.599348000000006"/>
    <x v="4"/>
  </r>
  <r>
    <s v="369aa134b9ee94cb"/>
    <s v="10_09_2026_AO_Diur.gpx"/>
    <s v="369aa134b9ee94cb24b23111cb2a73af38312fc53fe3383c050896ab18feeb0f"/>
    <x v="8"/>
    <x v="0"/>
    <s v="Jueves"/>
    <x v="0"/>
    <s v="AO"/>
    <s v="DIURNO"/>
    <n v="3372"/>
    <s v="10/09/2026 09:24:58"/>
    <s v="08:30"/>
    <d v="1899-12-30T00:54:59"/>
    <s v="INICIO TARDÍO"/>
    <s v="10/09/2026 16:14:06"/>
    <s v="16:30"/>
    <d v="1899-12-30T00:15:53"/>
    <s v="TERMINÓ ANTES"/>
    <d v="1899-12-30T06:49:08"/>
    <n v="33.204999999999998"/>
    <n v="7.1"/>
    <d v="1899-12-30T04:40:40"/>
    <d v="1899-12-30T03:39:41"/>
    <d v="1899-12-30T02:39:17"/>
    <n v="1"/>
    <n v="1"/>
    <n v="1"/>
    <n v="1"/>
    <n v="1"/>
    <n v="3"/>
    <s v="INICIO TARDÍO / FIN ANTICIPADO"/>
    <s v="Inicio GPS tardío: 00:54:59 después de las 08:30.; Fin GPS anticipado: 00:15:53 antes de las 16:30.; 3 hueco(s) GPS &gt;= 10 min.; 1 permanencia(s) GPS detectada(s); requiere contexto."/>
    <s v="6.225251, -75.599790"/>
    <n v="6.2252510000000001"/>
    <n v="-75.599789999999999"/>
    <s v="6.221514, -75.593842"/>
    <n v="6.221514"/>
    <n v="-75.593841999999995"/>
    <x v="57"/>
  </r>
  <r>
    <s v="77e3ff26a69209f6"/>
    <s v="10_09_2026_AR_Diur.gpx"/>
    <s v="77e3ff26a69209f67a812e8501ddcf927d95e794505d83b9a978965e8bd59158"/>
    <x v="8"/>
    <x v="0"/>
    <s v="Jueves"/>
    <x v="1"/>
    <s v="AR"/>
    <s v="DIURNO"/>
    <n v="3183"/>
    <s v="10/09/2026 08:35:10"/>
    <s v="08:30"/>
    <d v="1899-12-30T00:05:10"/>
    <s v="INICIO CUMPLE"/>
    <s v="10/09/2026 16:32:13"/>
    <s v="16:30"/>
    <d v="1899-12-30T00:02:13"/>
    <s v="FIN CUMPLE"/>
    <d v="1899-12-30T07:57:03"/>
    <n v="45.685000000000002"/>
    <n v="7.13"/>
    <d v="1899-12-30T06:24:17"/>
    <d v="1899-12-30T04:52:50"/>
    <d v="1899-12-30T00:00:00"/>
    <n v="0"/>
    <n v="0"/>
    <n v="0"/>
    <n v="0"/>
    <n v="0"/>
    <n v="3"/>
    <s v="DENTRO DE HORARIO"/>
    <s v="Inicio GPS dentro de la tolerancia del horario programado.; Fin GPS dentro de la tolerancia del horario programado.; 3 hueco(s) GPS &gt;= 10 min."/>
    <s v="6.225635, -75.599376"/>
    <n v="6.2256349999999996"/>
    <n v="-75.599376000000007"/>
    <s v="6.247754, -75.615013"/>
    <n v="6.2477539999999996"/>
    <n v="-75.615013000000005"/>
    <x v="4"/>
  </r>
  <r>
    <s v="154f0e99dca2066a"/>
    <s v="10_09_2026_HC_Diur.gpx"/>
    <s v="154f0e99dca2066a4fa4320f7c9d7c28810c3a82b25870057d249b1c84fe5fe0"/>
    <x v="8"/>
    <x v="0"/>
    <s v="Jueves"/>
    <x v="2"/>
    <s v="HC"/>
    <s v="DIURNO"/>
    <n v="3750"/>
    <s v="10/09/2026 08:43:55"/>
    <s v="08:30"/>
    <d v="1899-12-30T00:13:55"/>
    <s v="INICIO CUMPLE"/>
    <s v="10/09/2026 15:10:33"/>
    <s v="16:30"/>
    <d v="1899-12-30T01:19:27"/>
    <s v="TERMINÓ ANTES"/>
    <d v="1899-12-30T06:26:38"/>
    <n v="50.122999999999998"/>
    <n v="10.97"/>
    <d v="1899-12-30T04:34:10"/>
    <d v="1899-12-30T02:16:14"/>
    <d v="1899-12-30T00:00:00"/>
    <n v="0"/>
    <n v="0"/>
    <n v="0"/>
    <n v="0"/>
    <n v="0"/>
    <n v="1"/>
    <s v="INICIO CUMPLE / FIN ANTICIPADO"/>
    <s v="Inicio GPS dentro de la tolerancia del horario programado.; Fin GPS anticipado: 01:19:27 antes de las 16:30.; 1 hueco(s) GPS &gt;= 10 min."/>
    <s v="6.225778, -75.599475"/>
    <n v="6.225778"/>
    <n v="-75.599474999999998"/>
    <s v="6.299021, -75.579162"/>
    <n v="6.2990209999999998"/>
    <n v="-75.579161999999997"/>
    <x v="58"/>
  </r>
  <r>
    <s v="4a99b8c715c37006"/>
    <s v="10_09_2026_JA_Diur.gpx"/>
    <s v="4a99b8c715c370069db7d68789aebb5ee39591e3079215be74483df1a7501dec"/>
    <x v="8"/>
    <x v="0"/>
    <s v="Jueves"/>
    <x v="3"/>
    <s v="JA"/>
    <s v="DIURNO"/>
    <n v="2732"/>
    <s v="10/09/2026 08:53:29"/>
    <s v="08:30"/>
    <d v="1899-12-30T00:23:29"/>
    <s v="INICIO TARDÍO"/>
    <s v="10/09/2026 12:23:25"/>
    <s v="16:30"/>
    <d v="1899-12-30T04:06:35"/>
    <s v="TERMINÓ ANTES"/>
    <d v="1899-12-30T03:29:56"/>
    <n v="37.540999999999997"/>
    <n v="13.77"/>
    <d v="1899-12-30T02:43:33"/>
    <d v="1899-12-30T01:26:37"/>
    <d v="1899-12-30T00:00:00"/>
    <n v="0"/>
    <n v="0"/>
    <n v="0"/>
    <n v="0"/>
    <n v="0"/>
    <n v="0"/>
    <s v="INICIO TARDÍO / FIN ANTICIPADO"/>
    <s v="Inicio GPS tardío: 00:23:29 después de las 08:30.; Fin GPS anticipado: 04:06:35 antes de las 16:30."/>
    <s v="6.225652, -75.599212"/>
    <n v="6.2256520000000002"/>
    <n v="-75.599211999999994"/>
    <s v="6.237000, -75.558790"/>
    <n v="6.2370000000000001"/>
    <n v="-75.558790000000002"/>
    <x v="59"/>
  </r>
  <r>
    <s v="237e8034bfc1025d"/>
    <s v="10_09_2026_JO_Diur.gpx"/>
    <s v="237e8034bfc1025d9c1eb375dc23d57201d1fae1ea5fa546675c33177a275f86"/>
    <x v="8"/>
    <x v="0"/>
    <s v="Jueves"/>
    <x v="4"/>
    <s v="JO"/>
    <s v="DIURNO"/>
    <n v="6286"/>
    <s v="10/09/2026 08:35:17"/>
    <s v="08:30"/>
    <d v="1899-12-30T00:05:17"/>
    <s v="INICIO CUMPLE"/>
    <s v="10/09/2026 15:48:43"/>
    <s v="16:30"/>
    <d v="1899-12-30T00:41:16"/>
    <s v="TERMINÓ ANTES"/>
    <d v="1899-12-30T07:13:27"/>
    <n v="35.920999999999999"/>
    <n v="16.68"/>
    <d v="1899-12-30T02:09:11"/>
    <d v="1899-12-30T01:19:03"/>
    <d v="1899-12-30T00:00:00"/>
    <n v="0"/>
    <n v="0"/>
    <n v="0"/>
    <n v="0"/>
    <n v="0"/>
    <n v="11"/>
    <s v="INICIO CUMPLE / FIN ANTICIPADO"/>
    <s v="Inicio GPS dentro de la tolerancia del horario programado.; Fin GPS anticipado: 00:41:16 antes de las 16:30.; 11 hueco(s) GPS &gt;= 10 min."/>
    <s v="6.225408, -75.599204"/>
    <n v="6.2254079999999998"/>
    <n v="-75.599204"/>
    <s v="6.277413, -75.558407"/>
    <n v="6.2774130000000001"/>
    <n v="-75.558407000000003"/>
    <x v="60"/>
  </r>
  <r>
    <s v="156cadcbdc564093"/>
    <s v="10_09_2026_JZ_Diur.gpx"/>
    <s v="156cadcbdc5640934e19146064486c8725ab66230313b9a252650a9da1bdf4cd"/>
    <x v="8"/>
    <x v="0"/>
    <s v="Jueves"/>
    <x v="5"/>
    <s v="JZ"/>
    <s v="DIURNO"/>
    <n v="7939"/>
    <s v="10/09/2026 08:00:24"/>
    <s v="08:30"/>
    <d v="1899-12-30T00:29:36"/>
    <s v="INICIO ANTES DEL HORARIO"/>
    <s v="10/09/2026 18:31:00"/>
    <s v="16:30"/>
    <d v="1899-12-30T02:01:00"/>
    <s v="TERMINÓ DESPUÉS"/>
    <d v="1899-12-30T10:30:36"/>
    <n v="103.40300000000001"/>
    <n v="11.85"/>
    <d v="1899-12-30T08:43:41"/>
    <d v="1899-12-30T03:49:03"/>
    <d v="1899-12-30T00:00:00"/>
    <n v="0"/>
    <n v="0"/>
    <n v="0"/>
    <n v="0"/>
    <n v="0"/>
    <n v="0"/>
    <s v="FIN POSTERIOR"/>
    <s v="Inicio GPS anterior al horario: 00:29:36 antes de las 08:30.; Fin GPS posterior: 02:01:00 después de las 16:30."/>
    <s v="6.226060, -75.599687"/>
    <n v="6.2260600000000004"/>
    <n v="-75.599687000000003"/>
    <s v="6.307164, -75.558222"/>
    <n v="6.3071640000000002"/>
    <n v="-75.558222000000001"/>
    <x v="4"/>
  </r>
  <r>
    <s v="c9663a8e274dfd85"/>
    <s v="10_09_2026_SJ_Diur.gpx"/>
    <s v="c9663a8e274dfd85184810ef7fa85094d297b14cdde02416fbdf76b53b15e871"/>
    <x v="8"/>
    <x v="0"/>
    <s v="Jueves"/>
    <x v="6"/>
    <s v="SJ"/>
    <s v="DIURNO"/>
    <n v="2420"/>
    <s v="10/09/2026 08:35:15"/>
    <s v="08:30"/>
    <d v="1899-12-30T00:05:15"/>
    <s v="INICIO CUMPLE"/>
    <s v="10/09/2026 15:30:36"/>
    <s v="16:30"/>
    <d v="1899-12-30T00:59:24"/>
    <s v="TERMINÓ ANTES"/>
    <d v="1899-12-30T06:55:21"/>
    <n v="30.905999999999999"/>
    <n v="8.89"/>
    <d v="1899-12-30T03:28:33"/>
    <d v="1899-12-30T02:15:12"/>
    <d v="1899-12-30T00:00:00"/>
    <n v="0"/>
    <n v="0"/>
    <n v="0"/>
    <n v="0"/>
    <n v="0"/>
    <n v="0"/>
    <s v="INICIO CUMPLE / FIN ANTICIPADO"/>
    <s v="Inicio GPS dentro de la tolerancia del horario programado.; Fin GPS anticipado: 00:59:24 antes de las 16:30."/>
    <s v="6.225658, -75.599369"/>
    <n v="6.2256580000000001"/>
    <n v="-75.599368999999996"/>
    <s v="6.303584, -75.576180"/>
    <n v="6.3035839999999999"/>
    <n v="-75.576179999999994"/>
    <x v="61"/>
  </r>
  <r>
    <s v="5f08e7c6d2f0026e"/>
    <s v="10_09_2026_DR_Diur.gpx"/>
    <s v="5f08e7c6d2f0026ed4569ad835cb476c6973071c09d43199de2a7cf51bf72d07"/>
    <x v="8"/>
    <x v="0"/>
    <s v="Jueves"/>
    <x v="8"/>
    <s v="DR"/>
    <s v="DIURNO"/>
    <n v="4852"/>
    <s v="10/09/2026 08:57:01"/>
    <s v="08:30"/>
    <d v="1899-12-30T00:27:01"/>
    <s v="INICIO TARDÍO"/>
    <s v="10/09/2026 13:59:43"/>
    <s v="16:30"/>
    <d v="1899-12-30T02:30:17"/>
    <s v="TERMINÓ ANTES"/>
    <d v="1899-12-30T05:02:42"/>
    <n v="73.456999999999994"/>
    <n v="18.66"/>
    <d v="1899-12-30T03:56:09"/>
    <d v="1899-12-30T01:46:41"/>
    <d v="1899-12-30T00:00:00"/>
    <n v="0"/>
    <n v="0"/>
    <n v="0"/>
    <n v="0"/>
    <n v="0"/>
    <n v="1"/>
    <s v="INICIO TARDÍO / FIN ANTICIPADO"/>
    <s v="Inicio GPS tardío: 00:27:01 después de las 08:30.; Fin GPS anticipado: 02:30:17 antes de las 16:30.; 1 hueco(s) GPS &gt;= 10 min."/>
    <s v="6.231487, -75.593182"/>
    <n v="6.2314870000000004"/>
    <n v="-75.593181999999999"/>
    <s v="6.253474, -75.609339"/>
    <n v="6.2534739999999998"/>
    <n v="-75.609339000000006"/>
    <x v="62"/>
  </r>
  <r>
    <s v="6db090df841ec014"/>
    <s v="10_09_2026_YL_Diur.gpx"/>
    <s v="6db090df841ec01429f60926fe4aab345b496fa8c208bed6d920182dd55e2e85"/>
    <x v="8"/>
    <x v="0"/>
    <s v="Jueves"/>
    <x v="7"/>
    <s v="YL"/>
    <s v="DIURNO"/>
    <n v="430"/>
    <s v="10/09/2026 11:00:20"/>
    <s v="08:30"/>
    <d v="1899-12-30T02:30:20"/>
    <s v="INICIO TARDÍO"/>
    <s v="10/09/2026 16:11:25"/>
    <s v="16:30"/>
    <d v="1899-12-30T00:18:35"/>
    <s v="TERMINÓ ANTES"/>
    <d v="1899-12-30T05:11:05"/>
    <n v="8.2119999999999997"/>
    <n v="1.71"/>
    <d v="1899-12-30T04:48:54"/>
    <d v="1899-12-30T04:35:22"/>
    <d v="1899-12-30T00:00:00"/>
    <n v="0"/>
    <n v="0"/>
    <n v="0"/>
    <n v="0"/>
    <n v="0"/>
    <n v="1"/>
    <s v="INICIO TARDÍO / FIN ANTICIPADO"/>
    <s v="Inicio GPS tardío: 02:30:20 después de las 08:30.; Fin GPS anticipado: 00:18:35 antes de las 16:30.; 1 hueco(s) GPS &gt;= 10 min."/>
    <s v="6.225611, -75.599046"/>
    <n v="6.2256109999999998"/>
    <n v="-75.599046000000001"/>
    <s v="6.225644, -75.599171"/>
    <n v="6.225644"/>
    <n v="-75.599170999999998"/>
    <x v="63"/>
  </r>
  <r>
    <s v="322b7ac522442dc6"/>
    <s v="10_09_2026_DV_Noct.gpx"/>
    <s v="322b7ac522442dc6989f419b877dfa288905fff74d5a5ade76dea1bb2e5b2a59"/>
    <x v="8"/>
    <x v="0"/>
    <s v="Jueves"/>
    <x v="9"/>
    <s v="DV"/>
    <s v="NOCTURNO"/>
    <n v="3938"/>
    <s v="10/09/2026 16:40:32"/>
    <s v="18:00"/>
    <d v="1899-12-30T01:19:28"/>
    <s v="INICIO ANTES DEL HORARIO"/>
    <s v="11/09/2026 00:11:32"/>
    <s v="00:00"/>
    <d v="1899-12-30T00:11:32"/>
    <s v="FIN CUMPLE"/>
    <d v="1899-12-30T07:31:00"/>
    <n v="47.618000000000002"/>
    <n v="10.23"/>
    <d v="1899-12-30T04:39:15"/>
    <d v="1899-12-30T01:44:54"/>
    <d v="1899-12-30T00:00:00"/>
    <n v="0"/>
    <n v="0"/>
    <n v="0"/>
    <n v="0"/>
    <n v="0"/>
    <n v="0"/>
    <s v="REVISAR"/>
    <s v="Inicio GPS anterior al horario: 01:19:28 antes de las 18:00.; Fin GPS dentro de la tolerancia del horario programado."/>
    <s v="6.230658, -75.601994"/>
    <n v="6.230658"/>
    <n v="-75.601994000000005"/>
    <s v="6.272743, -75.601894"/>
    <n v="6.2727430000000002"/>
    <n v="-75.601894000000001"/>
    <x v="4"/>
  </r>
  <r>
    <s v="7be688bf7a294659"/>
    <s v="10_09_2026_IQ_Noct.gpx"/>
    <s v="7be688bf7a29465983907bdf2d7dc1db2b35c9f19596e75e1a106608aab779d4"/>
    <x v="8"/>
    <x v="0"/>
    <s v="Jueves"/>
    <x v="10"/>
    <s v="IQ"/>
    <s v="NOCTURNO"/>
    <n v="1126"/>
    <s v="10/09/2026 17:31:25"/>
    <s v="18:00"/>
    <d v="1899-12-30T00:28:35"/>
    <s v="INICIO ANTES DEL HORARIO"/>
    <s v="11/09/2026 00:00:50"/>
    <s v="00:00"/>
    <d v="1899-12-30T00:00:50"/>
    <s v="FIN CUMPLE"/>
    <d v="1899-12-30T06:29:25"/>
    <n v="21.57"/>
    <n v="7.21"/>
    <d v="1899-12-30T02:59:33"/>
    <d v="1899-12-30T02:27:49"/>
    <d v="1899-12-30T00:12:06"/>
    <n v="1"/>
    <n v="0"/>
    <n v="0"/>
    <n v="0"/>
    <n v="0"/>
    <n v="5"/>
    <s v="REVISAR"/>
    <s v="Inicio GPS anterior al horario: 00:28:35 antes de las 18:00.; Fin GPS dentro de la tolerancia del horario programado.; 5 hueco(s) GPS &gt;= 10 min.; 1 permanencia(s) GPS detectada(s); requiere contexto."/>
    <s v="6.232065, -75.595333"/>
    <n v="6.2320650000000004"/>
    <n v="-75.595332999999997"/>
    <s v="6.231010, -75.544777"/>
    <n v="6.2310100000000004"/>
    <n v="-75.544776999999996"/>
    <x v="4"/>
  </r>
  <r>
    <s v="334979fb68f1cd12"/>
    <s v="10_09_2026_JHP_Noct.gpx"/>
    <s v="334979fb68f1cd120875a8a3e2a2eb506d380a3b3167bce2f8e73c0cf1f21537"/>
    <x v="8"/>
    <x v="0"/>
    <s v="Jueves"/>
    <x v="11"/>
    <s v="JHP"/>
    <s v="NOCTURNO"/>
    <n v="6236"/>
    <s v="10/09/2026 17:03:01"/>
    <s v="18:00"/>
    <d v="1899-12-30T00:56:59"/>
    <s v="INICIO ANTES DEL HORARIO"/>
    <s v="11/09/2026 00:16:45"/>
    <s v="00:00"/>
    <d v="1899-12-30T00:16:45"/>
    <s v="TERMINÓ DESPUÉS"/>
    <d v="1899-12-30T07:13:44"/>
    <n v="86.531000000000006"/>
    <n v="14.38"/>
    <d v="1899-12-30T06:01:08"/>
    <d v="1899-12-30T02:15:30"/>
    <d v="1899-12-30T00:00:00"/>
    <n v="0"/>
    <n v="0"/>
    <n v="0"/>
    <n v="0"/>
    <n v="0"/>
    <n v="0"/>
    <s v="FIN POSTERIOR"/>
    <s v="Inicio GPS anterior al horario: 00:56:59 antes de las 18:00.; Fin GPS posterior: 00:16:45 después de las 00:00."/>
    <s v="6.226833, -75.599510"/>
    <n v="6.2268330000000001"/>
    <n v="-75.599509999999995"/>
    <s v="6.290493, -75.546405"/>
    <n v="6.2904929999999997"/>
    <n v="-75.546404999999993"/>
    <x v="4"/>
  </r>
  <r>
    <s v="f3346f117e9cf1d9"/>
    <s v="10_09_2026_LA_Noct.gpx"/>
    <s v="f3346f117e9cf1d9f0d33b362d4060cbc766aee3a341156b083fa129c84d9494"/>
    <x v="8"/>
    <x v="0"/>
    <s v="Jueves"/>
    <x v="13"/>
    <s v="LA"/>
    <s v="NOCTURNO"/>
    <n v="8946"/>
    <s v="10/09/2026 17:34:50"/>
    <s v="18:00"/>
    <d v="1899-12-30T00:25:09"/>
    <s v="INICIO ANTES DEL HORARIO"/>
    <s v="11/09/2026 00:07:26"/>
    <s v="00:00"/>
    <d v="1899-12-30T00:07:27"/>
    <s v="FIN CUMPLE"/>
    <d v="1899-12-30T06:32:36"/>
    <n v="47.781999999999996"/>
    <n v="11.97"/>
    <d v="1899-12-30T03:59:28"/>
    <d v="1899-12-30T02:51:53"/>
    <d v="1899-12-30T00:00:00"/>
    <n v="0"/>
    <n v="0"/>
    <n v="0"/>
    <n v="0"/>
    <n v="0"/>
    <n v="2"/>
    <s v="REVISAR"/>
    <s v="Inicio GPS anterior al horario: 00:25:09 antes de las 18:00.; Fin GPS dentro de la tolerancia del horario programado.; 2 hueco(s) GPS &gt;= 10 min."/>
    <s v="6.226745, -75.599448"/>
    <n v="6.2267450000000002"/>
    <n v="-75.599447999999995"/>
    <s v="6.268518, -75.599480"/>
    <n v="6.2685180000000003"/>
    <n v="-75.59948"/>
    <x v="4"/>
  </r>
  <r>
    <s v="62a9fcb82e66121f"/>
    <s v="11_09_2026_AO_Diur.gpx"/>
    <s v="62a9fcb82e66121fd226f99e4734428d49a69553222d2a8ef31f520a1bad3640"/>
    <x v="9"/>
    <x v="0"/>
    <s v="Viernes"/>
    <x v="0"/>
    <s v="AO"/>
    <s v="DIURNO"/>
    <n v="9828"/>
    <s v="11/09/2026 09:08:21"/>
    <s v="08:30"/>
    <d v="1899-12-30T00:38:21"/>
    <s v="INICIO TARDÍO"/>
    <s v="11/09/2026 16:22:09"/>
    <s v="16:00"/>
    <d v="1899-12-30T00:22:09"/>
    <s v="TERMINÓ DESPUÉS"/>
    <d v="1899-12-30T07:13:48"/>
    <n v="68.373999999999995"/>
    <n v="24.96"/>
    <d v="1899-12-30T02:44:23"/>
    <d v="1899-12-30T00:25:52"/>
    <d v="1899-12-30T00:00:00"/>
    <n v="0"/>
    <n v="0"/>
    <n v="0"/>
    <n v="0"/>
    <n v="0"/>
    <n v="4"/>
    <s v="FIN POSTERIOR"/>
    <s v="Inicio GPS tardío: 00:38:21 después de las 08:30.; Fin GPS posterior: 00:22:09 después de las 16:00.; 4 hueco(s) GPS &gt;= 10 min."/>
    <s v="6.221767, -75.593764"/>
    <n v="6.2217669999999998"/>
    <n v="-75.593763999999993"/>
    <s v="6.212365, -75.569951"/>
    <n v="6.2123650000000001"/>
    <n v="-75.569951000000003"/>
    <x v="64"/>
  </r>
  <r>
    <s v="9e563886926028fa"/>
    <s v="11_09_2026_AR_Diur.gpx"/>
    <s v="9e563886926028faae0c50afb06b9c2eec6cc19cc3787b47b12a6a3e698e823a"/>
    <x v="9"/>
    <x v="0"/>
    <s v="Viernes"/>
    <x v="1"/>
    <s v="AR"/>
    <s v="DIURNO"/>
    <n v="3486"/>
    <s v="11/09/2026 08:27:53"/>
    <s v="08:30"/>
    <d v="1899-12-30T00:02:07"/>
    <s v="INICIO CUMPLE"/>
    <s v="11/09/2026 15:32:58"/>
    <s v="16:00"/>
    <d v="1899-12-30T00:27:02"/>
    <s v="TERMINÓ ANTES"/>
    <d v="1899-12-30T07:05:05"/>
    <n v="45.167999999999999"/>
    <n v="7.47"/>
    <d v="1899-12-30T06:02:34"/>
    <d v="1899-12-30T04:00:25"/>
    <d v="1899-12-30T00:00:00"/>
    <n v="0"/>
    <n v="0"/>
    <n v="0"/>
    <n v="0"/>
    <n v="0"/>
    <n v="2"/>
    <s v="INICIO CUMPLE / FIN ANTICIPADO"/>
    <s v="Inicio GPS dentro de la tolerancia del horario programado.; Fin GPS anticipado: 00:27:02 antes de las 16:00.; 2 hueco(s) GPS &gt;= 10 min."/>
    <s v="6.225694, -75.599417"/>
    <n v="6.2256939999999998"/>
    <n v="-75.599417000000003"/>
    <s v="6.249852, -75.607061"/>
    <n v="6.2498519999999997"/>
    <n v="-75.607061000000002"/>
    <x v="65"/>
  </r>
  <r>
    <s v="2f4d79bdcb63d229"/>
    <s v="11_09_2026_DR_Diur.gpx"/>
    <s v="2f4d79bdcb63d229863d3c4763cda73e2d436c8a28772f4f9a414ecd43264982"/>
    <x v="9"/>
    <x v="0"/>
    <s v="Viernes"/>
    <x v="8"/>
    <s v="DR"/>
    <s v="DIURNO"/>
    <n v="2550"/>
    <s v="11/09/2026 08:33:26"/>
    <s v="08:30"/>
    <d v="1899-12-30T00:03:26"/>
    <s v="INICIO CUMPLE"/>
    <s v="11/09/2026 12:53:35"/>
    <s v="16:00"/>
    <d v="1899-12-30T03:06:25"/>
    <s v="TERMINÓ ANTES"/>
    <d v="1899-12-30T04:20:09"/>
    <n v="34.093000000000004"/>
    <n v="7.86"/>
    <d v="1899-12-30T04:20:09"/>
    <d v="1899-12-30T02:34:47"/>
    <d v="1899-12-30T00:00:00"/>
    <n v="0"/>
    <n v="0"/>
    <n v="0"/>
    <n v="0"/>
    <n v="0"/>
    <n v="1"/>
    <s v="INICIO CUMPLE / FIN ANTICIPADO"/>
    <s v="Inicio GPS dentro de la tolerancia del horario programado.; Fin GPS anticipado: 03:06:25 antes de las 16:00.; 1 hueco(s) GPS &gt;= 10 min."/>
    <s v="6.233676, -75.602097"/>
    <n v="6.233676"/>
    <n v="-75.602097000000001"/>
    <s v="6.245853, -75.583882"/>
    <n v="6.2458530000000003"/>
    <n v="-75.583882000000003"/>
    <x v="66"/>
  </r>
  <r>
    <s v="983be0c15a210d25"/>
    <s v="11_09_2026_HC_Diur.gpx"/>
    <s v="983be0c15a210d253e8bb0c8e09526a57eef1017e98aca8ce373210873dfad91"/>
    <x v="9"/>
    <x v="0"/>
    <s v="Viernes"/>
    <x v="2"/>
    <s v="HC"/>
    <s v="DIURNO"/>
    <n v="2778"/>
    <s v="11/09/2026 08:32:22"/>
    <s v="08:30"/>
    <d v="1899-12-30T00:02:22"/>
    <s v="INICIO CUMPLE"/>
    <s v="11/09/2026 13:47:57"/>
    <s v="16:00"/>
    <d v="1899-12-30T02:12:03"/>
    <s v="TERMINÓ ANTES"/>
    <d v="1899-12-30T05:15:35"/>
    <n v="36.688000000000002"/>
    <n v="10.210000000000001"/>
    <d v="1899-12-30T03:35:39"/>
    <d v="1899-12-30T02:05:21"/>
    <d v="1899-12-30T00:00:00"/>
    <n v="0"/>
    <n v="0"/>
    <n v="0"/>
    <n v="0"/>
    <n v="0"/>
    <n v="0"/>
    <s v="INICIO CUMPLE / FIN ANTICIPADO"/>
    <s v="Inicio GPS dentro de la tolerancia del horario programado.; Fin GPS anticipado: 02:12:03 antes de las 16:00."/>
    <s v="6.225825, -75.599274"/>
    <n v="6.2258250000000004"/>
    <n v="-75.599273999999994"/>
    <s v="6.291334, -75.564667"/>
    <n v="6.291334"/>
    <n v="-75.564667"/>
    <x v="67"/>
  </r>
  <r>
    <s v="35bdb47cd2be35a8"/>
    <s v="11_09_2026_JA_Diur.gpx"/>
    <s v="35bdb47cd2be35a85c093f0ef8ca0a1d5ca3fd9113e6959351e550aaa8d88923"/>
    <x v="9"/>
    <x v="0"/>
    <s v="Viernes"/>
    <x v="3"/>
    <s v="JA"/>
    <s v="DIURNO"/>
    <n v="3026"/>
    <s v="11/09/2026 08:24:29"/>
    <s v="08:30"/>
    <d v="1899-12-30T00:05:31"/>
    <s v="INICIO CUMPLE"/>
    <s v="11/09/2026 10:39:00"/>
    <s v="16:00"/>
    <d v="1899-12-30T05:21:00"/>
    <s v="TERMINÓ ANTES"/>
    <d v="1899-12-30T02:14:31"/>
    <n v="41.774999999999999"/>
    <n v="19.21"/>
    <d v="1899-12-30T02:10:29"/>
    <d v="1899-12-30T00:31:24"/>
    <d v="1899-12-30T00:00:00"/>
    <n v="0"/>
    <n v="0"/>
    <n v="0"/>
    <n v="0"/>
    <n v="0"/>
    <n v="0"/>
    <s v="INICIO CUMPLE / FIN ANTICIPADO"/>
    <s v="Inicio GPS dentro de la tolerancia del horario programado.; Fin GPS anticipado: 05:21:00 antes de las 16:00."/>
    <s v="6.225760, -75.599008"/>
    <n v="6.2257600000000002"/>
    <n v="-75.599007999999998"/>
    <s v="6.237190, -75.559158"/>
    <n v="6.23719"/>
    <n v="-75.559157999999996"/>
    <x v="68"/>
  </r>
  <r>
    <s v="4757f2fa78252f55"/>
    <s v="11_09_2026_JZ_Diur.gpx"/>
    <s v="4757f2fa78252f55d539c2c39d65af44de927d858dfcc4c386545675a7810557"/>
    <x v="9"/>
    <x v="0"/>
    <s v="Viernes"/>
    <x v="5"/>
    <s v="JZ"/>
    <s v="DIURNO"/>
    <n v="6062"/>
    <s v="11/09/2026 08:23:18"/>
    <s v="08:30"/>
    <d v="1899-12-30T00:06:42"/>
    <s v="INICIO CUMPLE"/>
    <s v="11/09/2026 15:50:40"/>
    <s v="16:00"/>
    <d v="1899-12-30T00:09:20"/>
    <s v="FIN CUMPLE"/>
    <d v="1899-12-30T07:27:22"/>
    <n v="80.531999999999996"/>
    <n v="14.03"/>
    <d v="1899-12-30T05:44:31"/>
    <d v="1899-12-30T02:04:15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  <s v="6.226582, -75.598346"/>
    <n v="6.2265819999999996"/>
    <n v="-75.598346000000006"/>
    <s v="6.232227, -75.596296"/>
    <n v="6.232227"/>
    <n v="-75.596295999999995"/>
    <x v="4"/>
  </r>
  <r>
    <s v="66075bf6ada2eeb9"/>
    <s v="11_09_2026_SJ_Diur.gpx"/>
    <s v="66075bf6ada2eeb99187a8f9cb0f1d5735c26937aff74bbfec90ef08babed9d9"/>
    <x v="9"/>
    <x v="0"/>
    <s v="Viernes"/>
    <x v="6"/>
    <s v="SJ"/>
    <s v="DIURNO"/>
    <n v="2357"/>
    <s v="11/09/2026 08:40:23"/>
    <s v="08:30"/>
    <d v="1899-12-30T00:10:23"/>
    <s v="INICIO CUMPLE"/>
    <s v="11/09/2026 16:05:32"/>
    <s v="16:00"/>
    <d v="1899-12-30T00:05:32"/>
    <s v="FIN CUMPLE"/>
    <d v="1899-12-30T07:25:09"/>
    <n v="30.547000000000001"/>
    <n v="8.73"/>
    <d v="1899-12-30T03:29:54"/>
    <d v="1899-12-30T02:16:49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  <s v="6.299510, -75.578996"/>
    <n v="6.2995099999999997"/>
    <n v="-75.578996000000004"/>
    <s v="6.256154, -75.562804"/>
    <n v="6.2561540000000004"/>
    <n v="-75.562804"/>
    <x v="4"/>
  </r>
  <r>
    <s v="b24d45d04d5bd409"/>
    <s v="12_09_2026_DR_Diur.gpx"/>
    <s v="b24d45d04d5bd4098daab01bb99513f001c9748b78ac58765414f3057baff550"/>
    <x v="10"/>
    <x v="0"/>
    <s v="Sábado"/>
    <x v="8"/>
    <s v="DR"/>
    <s v="DIURNO"/>
    <n v="2047"/>
    <s v="12/09/2026 09:17:49"/>
    <s v="08:30"/>
    <d v="1899-12-30T00:47:49"/>
    <s v="INICIO TARDÍO"/>
    <s v="12/09/2026 16:00:31"/>
    <s v="16:00"/>
    <d v="1899-12-30T00:00:31"/>
    <s v="FIN CUMPLE"/>
    <d v="1899-12-30T06:42:42"/>
    <n v="25.844999999999999"/>
    <n v="5.93"/>
    <d v="1899-12-30T04:21:32"/>
    <d v="1899-12-30T03:33:50"/>
    <d v="1899-12-30T00:00:00"/>
    <n v="0"/>
    <n v="0"/>
    <n v="0"/>
    <n v="0"/>
    <n v="0"/>
    <n v="2"/>
    <s v="INICIO TARDÍO / FIN CUMPLE"/>
    <s v="Inicio GPS tardío: 00:47:49 después de las 08:30.; Fin GPS dentro de la tolerancia del horario programado.; 2 hueco(s) GPS &gt;= 10 min."/>
    <s v="6.243124, -75.602213"/>
    <n v="6.2431239999999999"/>
    <n v="-75.602213000000006"/>
    <s v="6.247789, -75.614942"/>
    <n v="6.247789"/>
    <n v="-75.614941999999999"/>
    <x v="69"/>
  </r>
  <r>
    <s v="d182d0833a09621d"/>
    <s v="11_09_2026_DV_Noct.gpx"/>
    <s v="d182d0833a09621d0a513eb7d412c4bfcafa2ca1ea0c512db34325c14cabe0a3"/>
    <x v="9"/>
    <x v="0"/>
    <s v="Viernes"/>
    <x v="9"/>
    <s v="DV"/>
    <s v="NOCTURNO"/>
    <n v="3050"/>
    <s v="11/09/2026 17:46:18"/>
    <s v="18:00"/>
    <d v="1899-12-30T00:13:42"/>
    <s v="INICIO CUMPLE"/>
    <s v="12/09/2026 01:11:07"/>
    <s v="00:00"/>
    <d v="1899-12-30T01:11:07"/>
    <s v="TERMINÓ DESPUÉS"/>
    <d v="1899-12-30T07:24:49"/>
    <n v="36.299999999999997"/>
    <n v="8.24"/>
    <d v="1899-12-30T04:24:17"/>
    <d v="1899-12-30T02:05:40"/>
    <d v="1899-12-30T00:00:00"/>
    <n v="0"/>
    <n v="0"/>
    <n v="0"/>
    <n v="0"/>
    <n v="0"/>
    <n v="0"/>
    <s v="FIN POSTERIOR"/>
    <s v="Inicio GPS dentro de la tolerancia del horario programado.; Fin GPS posterior: 01:11:07 después de las 00:00."/>
    <s v="6.272783, -75.601923"/>
    <n v="6.2727830000000004"/>
    <n v="-75.601922999999999"/>
    <s v="6.273402, -75.602096"/>
    <n v="6.2734019999999999"/>
    <n v="-75.602096000000003"/>
    <x v="4"/>
  </r>
  <r>
    <s v="3174bb6a9870fea4"/>
    <s v="11_09_2026_IQ_Noct.gpx"/>
    <s v="3174bb6a9870fea45a50cbd12a19351e9011c4d42b3cb1088a6e3b416001263d"/>
    <x v="9"/>
    <x v="0"/>
    <s v="Viernes"/>
    <x v="10"/>
    <s v="IQ"/>
    <s v="NOCTURNO"/>
    <n v="708"/>
    <s v="11/09/2026 18:20:17"/>
    <s v="18:00"/>
    <d v="1899-12-30T00:20:17"/>
    <s v="INICIO TARDÍO"/>
    <s v="12/09/2026 00:00:08"/>
    <s v="00:00"/>
    <d v="1899-12-30T00:00:08"/>
    <s v="FIN CUMPLE"/>
    <d v="1899-12-30T05:39:51"/>
    <n v="44.496000000000002"/>
    <n v="11.94"/>
    <d v="1899-12-30T03:43:35"/>
    <d v="1899-12-30T03:05:16"/>
    <d v="1899-12-30T00:00:00"/>
    <n v="0"/>
    <n v="0"/>
    <n v="0"/>
    <n v="0"/>
    <n v="0"/>
    <n v="4"/>
    <s v="INICIO TARDÍO / FIN CUMPLE"/>
    <s v="Inicio GPS tardío: 00:20:17 después de las 18:00.; Fin GPS dentro de la tolerancia del horario programado.; 4 hueco(s) GPS &gt;= 10 min."/>
    <s v="6.231010, -75.544777"/>
    <n v="6.2310100000000004"/>
    <n v="-75.544776999999996"/>
    <s v="6.245280, -75.573187"/>
    <n v="6.2452800000000002"/>
    <n v="-75.573187000000004"/>
    <x v="70"/>
  </r>
  <r>
    <s v="ed0e4e1d4d3a7045"/>
    <s v="11_09_2026_JHP_Noct.gpx"/>
    <s v="ed0e4e1d4d3a7045f5a58f3ae81dac01e679c8173646f4ee993ea002f789dfb6"/>
    <x v="9"/>
    <x v="0"/>
    <s v="Viernes"/>
    <x v="11"/>
    <s v="JHP"/>
    <s v="NOCTURNO"/>
    <n v="7487"/>
    <s v="11/09/2026 16:54:22"/>
    <s v="18:00"/>
    <d v="1899-12-30T01:05:38"/>
    <s v="INICIO ANTES DEL HORARIO"/>
    <s v="12/09/2026 00:06:07"/>
    <s v="00:00"/>
    <d v="1899-12-30T00:06:07"/>
    <s v="FIN CUMPLE"/>
    <d v="1899-12-30T07:11:45"/>
    <n v="105.99299999999999"/>
    <n v="17.809999999999999"/>
    <d v="1899-12-30T05:57:08"/>
    <d v="1899-12-30T01:45:30"/>
    <d v="1899-12-30T00:00:00"/>
    <n v="0"/>
    <n v="0"/>
    <n v="0"/>
    <n v="0"/>
    <n v="0"/>
    <n v="0"/>
    <s v="REVISAR"/>
    <s v="Inicio GPS anterior al horario: 01:05:38 antes de las 18:00.; Fin GPS dentro de la tolerancia del horario programado."/>
    <s v="6.290480, -75.546562"/>
    <n v="6.2904799999999996"/>
    <n v="-75.546561999999994"/>
    <s v="6.290452, -75.546646"/>
    <n v="6.2904520000000002"/>
    <n v="-75.546645999999996"/>
    <x v="4"/>
  </r>
  <r>
    <s v="c4d966cb83556657"/>
    <s v="11_09_2026_JO_Diur.gpx"/>
    <s v="c4d966cb83556657d134f8318260112284196e27faae77be0106a89509e50971"/>
    <x v="9"/>
    <x v="0"/>
    <s v="Viernes"/>
    <x v="4"/>
    <s v="JO"/>
    <s v="DIURNO"/>
    <n v="5705"/>
    <s v="11/09/2026 08:42:51"/>
    <s v="08:30"/>
    <d v="1899-12-30T00:12:51"/>
    <s v="INICIO CUMPLE"/>
    <s v="11/09/2026 16:00:42"/>
    <s v="16:00"/>
    <d v="1899-12-30T00:00:42"/>
    <s v="FIN CUMPLE"/>
    <d v="1899-12-30T07:17:51"/>
    <n v="40.686"/>
    <n v="14.51"/>
    <d v="1899-12-30T02:48:12"/>
    <d v="1899-12-30T01:41:15"/>
    <d v="1899-12-30T00:00:00"/>
    <n v="0"/>
    <n v="0"/>
    <n v="0"/>
    <n v="0"/>
    <n v="0"/>
    <n v="11"/>
    <s v="DENTRO DE HORARIO"/>
    <s v="Inicio GPS dentro de la tolerancia del horario programado.; Fin GPS dentro de la tolerancia del horario programado.; 11 hueco(s) GPS &gt;= 10 min."/>
    <s v="6.225653, -75.599463"/>
    <n v="6.2256530000000003"/>
    <n v="-75.599463"/>
    <s v="6.259216, -75.620955"/>
    <n v="6.2592160000000003"/>
    <n v="-75.620954999999995"/>
    <x v="4"/>
  </r>
  <r>
    <s v="921e3cf8f1c73d8e"/>
    <s v="11_09_2026_JP_Noct.gpx"/>
    <s v="921e3cf8f1c73d8efc1047f960af19364e7bcf8aa63025bbc69b615acd4fc9db"/>
    <x v="9"/>
    <x v="0"/>
    <s v="Viernes"/>
    <x v="12"/>
    <s v="JP"/>
    <s v="NOCTURNO"/>
    <n v="3174"/>
    <s v="11/09/2026 17:59:21"/>
    <s v="18:00"/>
    <d v="1899-12-30T00:00:39"/>
    <s v="INICIO CUMPLE"/>
    <s v="11/09/2026 22:40:33"/>
    <s v="00:00"/>
    <d v="1899-12-30T01:19:27"/>
    <s v="TERMINÓ ANTES"/>
    <d v="1899-12-30T04:41:12"/>
    <n v="43.072000000000003"/>
    <n v="10.3"/>
    <d v="1899-12-30T04:10:57"/>
    <d v="1899-12-30T02:20:12"/>
    <d v="1899-12-30T00:00:00"/>
    <n v="0"/>
    <n v="0"/>
    <n v="0"/>
    <n v="0"/>
    <n v="0"/>
    <n v="0"/>
    <s v="INICIO CUMPLE / FIN ANTICIPADO"/>
    <s v="Inicio GPS dentro de la tolerancia del horario programado.; Fin GPS anticipado: 01:19:27 antes de las 00:00."/>
    <s v="6.251770, -75.552062"/>
    <n v="6.2517699999999996"/>
    <n v="-75.552062000000006"/>
    <s v="6.251843, -75.551862"/>
    <n v="6.251843"/>
    <n v="-75.551862"/>
    <x v="58"/>
  </r>
  <r>
    <s v="e8bbb4cd9f17894a"/>
    <s v="12_09_2026_JO_Noct.gpx"/>
    <s v="e8bbb4cd9f17894ad401cfb6fd1dceca91daeb6fdcf6b86d1fcab0bda39c2ae2"/>
    <x v="10"/>
    <x v="0"/>
    <s v="Sábado"/>
    <x v="4"/>
    <s v="JO"/>
    <s v="NOCTURNO"/>
    <n v="7819"/>
    <s v="12/09/2026 18:04:42"/>
    <s v="18:00"/>
    <d v="1899-12-30T00:04:42"/>
    <s v="INICIO CUMPLE"/>
    <s v="13/09/2026 00:06:22"/>
    <s v="00:00"/>
    <d v="1899-12-30T00:06:22"/>
    <s v="FIN CUMPLE"/>
    <d v="1899-12-30T06:01:40"/>
    <n v="45.506"/>
    <n v="18.010000000000002"/>
    <d v="1899-12-30T02:31:36"/>
    <d v="1899-12-30T01:07:59"/>
    <d v="1899-12-30T00:00:00"/>
    <n v="0"/>
    <n v="0"/>
    <n v="0"/>
    <n v="0"/>
    <n v="0"/>
    <n v="6"/>
    <s v="DENTRO DE HORARIO"/>
    <s v="Inicio GPS dentro de la tolerancia del horario programado.; Fin GPS dentro de la tolerancia del horario programado.; 6 hueco(s) GPS &gt;= 10 min.; Sábado nocturno: verificar técnico asignado."/>
    <s v="6.254250, -75.615747"/>
    <n v="6.2542499999999999"/>
    <n v="-75.615746999999999"/>
    <s v="6.255112, -75.619004"/>
    <n v="6.2551119999999996"/>
    <n v="-75.619004000000004"/>
    <x v="4"/>
  </r>
  <r>
    <s v="12b42f3142a0a948"/>
    <s v="11_09_2026_LA_Noct.gpx"/>
    <s v="12b42f3142a0a948a3c42116179952c216f41cf0cde6db180ee4acd0861cec4a"/>
    <x v="9"/>
    <x v="0"/>
    <s v="Viernes"/>
    <x v="13"/>
    <s v="LA"/>
    <s v="NOCTURNO"/>
    <n v="11960"/>
    <s v="11/09/2026 17:11:09"/>
    <s v="18:00"/>
    <d v="1899-12-30T00:48:51"/>
    <s v="INICIO ANTES DEL HORARIO"/>
    <s v="11/09/2026 23:57:13"/>
    <s v="00:00"/>
    <d v="1899-12-30T00:02:46"/>
    <s v="FIN CUMPLE"/>
    <d v="1899-12-30T06:46:04"/>
    <n v="66.061999999999998"/>
    <n v="15.35"/>
    <d v="1899-12-30T04:18:09"/>
    <d v="1899-12-30T02:37:42"/>
    <d v="1899-12-30T00:00:00"/>
    <n v="0"/>
    <n v="0"/>
    <n v="0"/>
    <n v="0"/>
    <n v="0"/>
    <n v="3"/>
    <s v="REVISAR"/>
    <s v="Inicio GPS anterior al horario: 00:48:51 antes de las 18:00.; Fin GPS dentro de la tolerancia del horario programado.; 3 hueco(s) GPS &gt;= 10 min."/>
    <s v="6.268460, -75.598605"/>
    <n v="6.2684600000000001"/>
    <n v="-75.598605000000006"/>
    <s v="6.261512, -75.592320"/>
    <n v="6.2615119999999997"/>
    <n v="-75.592320000000001"/>
    <x v="4"/>
  </r>
  <r>
    <s v="64608d775471e888"/>
    <s v="14_09_2026_AO_Diur.gpx"/>
    <s v="64608d775471e88835392ff434de461429e8d784558f1c78facdbf0260003a55"/>
    <x v="11"/>
    <x v="0"/>
    <s v="Lunes"/>
    <x v="0"/>
    <s v="AO"/>
    <s v="DIURNO"/>
    <n v="9328"/>
    <s v="14/09/2026 08:49:52"/>
    <s v="08:30"/>
    <d v="1899-12-30T00:19:52"/>
    <s v="INICIO TARDÍO"/>
    <s v="14/09/2026 16:59:42"/>
    <s v="16:30"/>
    <d v="1899-12-30T00:29:42"/>
    <s v="TERMINÓ DESPUÉS"/>
    <d v="1899-12-30T08:09:50"/>
    <n v="79.951999999999998"/>
    <n v="20.77"/>
    <d v="1899-12-30T03:51:00"/>
    <d v="1899-12-30T01:11:31"/>
    <d v="1899-12-30T00:00:00"/>
    <n v="0"/>
    <n v="0"/>
    <n v="0"/>
    <n v="0"/>
    <n v="0"/>
    <n v="5"/>
    <s v="FIN POSTERIOR"/>
    <s v="Inicio GPS tardío: 00:19:52 después de las 08:30.; Fin GPS posterior: 00:29:42 después de las 16:30.; 5 hueco(s) GPS &gt;= 10 min."/>
    <s v="6.225295, -75.599788"/>
    <n v="6.225295"/>
    <n v="-75.599788000000004"/>
    <s v="6.221744, -75.593837"/>
    <n v="6.2217440000000002"/>
    <n v="-75.593836999999994"/>
    <x v="71"/>
  </r>
  <r>
    <s v="d3a38467d28aea42"/>
    <s v="14_09_2026_AR_Diur.gpx"/>
    <s v="d3a38467d28aea420ccdc283b959d46ded65190cf988176747e8e2ccfdd5997a"/>
    <x v="11"/>
    <x v="0"/>
    <s v="Lunes"/>
    <x v="1"/>
    <s v="AR"/>
    <s v="DIURNO"/>
    <n v="3877"/>
    <s v="14/09/2026 08:13:31"/>
    <s v="08:30"/>
    <d v="1899-12-30T00:16:29"/>
    <s v="INICIO ANTES DEL HORARIO"/>
    <s v="14/09/2026 16:00:40"/>
    <s v="16:30"/>
    <d v="1899-12-30T00:29:20"/>
    <s v="TERMINÓ ANTES"/>
    <d v="1899-12-30T07:47:09"/>
    <n v="46.598999999999997"/>
    <n v="7.59"/>
    <d v="1899-12-30T06:08:18"/>
    <d v="1899-12-30T03:07:10"/>
    <d v="1899-12-30T00:00:00"/>
    <n v="0"/>
    <n v="0"/>
    <n v="0"/>
    <n v="0"/>
    <n v="0"/>
    <n v="2"/>
    <s v="REVISAR"/>
    <s v="Inicio GPS anterior al horario: 00:16:29 antes de las 08:30.; Fin GPS anticipado: 00:29:20 antes de las 16:30.; 2 hueco(s) GPS &gt;= 10 min."/>
    <s v="6.225754, -75.599476"/>
    <n v="6.2257540000000002"/>
    <n v="-75.599475999999996"/>
    <s v="6.250236, -75.604742"/>
    <n v="6.2502360000000001"/>
    <n v="-75.604742000000002"/>
    <x v="72"/>
  </r>
  <r>
    <s v="9b80091cfa0bc372"/>
    <s v="14_09_2026_DR_Diur.gpx"/>
    <s v="9b80091cfa0bc372306c9ba91bf6256a061f1e34f8179fff16d59c3583f41a4d"/>
    <x v="11"/>
    <x v="0"/>
    <s v="Lunes"/>
    <x v="8"/>
    <s v="DR"/>
    <s v="DIURNO"/>
    <n v="3951"/>
    <s v="14/09/2026 09:05:21"/>
    <s v="08:30"/>
    <d v="1899-12-30T00:35:21"/>
    <s v="INICIO TARDÍO"/>
    <s v="14/09/2026 15:39:31"/>
    <s v="16:30"/>
    <d v="1899-12-30T00:50:29"/>
    <s v="TERMINÓ ANTES"/>
    <d v="1899-12-30T06:34:10"/>
    <n v="53.475999999999999"/>
    <n v="9.44"/>
    <d v="1899-12-30T05:39:43"/>
    <d v="1899-12-30T03:36:07"/>
    <d v="1899-12-30T00:00:00"/>
    <n v="0"/>
    <n v="0"/>
    <n v="0"/>
    <n v="0"/>
    <n v="0"/>
    <n v="2"/>
    <s v="INICIO TARDÍO / FIN ANTICIPADO"/>
    <s v="Inicio GPS tardío: 00:35:21 después de las 08:30.; Fin GPS anticipado: 00:50:29 antes de las 16:30.; 2 hueco(s) GPS &gt;= 10 min."/>
    <s v="6.237503, -75.606640"/>
    <n v="6.2375030000000002"/>
    <n v="-75.606639999999999"/>
    <s v="6.263057, -75.595337"/>
    <n v="6.2630569999999999"/>
    <n v="-75.595337000000001"/>
    <x v="73"/>
  </r>
  <r>
    <s v="087877c2cd424574"/>
    <s v="14_09_2026_HC_Diur.gpx"/>
    <s v="087877c2cd42457462ad2419ee8929ec30d937ab215bda615f1cc5533b13278a"/>
    <x v="11"/>
    <x v="0"/>
    <s v="Lunes"/>
    <x v="2"/>
    <s v="HC"/>
    <s v="DIURNO"/>
    <n v="4211"/>
    <s v="14/09/2026 08:16:51"/>
    <s v="08:30"/>
    <d v="1899-12-30T00:13:09"/>
    <s v="INICIO CUMPLE"/>
    <s v="14/09/2026 14:04:45"/>
    <s v="16:30"/>
    <d v="1899-12-30T02:25:15"/>
    <s v="TERMINÓ ANTES"/>
    <d v="1899-12-30T05:47:54"/>
    <n v="56.030999999999999"/>
    <n v="17.48"/>
    <d v="1899-12-30T03:12:22"/>
    <d v="1899-12-30T00:57:37"/>
    <d v="1899-12-30T00:00:00"/>
    <n v="0"/>
    <n v="0"/>
    <n v="0"/>
    <n v="0"/>
    <n v="0"/>
    <n v="0"/>
    <s v="INICIO CUMPLE / FIN ANTICIPADO"/>
    <s v="Inicio GPS dentro de la tolerancia del horario programado.; Fin GPS anticipado: 02:25:15 antes de las 16:30."/>
    <s v="6.225683, -75.599396"/>
    <n v="6.2256830000000001"/>
    <n v="-75.599395999999999"/>
    <s v="6.274832, -75.579004"/>
    <n v="6.274832"/>
    <n v="-75.579003999999998"/>
    <x v="74"/>
  </r>
  <r>
    <s v="a0ebf6c120309c0c"/>
    <s v="14_09_2026_JZ_Diur.gpx"/>
    <s v="a0ebf6c120309c0c2f3036aab4f2daedc622d401d4ff1245de0dca5345739069"/>
    <x v="11"/>
    <x v="0"/>
    <s v="Lunes"/>
    <x v="5"/>
    <s v="JZ"/>
    <s v="DIURNO"/>
    <n v="6651"/>
    <s v="14/09/2026 08:35:02"/>
    <s v="08:30"/>
    <d v="1899-12-30T00:05:02"/>
    <s v="INICIO CUMPLE"/>
    <s v="14/09/2026 16:32:34"/>
    <s v="16:30"/>
    <d v="1899-12-30T00:02:34"/>
    <s v="FIN CUMPLE"/>
    <d v="1899-12-30T07:57:32"/>
    <n v="88.263999999999996"/>
    <n v="15.29"/>
    <d v="1899-12-30T05:46:27"/>
    <d v="1899-12-30T02:08:33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  <s v="6.226757, -75.599795"/>
    <n v="6.2267570000000001"/>
    <n v="-75.599795"/>
    <s v="6.279339, -75.569377"/>
    <n v="6.2793390000000002"/>
    <n v="-75.569377000000003"/>
    <x v="4"/>
  </r>
  <r>
    <s v="e2ecd19a94981685"/>
    <s v="14_09_2026_SJ_Diur.gpx"/>
    <s v="e2ecd19a94981685a641cc725303113f23247fb18ef773b1c075668c37cad329"/>
    <x v="11"/>
    <x v="0"/>
    <s v="Lunes"/>
    <x v="6"/>
    <s v="SJ"/>
    <s v="DIURNO"/>
    <n v="2421"/>
    <s v="14/09/2026 08:51:42"/>
    <s v="08:30"/>
    <d v="1899-12-30T00:21:42"/>
    <s v="INICIO TARDÍO"/>
    <s v="14/09/2026 16:09:06"/>
    <s v="16:30"/>
    <d v="1899-12-30T00:20:54"/>
    <s v="TERMINÓ ANTES"/>
    <d v="1899-12-30T07:17:24"/>
    <n v="31.95"/>
    <n v="7.64"/>
    <d v="1899-12-30T04:10:48"/>
    <d v="1899-12-30T02:57:33"/>
    <d v="1899-12-30T00:00:00"/>
    <n v="0"/>
    <n v="0"/>
    <n v="0"/>
    <n v="0"/>
    <n v="0"/>
    <n v="0"/>
    <s v="INICIO TARDÍO / FIN ANTICIPADO"/>
    <s v="Inicio GPS tardío: 00:21:42 después de las 08:30.; Fin GPS anticipado: 00:20:54 antes de las 16:30."/>
    <s v="6.225185, -75.599488"/>
    <n v="6.2251849999999997"/>
    <n v="-75.599487999999994"/>
    <s v="6.304969, -75.581789"/>
    <n v="6.3049689999999998"/>
    <n v="-75.581789000000001"/>
    <x v="75"/>
  </r>
  <r>
    <s v="17813c2c4f61c56e"/>
    <s v="14_09_2026_YL_Diur.gpx"/>
    <s v="17813c2c4f61c56ea82fbe6ab194981f81baeea1f60c7c18a865e0c7a256a62e"/>
    <x v="11"/>
    <x v="0"/>
    <s v="Lunes"/>
    <x v="7"/>
    <s v="YL"/>
    <s v="DIURNO"/>
    <n v="3076"/>
    <s v="14/09/2026 08:48:38"/>
    <s v="08:30"/>
    <d v="1899-12-30T00:18:38"/>
    <s v="INICIO TARDÍO"/>
    <s v="14/09/2026 16:33:57"/>
    <s v="16:30"/>
    <d v="1899-12-30T00:03:57"/>
    <s v="FIN CUMPLE"/>
    <d v="1899-12-30T07:45:19"/>
    <n v="39.648000000000003"/>
    <n v="14.43"/>
    <d v="1899-12-30T02:44:50"/>
    <d v="1899-12-30T01:21:43"/>
    <d v="1899-12-30T00:00:00"/>
    <n v="0"/>
    <n v="0"/>
    <n v="0"/>
    <n v="0"/>
    <n v="0"/>
    <n v="0"/>
    <s v="INICIO TARDÍO / FIN CUMPLE"/>
    <s v="Inicio GPS tardío: 00:18:38 después de las 08:30.; Fin GPS dentro de la tolerancia del horario programado."/>
    <s v="6.225624, -75.599592"/>
    <n v="6.2256239999999998"/>
    <n v="-75.599592000000001"/>
    <s v="6.258685, -75.616232"/>
    <n v="6.2586849999999998"/>
    <n v="-75.616231999999997"/>
    <x v="76"/>
  </r>
  <r>
    <s v="2fb4c6305023bf8f"/>
    <s v="14_09_2026_JA_Diur.gpx"/>
    <s v="2fb4c6305023bf8fb43bfabe0b00fe20c31bd06c132fb4a51cd41f8194ca4b2c"/>
    <x v="11"/>
    <x v="0"/>
    <s v="Lunes"/>
    <x v="3"/>
    <s v="JA"/>
    <s v="DIURNO"/>
    <n v="3218"/>
    <s v="14/09/2026 08:16:49"/>
    <s v="08:30"/>
    <d v="1899-12-30T00:13:11"/>
    <s v="INICIO CUMPLE"/>
    <s v="14/09/2026 12:56:56"/>
    <s v="16:30"/>
    <d v="1899-12-30T03:33:04"/>
    <s v="TERMINÓ ANTES"/>
    <d v="1899-12-30T04:40:07"/>
    <n v="44.1"/>
    <n v="9.65"/>
    <d v="1899-12-30T04:34:04"/>
    <d v="1899-12-30T02:47:56"/>
    <d v="1899-12-30T00:00:00"/>
    <n v="0"/>
    <n v="0"/>
    <n v="0"/>
    <n v="0"/>
    <n v="0"/>
    <n v="1"/>
    <s v="INICIO CUMPLE / FIN ANTICIPADO"/>
    <s v="Inicio GPS dentro de la tolerancia del horario programado.; Fin GPS anticipado: 03:33:04 antes de las 16:30.; 1 hueco(s) GPS &gt;= 10 min."/>
    <s v="6.225730, -75.599396"/>
    <n v="6.2257300000000004"/>
    <n v="-75.599395999999999"/>
    <s v="6.237066, -75.558842"/>
    <n v="6.2370660000000004"/>
    <n v="-75.558841999999999"/>
    <x v="77"/>
  </r>
  <r>
    <s v="c6914eb88cd5f98b"/>
    <s v="14_09_2026_DV_Noct.gpx"/>
    <s v="c6914eb88cd5f98bf7d3cb5a4e7f264edd67b3f562bba28d2ca9ec7fd0a425cb"/>
    <x v="11"/>
    <x v="0"/>
    <s v="Lunes"/>
    <x v="9"/>
    <s v="DV"/>
    <s v="NOCTURNO"/>
    <n v="5430"/>
    <s v="14/09/2026 17:04:55"/>
    <s v="18:00"/>
    <d v="1899-12-30T00:55:05"/>
    <s v="INICIO ANTES DEL HORARIO"/>
    <s v="15/09/2026 00:24:58"/>
    <s v="00:00"/>
    <d v="1899-12-30T00:24:58"/>
    <s v="TERMINÓ DESPUÉS"/>
    <d v="1899-12-30T07:20:03"/>
    <n v="69.721000000000004"/>
    <n v="13.26"/>
    <d v="1899-12-30T05:15:25"/>
    <d v="1899-12-30T01:36:28"/>
    <d v="1899-12-30T00:00:00"/>
    <n v="0"/>
    <n v="0"/>
    <n v="0"/>
    <n v="0"/>
    <n v="0"/>
    <n v="0"/>
    <s v="FIN POSTERIOR"/>
    <s v="Inicio GPS anterior al horario: 00:55:05 antes de las 18:00.; Fin GPS posterior: 00:24:58 después de las 00:00."/>
    <s v="6.226781, -75.599306"/>
    <n v="6.2267809999999999"/>
    <n v="-75.599305999999999"/>
    <s v="6.272687, -75.602015"/>
    <n v="6.2726870000000003"/>
    <n v="-75.602014999999994"/>
    <x v="4"/>
  </r>
  <r>
    <s v="c22ce3f880a76352"/>
    <s v="14_09_2026_IQ_Noct.gpx"/>
    <s v="c22ce3f880a76352ee249e038479ca23d76ce9e2ca26662b154aa53b2159668e"/>
    <x v="11"/>
    <x v="0"/>
    <s v="Lunes"/>
    <x v="10"/>
    <s v="IQ"/>
    <s v="NOCTURNO"/>
    <n v="1837"/>
    <s v="14/09/2026 18:20:53"/>
    <s v="18:00"/>
    <d v="1899-12-30T00:20:53"/>
    <s v="INICIO TARDÍO"/>
    <s v="15/09/2026 00:03:23"/>
    <s v="00:00"/>
    <d v="1899-12-30T00:03:23"/>
    <s v="FIN CUMPLE"/>
    <d v="1899-12-30T05:42:30"/>
    <n v="23.887"/>
    <n v="7.22"/>
    <d v="1899-12-30T03:18:25"/>
    <d v="1899-12-30T02:16:01"/>
    <d v="1899-12-30T00:00:00"/>
    <n v="0"/>
    <n v="0"/>
    <n v="0"/>
    <n v="0"/>
    <n v="0"/>
    <n v="1"/>
    <s v="INICIO TARDÍO / FIN CUMPLE"/>
    <s v="Inicio GPS tardío: 00:20:53 después de las 18:00.; Fin GPS dentro de la tolerancia del horario programado.; 1 hueco(s) GPS &gt;= 10 min."/>
    <s v="6.275952, -75.554823"/>
    <n v="6.2759520000000002"/>
    <n v="-75.554822999999999"/>
    <s v="6.274503, -75.540477"/>
    <n v="6.2745030000000002"/>
    <n v="-75.540476999999996"/>
    <x v="78"/>
  </r>
  <r>
    <s v="f77269df50f1ad1f"/>
    <s v="14_09_2026_JHP_Noct.gpx"/>
    <s v="f77269df50f1ad1f2cddfe33fa12b1adae75d28c8df5349a3eb9d341ea04b0af"/>
    <x v="11"/>
    <x v="0"/>
    <s v="Lunes"/>
    <x v="11"/>
    <s v="JHP"/>
    <s v="NOCTURNO"/>
    <n v="4827"/>
    <s v="14/09/2026 17:41:58"/>
    <s v="18:00"/>
    <d v="1899-12-30T00:18:02"/>
    <s v="INICIO ANTES DEL HORARIO"/>
    <s v="15/09/2026 00:03:58"/>
    <s v="00:00"/>
    <d v="1899-12-30T00:03:58"/>
    <s v="FIN CUMPLE"/>
    <d v="1899-12-30T06:22:00"/>
    <n v="62.723999999999997"/>
    <n v="13.39"/>
    <d v="1899-12-30T04:41:10"/>
    <d v="1899-12-30T01:36:12"/>
    <d v="1899-12-30T00:00:00"/>
    <n v="0"/>
    <n v="0"/>
    <n v="0"/>
    <n v="0"/>
    <n v="0"/>
    <n v="0"/>
    <s v="REVISAR"/>
    <s v="Inicio GPS anterior al horario: 00:18:02 antes de las 18:00.; Fin GPS dentro de la tolerancia del horario programado."/>
    <s v="6.226539, -75.599269"/>
    <n v="6.2265389999999998"/>
    <n v="-75.599269000000007"/>
    <s v="6.290382, -75.546633"/>
    <n v="6.2903820000000001"/>
    <n v="-75.546633"/>
    <x v="4"/>
  </r>
  <r>
    <s v="af238268905a721a"/>
    <s v="14_09_2026_JP_Noct.gpx"/>
    <s v="af238268905a721a65e42e2c4ef00e8085025a564f894f5af63ae97aca334ac7"/>
    <x v="11"/>
    <x v="0"/>
    <s v="Lunes"/>
    <x v="12"/>
    <s v="JP"/>
    <s v="NOCTURNO"/>
    <n v="3810"/>
    <s v="14/09/2026 17:08:15"/>
    <s v="18:00"/>
    <d v="1899-12-30T00:51:45"/>
    <s v="INICIO ANTES DEL HORARIO"/>
    <s v="14/09/2026 23:22:19"/>
    <s v="00:00"/>
    <d v="1899-12-30T00:37:41"/>
    <s v="TERMINÓ ANTES"/>
    <d v="1899-12-30T06:14:04"/>
    <n v="51.901000000000003"/>
    <n v="10.99"/>
    <d v="1899-12-30T04:43:19"/>
    <d v="1899-12-30T03:06:36"/>
    <d v="1899-12-30T00:00:00"/>
    <n v="0"/>
    <n v="0"/>
    <n v="0"/>
    <n v="0"/>
    <n v="0"/>
    <n v="0"/>
    <s v="REVISAR"/>
    <s v="Inicio GPS anterior al horario: 00:51:45 antes de las 18:00.; Fin GPS anticipado: 00:37:41 antes de las 00:00."/>
    <s v="6.227012, -75.599712"/>
    <n v="6.2270120000000002"/>
    <n v="-75.599711999999997"/>
    <s v="6.248315, -75.557350"/>
    <n v="6.2483149999999998"/>
    <n v="-75.55735"/>
    <x v="79"/>
  </r>
  <r>
    <s v="8db51ad76e93ce48"/>
    <s v="14_09_2026_LA_Noct.gpx"/>
    <s v="8db51ad76e93ce48967781d321dcf3cc81fe19b0a68dfbaa98ced51bb4793096"/>
    <x v="11"/>
    <x v="0"/>
    <s v="Lunes"/>
    <x v="13"/>
    <s v="LA"/>
    <s v="NOCTURNO"/>
    <n v="10473"/>
    <s v="14/09/2026 17:07:23"/>
    <s v="18:00"/>
    <d v="1899-12-30T00:52:37"/>
    <s v="INICIO ANTES DEL HORARIO"/>
    <s v="14/09/2026 23:55:40"/>
    <s v="00:00"/>
    <d v="1899-12-30T00:04:20"/>
    <s v="FIN CUMPLE"/>
    <d v="1899-12-30T06:48:17"/>
    <n v="49.595999999999997"/>
    <n v="12.02"/>
    <d v="1899-12-30T04:07:39"/>
    <d v="1899-12-30T03:07:23"/>
    <d v="1899-12-30T00:00:00"/>
    <n v="0"/>
    <n v="0"/>
    <n v="0"/>
    <n v="0"/>
    <n v="0"/>
    <n v="1"/>
    <s v="REVISAR"/>
    <s v="Inicio GPS anterior al horario: 00:52:37 antes de las 18:00.; Fin GPS dentro de la tolerancia del horario programado.; 1 hueco(s) GPS &gt;= 10 min."/>
    <s v="6.226703, -75.599232"/>
    <n v="6.2267029999999997"/>
    <n v="-75.599232000000001"/>
    <s v="6.253760, -75.576220"/>
    <n v="6.2537599999999998"/>
    <n v="-75.576220000000006"/>
    <x v="4"/>
  </r>
  <r>
    <s v="6d383f5126627be4"/>
    <s v="15_09_2026_AO_Diur.gpx"/>
    <s v="6d383f5126627be401112e1581edf5783ae50b1c21b8d2025337951781db3b22"/>
    <x v="12"/>
    <x v="0"/>
    <s v="Martes"/>
    <x v="0"/>
    <s v="AO"/>
    <s v="DIURNO"/>
    <n v="6378"/>
    <s v="15/09/2026 08:45:57"/>
    <s v="08:30"/>
    <d v="1899-12-30T00:15:57"/>
    <s v="INICIO TARDÍO"/>
    <s v="15/09/2026 16:39:58"/>
    <s v="16:30"/>
    <d v="1899-12-30T00:09:59"/>
    <s v="FIN CUMPLE"/>
    <d v="1899-12-30T07:54:02"/>
    <n v="52.210999999999999"/>
    <n v="21.96"/>
    <d v="1899-12-30T02:22:41"/>
    <d v="1899-12-30T00:57:39"/>
    <d v="1899-12-30T00:00:00"/>
    <n v="0"/>
    <n v="0"/>
    <n v="0"/>
    <n v="0"/>
    <n v="0"/>
    <n v="5"/>
    <s v="INICIO TARDÍO / FIN CUMPLE"/>
    <s v="Inicio GPS tardío: 00:15:57 después de las 08:30.; Fin GPS dentro de la tolerancia del horario programado.; 5 hueco(s) GPS &gt;= 10 min."/>
    <s v="6.225217, -75.599784"/>
    <n v="6.2252169999999998"/>
    <n v="-75.599784"/>
    <s v="6.232094, -75.602228"/>
    <n v="6.232094"/>
    <n v="-75.602227999999997"/>
    <x v="80"/>
  </r>
  <r>
    <s v="4d27ae64e07a9404"/>
    <s v="15_09_2026_AR_Diur.gpx"/>
    <s v="4d27ae64e07a9404aa5d39fab767faf7cf4e5f540bab0c6e152567a5ad6e6e63"/>
    <x v="12"/>
    <x v="0"/>
    <s v="Martes"/>
    <x v="1"/>
    <s v="AR"/>
    <s v="DIURNO"/>
    <n v="3906"/>
    <s v="15/09/2026 08:01:55"/>
    <s v="08:30"/>
    <d v="1899-12-30T00:28:05"/>
    <s v="INICIO ANTES DEL HORARIO"/>
    <s v="15/09/2026 16:32:09"/>
    <s v="16:30"/>
    <d v="1899-12-30T00:02:09"/>
    <s v="FIN CUMPLE"/>
    <d v="1899-12-30T08:30:14"/>
    <n v="55.177"/>
    <n v="9.5500000000000007"/>
    <d v="1899-12-30T05:46:50"/>
    <d v="1899-12-30T03:19:21"/>
    <d v="1899-12-30T00:00:00"/>
    <n v="0"/>
    <n v="0"/>
    <n v="0"/>
    <n v="0"/>
    <n v="0"/>
    <n v="7"/>
    <s v="REVISAR"/>
    <s v="Inicio GPS anterior al horario: 00:28:05 antes de las 08:30.; Fin GPS dentro de la tolerancia del horario programado.; 7 hueco(s) GPS &gt;= 10 min."/>
    <s v="6.225673, -75.599416"/>
    <n v="6.2256729999999996"/>
    <n v="-75.599416000000005"/>
    <s v="6.247624, -75.614924"/>
    <n v="6.2476240000000001"/>
    <n v="-75.614924000000002"/>
    <x v="4"/>
  </r>
  <r>
    <s v="8ecfd841945da9c4"/>
    <s v="15_09_2026_DR_Diur.gpx"/>
    <s v="8ecfd841945da9c4002d1f85112d3f8c7207b5c014a3b68465fae25ce35d189a"/>
    <x v="12"/>
    <x v="0"/>
    <s v="Martes"/>
    <x v="8"/>
    <s v="DR"/>
    <s v="DIURNO"/>
    <n v="2317"/>
    <s v="15/09/2026 09:02:58"/>
    <s v="08:30"/>
    <d v="1899-12-30T00:32:58"/>
    <s v="INICIO TARDÍO"/>
    <s v="15/09/2026 16:19:40"/>
    <s v="16:30"/>
    <d v="1899-12-30T00:10:20"/>
    <s v="FIN CUMPLE"/>
    <d v="1899-12-30T07:16:42"/>
    <n v="29.96"/>
    <n v="5.32"/>
    <d v="1899-12-30T05:37:53"/>
    <d v="1899-12-30T04:16:49"/>
    <d v="1899-12-30T00:00:00"/>
    <n v="0"/>
    <n v="0"/>
    <n v="0"/>
    <n v="0"/>
    <n v="0"/>
    <n v="1"/>
    <s v="INICIO TARDÍO / FIN CUMPLE"/>
    <s v="Inicio GPS tardío: 00:32:58 después de las 08:30.; Fin GPS dentro de la tolerancia del horario programado.; 1 hueco(s) GPS &gt;= 10 min."/>
    <s v="6.259211, -75.597569"/>
    <n v="6.2592109999999996"/>
    <n v="-75.597568999999993"/>
    <s v="6.244133, -75.612316"/>
    <n v="6.2441329999999997"/>
    <n v="-75.612316000000007"/>
    <x v="81"/>
  </r>
  <r>
    <s v="e3104078aa2c2eab"/>
    <s v="15_09_2026_HC_Diur.gpx"/>
    <s v="e3104078aa2c2eab9b95e1615030c327378203ff9db0cfabc0922e82a3b91bdf"/>
    <x v="12"/>
    <x v="0"/>
    <s v="Martes"/>
    <x v="2"/>
    <s v="HC"/>
    <s v="DIURNO"/>
    <n v="3558"/>
    <s v="15/09/2026 08:14:48"/>
    <s v="08:30"/>
    <d v="1899-12-30T00:15:12"/>
    <s v="INICIO ANTES DEL HORARIO"/>
    <s v="15/09/2026 14:15:33"/>
    <s v="16:30"/>
    <d v="1899-12-30T02:14:27"/>
    <s v="TERMINÓ ANTES"/>
    <d v="1899-12-30T06:00:45"/>
    <n v="45.686"/>
    <n v="13.47"/>
    <d v="1899-12-30T03:23:27"/>
    <d v="1899-12-30T01:21:39"/>
    <d v="1899-12-30T00:00:00"/>
    <n v="0"/>
    <n v="0"/>
    <n v="0"/>
    <n v="0"/>
    <n v="0"/>
    <n v="0"/>
    <s v="REVISAR"/>
    <s v="Inicio GPS anterior al horario: 00:15:12 antes de las 08:30.; Fin GPS anticipado: 02:14:27 antes de las 16:30."/>
    <s v="6.225882, -75.599432"/>
    <n v="6.2258820000000004"/>
    <n v="-75.599431999999993"/>
    <s v="6.271430, -75.586137"/>
    <n v="6.2714299999999996"/>
    <n v="-75.586136999999994"/>
    <x v="82"/>
  </r>
  <r>
    <s v="d4d492c68722cb2b"/>
    <s v="15_09_2026_JA_Diur.gpx"/>
    <s v="d4d492c68722cb2b831d2d860db03a1f9931758c2958c1f7565139f596aca08f"/>
    <x v="12"/>
    <x v="0"/>
    <s v="Martes"/>
    <x v="3"/>
    <s v="JA"/>
    <s v="DIURNO"/>
    <n v="3204"/>
    <s v="15/09/2026 08:08:17"/>
    <s v="08:30"/>
    <d v="1899-12-30T00:21:43"/>
    <s v="INICIO ANTES DEL HORARIO"/>
    <s v="15/09/2026 11:33:01"/>
    <s v="16:30"/>
    <d v="1899-12-30T04:56:59"/>
    <s v="TERMINÓ ANTES"/>
    <d v="1899-12-30T03:24:44"/>
    <n v="43.651000000000003"/>
    <n v="16.54"/>
    <d v="1899-12-30T02:38:21"/>
    <d v="1899-12-30T01:18:03"/>
    <d v="1899-12-30T00:00:00"/>
    <n v="0"/>
    <n v="0"/>
    <n v="0"/>
    <n v="0"/>
    <n v="0"/>
    <n v="0"/>
    <s v="REVISAR"/>
    <s v="Inicio GPS anterior al horario: 00:21:43 antes de las 08:30.; Fin GPS anticipado: 04:56:59 antes de las 16:30."/>
    <s v="6.225631, -75.599101"/>
    <n v="6.2256309999999999"/>
    <n v="-75.599101000000005"/>
    <s v="6.242762, -75.565274"/>
    <n v="6.2427619999999999"/>
    <n v="-75.565274000000002"/>
    <x v="83"/>
  </r>
  <r>
    <s v="9b8ad0d75b183458"/>
    <s v="15_09_2026_JO_Diur.gpx"/>
    <s v="9b8ad0d75b183458c88a5d9c2e455fd9a72c0e2acf0ecbb212ee54543c045994"/>
    <x v="12"/>
    <x v="0"/>
    <s v="Martes"/>
    <x v="4"/>
    <s v="JO"/>
    <s v="DIURNO"/>
    <n v="7445"/>
    <s v="15/09/2026 08:23:56"/>
    <s v="08:30"/>
    <d v="1899-12-30T00:06:04"/>
    <s v="INICIO CUMPLE"/>
    <s v="15/09/2026 16:29:33"/>
    <s v="16:30"/>
    <d v="1899-12-30T00:00:26"/>
    <s v="FIN CUMPLE"/>
    <d v="1899-12-30T08:05:38"/>
    <n v="48.784999999999997"/>
    <n v="31.72"/>
    <d v="1899-12-30T01:32:17"/>
    <d v="1899-12-30T00:07:58"/>
    <d v="1899-12-30T00:00:00"/>
    <n v="0"/>
    <n v="0"/>
    <n v="0"/>
    <n v="0"/>
    <n v="0"/>
    <n v="11"/>
    <s v="DENTRO DE HORARIO"/>
    <s v="Inicio GPS dentro de la tolerancia del horario programado.; Fin GPS dentro de la tolerancia del horario programado.; 11 hueco(s) GPS &gt;= 10 min."/>
    <s v="6.225654, -75.599408"/>
    <n v="6.2256539999999996"/>
    <n v="-75.599407999999997"/>
    <s v="6.259240, -75.620922"/>
    <n v="6.2592400000000001"/>
    <n v="-75.620921999999993"/>
    <x v="4"/>
  </r>
  <r>
    <s v="5031b827ce5a2888"/>
    <s v="15_09_2026_JZ_Diur.gpx"/>
    <s v="5031b827ce5a288868319a26a4217c209c72fe1a6b47184ee6c7833b615a3f45"/>
    <x v="12"/>
    <x v="0"/>
    <s v="Martes"/>
    <x v="5"/>
    <s v="JZ"/>
    <s v="DIURNO"/>
    <n v="7142"/>
    <s v="15/09/2026 08:11:11"/>
    <s v="08:30"/>
    <d v="1899-12-30T00:18:49"/>
    <s v="INICIO ANTES DEL HORARIO"/>
    <s v="15/09/2026 16:51:21"/>
    <s v="16:30"/>
    <d v="1899-12-30T00:21:21"/>
    <s v="TERMINÓ DESPUÉS"/>
    <d v="1899-12-30T08:40:10"/>
    <n v="95.906000000000006"/>
    <n v="16.04"/>
    <d v="1899-12-30T05:58:50"/>
    <d v="1899-12-30T02:05:08"/>
    <d v="1899-12-30T00:00:00"/>
    <n v="0"/>
    <n v="0"/>
    <n v="0"/>
    <n v="0"/>
    <n v="0"/>
    <n v="0"/>
    <s v="FIN POSTERIOR"/>
    <s v="Inicio GPS anterior al horario: 00:18:49 antes de las 08:30.; Fin GPS posterior: 00:21:21 después de las 16:30."/>
    <s v="6.226717, -75.599193"/>
    <n v="6.2267169999999998"/>
    <n v="-75.599193"/>
    <s v="6.279619, -75.572063"/>
    <n v="6.2796190000000003"/>
    <n v="-75.572063"/>
    <x v="4"/>
  </r>
  <r>
    <s v="2b7fff97dbe28da1"/>
    <s v="15_09_2026_SJ_Diur.gpx"/>
    <s v="2b7fff97dbe28da1a4a4a793da92ce0f8dac17afddeef474c1b0334c2c675801"/>
    <x v="12"/>
    <x v="0"/>
    <s v="Martes"/>
    <x v="6"/>
    <s v="SJ"/>
    <s v="DIURNO"/>
    <n v="2650"/>
    <s v="15/09/2026 08:33:13"/>
    <s v="08:30"/>
    <d v="1899-12-30T00:03:13"/>
    <s v="INICIO CUMPLE"/>
    <s v="15/09/2026 16:54:43"/>
    <s v="16:30"/>
    <d v="1899-12-30T00:24:43"/>
    <s v="TERMINÓ DESPUÉS"/>
    <d v="1899-12-30T08:21:30"/>
    <n v="34.738"/>
    <n v="6.64"/>
    <d v="1899-12-30T05:14:06"/>
    <d v="1899-12-30T03:57:06"/>
    <d v="1899-12-30T00:00:00"/>
    <n v="0"/>
    <n v="0"/>
    <n v="0"/>
    <n v="0"/>
    <n v="0"/>
    <n v="1"/>
    <s v="FIN POSTERIOR"/>
    <s v="Inicio GPS dentro de la tolerancia del horario programado.; Fin GPS posterior: 00:24:43 después de las 16:30.; 1 hueco(s) GPS &gt;= 10 min."/>
    <s v="6.225624, -75.599386"/>
    <n v="6.2256239999999998"/>
    <n v="-75.599385999999996"/>
    <s v="6.265476, -75.574817"/>
    <n v="6.2654759999999996"/>
    <n v="-75.574816999999996"/>
    <x v="4"/>
  </r>
  <r>
    <s v="0ffd8dceae54f308"/>
    <s v="15_09_2026_YL_Diur.gpx"/>
    <s v="0ffd8dceae54f308689f3f62a5ca513e819061f2ef3e0745cd3ffe5edbcc6a20"/>
    <x v="12"/>
    <x v="0"/>
    <s v="Martes"/>
    <x v="7"/>
    <s v="YL"/>
    <s v="DIURNO"/>
    <n v="4660"/>
    <s v="15/09/2026 08:21:05"/>
    <s v="08:30"/>
    <d v="1899-12-30T00:08:55"/>
    <s v="INICIO CUMPLE"/>
    <s v="15/09/2026 16:26:08"/>
    <s v="16:30"/>
    <d v="1899-12-30T00:03:52"/>
    <s v="FIN CUMPLE"/>
    <d v="1899-12-30T08:05:03"/>
    <n v="71.48"/>
    <n v="15.81"/>
    <d v="1899-12-30T04:31:17"/>
    <d v="1899-12-30T02:14:46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  <s v="6.225427, -75.599320"/>
    <n v="6.2254269999999998"/>
    <n v="-75.599320000000006"/>
    <s v="6.258435, -75.615872"/>
    <n v="6.2584350000000004"/>
    <n v="-75.615871999999996"/>
    <x v="4"/>
  </r>
  <r>
    <s v="a7be8528a7abbac9"/>
    <s v="15_09_2026_DV_Noct.gpx"/>
    <s v="a7be8528a7abbac9737086375e0e27be9d77a33a0372117fb8b07910c0fa7166"/>
    <x v="12"/>
    <x v="0"/>
    <s v="Martes"/>
    <x v="9"/>
    <s v="DV"/>
    <s v="NOCTURNO"/>
    <n v="3732"/>
    <s v="15/09/2026 17:06:25"/>
    <s v="18:00"/>
    <d v="1899-12-30T00:53:35"/>
    <s v="INICIO ANTES DEL HORARIO"/>
    <s v="16/09/2026 00:17:19"/>
    <s v="00:00"/>
    <d v="1899-12-30T00:17:19"/>
    <s v="TERMINÓ DESPUÉS"/>
    <d v="1899-12-30T07:10:54"/>
    <n v="47.478000000000002"/>
    <n v="10.15"/>
    <d v="1899-12-30T04:40:43"/>
    <d v="1899-12-30T02:19:17"/>
    <d v="1899-12-30T00:00:00"/>
    <n v="0"/>
    <n v="0"/>
    <n v="0"/>
    <n v="0"/>
    <n v="0"/>
    <n v="0"/>
    <s v="FIN POSTERIOR"/>
    <s v="Inicio GPS anterior al horario: 00:53:35 antes de las 18:00.; Fin GPS posterior: 00:17:19 después de las 00:00."/>
    <s v="6.226257, -75.598450"/>
    <n v="6.2262570000000004"/>
    <n v="-75.59845"/>
    <s v="6.272815, -75.601960"/>
    <n v="6.2728149999999996"/>
    <n v="-75.601960000000005"/>
    <x v="4"/>
  </r>
  <r>
    <s v="97aa6c8b72ea29e1"/>
    <s v="15_09_2026_IQ_Noct.gpx"/>
    <s v="97aa6c8b72ea29e10dd0df2ab21223ef9e5a1a3a7df9f678d7956e27f9d98b49"/>
    <x v="12"/>
    <x v="0"/>
    <s v="Martes"/>
    <x v="10"/>
    <s v="IQ"/>
    <s v="NOCTURNO"/>
    <n v="348"/>
    <s v="15/09/2026 20:18:15"/>
    <s v="18:00"/>
    <d v="1899-12-30T02:18:15"/>
    <s v="INICIO TARDÍO"/>
    <s v="16/09/2026 00:00:27"/>
    <s v="00:00"/>
    <d v="1899-12-30T00:00:27"/>
    <s v="FIN CUMPLE"/>
    <d v="1899-12-30T03:42:12"/>
    <n v="5.0149999999999997"/>
    <n v="2.77"/>
    <d v="1899-12-30T01:48:37"/>
    <d v="1899-12-30T01:40:58"/>
    <d v="1899-12-30T00:00:00"/>
    <n v="0"/>
    <n v="0"/>
    <n v="0"/>
    <n v="0"/>
    <n v="0"/>
    <n v="1"/>
    <s v="INICIO TARDÍO / FIN CUMPLE"/>
    <s v="Inicio GPS tardío: 02:18:15 después de las 18:00.; Fin GPS dentro de la tolerancia del horario programado.; 1 hueco(s) GPS &gt;= 10 min."/>
    <s v="6.274147, -75.559567"/>
    <n v="6.2741470000000001"/>
    <n v="-75.559567000000001"/>
    <s v="6.263254, -75.556407"/>
    <n v="6.2632539999999999"/>
    <n v="-75.556406999999993"/>
    <x v="84"/>
  </r>
  <r>
    <s v="04521f33ccb9cfd5"/>
    <s v="15_09_2026_JHP_Noct.gpx"/>
    <s v="04521f33ccb9cfd5c00dcd03b275fe7678fd93dcd8760f0e3be73b414b1b9a8f"/>
    <x v="12"/>
    <x v="0"/>
    <s v="Martes"/>
    <x v="11"/>
    <s v="JHP"/>
    <s v="NOCTURNO"/>
    <n v="4981"/>
    <s v="15/09/2026 17:24:11"/>
    <s v="18:00"/>
    <d v="1899-12-30T00:35:49"/>
    <s v="INICIO ANTES DEL HORARIO"/>
    <s v="16/09/2026 00:01:01"/>
    <s v="00:00"/>
    <d v="1899-12-30T00:01:01"/>
    <s v="FIN CUMPLE"/>
    <d v="1899-12-30T06:36:50"/>
    <n v="66.094999999999999"/>
    <n v="13.13"/>
    <d v="1899-12-30T05:02:03"/>
    <d v="1899-12-30T02:02:35"/>
    <d v="1899-12-30T00:00:00"/>
    <n v="0"/>
    <n v="0"/>
    <n v="0"/>
    <n v="0"/>
    <n v="0"/>
    <n v="0"/>
    <s v="REVISAR"/>
    <s v="Inicio GPS anterior al horario: 00:35:49 antes de las 18:00.; Fin GPS dentro de la tolerancia del horario programado."/>
    <s v="6.225314, -75.599263"/>
    <n v="6.225314"/>
    <n v="-75.599262999999993"/>
    <s v="6.290403, -75.546654"/>
    <n v="6.2904030000000004"/>
    <n v="-75.546654000000004"/>
    <x v="4"/>
  </r>
  <r>
    <s v="98fa2bbce48b2177"/>
    <s v="15_09_2026_JP_Noct.gpx"/>
    <s v="98fa2bbce48b21778d5aa86ad2ed4fbca419da04a870c06f9d4675f766176d6c"/>
    <x v="12"/>
    <x v="0"/>
    <s v="Martes"/>
    <x v="12"/>
    <s v="JP"/>
    <s v="NOCTURNO"/>
    <n v="1755"/>
    <s v="15/09/2026 17:04:55"/>
    <s v="18:00"/>
    <d v="1899-12-30T00:55:05"/>
    <s v="INICIO ANTES DEL HORARIO"/>
    <s v="15/09/2026 23:57:33"/>
    <s v="00:00"/>
    <d v="1899-12-30T00:02:27"/>
    <s v="FIN CUMPLE"/>
    <d v="1899-12-30T06:52:38"/>
    <n v="22.286999999999999"/>
    <n v="4.8499999999999996"/>
    <d v="1899-12-30T04:35:29"/>
    <d v="1899-12-30T03:48:16"/>
    <d v="1899-12-30T00:19:41"/>
    <n v="1"/>
    <n v="1"/>
    <n v="0"/>
    <n v="0"/>
    <n v="0"/>
    <n v="2"/>
    <s v="REVISAR"/>
    <s v="Inicio GPS anterior al horario: 00:55:05 antes de las 18:00.; Fin GPS dentro de la tolerancia del horario programado.; 2 hueco(s) GPS &gt;= 10 min.; 1 permanencia(s) GPS detectada(s); requiere contexto."/>
    <s v="6.225228, -75.597255"/>
    <n v="6.2252280000000004"/>
    <n v="-75.597255000000004"/>
    <s v="6.251742, -75.551962"/>
    <n v="6.2517420000000001"/>
    <n v="-75.551962000000003"/>
    <x v="4"/>
  </r>
  <r>
    <s v="0d2068e33f3404c0"/>
    <s v="15_09_2026_LA_Noct.gpx"/>
    <s v="0d2068e33f3404c019b708a6448d49f1456c49b098ad02919091bc2cb0c8e751"/>
    <x v="12"/>
    <x v="0"/>
    <s v="Martes"/>
    <x v="13"/>
    <s v="LA"/>
    <s v="NOCTURNO"/>
    <n v="9704"/>
    <s v="15/09/2026 17:28:19"/>
    <s v="18:00"/>
    <d v="1899-12-30T00:31:41"/>
    <s v="INICIO ANTES DEL HORARIO"/>
    <s v="15/09/2026 23:49:05"/>
    <s v="00:00"/>
    <d v="1899-12-30T00:10:55"/>
    <s v="FIN CUMPLE"/>
    <d v="1899-12-30T06:20:46"/>
    <n v="47.337000000000003"/>
    <n v="13.39"/>
    <d v="1899-12-30T03:32:08"/>
    <d v="1899-12-30T02:41:51"/>
    <d v="1899-12-30T00:00:00"/>
    <n v="0"/>
    <n v="0"/>
    <n v="0"/>
    <n v="0"/>
    <n v="0"/>
    <n v="3"/>
    <s v="REVISAR"/>
    <s v="Inicio GPS anterior al horario: 00:31:41 antes de las 18:00.; Fin GPS dentro de la tolerancia del horario programado.; 3 hueco(s) GPS &gt;= 10 min."/>
    <s v="6.226602, -75.599207"/>
    <n v="6.2266019999999997"/>
    <n v="-75.599207000000007"/>
    <s v="6.264360, -75.598920"/>
    <n v="6.2643599999999999"/>
    <n v="-75.598920000000007"/>
    <x v="4"/>
  </r>
  <r>
    <s v="a9ac34af93719c48"/>
    <s v="16_09_2026_AO_Diur.gpx"/>
    <s v="a9ac34af93719c48bdfe031bcb9811f05f160a66f050698e91f8089cbd915e33"/>
    <x v="13"/>
    <x v="0"/>
    <s v="Miércoles"/>
    <x v="0"/>
    <s v="AO"/>
    <s v="DIURNO"/>
    <n v="7726"/>
    <s v="16/09/2026 09:03:29"/>
    <s v="08:30"/>
    <d v="1899-12-30T00:33:30"/>
    <s v="INICIO TARDÍO"/>
    <s v="16/09/2026 17:15:08"/>
    <s v="16:30"/>
    <d v="1899-12-30T00:45:08"/>
    <s v="TERMINÓ DESPUÉS"/>
    <d v="1899-12-30T08:11:38"/>
    <n v="58.965000000000003"/>
    <n v="14.6"/>
    <d v="1899-12-30T04:02:23"/>
    <d v="1899-12-30T02:27:25"/>
    <d v="1899-12-30T00:00:00"/>
    <n v="0"/>
    <n v="0"/>
    <n v="0"/>
    <n v="0"/>
    <n v="0"/>
    <n v="2"/>
    <s v="FIN POSTERIOR"/>
    <s v="Inicio GPS tardío: 00:33:30 después de las 08:30.; Fin GPS posterior: 00:45:08 después de las 16:30.; 2 hueco(s) GPS &gt;= 10 min."/>
    <s v="6.202411, -75.596128"/>
    <n v="6.2024109999999997"/>
    <n v="-75.596127999999993"/>
    <s v="6.221709, -75.593846"/>
    <n v="6.2217089999999997"/>
    <n v="-75.593845999999999"/>
    <x v="85"/>
  </r>
  <r>
    <s v="3ac851bf8705c0d1"/>
    <s v="16_09_2026_AR_Diur.gpx"/>
    <s v="3ac851bf8705c0d1f2c563800c8f4217be95fba18555ad4415b5cbb7038352e4"/>
    <x v="13"/>
    <x v="0"/>
    <s v="Miércoles"/>
    <x v="1"/>
    <s v="AR"/>
    <s v="DIURNO"/>
    <n v="4190"/>
    <s v="16/09/2026 08:12:15"/>
    <s v="08:30"/>
    <d v="1899-12-30T00:17:45"/>
    <s v="INICIO ANTES DEL HORARIO"/>
    <s v="16/09/2026 16:17:35"/>
    <s v="16:30"/>
    <d v="1899-12-30T00:12:25"/>
    <s v="FIN CUMPLE"/>
    <d v="1899-12-30T08:05:20"/>
    <n v="62.14"/>
    <n v="9.26"/>
    <d v="1899-12-30T06:42:39"/>
    <d v="1899-12-30T04:23:30"/>
    <d v="1899-12-30T00:00:00"/>
    <n v="0"/>
    <n v="0"/>
    <n v="0"/>
    <n v="0"/>
    <n v="0"/>
    <n v="2"/>
    <s v="REVISAR"/>
    <s v="Inicio GPS anterior al horario: 00:17:45 antes de las 08:30.; Fin GPS dentro de la tolerancia del horario programado.; 2 hueco(s) GPS &gt;= 10 min."/>
    <s v="6.225672, -75.599375"/>
    <n v="6.2256720000000003"/>
    <n v="-75.599374999999995"/>
    <s v="6.250872, -75.604693"/>
    <n v="6.2508720000000002"/>
    <n v="-75.604692999999997"/>
    <x v="4"/>
  </r>
  <r>
    <s v="3e39fdc211d07b1b"/>
    <s v="16_09_2026_DR_Diur.gpx"/>
    <s v="3e39fdc211d07b1bb3fc96650c6d83be3f58019cf17b652432d621619e052a96"/>
    <x v="13"/>
    <x v="0"/>
    <s v="Miércoles"/>
    <x v="8"/>
    <s v="DR"/>
    <s v="DIURNO"/>
    <n v="1943"/>
    <s v="16/09/2026 08:27:23"/>
    <s v="08:30"/>
    <d v="1899-12-30T00:02:37"/>
    <s v="INICIO CUMPLE"/>
    <s v="16/09/2026 16:34:27"/>
    <s v="16:30"/>
    <d v="1899-12-30T00:04:27"/>
    <s v="FIN CUMPLE"/>
    <d v="1899-12-30T08:07:04"/>
    <n v="24.663"/>
    <n v="4.46"/>
    <d v="1899-12-30T05:31:46"/>
    <d v="1899-12-30T04:35:55"/>
    <d v="1899-12-30T00:00:00"/>
    <n v="0"/>
    <n v="0"/>
    <n v="0"/>
    <n v="0"/>
    <n v="0"/>
    <n v="2"/>
    <s v="DENTRO DE HORARIO"/>
    <s v="Inicio GPS dentro de la tolerancia del horario programado.; Fin GPS dentro de la tolerancia del horario programado.; 2 hueco(s) GPS &gt;= 10 min."/>
    <s v="6.225384, -75.599851"/>
    <n v="6.225384"/>
    <n v="-75.599851000000001"/>
    <s v="6.249710, -75.599357"/>
    <n v="6.2497100000000003"/>
    <n v="-75.599356999999998"/>
    <x v="4"/>
  </r>
  <r>
    <s v="b8bea033a4cc81a3"/>
    <s v="16_09_2026_HC_Diur.gpx"/>
    <s v="b8bea033a4cc81a3412c228b00eafc6534ebcfcf99fd3b99486ca816ff293681"/>
    <x v="13"/>
    <x v="0"/>
    <s v="Miércoles"/>
    <x v="2"/>
    <s v="HC"/>
    <s v="DIURNO"/>
    <n v="4626"/>
    <s v="16/09/2026 08:45:39"/>
    <s v="08:30"/>
    <d v="1899-12-30T00:15:39"/>
    <s v="INICIO TARDÍO"/>
    <s v="16/09/2026 14:29:19"/>
    <s v="16:30"/>
    <d v="1899-12-30T02:00:41"/>
    <s v="TERMINÓ ANTES"/>
    <d v="1899-12-30T05:43:40"/>
    <n v="61.677"/>
    <n v="14.99"/>
    <d v="1899-12-30T04:06:52"/>
    <d v="1899-12-30T01:29:43"/>
    <d v="1899-12-30T00:00:00"/>
    <n v="0"/>
    <n v="0"/>
    <n v="0"/>
    <n v="0"/>
    <n v="0"/>
    <n v="0"/>
    <s v="INICIO TARDÍO / FIN ANTICIPADO"/>
    <s v="Inicio GPS tardío: 00:15:39 después de las 08:30.; Fin GPS anticipado: 02:00:41 antes de las 16:30."/>
    <s v="6.225695, -75.599414"/>
    <n v="6.225695"/>
    <n v="-75.599413999999996"/>
    <s v="6.253920, -75.584341"/>
    <n v="6.2539199999999999"/>
    <n v="-75.584340999999995"/>
    <x v="86"/>
  </r>
  <r>
    <s v="2fc7984f381079d1"/>
    <s v="16_09_2026_JA_Diur.gpx"/>
    <s v="2fc7984f381079d18ee6b999b1a24166315bcaefbdb1ca50a5f9d99856a66db1"/>
    <x v="13"/>
    <x v="0"/>
    <s v="Miércoles"/>
    <x v="3"/>
    <s v="JA"/>
    <s v="DIURNO"/>
    <n v="2452"/>
    <s v="16/09/2026 08:31:09"/>
    <s v="08:30"/>
    <d v="1899-12-30T00:01:09"/>
    <s v="INICIO CUMPLE"/>
    <s v="16/09/2026 14:06:45"/>
    <s v="16:30"/>
    <d v="1899-12-30T02:23:15"/>
    <s v="TERMINÓ ANTES"/>
    <d v="1899-12-30T05:35:36"/>
    <n v="33.414000000000001"/>
    <n v="7.62"/>
    <d v="1899-12-30T04:23:00"/>
    <d v="1899-12-30T03:11:58"/>
    <d v="1899-12-30T00:00:00"/>
    <n v="0"/>
    <n v="0"/>
    <n v="0"/>
    <n v="0"/>
    <n v="0"/>
    <n v="1"/>
    <s v="INICIO CUMPLE / FIN ANTICIPADO"/>
    <s v="Inicio GPS dentro de la tolerancia del horario programado.; Fin GPS anticipado: 02:23:15 antes de las 16:30.; 1 hueco(s) GPS &gt;= 10 min."/>
    <s v="6.225450, -75.599217"/>
    <n v="6.2254500000000004"/>
    <n v="-75.599216999999996"/>
    <s v="6.213333, -75.576360"/>
    <n v="6.2133330000000004"/>
    <n v="-75.576359999999994"/>
    <x v="87"/>
  </r>
  <r>
    <s v="bd3c6d93c1f7f6fb"/>
    <s v="16_09_2026_JO_Diur.gpx"/>
    <s v="bd3c6d93c1f7f6fb21776f967fbdca69a3086d0520c82f46c9dda94aa1db2dda"/>
    <x v="13"/>
    <x v="0"/>
    <s v="Miércoles"/>
    <x v="4"/>
    <s v="JO"/>
    <s v="DIURNO"/>
    <n v="7687"/>
    <s v="16/09/2026 08:28:22"/>
    <s v="08:30"/>
    <d v="1899-12-30T00:01:38"/>
    <s v="INICIO CUMPLE"/>
    <s v="16/09/2026 16:47:18"/>
    <s v="16:30"/>
    <d v="1899-12-30T00:17:19"/>
    <s v="TERMINÓ DESPUÉS"/>
    <d v="1899-12-30T08:18:56"/>
    <n v="53.442999999999998"/>
    <n v="23.79"/>
    <d v="1899-12-30T02:14:49"/>
    <d v="1899-12-30T00:51:18"/>
    <d v="1899-12-30T00:00:00"/>
    <n v="0"/>
    <n v="0"/>
    <n v="0"/>
    <n v="0"/>
    <n v="0"/>
    <n v="11"/>
    <s v="FIN POSTERIOR"/>
    <s v="Inicio GPS dentro de la tolerancia del horario programado.; Fin GPS posterior: 00:17:19 después de las 16:30.; 11 hueco(s) GPS &gt;= 10 min."/>
    <s v="6.225617, -75.599124"/>
    <n v="6.2256169999999997"/>
    <n v="-75.599124000000003"/>
    <s v="6.259223, -75.620932"/>
    <n v="6.2592230000000004"/>
    <n v="-75.620931999999996"/>
    <x v="4"/>
  </r>
  <r>
    <s v="6c809a2f130808f0"/>
    <s v="16_09_2026_JZ_Diur1.gpx"/>
    <s v="6c809a2f130808f0c66761153ccb840c98df1ed0f335c47e144905a8badc8e8b"/>
    <x v="13"/>
    <x v="0"/>
    <s v="Miércoles"/>
    <x v="5"/>
    <s v="JZ"/>
    <s v="DIURNO"/>
    <n v="3522"/>
    <s v="16/09/2026 08:25:09"/>
    <s v="08:30"/>
    <d v="1899-12-30T00:04:51"/>
    <s v="INICIO CUMPLE"/>
    <s v="16/09/2026 13:08:11"/>
    <s v="16:30"/>
    <d v="1899-12-30T03:21:49"/>
    <s v="TERMINÓ ANTES"/>
    <d v="1899-12-30T04:43:02"/>
    <n v="46.213999999999999"/>
    <n v="11.06"/>
    <d v="1899-12-30T04:10:46"/>
    <d v="1899-12-30T01:55:37"/>
    <d v="1899-12-30T00:00:00"/>
    <n v="0"/>
    <n v="0"/>
    <n v="0"/>
    <n v="0"/>
    <n v="0"/>
    <n v="0"/>
    <s v="INICIO CUMPLE / FIN ANTICIPADO"/>
    <s v="Inicio GPS dentro de la tolerancia del horario programado.; Fin GPS anticipado: 03:21:49 antes de las 16:30."/>
    <s v="6.226913, -75.599265"/>
    <n v="6.2269129999999997"/>
    <n v="-75.599265000000003"/>
    <s v="6.210324, -75.497533"/>
    <n v="6.210324"/>
    <n v="-75.497533000000004"/>
    <x v="88"/>
  </r>
  <r>
    <s v="45d82fb81f8f9bba"/>
    <s v="16_09_2026_JZ_Diur2.gpx"/>
    <s v="45d82fb81f8f9bbafb415b302d30781be5c714eb81735c06aa39b857fcfbce17"/>
    <x v="13"/>
    <x v="0"/>
    <s v="Miércoles"/>
    <x v="5"/>
    <s v="JZ"/>
    <s v="DIURNO"/>
    <n v="2702"/>
    <s v="16/09/2026 13:10:10"/>
    <s v="08:30"/>
    <d v="1899-12-30T04:40:10"/>
    <s v="INICIO TARDÍO"/>
    <s v="16/09/2026 16:44:14"/>
    <s v="16:30"/>
    <d v="1899-12-30T00:14:14"/>
    <s v="FIN CUMPLE"/>
    <d v="1899-12-30T03:34:04"/>
    <n v="35.628999999999998"/>
    <n v="13.74"/>
    <d v="1899-12-30T02:35:35"/>
    <d v="1899-12-30T01:07:36"/>
    <d v="1899-12-30T00:00:00"/>
    <n v="0"/>
    <n v="0"/>
    <n v="0"/>
    <n v="0"/>
    <n v="0"/>
    <n v="0"/>
    <s v="INICIO TARDÍO / FIN CUMPLE"/>
    <s v="Inicio GPS tardío: 04:40:10 después de las 08:30.; Fin GPS dentro de la tolerancia del horario programado."/>
    <s v="6.210474, -75.497413"/>
    <n v="6.2104739999999996"/>
    <n v="-75.497412999999995"/>
    <s v="6.279577, -75.571879"/>
    <n v="6.2795769999999997"/>
    <n v="-75.571878999999996"/>
    <x v="89"/>
  </r>
  <r>
    <s v="5e62867aa9cc28bd"/>
    <s v="16_09_2026_SJ_Diur.gpx"/>
    <s v="5e62867aa9cc28bd45021a589af54341f64bb0f6aed6930d9b7703a502bf072d"/>
    <x v="13"/>
    <x v="0"/>
    <s v="Miércoles"/>
    <x v="6"/>
    <s v="SJ"/>
    <s v="DIURNO"/>
    <n v="1362"/>
    <s v="16/09/2026 08:38:41"/>
    <s v="08:30"/>
    <d v="1899-12-30T00:08:41"/>
    <s v="INICIO CUMPLE"/>
    <s v="16/09/2026 15:47:14"/>
    <s v="16:30"/>
    <d v="1899-12-30T00:42:46"/>
    <s v="TERMINÓ ANTES"/>
    <d v="1899-12-30T07:08:33"/>
    <n v="15.948"/>
    <n v="4.38"/>
    <d v="1899-12-30T03:38:38"/>
    <d v="1899-12-30T03:02:32"/>
    <d v="1899-12-30T00:00:00"/>
    <n v="0"/>
    <n v="0"/>
    <n v="0"/>
    <n v="0"/>
    <n v="0"/>
    <n v="0"/>
    <s v="INICIO CUMPLE / FIN ANTICIPADO"/>
    <s v="Inicio GPS dentro de la tolerancia del horario programado.; Fin GPS anticipado: 00:42:46 antes de las 16:30."/>
    <s v="6.225689, -75.599446"/>
    <n v="6.225689"/>
    <n v="-75.599446"/>
    <s v="6.280031, -75.586411"/>
    <n v="6.2800310000000001"/>
    <n v="-75.586410999999998"/>
    <x v="90"/>
  </r>
  <r>
    <s v="e75ddf9347e9b447"/>
    <s v="16_09_2026_YL_Diur.gpx"/>
    <s v="e75ddf9347e9b4476f0a73f33c064b5ced25103c7bfdce32473c5a49caa3be30"/>
    <x v="13"/>
    <x v="0"/>
    <s v="Miércoles"/>
    <x v="7"/>
    <s v="YL"/>
    <s v="DIURNO"/>
    <n v="2091"/>
    <s v="16/09/2026 08:33:02"/>
    <s v="08:30"/>
    <d v="1899-12-30T00:03:02"/>
    <s v="INICIO CUMPLE"/>
    <s v="16/09/2026 14:16:23"/>
    <s v="16:30"/>
    <d v="1899-12-30T02:13:37"/>
    <s v="TERMINÓ ANTES"/>
    <d v="1899-12-30T05:43:21"/>
    <n v="28.777999999999999"/>
    <n v="11.69"/>
    <d v="1899-12-30T02:27:44"/>
    <d v="1899-12-30T01:39:07"/>
    <d v="1899-12-30T00:00:00"/>
    <n v="0"/>
    <n v="0"/>
    <n v="0"/>
    <n v="0"/>
    <n v="0"/>
    <n v="0"/>
    <s v="INICIO CUMPLE / FIN ANTICIPADO"/>
    <s v="Inicio GPS dentro de la tolerancia del horario programado.; Fin GPS anticipado: 02:13:37 antes de las 16:30."/>
    <s v="6.225659, -75.598975"/>
    <n v="6.2256590000000003"/>
    <n v="-75.598974999999996"/>
    <s v="6.225418, -75.599402"/>
    <n v="6.2254180000000003"/>
    <n v="-75.599401999999998"/>
    <x v="91"/>
  </r>
  <r>
    <s v="8505a438c7fcc5ce"/>
    <s v="16_09_2026_DV_Noct.gpx"/>
    <s v="8505a438c7fcc5ce63d1db6381c07848115a808c854f79a81edcf0e8bcf86c1d"/>
    <x v="13"/>
    <x v="0"/>
    <s v="Miércoles"/>
    <x v="9"/>
    <s v="DV"/>
    <s v="NOCTURNO"/>
    <n v="3621"/>
    <s v="16/09/2026 17:05:59"/>
    <s v="18:00"/>
    <d v="1899-12-30T00:54:01"/>
    <s v="INICIO ANTES DEL HORARIO"/>
    <s v="17/09/2026 00:17:51"/>
    <s v="00:00"/>
    <d v="1899-12-30T00:17:51"/>
    <s v="TERMINÓ DESPUÉS"/>
    <d v="1899-12-30T07:11:52"/>
    <n v="43.08"/>
    <n v="10.8"/>
    <d v="1899-12-30T03:59:22"/>
    <d v="1899-12-30T01:15:17"/>
    <d v="1899-12-30T00:00:00"/>
    <n v="0"/>
    <n v="0"/>
    <n v="0"/>
    <n v="0"/>
    <n v="0"/>
    <n v="0"/>
    <s v="FIN POSTERIOR"/>
    <s v="Inicio GPS anterior al horario: 00:54:01 antes de las 18:00.; Fin GPS posterior: 00:17:51 después de las 00:00."/>
    <s v="6.249323, -75.586797"/>
    <n v="6.2493230000000004"/>
    <n v="-75.586797000000004"/>
    <s v="6.272695, -75.602047"/>
    <n v="6.2726949999999997"/>
    <n v="-75.602046999999999"/>
    <x v="4"/>
  </r>
  <r>
    <s v="021d1d2d569dd0ec"/>
    <s v="16_09_2026_IQ_Noct.gpx"/>
    <s v="021d1d2d569dd0ec9de892ec20cd314ca53a44fd06c11a325fedb8633ba5fd89"/>
    <x v="13"/>
    <x v="0"/>
    <s v="Miércoles"/>
    <x v="10"/>
    <s v="IQ"/>
    <s v="NOCTURNO"/>
    <n v="2863"/>
    <s v="16/09/2026 18:11:25"/>
    <s v="18:00"/>
    <d v="1899-12-30T00:11:25"/>
    <s v="INICIO CUMPLE"/>
    <s v="16/09/2026 23:58:01"/>
    <s v="00:00"/>
    <d v="1899-12-30T00:01:59"/>
    <s v="FIN CUMPLE"/>
    <d v="1899-12-30T05:46:36"/>
    <n v="41.088000000000001"/>
    <n v="9.9499999999999993"/>
    <d v="1899-12-30T04:07:47"/>
    <d v="1899-12-30T02:22:07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  <s v="6.263254, -75.556407"/>
    <n v="6.2632539999999999"/>
    <n v="-75.556406999999993"/>
    <s v="6.272410, -75.540272"/>
    <n v="6.2724099999999998"/>
    <n v="-75.540272000000002"/>
    <x v="4"/>
  </r>
  <r>
    <s v="f0e1ec5408d8a40d"/>
    <s v="16_09_2026_JHP_Noct.gpx"/>
    <s v="f0e1ec5408d8a40dae9b5b446429552ddace2d70d1f96e30593b9fdf768d2ce9"/>
    <x v="13"/>
    <x v="0"/>
    <s v="Miércoles"/>
    <x v="11"/>
    <s v="JHP"/>
    <s v="NOCTURNO"/>
    <n v="4329"/>
    <s v="16/09/2026 18:40:50"/>
    <s v="18:00"/>
    <d v="1899-12-30T00:40:50"/>
    <s v="INICIO TARDÍO"/>
    <s v="16/09/2026 23:57:54"/>
    <s v="00:00"/>
    <d v="1899-12-30T00:02:06"/>
    <s v="FIN CUMPLE"/>
    <d v="1899-12-30T05:17:04"/>
    <n v="57.337000000000003"/>
    <n v="16.53"/>
    <d v="1899-12-30T03:28:10"/>
    <d v="1899-12-30T00:48:56"/>
    <d v="1899-12-30T00:00:00"/>
    <n v="0"/>
    <n v="0"/>
    <n v="0"/>
    <n v="0"/>
    <n v="0"/>
    <n v="0"/>
    <s v="INICIO TARDÍO / FIN CUMPLE"/>
    <s v="Inicio GPS tardío: 00:40:50 después de las 18:00.; Fin GPS dentro de la tolerancia del horario programado."/>
    <s v="6.272803, -75.574162"/>
    <n v="6.2728029999999997"/>
    <n v="-75.574162000000001"/>
    <s v="6.272822, -75.574470"/>
    <n v="6.2728219999999997"/>
    <n v="-75.574470000000005"/>
    <x v="92"/>
  </r>
  <r>
    <s v="6ed2472289c054f7"/>
    <s v="16_09_2026_JP_Noct.gpx"/>
    <s v="6ed2472289c054f711878f44854acc65dd1e9ad3fba0dee49264b9b66c78b22b"/>
    <x v="13"/>
    <x v="0"/>
    <s v="Miércoles"/>
    <x v="12"/>
    <s v="JP"/>
    <s v="NOCTURNO"/>
    <n v="1982"/>
    <s v="16/09/2026 17:11:24"/>
    <s v="18:00"/>
    <d v="1899-12-30T00:48:36"/>
    <s v="INICIO ANTES DEL HORARIO"/>
    <s v="16/09/2026 23:14:07"/>
    <s v="00:00"/>
    <d v="1899-12-30T00:45:53"/>
    <s v="TERMINÓ ANTES"/>
    <d v="1899-12-30T06:02:43"/>
    <n v="25.13"/>
    <n v="6.45"/>
    <d v="1899-12-30T03:53:39"/>
    <d v="1899-12-30T03:04:12"/>
    <d v="1899-12-30T00:00:00"/>
    <n v="0"/>
    <n v="0"/>
    <n v="0"/>
    <n v="0"/>
    <n v="0"/>
    <n v="0"/>
    <s v="REVISAR"/>
    <s v="Inicio GPS anterior al horario: 00:48:36 antes de las 18:00.; Fin GPS anticipado: 00:45:53 antes de las 00:00."/>
    <s v="6.227022, -75.599650"/>
    <n v="6.2270219999999998"/>
    <n v="-75.599649999999997"/>
    <s v="6.251745, -75.551825"/>
    <n v="6.2517449999999997"/>
    <n v="-75.551824999999994"/>
    <x v="93"/>
  </r>
  <r>
    <s v="1ce717193d8e1492"/>
    <s v="16_09_2026_LA_Noct.gpx"/>
    <s v="1ce717193d8e1492ba8d384a79f5ba5ed8f6971370881873dbab5964578c3400"/>
    <x v="13"/>
    <x v="0"/>
    <s v="Miércoles"/>
    <x v="13"/>
    <s v="LA"/>
    <s v="NOCTURNO"/>
    <n v="9389"/>
    <s v="16/09/2026 17:09:24"/>
    <s v="18:00"/>
    <d v="1899-12-30T00:50:36"/>
    <s v="INICIO ANTES DEL HORARIO"/>
    <s v="17/09/2026 00:04:20"/>
    <s v="00:00"/>
    <d v="1899-12-30T00:04:20"/>
    <s v="FIN CUMPLE"/>
    <d v="1899-12-30T06:54:56"/>
    <n v="52.752000000000002"/>
    <n v="11.82"/>
    <d v="1899-12-30T04:27:52"/>
    <d v="1899-12-30T03:12:55"/>
    <d v="1899-12-30T00:00:00"/>
    <n v="0"/>
    <n v="0"/>
    <n v="0"/>
    <n v="0"/>
    <n v="0"/>
    <n v="2"/>
    <s v="REVISAR"/>
    <s v="Inicio GPS anterior al horario: 00:50:36 antes de las 18:00.; Fin GPS dentro de la tolerancia del horario programado.; 2 hueco(s) GPS &gt;= 10 min."/>
    <s v="6.226797, -75.599227"/>
    <n v="6.2267970000000004"/>
    <n v="-75.599226999999999"/>
    <s v="6.268487, -75.599357"/>
    <n v="6.2684870000000004"/>
    <n v="-75.599356999999998"/>
    <x v="4"/>
  </r>
  <r>
    <s v="db9a6c93bcce8dcf"/>
    <s v="17_09_2026_AO_Diur.gpx"/>
    <s v="db9a6c93bcce8dcfb43d8d836998372371504459e792c4599942d0c6d0f419f4"/>
    <x v="14"/>
    <x v="0"/>
    <s v="Jueves"/>
    <x v="0"/>
    <s v="AO"/>
    <s v="DIURNO"/>
    <n v="1812"/>
    <s v="17/09/2026 09:07:46"/>
    <s v="08:30"/>
    <d v="1899-12-30T00:37:47"/>
    <s v="INICIO TARDÍO"/>
    <s v="17/09/2026 16:13:45"/>
    <s v="16:30"/>
    <d v="1899-12-30T00:16:15"/>
    <s v="TERMINÓ ANTES"/>
    <d v="1899-12-30T07:05:59"/>
    <n v="13.552"/>
    <n v="3.15"/>
    <d v="1899-12-30T04:18:09"/>
    <d v="1899-12-30T04:04:26"/>
    <d v="1899-12-30T00:00:00"/>
    <n v="0"/>
    <n v="0"/>
    <n v="0"/>
    <n v="0"/>
    <n v="0"/>
    <n v="5"/>
    <s v="INICIO TARDÍO / FIN ANTICIPADO"/>
    <s v="Inicio GPS tardío: 00:37:47 después de las 08:30.; Fin GPS anticipado: 00:16:15 antes de las 16:30.; 5 hueco(s) GPS &gt;= 10 min."/>
    <s v="6.225709, -75.599610"/>
    <n v="6.2257090000000002"/>
    <n v="-75.599609999999998"/>
    <s v="6.221629, -75.593868"/>
    <n v="6.2216290000000001"/>
    <n v="-75.593868000000001"/>
    <x v="94"/>
  </r>
  <r>
    <s v="48482f905abd0f80"/>
    <s v="17_09_2026_AR_Diur.gpx"/>
    <s v="48482f905abd0f80e843177b5a866e326f81a8c90e5deca481e4733892197fa0"/>
    <x v="14"/>
    <x v="0"/>
    <s v="Jueves"/>
    <x v="1"/>
    <s v="AR"/>
    <s v="DIURNO"/>
    <n v="617"/>
    <s v="17/09/2026 09:25:00"/>
    <s v="08:30"/>
    <d v="1899-12-30T00:55:00"/>
    <s v="INICIO TARDÍO"/>
    <s v="17/09/2026 16:23:45"/>
    <s v="16:30"/>
    <d v="1899-12-30T00:06:15"/>
    <s v="FIN CUMPLE"/>
    <d v="1899-12-30T06:58:45"/>
    <n v="19.247"/>
    <n v="3"/>
    <d v="1899-12-30T06:24:28"/>
    <d v="1899-12-30T05:20:39"/>
    <d v="1899-12-30T00:00:00"/>
    <n v="0"/>
    <n v="0"/>
    <n v="0"/>
    <n v="0"/>
    <n v="0"/>
    <n v="8"/>
    <s v="INICIO TARDÍO / FIN CUMPLE"/>
    <s v="Inicio GPS tardío: 00:55:00 después de las 08:30.; Fin GPS dentro de la tolerancia del horario programado.; 8 hueco(s) GPS &gt;= 10 min."/>
    <s v="6.225651, -75.599445"/>
    <n v="6.225651"/>
    <n v="-75.599445000000003"/>
    <s v="6.250871, -75.605402"/>
    <n v="6.2508710000000001"/>
    <n v="-75.605401999999998"/>
    <x v="95"/>
  </r>
  <r>
    <s v="89c8e55171e9cf58"/>
    <s v="17_09_2026_DR_Diur.gpx"/>
    <s v="89c8e55171e9cf587e467d6c3c7aa85cbc1e6fe0af8b68727f2da7ca46094aae"/>
    <x v="14"/>
    <x v="0"/>
    <s v="Jueves"/>
    <x v="8"/>
    <s v="DR"/>
    <s v="DIURNO"/>
    <n v="2331"/>
    <s v="17/09/2026 16:32:09"/>
    <s v="08:30"/>
    <d v="1899-12-30T08:02:09"/>
    <s v="INICIO TARDÍO"/>
    <s v="17/09/2026 20:15:20"/>
    <s v="16:30"/>
    <d v="1899-12-30T03:45:20"/>
    <s v="TERMINÓ DESPUÉS"/>
    <d v="1899-12-30T03:43:11"/>
    <n v="33.826000000000001"/>
    <n v="10"/>
    <d v="1899-12-30T03:23:01"/>
    <d v="1899-12-30T02:17:09"/>
    <d v="1899-12-30T00:00:00"/>
    <n v="0"/>
    <n v="0"/>
    <n v="0"/>
    <n v="0"/>
    <n v="0"/>
    <n v="1"/>
    <s v="FIN POSTERIOR"/>
    <s v="Inicio GPS tardío: 08:02:09 después de las 08:30.; Fin GPS posterior: 03:45:20 después de las 16:30.; 1 hueco(s) GPS &gt;= 10 min."/>
    <s v="6.250942, -75.605235"/>
    <n v="6.2509420000000002"/>
    <n v="-75.605234999999993"/>
    <s v="6.213026, -75.583926"/>
    <n v="6.2130260000000002"/>
    <n v="-75.583926000000005"/>
    <x v="96"/>
  </r>
  <r>
    <s v="c6fa90b043d988e3"/>
    <s v="17_09_2026_HC_Diur.gpx"/>
    <s v="c6fa90b043d988e3bf24d608c7264f4522da012f47bded55dee742c08acc26e5"/>
    <x v="14"/>
    <x v="0"/>
    <s v="Jueves"/>
    <x v="2"/>
    <s v="HC"/>
    <s v="DIURNO"/>
    <n v="2102"/>
    <s v="17/09/2026 08:38:37"/>
    <s v="08:30"/>
    <d v="1899-12-30T00:08:37"/>
    <s v="INICIO CUMPLE"/>
    <s v="17/09/2026 16:01:16"/>
    <s v="16:30"/>
    <d v="1899-12-30T00:28:44"/>
    <s v="TERMINÓ ANTES"/>
    <d v="1899-12-30T07:22:39"/>
    <n v="27.943999999999999"/>
    <n v="6.05"/>
    <d v="1899-12-30T04:37:16"/>
    <d v="1899-12-30T03:40:05"/>
    <d v="1899-12-30T00:00:00"/>
    <n v="0"/>
    <n v="0"/>
    <n v="0"/>
    <n v="0"/>
    <n v="0"/>
    <n v="1"/>
    <s v="INICIO CUMPLE / FIN ANTICIPADO"/>
    <s v="Inicio GPS dentro de la tolerancia del horario programado.; Fin GPS anticipado: 00:28:44 antes de las 16:30.; 1 hueco(s) GPS &gt;= 10 min."/>
    <s v="6.225759, -75.599501"/>
    <n v="6.225759"/>
    <n v="-75.599501000000004"/>
    <s v="6.266046, -75.593370"/>
    <n v="6.2660460000000002"/>
    <n v="-75.593369999999993"/>
    <x v="97"/>
  </r>
  <r>
    <s v="b0de4e1c7b0a338c"/>
    <s v="17_09_2026_JA_Diur.gpx"/>
    <s v="b0de4e1c7b0a338c3d00acc8a46510517793fa0c5b4fdfe61a2ae381fa38d42f"/>
    <x v="14"/>
    <x v="0"/>
    <s v="Jueves"/>
    <x v="3"/>
    <s v="JA"/>
    <s v="DIURNO"/>
    <n v="891"/>
    <s v="17/09/2026 08:56:04"/>
    <s v="08:30"/>
    <d v="1899-12-30T00:26:04"/>
    <s v="INICIO TARDÍO"/>
    <s v="17/09/2026 13:17:56"/>
    <s v="16:30"/>
    <d v="1899-12-30T03:12:04"/>
    <s v="TERMINÓ ANTES"/>
    <d v="1899-12-30T04:21:52"/>
    <n v="12.468"/>
    <n v="3.38"/>
    <d v="1899-12-30T03:41:32"/>
    <d v="1899-12-30T03:18:58"/>
    <d v="1899-12-30T00:00:00"/>
    <n v="0"/>
    <n v="0"/>
    <n v="0"/>
    <n v="0"/>
    <n v="0"/>
    <n v="1"/>
    <s v="INICIO TARDÍO / FIN ANTICIPADO"/>
    <s v="Inicio GPS tardío: 00:26:04 después de las 08:30.; Fin GPS anticipado: 03:12:04 antes de las 16:30.; 1 hueco(s) GPS &gt;= 10 min."/>
    <s v="6.225752, -75.599103"/>
    <n v="6.225752"/>
    <n v="-75.599102999999999"/>
    <s v="6.237069, -75.558764"/>
    <n v="6.237069"/>
    <n v="-75.558763999999996"/>
    <x v="98"/>
  </r>
  <r>
    <s v="149d341aa6c6b8ef"/>
    <s v="17_09_2026_JO_Diur.gpx"/>
    <s v="149d341aa6c6b8efad940b1bb99234a47390dfde365fde8a2895918b68bc4f93"/>
    <x v="14"/>
    <x v="0"/>
    <s v="Jueves"/>
    <x v="4"/>
    <s v="JO"/>
    <s v="DIURNO"/>
    <n v="5261"/>
    <s v="17/09/2026 09:04:20"/>
    <s v="08:30"/>
    <d v="1899-12-30T00:34:21"/>
    <s v="INICIO TARDÍO"/>
    <s v="17/09/2026 16:22:36"/>
    <s v="16:30"/>
    <d v="1899-12-30T00:07:24"/>
    <s v="FIN CUMPLE"/>
    <d v="1899-12-30T07:18:16"/>
    <n v="35.633000000000003"/>
    <n v="15.21"/>
    <d v="1899-12-30T02:20:35"/>
    <d v="1899-12-30T01:13:01"/>
    <d v="1899-12-30T00:00:00"/>
    <n v="0"/>
    <n v="0"/>
    <n v="0"/>
    <n v="0"/>
    <n v="0"/>
    <n v="14"/>
    <s v="INICIO TARDÍO / FIN CUMPLE"/>
    <s v="Inicio GPS tardío: 00:34:21 después de las 08:30.; Fin GPS dentro de la tolerancia del horario programado.; 14 hueco(s) GPS &gt;= 10 min."/>
    <s v="6.225635, -75.599196"/>
    <n v="6.2256349999999996"/>
    <n v="-75.599196000000006"/>
    <s v="6.246833, -75.554225"/>
    <n v="6.2468329999999996"/>
    <n v="-75.554225000000002"/>
    <x v="99"/>
  </r>
  <r>
    <s v="695b287de97870f5"/>
    <s v="17_09_2026_JZ_Diur.gpx"/>
    <s v="695b287de97870f56d132e2cd9c698f8f5ae796e765fd2b587105a2119bee7b2"/>
    <x v="14"/>
    <x v="0"/>
    <s v="Jueves"/>
    <x v="5"/>
    <s v="JZ"/>
    <s v="DIURNO"/>
    <n v="5227"/>
    <s v="17/09/2026 11:04:09"/>
    <s v="08:30"/>
    <d v="1899-12-30T02:34:09"/>
    <s v="INICIO TARDÍO"/>
    <s v="17/09/2026 16:49:13"/>
    <s v="16:30"/>
    <d v="1899-12-30T00:19:13"/>
    <s v="TERMINÓ DESPUÉS"/>
    <d v="1899-12-30T05:45:04"/>
    <n v="70.236999999999995"/>
    <n v="15.13"/>
    <d v="1899-12-30T04:38:31"/>
    <d v="1899-12-30T01:57:11"/>
    <d v="1899-12-30T00:00:00"/>
    <n v="0"/>
    <n v="0"/>
    <n v="0"/>
    <n v="0"/>
    <n v="0"/>
    <n v="0"/>
    <s v="FIN POSTERIOR"/>
    <s v="Inicio GPS tardío: 02:34:09 después de las 08:30.; Fin GPS posterior: 00:19:13 después de las 16:30."/>
    <s v="6.228282, -75.599524"/>
    <n v="6.2282820000000001"/>
    <n v="-75.599524000000002"/>
    <s v="6.259334, -75.597497"/>
    <n v="6.259334"/>
    <n v="-75.597497000000004"/>
    <x v="100"/>
  </r>
  <r>
    <s v="47c288c4408e51e2"/>
    <s v="17_09_2026_SJ_Diur.gpx"/>
    <s v="47c288c4408e51e26e8f2e8f5a3fc9523c144af92e8ebcecce04521c5e40c8bf"/>
    <x v="14"/>
    <x v="0"/>
    <s v="Jueves"/>
    <x v="6"/>
    <s v="SJ"/>
    <s v="DIURNO"/>
    <n v="2724"/>
    <s v="17/09/2026 09:07:36"/>
    <s v="08:30"/>
    <d v="1899-12-30T00:37:36"/>
    <s v="INICIO TARDÍO"/>
    <s v="17/09/2026 16:28:04"/>
    <s v="16:30"/>
    <d v="1899-12-30T00:01:56"/>
    <s v="FIN CUMPLE"/>
    <d v="1899-12-30T07:20:28"/>
    <n v="35.584000000000003"/>
    <n v="8.5500000000000007"/>
    <d v="1899-12-30T04:09:38"/>
    <d v="1899-12-30T02:54:43"/>
    <d v="1899-12-30T00:00:00"/>
    <n v="0"/>
    <n v="0"/>
    <n v="0"/>
    <n v="0"/>
    <n v="0"/>
    <n v="0"/>
    <s v="INICIO TARDÍO / FIN CUMPLE"/>
    <s v="Inicio GPS tardío: 00:37:36 después de las 08:30.; Fin GPS dentro de la tolerancia del horario programado."/>
    <s v="6.225808, -75.599392"/>
    <n v="6.2258079999999998"/>
    <n v="-75.599391999999995"/>
    <s v="6.267114, -75.576186"/>
    <n v="6.2671140000000003"/>
    <n v="-75.576186000000007"/>
    <x v="101"/>
  </r>
  <r>
    <s v="0d73802b346ac592"/>
    <s v="17_09_2026_YL_Diur.gpx"/>
    <s v="0d73802b346ac592d8d6c8656e7f0be03292329a76a2237f51d4cec0bc3c2289"/>
    <x v="14"/>
    <x v="0"/>
    <s v="Jueves"/>
    <x v="7"/>
    <s v="YL"/>
    <s v="DIURNO"/>
    <n v="958"/>
    <s v="17/09/2026 09:23:16"/>
    <s v="08:30"/>
    <d v="1899-12-30T00:53:16"/>
    <s v="INICIO TARDÍO"/>
    <s v="17/09/2026 16:27:14"/>
    <s v="16:30"/>
    <d v="1899-12-30T00:02:46"/>
    <s v="FIN CUMPLE"/>
    <d v="1899-12-30T07:03:58"/>
    <n v="11.42"/>
    <n v="3.22"/>
    <d v="1899-12-30T03:32:29"/>
    <d v="1899-12-30T03:03:54"/>
    <d v="1899-12-30T00:00:00"/>
    <n v="0"/>
    <n v="0"/>
    <n v="0"/>
    <n v="0"/>
    <n v="0"/>
    <n v="2"/>
    <s v="INICIO TARDÍO / FIN CUMPLE"/>
    <s v="Inicio GPS tardío: 00:53:16 después de las 08:30.; Fin GPS dentro de la tolerancia del horario programado.; 2 hueco(s) GPS &gt;= 10 min."/>
    <s v="6.225629, -75.599374"/>
    <n v="6.2256289999999996"/>
    <n v="-75.599373999999997"/>
    <s v="6.258996, -75.616400"/>
    <n v="6.2589959999999998"/>
    <n v="-75.616399999999999"/>
    <x v="102"/>
  </r>
  <r>
    <s v="fff7f9eeb238f034"/>
    <s v="17_09_2026_DV_Noct.gpx"/>
    <s v="fff7f9eeb238f034fd6b1afc193a31f58c732ec7fc80dbb37b1e1e4faa2cda60"/>
    <x v="14"/>
    <x v="0"/>
    <s v="Jueves"/>
    <x v="9"/>
    <s v="DV"/>
    <s v="NOCTURNO"/>
    <n v="4787"/>
    <s v="17/09/2026 18:03:33"/>
    <s v="18:00"/>
    <d v="1899-12-30T00:03:33"/>
    <s v="INICIO CUMPLE"/>
    <s v="18/09/2026 00:10:05"/>
    <s v="00:00"/>
    <d v="1899-12-30T00:10:05"/>
    <s v="FIN CUMPLE"/>
    <d v="1899-12-30T06:06:32"/>
    <n v="64.459999999999994"/>
    <n v="13.37"/>
    <d v="1899-12-30T04:49:18"/>
    <d v="1899-12-30T01:58:33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  <s v="6.268579, -75.597361"/>
    <n v="6.2685789999999999"/>
    <n v="-75.597361000000006"/>
    <s v="6.272652, -75.602017"/>
    <n v="6.2726519999999999"/>
    <n v="-75.602017000000004"/>
    <x v="4"/>
  </r>
  <r>
    <s v="90d0773390aedeab"/>
    <s v="17_09_2026_IQ_Noct.gpx"/>
    <s v="90d0773390aedeab4121f4063e189c889225c1ec7a0ff2874ad4aa036513428c"/>
    <x v="14"/>
    <x v="0"/>
    <s v="Jueves"/>
    <x v="10"/>
    <s v="IQ"/>
    <s v="NOCTURNO"/>
    <n v="1578"/>
    <s v="17/09/2026 17:35:37"/>
    <s v="18:00"/>
    <d v="1899-12-30T00:24:23"/>
    <s v="INICIO ANTES DEL HORARIO"/>
    <s v="17/09/2026 23:27:47"/>
    <s v="00:00"/>
    <d v="1899-12-30T00:32:13"/>
    <s v="TERMINÓ ANTES"/>
    <d v="1899-12-30T05:52:10"/>
    <n v="55"/>
    <n v="261"/>
    <d v="1899-12-30T02:07:11"/>
    <d v="1899-12-30T01:23:14"/>
    <d v="1899-12-30T00:00:00"/>
    <n v="0"/>
    <n v="0"/>
    <n v="0"/>
    <n v="0"/>
    <n v="0"/>
    <n v="2"/>
    <s v="REVISAR"/>
    <s v="Inicio GPS anterior al horario: 00:24:23 antes de las 18:00.; Fin GPS anticipado: 00:32:13 antes de las 00:00.; 2 hueco(s) GPS &gt;= 10 min."/>
    <s v="10.979990, -74.803665"/>
    <n v="10.979990000000001"/>
    <n v="-74.803664999999995"/>
    <s v="6.272397, -75.540292"/>
    <n v="6.2723969999999998"/>
    <n v="-75.540291999999994"/>
    <x v="103"/>
  </r>
  <r>
    <s v="36d2a54507cdf0d9"/>
    <s v="17_09_2026_JHP_Noct.gpx"/>
    <s v="36d2a54507cdf0d92008ff785845ad240ecdfed5458c2151a3469acc1df89e04"/>
    <x v="14"/>
    <x v="0"/>
    <s v="Jueves"/>
    <x v="11"/>
    <s v="JHP"/>
    <s v="NOCTURNO"/>
    <n v="7183"/>
    <s v="17/09/2026 17:06:35"/>
    <s v="18:00"/>
    <d v="1899-12-30T00:53:25"/>
    <s v="INICIO ANTES DEL HORARIO"/>
    <s v="18/09/2026 00:03:33"/>
    <s v="00:00"/>
    <d v="1899-12-30T00:03:33"/>
    <s v="FIN CUMPLE"/>
    <d v="1899-12-30T06:56:58"/>
    <n v="96.944999999999993"/>
    <n v="18.64"/>
    <d v="1899-12-30T05:12:05"/>
    <d v="1899-12-30T01:24:14"/>
    <d v="1899-12-30T00:00:00"/>
    <n v="0"/>
    <n v="0"/>
    <n v="0"/>
    <n v="0"/>
    <n v="0"/>
    <n v="0"/>
    <s v="REVISAR"/>
    <s v="Inicio GPS anterior al horario: 00:53:25 antes de las 18:00.; Fin GPS dentro de la tolerancia del horario programado."/>
    <s v="6.226581, -75.599301"/>
    <n v="6.2265810000000004"/>
    <n v="-75.599300999999997"/>
    <s v="6.290393, -75.546537"/>
    <n v="6.2903929999999999"/>
    <n v="-75.546537000000001"/>
    <x v="4"/>
  </r>
  <r>
    <s v="3d8e25f8e5d40521"/>
    <s v="17_09_2026_JP_Noct.gpx"/>
    <s v="3d8e25f8e5d40521a4d29bb20f974cdac24f04478585e9b7f8f9513ccaaf7c4f"/>
    <x v="14"/>
    <x v="0"/>
    <s v="Jueves"/>
    <x v="12"/>
    <s v="JP"/>
    <s v="NOCTURNO"/>
    <n v="2203"/>
    <s v="17/09/2026 17:27:26"/>
    <s v="18:00"/>
    <d v="1899-12-30T00:32:34"/>
    <s v="INICIO ANTES DEL HORARIO"/>
    <s v="17/09/2026 21:20:46"/>
    <s v="00:00"/>
    <d v="1899-12-30T02:39:14"/>
    <s v="TERMINÓ ANTES"/>
    <d v="1899-12-30T03:53:20"/>
    <n v="28.535"/>
    <n v="8.7799999999999994"/>
    <d v="1899-12-30T03:15:01"/>
    <d v="1899-12-30T01:56:00"/>
    <d v="1899-12-30T00:00:00"/>
    <n v="0"/>
    <n v="0"/>
    <n v="0"/>
    <n v="0"/>
    <n v="0"/>
    <n v="1"/>
    <s v="REVISAR"/>
    <s v="Inicio GPS anterior al horario: 00:32:34 antes de las 18:00.; Fin GPS anticipado: 02:39:14 antes de las 00:00.; 1 hueco(s) GPS &gt;= 10 min."/>
    <s v="6.226895, -75.599648"/>
    <n v="6.2268949999999998"/>
    <n v="-75.599648000000002"/>
    <s v="6.261828, -75.571967"/>
    <n v="6.2618280000000004"/>
    <n v="-75.571967000000001"/>
    <x v="104"/>
  </r>
  <r>
    <s v="489f0c842f5e227a"/>
    <s v="17_09_2026_LA_Noct.gpx"/>
    <s v="489f0c842f5e227af2996fea935928f335b2763b3ab4144c5eac7192dc931080"/>
    <x v="14"/>
    <x v="0"/>
    <s v="Jueves"/>
    <x v="13"/>
    <s v="LA"/>
    <s v="NOCTURNO"/>
    <n v="10981"/>
    <s v="17/09/2026 17:12:50"/>
    <s v="18:00"/>
    <d v="1899-12-30T00:47:09"/>
    <s v="INICIO ANTES DEL HORARIO"/>
    <s v="18/09/2026 00:12:09"/>
    <s v="00:00"/>
    <d v="1899-12-30T00:12:10"/>
    <s v="FIN CUMPLE"/>
    <d v="1899-12-30T06:59:19"/>
    <n v="64.697000000000003"/>
    <n v="13.7"/>
    <d v="1899-12-30T04:43:20"/>
    <d v="1899-12-30T03:01:53"/>
    <d v="1899-12-30T00:00:00"/>
    <n v="0"/>
    <n v="0"/>
    <n v="0"/>
    <n v="0"/>
    <n v="0"/>
    <n v="3"/>
    <s v="REVISAR"/>
    <s v="Inicio GPS anterior al horario: 00:47:09 antes de las 18:00.; Fin GPS dentro de la tolerancia del horario programado.; 3 hueco(s) GPS &gt;= 10 min."/>
    <s v="6.226662, -75.599262"/>
    <n v="6.2266620000000001"/>
    <n v="-75.599261999999996"/>
    <s v="6.268457, -75.599375"/>
    <n v="6.2684569999999997"/>
    <n v="-75.599374999999995"/>
    <x v="4"/>
  </r>
  <r>
    <s v="574ed8d39c896c02"/>
    <s v="18_09_2026_AO_Diur.gpx"/>
    <s v="574ed8d39c896c0247f665ebcba8d2a772669a22f14ae0070f8da719917542de"/>
    <x v="15"/>
    <x v="0"/>
    <s v="Viernes"/>
    <x v="0"/>
    <s v="AO"/>
    <s v="DIURNO"/>
    <n v="6065"/>
    <s v="18/09/2026 08:35:14"/>
    <s v="08:30"/>
    <d v="1899-12-30T00:05:14"/>
    <s v="INICIO CUMPLE"/>
    <s v="18/09/2026 16:03:43"/>
    <s v="16:00"/>
    <d v="1899-12-30T00:03:43"/>
    <s v="FIN CUMPLE"/>
    <d v="1899-12-30T07:28:29"/>
    <n v="44.219000000000001"/>
    <n v="11.09"/>
    <d v="1899-12-30T03:59:20"/>
    <d v="1899-12-30T02:42:41"/>
    <d v="1899-12-30T00:00:00"/>
    <n v="0"/>
    <n v="0"/>
    <n v="0"/>
    <n v="0"/>
    <n v="0"/>
    <n v="4"/>
    <s v="DENTRO DE HORARIO"/>
    <s v="Inicio GPS dentro de la tolerancia del horario programado.; Fin GPS dentro de la tolerancia del horario programado.; 4 hueco(s) GPS &gt;= 10 min."/>
    <s v="6.225611, -75.599078"/>
    <n v="6.2256109999999998"/>
    <n v="-75.599078000000006"/>
    <s v="6.238764, -75.607866"/>
    <n v="6.2387639999999998"/>
    <n v="-75.607866000000001"/>
    <x v="4"/>
  </r>
  <r>
    <s v="db75e5dbfc3c1eec"/>
    <s v="18_09_2026_AR_Diur.gpx"/>
    <s v="db75e5dbfc3c1eecb9afb154e5d6a0d39956d0605060534e537b415b99a07c0a"/>
    <x v="15"/>
    <x v="0"/>
    <s v="Viernes"/>
    <x v="1"/>
    <s v="AR"/>
    <s v="DIURNO"/>
    <n v="1949"/>
    <s v="18/09/2026 08:29:36"/>
    <s v="08:30"/>
    <d v="1899-12-30T00:00:24"/>
    <s v="INICIO CUMPLE"/>
    <s v="18/09/2026 16:01:24"/>
    <s v="16:00"/>
    <d v="1899-12-30T00:01:24"/>
    <s v="FIN CUMPLE"/>
    <d v="1899-12-30T07:31:48"/>
    <n v="27.864000000000001"/>
    <n v="5.21"/>
    <d v="1899-12-30T05:20:42"/>
    <d v="1899-12-30T04:20:42"/>
    <d v="1899-12-30T00:00:00"/>
    <n v="0"/>
    <n v="0"/>
    <n v="0"/>
    <n v="0"/>
    <n v="0"/>
    <n v="1"/>
    <s v="DENTRO DE HORARIO"/>
    <s v="Inicio GPS dentro de la tolerancia del horario programado.; Fin GPS dentro de la tolerancia del horario programado.; 1 hueco(s) GPS &gt;= 10 min."/>
    <s v="6.225697, -75.599436"/>
    <n v="6.2256970000000003"/>
    <n v="-75.599435999999997"/>
    <s v="6.247761, -75.614860"/>
    <n v="6.2477609999999997"/>
    <n v="-75.614859999999993"/>
    <x v="4"/>
  </r>
  <r>
    <s v="28351e32ecc3aab7"/>
    <s v="18_09_2026_DR_Diur.gpx"/>
    <s v="28351e32ecc3aab71e662aabbd511301bdc231f6293fc5ff9d746e362336fe1a"/>
    <x v="15"/>
    <x v="0"/>
    <s v="Viernes"/>
    <x v="8"/>
    <s v="DR"/>
    <s v="DIURNO"/>
    <n v="1910"/>
    <s v="18/09/2026 08:37:58"/>
    <s v="08:30"/>
    <d v="1899-12-30T00:07:58"/>
    <s v="INICIO CUMPLE"/>
    <s v="18/09/2026 15:42:52"/>
    <s v="16:00"/>
    <d v="1899-12-30T00:17:08"/>
    <s v="TERMINÓ ANTES"/>
    <d v="1899-12-30T07:04:54"/>
    <n v="25.187999999999999"/>
    <n v="4.9400000000000004"/>
    <d v="1899-12-30T05:05:54"/>
    <d v="1899-12-30T04:07:02"/>
    <d v="1899-12-30T00:00:00"/>
    <n v="0"/>
    <n v="0"/>
    <n v="0"/>
    <n v="0"/>
    <n v="0"/>
    <n v="2"/>
    <s v="INICIO CUMPLE / FIN ANTICIPADO"/>
    <s v="Inicio GPS dentro de la tolerancia del horario programado.; Fin GPS anticipado: 00:17:08 antes de las 16:00.; 2 hueco(s) GPS &gt;= 10 min."/>
    <s v="6.230816, -75.601884"/>
    <n v="6.2308159999999999"/>
    <n v="-75.601883999999998"/>
    <s v="6.239649, -75.608310"/>
    <n v="6.239649"/>
    <n v="-75.608310000000003"/>
    <x v="105"/>
  </r>
  <r>
    <s v="760f3e903b5a7381"/>
    <s v="18_09_2026_JA_Diur.gpx"/>
    <s v="760f3e903b5a7381a552db57ff0e37600bba53b1b5771d9f6458bc584420641b"/>
    <x v="15"/>
    <x v="0"/>
    <s v="Viernes"/>
    <x v="3"/>
    <s v="JA"/>
    <s v="DIURNO"/>
    <n v="2871"/>
    <s v="18/09/2026 08:43:57"/>
    <s v="08:30"/>
    <d v="1899-12-30T00:13:57"/>
    <s v="INICIO CUMPLE"/>
    <s v="18/09/2026 12:05:04"/>
    <s v="16:00"/>
    <d v="1899-12-30T03:54:56"/>
    <s v="TERMINÓ ANTES"/>
    <d v="1899-12-30T03:21:07"/>
    <n v="39.378"/>
    <n v="14.69"/>
    <d v="1899-12-30T02:40:47"/>
    <d v="1899-12-30T01:30:00"/>
    <d v="1899-12-30T00:00:00"/>
    <n v="0"/>
    <n v="0"/>
    <n v="0"/>
    <n v="0"/>
    <n v="0"/>
    <n v="0"/>
    <s v="INICIO CUMPLE / FIN ANTICIPADO"/>
    <s v="Inicio GPS dentro de la tolerancia del horario programado.; Fin GPS anticipado: 03:54:56 antes de las 16:00."/>
    <s v="6.225685, -75.599091"/>
    <n v="6.2256850000000004"/>
    <n v="-75.599091000000001"/>
    <s v="6.237138, -75.558726"/>
    <n v="6.2371379999999998"/>
    <n v="-75.558725999999993"/>
    <x v="106"/>
  </r>
  <r>
    <s v="09ab39dc75e7d94d"/>
    <s v="18_09_2026_JO_Diur.gpx"/>
    <s v="09ab39dc75e7d94d5332ccc0420aa8c018154017de4e948142214b7b19dd0966"/>
    <x v="15"/>
    <x v="0"/>
    <s v="Viernes"/>
    <x v="4"/>
    <s v="JO"/>
    <s v="DIURNO"/>
    <n v="5700"/>
    <s v="18/09/2026 08:46:27"/>
    <s v="08:30"/>
    <d v="1899-12-30T00:16:28"/>
    <s v="INICIO TARDÍO"/>
    <s v="18/09/2026 16:00:31"/>
    <s v="16:00"/>
    <d v="1899-12-30T00:00:32"/>
    <s v="FIN CUMPLE"/>
    <d v="1899-12-30T07:14:04"/>
    <n v="36.863"/>
    <n v="22.3"/>
    <d v="1899-12-30T01:39:11"/>
    <d v="1899-12-30T00:34:40"/>
    <d v="1899-12-30T00:07:57"/>
    <n v="0"/>
    <n v="0"/>
    <n v="0"/>
    <n v="0"/>
    <n v="0"/>
    <n v="11"/>
    <s v="INICIO TARDÍO / FIN CUMPLE"/>
    <s v="Inicio GPS tardío: 00:16:28 después de las 08:30.; Fin GPS dentro de la tolerancia del horario programado.; 11 hueco(s) GPS &gt;= 10 min.; 1 permanencia(s) GPS detectada(s); requiere contexto."/>
    <s v="6.225605, -75.599091"/>
    <n v="6.2256049999999998"/>
    <n v="-75.599091000000001"/>
    <s v="6.246771, -75.554138"/>
    <n v="6.2467709999999999"/>
    <n v="-75.554137999999995"/>
    <x v="107"/>
  </r>
  <r>
    <s v="9031de5bb9e7b3c5"/>
    <s v="18_09_2026_JZ_Diur.gpx"/>
    <s v="9031de5bb9e7b3c53e589e5b129dad5824953847aaa15e3f4a325f215adbb8cd"/>
    <x v="15"/>
    <x v="0"/>
    <s v="Viernes"/>
    <x v="5"/>
    <s v="JZ"/>
    <s v="DIURNO"/>
    <n v="5344"/>
    <s v="18/09/2026 08:10:59"/>
    <s v="08:30"/>
    <d v="1899-12-30T00:19:01"/>
    <s v="INICIO ANTES DEL HORARIO"/>
    <s v="18/09/2026 14:48:04"/>
    <s v="16:00"/>
    <d v="1899-12-30T01:11:56"/>
    <s v="TERMINÓ ANTES"/>
    <d v="1899-12-30T06:37:05"/>
    <n v="72.647999999999996"/>
    <n v="15.45"/>
    <d v="1899-12-30T04:42:08"/>
    <d v="1899-12-30T01:59:26"/>
    <d v="1899-12-30T00:00:00"/>
    <n v="0"/>
    <n v="0"/>
    <n v="0"/>
    <n v="0"/>
    <n v="0"/>
    <n v="0"/>
    <s v="REVISAR"/>
    <s v="Inicio GPS anterior al horario: 00:19:01 antes de las 08:30.; Fin GPS anticipado: 01:11:56 antes de las 16:00."/>
    <s v="6.226691, -75.599234"/>
    <n v="6.2266909999999998"/>
    <n v="-75.599233999999996"/>
    <s v="6.241651, -75.516547"/>
    <n v="6.2416510000000001"/>
    <n v="-75.516547000000003"/>
    <x v="108"/>
  </r>
  <r>
    <s v="d4b7f60cdb6f56d4"/>
    <s v="18_09_2026_SJ_Diur.gpx"/>
    <s v="d4b7f60cdb6f56d4d15ed5e2a9c06189fdbb0bf21191b183fc95e0debaba2af6"/>
    <x v="15"/>
    <x v="0"/>
    <s v="Viernes"/>
    <x v="6"/>
    <s v="SJ"/>
    <s v="DIURNO"/>
    <n v="2704"/>
    <s v="18/09/2026 08:40:31"/>
    <s v="08:30"/>
    <d v="1899-12-30T00:10:31"/>
    <s v="INICIO CUMPLE"/>
    <s v="18/09/2026 15:28:50"/>
    <s v="16:00"/>
    <d v="1899-12-30T00:31:10"/>
    <s v="TERMINÓ ANTES"/>
    <d v="1899-12-30T06:48:19"/>
    <n v="34.909999999999997"/>
    <n v="9.0500000000000007"/>
    <d v="1899-12-30T03:51:26"/>
    <d v="1899-12-30T02:37:15"/>
    <d v="1899-12-30T00:00:00"/>
    <n v="0"/>
    <n v="0"/>
    <n v="0"/>
    <n v="0"/>
    <n v="0"/>
    <n v="0"/>
    <s v="INICIO CUMPLE / FIN ANTICIPADO"/>
    <s v="Inicio GPS dentro de la tolerancia del horario programado.; Fin GPS anticipado: 00:31:10 antes de las 16:00."/>
    <s v="6.225759, -75.599410"/>
    <n v="6.225759"/>
    <n v="-75.599410000000006"/>
    <s v="6.304929, -75.577502"/>
    <n v="6.3049289999999996"/>
    <n v="-75.577501999999996"/>
    <x v="109"/>
  </r>
  <r>
    <s v="6dd1257b59b28db6"/>
    <s v="18_09_2026_YL_Diur.gpx"/>
    <s v="6dd1257b59b28db66571c1c0235809e4044da3a8f08fe8f8e2c5599b906ad4eb"/>
    <x v="15"/>
    <x v="0"/>
    <s v="Viernes"/>
    <x v="7"/>
    <s v="YL"/>
    <s v="DIURNO"/>
    <n v="3812"/>
    <s v="18/09/2026 08:47:14"/>
    <s v="08:30"/>
    <d v="1899-12-30T00:17:14"/>
    <s v="INICIO TARDÍO"/>
    <s v="18/09/2026 15:59:49"/>
    <s v="16:00"/>
    <d v="1899-12-30T00:00:11"/>
    <s v="FIN CUMPLE"/>
    <d v="1899-12-30T07:12:35"/>
    <n v="51.332000000000001"/>
    <n v="11.03"/>
    <d v="1899-12-30T04:39:19"/>
    <d v="1899-12-30T02:44:47"/>
    <d v="1899-12-30T00:00:00"/>
    <n v="0"/>
    <n v="0"/>
    <n v="0"/>
    <n v="0"/>
    <n v="0"/>
    <n v="0"/>
    <s v="INICIO TARDÍO / FIN CUMPLE"/>
    <s v="Inicio GPS tardío: 00:17:14 después de las 08:30.; Fin GPS dentro de la tolerancia del horario programado."/>
    <s v="6.225650, -75.599074"/>
    <n v="6.2256499999999999"/>
    <n v="-75.599074000000002"/>
    <s v="6.258732, -75.616245"/>
    <n v="6.2587320000000002"/>
    <n v="-75.616245000000006"/>
    <x v="110"/>
  </r>
  <r>
    <s v="08841ee0ded3204b"/>
    <s v="19_09_2026_DR_Diur.gpx"/>
    <s v="08841ee0ded3204baf0f20b9363ccba0e7e3c445dfce38bd70bfa3a7b5a4ec8c"/>
    <x v="16"/>
    <x v="0"/>
    <s v="Sábado"/>
    <x v="8"/>
    <s v="DR"/>
    <s v="DIURNO"/>
    <n v="1982"/>
    <s v="19/09/2026 09:28:26"/>
    <s v="08:30"/>
    <d v="1899-12-30T00:58:26"/>
    <s v="INICIO TARDÍO"/>
    <s v="19/09/2026 14:22:55"/>
    <s v="16:00"/>
    <d v="1899-12-30T01:37:05"/>
    <s v="TERMINÓ ANTES"/>
    <d v="1899-12-30T04:54:29"/>
    <n v="25.9"/>
    <n v="8.75"/>
    <d v="1899-12-30T02:57:31"/>
    <d v="1899-12-30T01:56:28"/>
    <d v="1899-12-30T00:00:00"/>
    <n v="0"/>
    <n v="0"/>
    <n v="0"/>
    <n v="0"/>
    <n v="0"/>
    <n v="1"/>
    <s v="INICIO TARDÍO / FIN ANTICIPADO"/>
    <s v="Inicio GPS tardío: 00:58:26 después de las 08:30.; Fin GPS anticipado: 01:37:05 antes de las 16:00.; 1 hueco(s) GPS &gt;= 10 min."/>
    <s v="6.252651, -75.609697"/>
    <n v="6.2526510000000002"/>
    <n v="-75.609696999999997"/>
    <s v="6.243433, -75.602993"/>
    <n v="6.2434329999999996"/>
    <n v="-75.602992999999998"/>
    <x v="111"/>
  </r>
  <r>
    <s v="d7b664ef81ad9651"/>
    <s v="18_09_2026_DV_Noct1.gpx"/>
    <s v="d7b664ef81ad9651554f4d4fa4321cd936eac554b8e90b2d1b9a7efec9642fb0"/>
    <x v="15"/>
    <x v="0"/>
    <s v="Viernes"/>
    <x v="9"/>
    <s v="DV"/>
    <s v="NOCTURNO"/>
    <n v="2110"/>
    <s v="18/09/2026 18:14:24"/>
    <s v="18:00"/>
    <d v="1899-12-30T00:14:24"/>
    <s v="INICIO CUMPLE"/>
    <s v="18/09/2026 23:07:55"/>
    <s v="00:00"/>
    <d v="1899-12-30T00:52:05"/>
    <s v="TERMINÓ ANTES"/>
    <d v="1899-12-30T04:53:31"/>
    <n v="26.300999999999998"/>
    <n v="7.48"/>
    <d v="1899-12-30T03:31:03"/>
    <d v="1899-12-30T01:52:20"/>
    <d v="1899-12-30T00:00:00"/>
    <n v="0"/>
    <n v="0"/>
    <n v="0"/>
    <n v="0"/>
    <n v="0"/>
    <n v="1"/>
    <s v="INICIO CUMPLE / FIN ANTICIPADO"/>
    <s v="Inicio GPS dentro de la tolerancia del horario programado.; Fin GPS anticipado: 00:52:05 antes de las 00:00.; 1 hueco(s) GPS &gt;= 10 min."/>
    <s v="6.270135, -75.601358"/>
    <n v="6.2701349999999998"/>
    <n v="-75.601358000000005"/>
    <s v="6.246358, -75.604612"/>
    <n v="6.2463579999999999"/>
    <n v="-75.604612000000003"/>
    <x v="112"/>
  </r>
  <r>
    <s v="0b3b3e04436c9877"/>
    <s v="18_09_2026_DV_Noct2.gpx"/>
    <s v="0b3b3e04436c9877c98cc7e76170acac75d69b6bfb77bc702a6e8b91134c7379"/>
    <x v="15"/>
    <x v="0"/>
    <s v="Viernes"/>
    <x v="9"/>
    <s v="DV"/>
    <s v="NOCTURNO"/>
    <n v="3418"/>
    <s v="18/09/2026 22:19:50"/>
    <s v="18:00"/>
    <d v="1899-12-30T04:19:51"/>
    <s v="INICIO TARDÍO"/>
    <s v="19/09/2026 00:13:49"/>
    <s v="00:00"/>
    <d v="1899-12-30T00:13:49"/>
    <s v="FIN CUMPLE"/>
    <d v="1899-12-30T01:53:59"/>
    <n v="16.713999999999999"/>
    <n v="19.91"/>
    <d v="1899-12-30T00:50:22"/>
    <d v="1899-12-30T00:31:33"/>
    <d v="1899-12-30T00:00:00"/>
    <n v="0"/>
    <n v="0"/>
    <n v="0"/>
    <n v="0"/>
    <n v="0"/>
    <n v="1"/>
    <s v="INICIO TARDÍO / FIN CUMPLE"/>
    <s v="Inicio GPS tardío: 04:19:51 después de las 18:00.; Fin GPS dentro de la tolerancia del horario programado.; 1 hueco(s) GPS &gt;= 10 min."/>
    <s v="6.251355, -75.607428"/>
    <n v="6.2513550000000002"/>
    <n v="-75.607427999999999"/>
    <s v="6.272566, -75.602164"/>
    <n v="6.2725660000000003"/>
    <n v="-75.602164000000002"/>
    <x v="113"/>
  </r>
  <r>
    <s v="411c6fb03be049a0"/>
    <s v="18_09_2026_IQ_Noct.gpx"/>
    <s v="411c6fb03be049a075a3b26e6982874b7088874c41de9683287188622862b445"/>
    <x v="15"/>
    <x v="0"/>
    <s v="Viernes"/>
    <x v="10"/>
    <s v="IQ"/>
    <s v="NOCTURNO"/>
    <n v="1869"/>
    <s v="18/09/2026 18:02:40"/>
    <s v="18:00"/>
    <d v="1899-12-30T00:02:40"/>
    <s v="INICIO CUMPLE"/>
    <s v="18/09/2026 23:44:35"/>
    <s v="00:00"/>
    <d v="1899-12-30T00:15:25"/>
    <s v="TERMINÓ ANTES"/>
    <d v="1899-12-30T05:41:55"/>
    <n v="34.732999999999997"/>
    <n v="19.53"/>
    <d v="1899-12-30T01:46:42"/>
    <d v="1899-12-30T00:46:05"/>
    <d v="1899-12-30T00:00:00"/>
    <n v="0"/>
    <n v="0"/>
    <n v="0"/>
    <n v="0"/>
    <n v="0"/>
    <n v="3"/>
    <s v="INICIO CUMPLE / FIN ANTICIPADO"/>
    <s v="Inicio GPS dentro de la tolerancia del horario programado.; Fin GPS anticipado: 00:15:25 antes de las 00:00.; 3 hueco(s) GPS &gt;= 10 min."/>
    <s v="6.271953, -75.540673"/>
    <n v="6.2719529999999999"/>
    <n v="-75.540672999999998"/>
    <s v="6.264430, -75.570660"/>
    <n v="6.2644299999999999"/>
    <n v="-75.570660000000004"/>
    <x v="114"/>
  </r>
  <r>
    <s v="1c33940de6d83ac0"/>
    <s v="18_09_2026_JHP_Noct.gpx"/>
    <s v="1c33940de6d83ac0ea53dec915860f2c48d3fa189da38e1c9f34d7786ab4c7ba"/>
    <x v="15"/>
    <x v="0"/>
    <s v="Viernes"/>
    <x v="11"/>
    <s v="JHP"/>
    <s v="NOCTURNO"/>
    <n v="7141"/>
    <s v="18/09/2026 17:31:58"/>
    <s v="18:00"/>
    <d v="1899-12-30T00:28:02"/>
    <s v="INICIO ANTES DEL HORARIO"/>
    <s v="19/09/2026 00:21:47"/>
    <s v="00:00"/>
    <d v="1899-12-30T00:21:47"/>
    <s v="TERMINÓ DESPUÉS"/>
    <d v="1899-12-30T06:49:49"/>
    <n v="95.653000000000006"/>
    <n v="18.7"/>
    <d v="1899-12-30T05:06:57"/>
    <d v="1899-12-30T01:06:04"/>
    <d v="1899-12-30T00:00:00"/>
    <n v="0"/>
    <n v="0"/>
    <n v="0"/>
    <n v="0"/>
    <n v="0"/>
    <n v="0"/>
    <s v="FIN POSTERIOR"/>
    <s v="Inicio GPS anterior al horario: 00:28:02 antes de las 18:00.; Fin GPS posterior: 00:21:47 después de las 00:00."/>
    <s v="6.290363, -75.546539"/>
    <n v="6.2903630000000001"/>
    <n v="-75.546538999999996"/>
    <s v="6.290377, -75.546586"/>
    <n v="6.2903770000000003"/>
    <n v="-75.546586000000005"/>
    <x v="4"/>
  </r>
  <r>
    <s v="1f282216ee6e37f2"/>
    <s v="18_09_2026_JP_Noct.gpx"/>
    <s v="1f282216ee6e37f2520889c4282cf35711e63dfc3ceb4eb4602373514907a767"/>
    <x v="15"/>
    <x v="0"/>
    <s v="Viernes"/>
    <x v="12"/>
    <s v="JP"/>
    <s v="NOCTURNO"/>
    <n v="1651"/>
    <s v="18/09/2026 17:58:21"/>
    <s v="18:00"/>
    <d v="1899-12-30T00:01:39"/>
    <s v="INICIO CUMPLE"/>
    <s v="18/09/2026 23:59:00"/>
    <s v="00:00"/>
    <d v="1899-12-30T00:01:00"/>
    <s v="FIN CUMPLE"/>
    <d v="1899-12-30T06:00:39"/>
    <n v="19.93"/>
    <n v="3.93"/>
    <d v="1899-12-30T05:04:10"/>
    <d v="1899-12-30T03:47:05"/>
    <d v="1899-12-30T00:00:00"/>
    <n v="0"/>
    <n v="0"/>
    <n v="0"/>
    <n v="0"/>
    <n v="0"/>
    <n v="1"/>
    <s v="DENTRO DE HORARIO"/>
    <s v="Inicio GPS dentro de la tolerancia del horario programado.; Fin GPS dentro de la tolerancia del horario programado.; 1 hueco(s) GPS &gt;= 10 min."/>
    <s v="6.252467, -75.551827"/>
    <n v="6.2524670000000002"/>
    <n v="-75.551827000000003"/>
    <s v="6.251812, -75.551810"/>
    <n v="6.2518120000000001"/>
    <n v="-75.551810000000003"/>
    <x v="4"/>
  </r>
  <r>
    <s v="4eaa6f0e3139ce9c"/>
    <s v="18_09_2026_LA_Noct.gpx"/>
    <s v="4eaa6f0e3139ce9c3a1da9d13c538d9ea5f60c113e3a1e72c2c5288d79d3016e"/>
    <x v="15"/>
    <x v="0"/>
    <s v="Viernes"/>
    <x v="13"/>
    <s v="LA"/>
    <s v="NOCTURNO"/>
    <n v="11062"/>
    <s v="18/09/2026 17:27:27"/>
    <s v="18:00"/>
    <d v="1899-12-30T00:32:33"/>
    <s v="INICIO ANTES DEL HORARIO"/>
    <s v="19/09/2026 00:00:48"/>
    <s v="00:00"/>
    <d v="1899-12-30T00:00:48"/>
    <s v="FIN CUMPLE"/>
    <d v="1899-12-30T06:33:21"/>
    <n v="54.726999999999997"/>
    <n v="12.98"/>
    <d v="1899-12-30T04:12:53"/>
    <d v="1899-12-30T02:59:43"/>
    <d v="1899-12-30T00:00:00"/>
    <n v="0"/>
    <n v="0"/>
    <n v="0"/>
    <n v="0"/>
    <n v="0"/>
    <n v="2"/>
    <s v="REVISAR"/>
    <s v="Inicio GPS anterior al horario: 00:32:33 antes de las 18:00.; Fin GPS dentro de la tolerancia del horario programado.; 2 hueco(s) GPS &gt;= 10 min."/>
    <s v="6.268908, -75.598983"/>
    <n v="6.2689079999999997"/>
    <n v="-75.598983000000004"/>
    <s v="6.239752, -75.575770"/>
    <n v="6.2397520000000002"/>
    <n v="-75.575770000000006"/>
    <x v="4"/>
  </r>
  <r>
    <s v="3045fae0d268338d"/>
    <s v="19_09_2026_AR_Noct.gpx"/>
    <s v="3045fae0d268338d25d3cd23bdd9fd7b7ab66535277cf52b510b0f2255c64b2c"/>
    <x v="16"/>
    <x v="0"/>
    <s v="Sábado"/>
    <x v="1"/>
    <s v="AR"/>
    <s v="NOCTURNO"/>
    <n v="1907"/>
    <s v="19/09/2026 18:23:21"/>
    <s v="18:00"/>
    <d v="1899-12-30T00:23:21"/>
    <s v="INICIO TARDÍO"/>
    <s v="20/09/2026 00:05:17"/>
    <s v="00:00"/>
    <d v="1899-12-30T00:05:17"/>
    <s v="FIN CUMPLE"/>
    <d v="1899-12-30T05:41:56"/>
    <n v="25.712"/>
    <n v="7.32"/>
    <d v="1899-12-30T03:30:51"/>
    <d v="1899-12-30T02:25:46"/>
    <d v="1899-12-30T00:00:00"/>
    <n v="0"/>
    <n v="0"/>
    <n v="0"/>
    <n v="0"/>
    <n v="0"/>
    <n v="0"/>
    <s v="INICIO TARDÍO / FIN CUMPLE"/>
    <s v="Inicio GPS tardío: 00:23:21 después de las 18:00.; Fin GPS dentro de la tolerancia del horario programado.; Sábado nocturno: verificar técnico asignado."/>
    <s v="6.247751, -75.614997"/>
    <n v="6.2477510000000001"/>
    <n v="-75.614997000000002"/>
    <s v="6.247642, -75.614915"/>
    <n v="6.2476419999999999"/>
    <n v="-75.614914999999996"/>
    <x v="115"/>
  </r>
  <r>
    <s v="f5cb150a19768be1"/>
    <s v="21_09_2026_AO_Diur.gpx"/>
    <s v="f5cb150a19768be11f5f5f899eca0440e6e3b31b79532bd3d2717e1843b2aeee"/>
    <x v="17"/>
    <x v="0"/>
    <s v="Lunes"/>
    <x v="0"/>
    <s v="AO"/>
    <s v="DIURNO"/>
    <n v="5940"/>
    <s v="21/09/2026 09:19:43"/>
    <s v="08:30"/>
    <d v="1899-12-30T00:49:43"/>
    <s v="INICIO TARDÍO"/>
    <s v="21/09/2026 16:31:57"/>
    <s v="16:30"/>
    <d v="1899-12-30T00:01:58"/>
    <s v="FIN CUMPLE"/>
    <d v="1899-12-30T07:12:14"/>
    <n v="46.2"/>
    <n v="18.46"/>
    <d v="1899-12-30T02:30:11"/>
    <d v="1899-12-30T01:11:34"/>
    <d v="1899-12-30T00:00:00"/>
    <n v="0"/>
    <n v="0"/>
    <n v="0"/>
    <n v="0"/>
    <n v="0"/>
    <n v="7"/>
    <s v="INICIO TARDÍO / FIN CUMPLE"/>
    <s v="Inicio GPS tardío: 00:49:43 después de las 08:30.; Fin GPS dentro de la tolerancia del horario programado.; 7 hueco(s) GPS &gt;= 10 min."/>
    <s v="6.215855, -75.597796"/>
    <n v="6.2158550000000004"/>
    <n v="-75.597796000000002"/>
    <s v="6.232111, -75.597014"/>
    <n v="6.2321109999999997"/>
    <n v="-75.597014000000001"/>
    <x v="116"/>
  </r>
  <r>
    <s v="4af9429c979acd31"/>
    <s v="21_09_2026_AR_Diur.gpx"/>
    <s v="4af9429c979acd311095eb9d774c8740b3b098e341a257bcd082b7d3d591eaf8"/>
    <x v="17"/>
    <x v="0"/>
    <s v="Lunes"/>
    <x v="1"/>
    <s v="AR"/>
    <s v="DIURNO"/>
    <n v="2849"/>
    <s v="21/09/2026 08:30:35"/>
    <s v="08:30"/>
    <d v="1899-12-30T00:00:35"/>
    <s v="INICIO CUMPLE"/>
    <s v="21/09/2026 16:31:01"/>
    <s v="16:30"/>
    <d v="1899-12-30T00:01:01"/>
    <s v="FIN CUMPLE"/>
    <d v="1899-12-30T08:00:26"/>
    <n v="37.97"/>
    <n v="5.67"/>
    <d v="1899-12-30T06:41:47"/>
    <d v="1899-12-30T05:22:43"/>
    <d v="1899-12-30T00:11:29"/>
    <n v="1"/>
    <n v="0"/>
    <n v="0"/>
    <n v="0"/>
    <n v="0"/>
    <n v="3"/>
    <s v="DENTRO DE HORARIO"/>
    <s v="Inicio GPS dentro de la tolerancia del horario programado.; Fin GPS dentro de la tolerancia del horario programado.; 3 hueco(s) GPS &gt;= 10 min.; 1 permanencia(s) GPS detectada(s); requiere contexto."/>
    <s v="6.225557, -75.599429"/>
    <n v="6.2255570000000002"/>
    <n v="-75.599429000000001"/>
    <s v="6.247690, -75.614950"/>
    <n v="6.2476900000000004"/>
    <n v="-75.614949999999993"/>
    <x v="4"/>
  </r>
  <r>
    <s v="b710dc61d83a58bb"/>
    <s v="21_09_2026_DR_Diur.gpx"/>
    <s v="b710dc61d83a58bb2fd6232a2081ad7f1b35edb95d53d9681cfb5d0fc0a9002f"/>
    <x v="17"/>
    <x v="0"/>
    <s v="Lunes"/>
    <x v="8"/>
    <s v="DR"/>
    <s v="DIURNO"/>
    <n v="2438"/>
    <s v="21/09/2026 08:34:46"/>
    <s v="08:30"/>
    <d v="1899-12-30T00:04:46"/>
    <s v="INICIO CUMPLE"/>
    <s v="21/09/2026 15:11:17"/>
    <s v="16:30"/>
    <d v="1899-12-30T01:18:43"/>
    <s v="TERMINÓ ANTES"/>
    <d v="1899-12-30T06:36:31"/>
    <n v="31.468"/>
    <n v="6.52"/>
    <d v="1899-12-30T04:49:38"/>
    <d v="1899-12-30T03:37:55"/>
    <d v="1899-12-30T00:00:00"/>
    <n v="0"/>
    <n v="0"/>
    <n v="0"/>
    <n v="0"/>
    <n v="0"/>
    <n v="1"/>
    <s v="INICIO CUMPLE / FIN ANTICIPADO"/>
    <s v="Inicio GPS dentro de la tolerancia del horario programado.; Fin GPS anticipado: 01:18:43 antes de las 16:30.; 1 hueco(s) GPS &gt;= 10 min."/>
    <s v="6.229786, -75.602256"/>
    <n v="6.2297859999999998"/>
    <n v="-75.602255999999997"/>
    <s v="6.250664, -75.602300"/>
    <n v="6.2506640000000004"/>
    <n v="-75.6023"/>
    <x v="117"/>
  </r>
  <r>
    <s v="df723bcb444a9b89"/>
    <s v="21_09_2026_HC_Diur.gpx"/>
    <s v="df723bcb444a9b89a96cfe59b0b091589c7ded961c305d4de77c75f601da7f63"/>
    <x v="17"/>
    <x v="0"/>
    <s v="Lunes"/>
    <x v="2"/>
    <s v="HC"/>
    <s v="DIURNO"/>
    <n v="4843"/>
    <s v="21/09/2026 08:20:27"/>
    <s v="08:30"/>
    <d v="1899-12-30T00:09:33"/>
    <s v="INICIO CUMPLE"/>
    <s v="21/09/2026 14:33:13"/>
    <s v="16:30"/>
    <d v="1899-12-30T01:56:47"/>
    <s v="TERMINÓ ANTES"/>
    <d v="1899-12-30T06:12:46"/>
    <n v="62.777000000000001"/>
    <n v="13.85"/>
    <d v="1899-12-30T04:31:56"/>
    <d v="1899-12-30T01:28:01"/>
    <d v="1899-12-30T00:00:00"/>
    <n v="0"/>
    <n v="0"/>
    <n v="0"/>
    <n v="0"/>
    <n v="0"/>
    <n v="0"/>
    <s v="INICIO CUMPLE / FIN ANTICIPADO"/>
    <s v="Inicio GPS dentro de la tolerancia del horario programado.; Fin GPS anticipado: 01:56:47 antes de las 16:30."/>
    <s v="6.225705, -75.599133"/>
    <n v="6.2257049999999996"/>
    <n v="-75.599132999999995"/>
    <s v="6.272694, -75.593395"/>
    <n v="6.2726940000000004"/>
    <n v="-75.593395000000001"/>
    <x v="118"/>
  </r>
  <r>
    <s v="6f27f1f7911931ca"/>
    <s v="21_09_2026_JA_Diur.gpx"/>
    <s v="6f27f1f7911931ca3828937e00b0d9d7e4b7f2e3b4a744bbd82905cb69fa15fb"/>
    <x v="17"/>
    <x v="0"/>
    <s v="Lunes"/>
    <x v="3"/>
    <s v="JA"/>
    <s v="DIURNO"/>
    <n v="3629"/>
    <s v="21/09/2026 08:36:56"/>
    <s v="08:30"/>
    <d v="1899-12-30T00:06:56"/>
    <s v="INICIO CUMPLE"/>
    <s v="21/09/2026 12:04:26"/>
    <s v="16:30"/>
    <d v="1899-12-30T04:25:34"/>
    <s v="TERMINÓ ANTES"/>
    <d v="1899-12-30T03:27:30"/>
    <n v="48.866"/>
    <n v="15.48"/>
    <d v="1899-12-30T03:09:21"/>
    <d v="1899-12-30T01:03:13"/>
    <d v="1899-12-30T00:00:00"/>
    <n v="0"/>
    <n v="0"/>
    <n v="0"/>
    <n v="0"/>
    <n v="0"/>
    <n v="0"/>
    <s v="INICIO CUMPLE / FIN ANTICIPADO"/>
    <s v="Inicio GPS dentro de la tolerancia del horario programado.; Fin GPS anticipado: 04:25:34 antes de las 16:30."/>
    <s v="6.225869, -75.599106"/>
    <n v="6.2258690000000003"/>
    <n v="-75.599106000000006"/>
    <s v="6.239244, -75.561041"/>
    <n v="6.2392440000000002"/>
    <n v="-75.561041000000003"/>
    <x v="119"/>
  </r>
  <r>
    <s v="27e8aa2b9041b83e"/>
    <s v="21_09_2026_JO_Diur.gpx"/>
    <s v="27e8aa2b9041b83e20a191f2772b4630e814d805f38d3a0411d9332a0dae3660"/>
    <x v="17"/>
    <x v="0"/>
    <s v="Lunes"/>
    <x v="4"/>
    <s v="JO"/>
    <s v="DIURNO"/>
    <n v="6889"/>
    <s v="21/09/2026 08:37:28"/>
    <s v="08:30"/>
    <d v="1899-12-30T00:07:29"/>
    <s v="INICIO CUMPLE"/>
    <s v="21/09/2026 16:43:37"/>
    <s v="16:30"/>
    <d v="1899-12-30T00:13:37"/>
    <s v="FIN CUMPLE"/>
    <d v="1899-12-30T08:06:08"/>
    <n v="50.584000000000003"/>
    <n v="20.420000000000002"/>
    <d v="1899-12-30T02:28:36"/>
    <d v="1899-12-30T01:01:57"/>
    <d v="1899-12-30T00:00:00"/>
    <n v="0"/>
    <n v="0"/>
    <n v="0"/>
    <n v="0"/>
    <n v="0"/>
    <n v="13"/>
    <s v="DENTRO DE HORARIO"/>
    <s v="Inicio GPS dentro de la tolerancia del horario programado.; Fin GPS dentro de la tolerancia del horario programado.; 13 hueco(s) GPS &gt;= 10 min."/>
    <s v="6.225603, -75.599496"/>
    <n v="6.2256030000000004"/>
    <n v="-75.599496000000002"/>
    <s v="6.259267, -75.620907"/>
    <n v="6.2592670000000004"/>
    <n v="-75.620907000000003"/>
    <x v="4"/>
  </r>
  <r>
    <s v="dde7444915f2b4e9"/>
    <s v="21_09_2026_JZ_Diur.gpx"/>
    <s v="dde7444915f2b4e92aec2f1f976d41ad31491801b484ddb32cf638a5e3f4489c"/>
    <x v="17"/>
    <x v="0"/>
    <s v="Lunes"/>
    <x v="5"/>
    <s v="JZ"/>
    <s v="DIURNO"/>
    <n v="6424"/>
    <s v="21/09/2026 08:24:13"/>
    <s v="08:30"/>
    <d v="1899-12-30T00:05:47"/>
    <s v="INICIO CUMPLE"/>
    <s v="21/09/2026 16:37:06"/>
    <s v="16:30"/>
    <d v="1899-12-30T00:07:06"/>
    <s v="FIN CUMPLE"/>
    <d v="1899-12-30T08:12:53"/>
    <n v="86.244"/>
    <n v="13.99"/>
    <d v="1899-12-30T06:09:52"/>
    <d v="1899-12-30T02:25:28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  <s v="6.226645, -75.599253"/>
    <n v="6.2266450000000004"/>
    <n v="-75.599253000000004"/>
    <s v="6.279198, -75.569200"/>
    <n v="6.2791980000000001"/>
    <n v="-75.569199999999995"/>
    <x v="4"/>
  </r>
  <r>
    <s v="b634bea971084078"/>
    <s v="21_09_2026_SJ_Diur.gpx"/>
    <s v="b634bea971084078b58e036e265cc4e8a09286138fc0ba3da01e624fcd462fef"/>
    <x v="17"/>
    <x v="0"/>
    <s v="Lunes"/>
    <x v="6"/>
    <s v="SJ"/>
    <s v="DIURNO"/>
    <n v="3387"/>
    <s v="21/09/2026 08:26:09"/>
    <s v="08:30"/>
    <d v="1899-12-30T00:03:51"/>
    <s v="INICIO CUMPLE"/>
    <s v="21/09/2026 16:07:56"/>
    <s v="16:30"/>
    <d v="1899-12-30T00:22:04"/>
    <s v="TERMINÓ ANTES"/>
    <d v="1899-12-30T07:41:47"/>
    <n v="44.941000000000003"/>
    <n v="10.050000000000001"/>
    <d v="1899-12-30T04:28:17"/>
    <d v="1899-12-30T02:36:41"/>
    <d v="1899-12-30T00:00:00"/>
    <n v="0"/>
    <n v="0"/>
    <n v="0"/>
    <n v="0"/>
    <n v="0"/>
    <n v="1"/>
    <s v="INICIO CUMPLE / FIN ANTICIPADO"/>
    <s v="Inicio GPS dentro de la tolerancia del horario programado.; Fin GPS anticipado: 00:22:04 antes de las 16:30.; 1 hueco(s) GPS &gt;= 10 min."/>
    <s v="6.225533, -75.599530"/>
    <n v="6.2255330000000004"/>
    <n v="-75.599530000000001"/>
    <s v="6.305275, -75.581861"/>
    <n v="6.305275"/>
    <n v="-75.581861000000004"/>
    <x v="120"/>
  </r>
  <r>
    <s v="04d5b448cbe1d3e9"/>
    <s v="21_09_2026_YL_Diur.gpx"/>
    <s v="04d5b448cbe1d3e9f8fbfd0ec274e7c976ba2c0c9862da1199250c1f56a6b3e4"/>
    <x v="17"/>
    <x v="0"/>
    <s v="Lunes"/>
    <x v="7"/>
    <s v="YL"/>
    <s v="DIURNO"/>
    <n v="2857"/>
    <s v="21/09/2026 08:53:20"/>
    <s v="08:30"/>
    <d v="1899-12-30T00:23:20"/>
    <s v="INICIO TARDÍO"/>
    <s v="21/09/2026 16:34:39"/>
    <s v="16:30"/>
    <d v="1899-12-30T00:04:39"/>
    <s v="FIN CUMPLE"/>
    <d v="1899-12-30T07:41:19"/>
    <n v="39.404000000000003"/>
    <n v="7.43"/>
    <d v="1899-12-30T05:18:08"/>
    <d v="1899-12-30T04:04:08"/>
    <d v="1899-12-30T00:00:00"/>
    <n v="0"/>
    <n v="0"/>
    <n v="0"/>
    <n v="0"/>
    <n v="0"/>
    <n v="2"/>
    <s v="INICIO TARDÍO / FIN CUMPLE"/>
    <s v="Inicio GPS tardío: 00:23:20 después de las 08:30.; Fin GPS dentro de la tolerancia del horario programado.; 2 hueco(s) GPS &gt;= 10 min."/>
    <s v="6.225541, -75.599001"/>
    <n v="6.2255409999999998"/>
    <n v="-75.599001000000001"/>
    <s v="6.258346, -75.615844"/>
    <n v="6.2583460000000004"/>
    <n v="-75.615843999999996"/>
    <x v="121"/>
  </r>
  <r>
    <s v="4884f203cb19cd6f"/>
    <s v="21_09_2026_DV_Noct.gpx"/>
    <s v="4884f203cb19cd6f079a749132d411d17323f85c044649c665815bb14f94daf2"/>
    <x v="17"/>
    <x v="0"/>
    <s v="Lunes"/>
    <x v="9"/>
    <s v="DV"/>
    <s v="NOCTURNO"/>
    <n v="6533"/>
    <s v="21/09/2026 16:49:40"/>
    <s v="18:00"/>
    <d v="1899-12-30T01:10:20"/>
    <s v="INICIO ANTES DEL HORARIO"/>
    <s v="22/09/2026 00:19:36"/>
    <s v="00:00"/>
    <d v="1899-12-30T00:19:36"/>
    <s v="TERMINÓ DESPUÉS"/>
    <d v="1899-12-30T07:29:56"/>
    <n v="88.581999999999994"/>
    <n v="16.45"/>
    <d v="1899-12-30T05:23:08"/>
    <d v="1899-12-30T01:21:13"/>
    <d v="1899-12-30T00:00:00"/>
    <n v="0"/>
    <n v="0"/>
    <n v="0"/>
    <n v="0"/>
    <n v="0"/>
    <n v="0"/>
    <s v="FIN POSTERIOR"/>
    <s v="Inicio GPS anterior al horario: 01:10:20 antes de las 18:00.; Fin GPS posterior: 00:19:36 después de las 00:00."/>
    <s v="6.230358, -75.596036"/>
    <n v="6.2303579999999998"/>
    <n v="-75.596035999999998"/>
    <s v="6.272685, -75.601995"/>
    <n v="6.2726850000000001"/>
    <n v="-75.601995000000002"/>
    <x v="4"/>
  </r>
  <r>
    <s v="9e22990e3b4a2ca1"/>
    <s v="21_09_2026_JHP_Noct.gpx"/>
    <s v="9e22990e3b4a2ca1d3a52ec4fc41e1d02c472c3565f3e888499da61f9f20fd26"/>
    <x v="17"/>
    <x v="0"/>
    <s v="Lunes"/>
    <x v="11"/>
    <s v="JHP"/>
    <s v="NOCTURNO"/>
    <n v="6535"/>
    <s v="21/09/2026 17:13:19"/>
    <s v="18:00"/>
    <d v="1899-12-30T00:46:41"/>
    <s v="INICIO ANTES DEL HORARIO"/>
    <s v="21/09/2026 23:53:16"/>
    <s v="00:00"/>
    <d v="1899-12-30T00:06:44"/>
    <s v="FIN CUMPLE"/>
    <d v="1899-12-30T06:39:57"/>
    <n v="86.786000000000001"/>
    <n v="17.77"/>
    <d v="1899-12-30T04:53:04"/>
    <d v="1899-12-30T01:16:32"/>
    <d v="1899-12-30T00:00:00"/>
    <n v="0"/>
    <n v="0"/>
    <n v="0"/>
    <n v="0"/>
    <n v="0"/>
    <n v="0"/>
    <s v="REVISAR"/>
    <s v="Inicio GPS anterior al horario: 00:46:41 antes de las 18:00.; Fin GPS dentro de la tolerancia del horario programado."/>
    <s v="6.226799, -75.599269"/>
    <n v="6.2267989999999998"/>
    <n v="-75.599269000000007"/>
    <s v="6.290376, -75.546627"/>
    <n v="6.2903760000000002"/>
    <n v="-75.546627000000001"/>
    <x v="4"/>
  </r>
  <r>
    <s v="835e20c04a53828a"/>
    <s v="21_09_2026_JP_Noct.gpx"/>
    <s v="835e20c04a53828ac368be1f9fdba8cf009f6fbc15008e849ce99879df0dfc8c"/>
    <x v="17"/>
    <x v="0"/>
    <s v="Lunes"/>
    <x v="12"/>
    <s v="JP"/>
    <s v="NOCTURNO"/>
    <n v="2501"/>
    <s v="21/09/2026 17:18:13"/>
    <s v="18:00"/>
    <d v="1899-12-30T00:41:47"/>
    <s v="INICIO ANTES DEL HORARIO"/>
    <s v="21/09/2026 21:40:42"/>
    <s v="00:00"/>
    <d v="1899-12-30T02:19:18"/>
    <s v="TERMINÓ ANTES"/>
    <d v="1899-12-30T04:22:29"/>
    <n v="34.625999999999998"/>
    <n v="9.35"/>
    <d v="1899-12-30T03:42:09"/>
    <d v="1899-12-30T02:31:36"/>
    <d v="1899-12-30T00:00:00"/>
    <n v="0"/>
    <n v="0"/>
    <n v="0"/>
    <n v="0"/>
    <n v="0"/>
    <n v="1"/>
    <s v="REVISAR"/>
    <s v="Inicio GPS anterior al horario: 00:41:47 antes de las 18:00.; Fin GPS anticipado: 02:19:18 antes de las 00:00.; 1 hueco(s) GPS &gt;= 10 min."/>
    <s v="6.227053, -75.599640"/>
    <n v="6.2270529999999997"/>
    <n v="-75.599639999999994"/>
    <s v="6.251827, -75.551843"/>
    <n v="6.2518269999999996"/>
    <n v="-75.551843000000005"/>
    <x v="122"/>
  </r>
  <r>
    <s v="b907b156e6a5331b"/>
    <s v="21_09_2026_LA_Noct.gpx"/>
    <s v="b907b156e6a5331be632ae339c782b82f2745169ca62414b285562508b1a292d"/>
    <x v="17"/>
    <x v="0"/>
    <s v="Lunes"/>
    <x v="13"/>
    <s v="LA"/>
    <s v="NOCTURNO"/>
    <n v="7696"/>
    <s v="21/09/2026 17:05:19"/>
    <s v="18:00"/>
    <d v="1899-12-30T00:54:41"/>
    <s v="INICIO ANTES DEL HORARIO"/>
    <s v="21/09/2026 23:58:09"/>
    <s v="00:00"/>
    <d v="1899-12-30T00:01:51"/>
    <s v="FIN CUMPLE"/>
    <d v="1899-12-30T06:52:50"/>
    <n v="44.908000000000001"/>
    <n v="9.27"/>
    <d v="1899-12-30T04:50:43"/>
    <d v="1899-12-30T03:50:16"/>
    <d v="1899-12-30T00:00:00"/>
    <n v="0"/>
    <n v="0"/>
    <n v="0"/>
    <n v="0"/>
    <n v="0"/>
    <n v="2"/>
    <s v="REVISAR"/>
    <s v="Inicio GPS anterior al horario: 00:54:41 antes de las 18:00.; Fin GPS dentro de la tolerancia del horario programado.; 2 hueco(s) GPS &gt;= 10 min."/>
    <s v="6.226718, -75.599287"/>
    <n v="6.226718"/>
    <n v="-75.599287000000004"/>
    <s v="6.261535, -75.592328"/>
    <n v="6.2615350000000003"/>
    <n v="-75.592327999999995"/>
    <x v="4"/>
  </r>
  <r>
    <s v="74495a6fa19689de"/>
    <s v="21_09_2026_IQ_Noct.gpx"/>
    <s v="74495a6fa19689dec156654a51031c211e6db1b376f23ddef8a0e02cd742a84e"/>
    <x v="17"/>
    <x v="0"/>
    <s v="Lunes"/>
    <x v="10"/>
    <s v="IQ"/>
    <s v="NOCTURNO"/>
    <n v="1903"/>
    <s v="21/09/2026 16:52:55"/>
    <s v="18:00"/>
    <d v="1899-12-30T01:07:05"/>
    <s v="INICIO ANTES DEL HORARIO"/>
    <s v="21/09/2026 23:52:10"/>
    <s v="00:00"/>
    <d v="1899-12-30T00:07:50"/>
    <s v="FIN CUMPLE"/>
    <d v="1899-12-30T06:59:15"/>
    <n v="37.201000000000001"/>
    <n v="11.62"/>
    <d v="1899-12-30T03:12:06"/>
    <d v="1899-12-30T02:23:01"/>
    <d v="1899-12-30T00:00:00"/>
    <n v="0"/>
    <n v="0"/>
    <n v="0"/>
    <n v="0"/>
    <n v="0"/>
    <n v="4"/>
    <s v="REVISAR"/>
    <s v="Inicio GPS anterior al horario: 01:07:05 antes de las 18:00.; Fin GPS dentro de la tolerancia del horario programado.; 4 hueco(s) GPS &gt;= 10 min."/>
    <s v="6.264430, -75.570660"/>
    <n v="6.2644299999999999"/>
    <n v="-75.570660000000004"/>
    <s v="6.307972, -75.566957"/>
    <n v="6.3079720000000004"/>
    <n v="-75.566957000000002"/>
    <x v="4"/>
  </r>
  <r>
    <s v="2a5d12d522d0ec56"/>
    <s v="22_09_2026_AO_Diur.gpx"/>
    <s v="2a5d12d522d0ec56261ab7d8d6b1630a43e635bab73594f1404ba06b34c31210"/>
    <x v="18"/>
    <x v="0"/>
    <s v="Martes"/>
    <x v="0"/>
    <s v="AO"/>
    <s v="DIURNO"/>
    <n v="7151"/>
    <s v="22/09/2026 08:59:19"/>
    <s v="08:30"/>
    <d v="1899-12-30T00:29:20"/>
    <s v="INICIO TARDÍO"/>
    <s v="22/09/2026 15:52:59"/>
    <s v="16:30"/>
    <d v="1899-12-30T00:37:01"/>
    <s v="TERMINÓ ANTES"/>
    <d v="1899-12-30T06:53:39"/>
    <n v="52.847999999999999"/>
    <n v="16.52"/>
    <d v="1899-12-30T03:11:53"/>
    <d v="1899-12-30T01:42:11"/>
    <d v="1899-12-30T00:00:00"/>
    <n v="0"/>
    <n v="0"/>
    <n v="0"/>
    <n v="0"/>
    <n v="0"/>
    <n v="4"/>
    <s v="INICIO TARDÍO / FIN ANTICIPADO"/>
    <s v="Inicio GPS tardío: 00:29:20 después de las 08:30.; Fin GPS anticipado: 00:37:01 antes de las 16:30.; 4 hueco(s) GPS &gt;= 10 min."/>
    <s v="6.202817, -75.600998"/>
    <n v="6.2028169999999996"/>
    <n v="-75.600998000000004"/>
    <s v="6.221707, -75.593844"/>
    <n v="6.2217070000000003"/>
    <n v="-75.593844000000004"/>
    <x v="123"/>
  </r>
  <r>
    <s v="7dc74d5317f3bd9f"/>
    <s v="22_09_2026_AR_Diur.gpx"/>
    <s v="7dc74d5317f3bd9fe1c3149f518fceb8b65009e52b7a0f0f33c11d75a47426b8"/>
    <x v="18"/>
    <x v="0"/>
    <s v="Martes"/>
    <x v="1"/>
    <s v="AR"/>
    <s v="DIURNO"/>
    <n v="3653"/>
    <s v="22/09/2026 08:02:58"/>
    <s v="08:30"/>
    <d v="1899-12-30T00:27:02"/>
    <s v="INICIO ANTES DEL HORARIO"/>
    <s v="22/09/2026 16:27:39"/>
    <s v="16:30"/>
    <d v="1899-12-30T00:02:21"/>
    <s v="FIN CUMPLE"/>
    <d v="1899-12-30T08:24:41"/>
    <n v="47.334000000000003"/>
    <n v="8.1300000000000008"/>
    <d v="1899-12-30T05:49:24"/>
    <d v="1899-12-30T04:04:32"/>
    <d v="1899-12-30T00:00:00"/>
    <n v="0"/>
    <n v="0"/>
    <n v="0"/>
    <n v="0"/>
    <n v="0"/>
    <n v="2"/>
    <s v="REVISAR"/>
    <s v="Inicio GPS anterior al horario: 00:27:02 antes de las 08:30.; Fin GPS dentro de la tolerancia del horario programado.; 2 hueco(s) GPS &gt;= 10 min."/>
    <s v="6.225834, -75.599425"/>
    <n v="6.2258339999999999"/>
    <n v="-75.599424999999997"/>
    <s v="6.243712, -75.598613"/>
    <n v="6.2437120000000004"/>
    <n v="-75.598613"/>
    <x v="4"/>
  </r>
  <r>
    <s v="70230eb672e9cc1f"/>
    <s v="22_09_2026_DR_Diur.gpx"/>
    <s v="70230eb672e9cc1f3460be4ad96f5705a18da9ce7ecdad2e58586d5e223e77af"/>
    <x v="18"/>
    <x v="0"/>
    <s v="Martes"/>
    <x v="8"/>
    <s v="DR"/>
    <s v="DIURNO"/>
    <n v="1798"/>
    <s v="22/09/2026 08:32:25"/>
    <s v="08:30"/>
    <d v="1899-12-30T00:02:25"/>
    <s v="INICIO CUMPLE"/>
    <s v="22/09/2026 16:42:18"/>
    <s v="16:30"/>
    <d v="1899-12-30T00:12:18"/>
    <s v="FIN CUMPLE"/>
    <d v="1899-12-30T08:09:53"/>
    <n v="23.113"/>
    <n v="3.66"/>
    <d v="1899-12-30T06:18:58"/>
    <d v="1899-12-30T05:17:27"/>
    <d v="1899-12-30T00:00:00"/>
    <n v="0"/>
    <n v="0"/>
    <n v="0"/>
    <n v="0"/>
    <n v="0"/>
    <n v="2"/>
    <s v="DENTRO DE HORARIO"/>
    <s v="Inicio GPS dentro de la tolerancia del horario programado.; Fin GPS dentro de la tolerancia del horario programado.; 2 hueco(s) GPS &gt;= 10 min."/>
    <s v="6.235689, -75.602202"/>
    <n v="6.2356889999999998"/>
    <n v="-75.602202000000005"/>
    <s v="6.256139, -75.598315"/>
    <n v="6.2561390000000001"/>
    <n v="-75.598314999999999"/>
    <x v="4"/>
  </r>
  <r>
    <s v="98c040a5bcec5b7b"/>
    <s v="22_09_2026_HC_Diur.gpx"/>
    <s v="98c040a5bcec5b7bf78e262a0f96c39560ec3f7438dae6d9eda28651eefdd49d"/>
    <x v="18"/>
    <x v="0"/>
    <s v="Martes"/>
    <x v="2"/>
    <s v="HC"/>
    <s v="DIURNO"/>
    <n v="3615"/>
    <s v="22/09/2026 08:22:01"/>
    <s v="08:30"/>
    <d v="1899-12-30T00:07:59"/>
    <s v="INICIO CUMPLE"/>
    <s v="22/09/2026 14:08:55"/>
    <s v="16:30"/>
    <d v="1899-12-30T02:21:05"/>
    <s v="TERMINÓ ANTES"/>
    <d v="1899-12-30T05:46:54"/>
    <n v="46.113"/>
    <n v="12.03"/>
    <d v="1899-12-30T03:49:56"/>
    <d v="1899-12-30T01:35:42"/>
    <d v="1899-12-30T00:00:00"/>
    <n v="0"/>
    <n v="0"/>
    <n v="0"/>
    <n v="0"/>
    <n v="0"/>
    <n v="1"/>
    <s v="INICIO CUMPLE / FIN ANTICIPADO"/>
    <s v="Inicio GPS dentro de la tolerancia del horario programado.; Fin GPS anticipado: 02:21:05 antes de las 16:30.; 1 hueco(s) GPS &gt;= 10 min."/>
    <s v="6.225723, -75.599263"/>
    <n v="6.2257230000000003"/>
    <n v="-75.599262999999993"/>
    <s v="6.259351, -75.597240"/>
    <n v="6.2593509999999997"/>
    <n v="-75.597239999999999"/>
    <x v="124"/>
  </r>
  <r>
    <s v="244c815a07a75689"/>
    <s v="22_09_2026_JA_Diur.gpx"/>
    <s v="244c815a07a75689811bc095a5e4a5678d913ccb5415086f04a495333900a1b9"/>
    <x v="18"/>
    <x v="0"/>
    <s v="Martes"/>
    <x v="3"/>
    <s v="JA"/>
    <s v="DIURNO"/>
    <n v="3597"/>
    <s v="22/09/2026 08:33:40"/>
    <s v="08:30"/>
    <d v="1899-12-30T00:03:40"/>
    <s v="INICIO CUMPLE"/>
    <s v="22/09/2026 13:22:19"/>
    <s v="16:30"/>
    <d v="1899-12-30T03:07:41"/>
    <s v="TERMINÓ ANTES"/>
    <d v="1899-12-30T04:48:39"/>
    <n v="49.512"/>
    <n v="13.5"/>
    <d v="1899-12-30T03:40:05"/>
    <d v="1899-12-30T02:06:12"/>
    <d v="1899-12-30T00:00:00"/>
    <n v="0"/>
    <n v="0"/>
    <n v="0"/>
    <n v="0"/>
    <n v="0"/>
    <n v="0"/>
    <s v="INICIO CUMPLE / FIN ANTICIPADO"/>
    <s v="Inicio GPS dentro de la tolerancia del horario programado.; Fin GPS anticipado: 03:07:41 antes de las 16:30."/>
    <s v="6.225658, -75.599198"/>
    <n v="6.2256580000000001"/>
    <n v="-75.599198000000001"/>
    <s v="6.236572, -75.558755"/>
    <n v="6.2365719999999998"/>
    <n v="-75.558755000000005"/>
    <x v="125"/>
  </r>
  <r>
    <s v="6c10f9a23867b808"/>
    <s v="22_09_2026_JO_Diur.gpx"/>
    <s v="6c10f9a23867b80804f0e0d3026cbd2377a4e84295aabb81f604aef45752b27f"/>
    <x v="18"/>
    <x v="0"/>
    <s v="Martes"/>
    <x v="4"/>
    <s v="JO"/>
    <s v="DIURNO"/>
    <n v="6586"/>
    <s v="22/09/2026 08:20:47"/>
    <s v="08:30"/>
    <d v="1899-12-30T00:09:12"/>
    <s v="INICIO CUMPLE"/>
    <s v="22/09/2026 16:34:54"/>
    <s v="16:30"/>
    <d v="1899-12-30T00:04:55"/>
    <s v="FIN CUMPLE"/>
    <d v="1899-12-30T08:14:07"/>
    <n v="44.564"/>
    <n v="18.09"/>
    <d v="1899-12-30T02:27:49"/>
    <d v="1899-12-30T01:09:10"/>
    <d v="1899-12-30T00:00:00"/>
    <n v="0"/>
    <n v="0"/>
    <n v="0"/>
    <n v="0"/>
    <n v="0"/>
    <n v="14"/>
    <s v="DENTRO DE HORARIO"/>
    <s v="Inicio GPS dentro de la tolerancia del horario programado.; Fin GPS dentro de la tolerancia del horario programado.; 14 hueco(s) GPS &gt;= 10 min."/>
    <s v="6.225457, -75.599381"/>
    <n v="6.2254569999999996"/>
    <n v="-75.599380999999994"/>
    <s v="6.259262, -75.620933"/>
    <n v="6.2592619999999997"/>
    <n v="-75.620932999999994"/>
    <x v="4"/>
  </r>
  <r>
    <s v="f27b71b164cba290"/>
    <s v="22_09_2026_JZ_Diur.gpx"/>
    <s v="f27b71b164cba290e70f9cddfe830ad09af83e603900c2951d4a153691fc0b60"/>
    <x v="18"/>
    <x v="0"/>
    <s v="Martes"/>
    <x v="5"/>
    <s v="JZ"/>
    <s v="DIURNO"/>
    <n v="4949"/>
    <s v="22/09/2026 08:30:53"/>
    <s v="08:30"/>
    <d v="1899-12-30T00:00:53"/>
    <s v="INICIO CUMPLE"/>
    <s v="22/09/2026 16:32:51"/>
    <s v="16:30"/>
    <d v="1899-12-30T00:02:51"/>
    <s v="FIN CUMPLE"/>
    <d v="1899-12-30T08:01:58"/>
    <n v="69.007999999999996"/>
    <n v="11.6"/>
    <d v="1899-12-30T05:56:56"/>
    <d v="1899-12-30T02:54:32"/>
    <d v="1899-12-30T00:00:00"/>
    <n v="0"/>
    <n v="0"/>
    <n v="0"/>
    <n v="0"/>
    <n v="0"/>
    <n v="1"/>
    <s v="DENTRO DE HORARIO"/>
    <s v="Inicio GPS dentro de la tolerancia del horario programado.; Fin GPS dentro de la tolerancia del horario programado.; 1 hueco(s) GPS &gt;= 10 min."/>
    <s v="6.226507, -75.599345"/>
    <n v="6.2265069999999998"/>
    <n v="-75.599345"/>
    <s v="6.279424, -75.569649"/>
    <n v="6.2794239999999997"/>
    <n v="-75.569648999999998"/>
    <x v="4"/>
  </r>
  <r>
    <s v="0b975ab9cf7f549f"/>
    <s v="22_09_2026_SJ_Diur.gpx"/>
    <s v="0b975ab9cf7f549facbafc790c2cc7d87714627553ac9528f465dd26e9525b18"/>
    <x v="18"/>
    <x v="0"/>
    <s v="Martes"/>
    <x v="6"/>
    <s v="SJ"/>
    <s v="DIURNO"/>
    <n v="2061"/>
    <s v="22/09/2026 08:22:52"/>
    <s v="08:30"/>
    <d v="1899-12-30T00:07:08"/>
    <s v="INICIO CUMPLE"/>
    <s v="22/09/2026 16:24:55"/>
    <s v="16:30"/>
    <d v="1899-12-30T00:05:05"/>
    <s v="FIN CUMPLE"/>
    <d v="1899-12-30T08:02:03"/>
    <n v="26.77"/>
    <n v="6.61"/>
    <d v="1899-12-30T04:03:03"/>
    <d v="1899-12-30T02:56:44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  <s v="6.225703, -75.599447"/>
    <n v="6.2257030000000002"/>
    <n v="-75.599446999999998"/>
    <s v="6.308651, -75.580760"/>
    <n v="6.3086510000000002"/>
    <n v="-75.580759999999998"/>
    <x v="4"/>
  </r>
  <r>
    <s v="08614fea07320d08"/>
    <s v="22_09_2026_YL_Diur.gpx"/>
    <s v="08614fea07320d08084c2296fd70d2e13d8b0c1f17fdd4872e33583594595dbf"/>
    <x v="18"/>
    <x v="0"/>
    <s v="Martes"/>
    <x v="7"/>
    <s v="YL"/>
    <s v="DIURNO"/>
    <n v="3254"/>
    <s v="22/09/2026 08:32:21"/>
    <s v="08:30"/>
    <d v="1899-12-30T00:02:21"/>
    <s v="INICIO CUMPLE"/>
    <s v="22/09/2026 16:33:25"/>
    <s v="16:30"/>
    <d v="1899-12-30T00:03:25"/>
    <s v="FIN CUMPLE"/>
    <d v="1899-12-30T08:01:04"/>
    <n v="43.088000000000001"/>
    <n v="11.09"/>
    <d v="1899-12-30T03:53:01"/>
    <d v="1899-12-30T02:12:50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  <s v="6.225757, -75.599180"/>
    <n v="6.2257569999999998"/>
    <n v="-75.599180000000004"/>
    <s v="6.258719, -75.616753"/>
    <n v="6.2587190000000001"/>
    <n v="-75.616753000000003"/>
    <x v="4"/>
  </r>
  <r>
    <s v="22e3cf1e69577752"/>
    <s v="22_09_2026_IQ_Noct.gpx"/>
    <s v="22e3cf1e6957775221afa64285023da562984dae936caa954ee47dc6fc339b1e"/>
    <x v="18"/>
    <x v="0"/>
    <s v="Martes"/>
    <x v="10"/>
    <s v="IQ"/>
    <s v="NOCTURNO"/>
    <n v="3626"/>
    <s v="22/09/2026 16:26:00"/>
    <s v="18:00"/>
    <d v="1899-12-30T01:34:00"/>
    <s v="INICIO ANTES DEL HORARIO"/>
    <s v="22/09/2026 23:44:29"/>
    <s v="00:00"/>
    <d v="1899-12-30T00:15:31"/>
    <s v="TERMINÓ ANTES"/>
    <d v="1899-12-30T07:18:29"/>
    <n v="51.329000000000001"/>
    <n v="13.16"/>
    <d v="1899-12-30T03:54:00"/>
    <d v="1899-12-30T02:12:53"/>
    <d v="1899-12-30T00:00:00"/>
    <n v="0"/>
    <n v="0"/>
    <n v="0"/>
    <n v="0"/>
    <n v="0"/>
    <n v="3"/>
    <s v="REVISAR"/>
    <s v="Inicio GPS anterior al horario: 01:34:00 antes de las 18:00.; Fin GPS anticipado: 00:15:31 antes de las 00:00.; 3 hueco(s) GPS &gt;= 10 min."/>
    <s v="6.225582, -75.599125"/>
    <n v="6.2255820000000002"/>
    <n v="-75.599125000000001"/>
    <s v="6.243778, -75.556727"/>
    <n v="6.2437779999999998"/>
    <n v="-75.556726999999995"/>
    <x v="126"/>
  </r>
  <r>
    <s v="030c093ed850598e"/>
    <s v="22_09_2026_JHP_Noct.gpx"/>
    <s v="030c093ed850598ec0b41fe7b3c85401960f95f2dbbed6b59963263368016517"/>
    <x v="18"/>
    <x v="0"/>
    <s v="Martes"/>
    <x v="11"/>
    <s v="JHP"/>
    <s v="NOCTURNO"/>
    <n v="6526"/>
    <s v="22/09/2026 17:21:13"/>
    <s v="18:00"/>
    <d v="1899-12-30T00:38:47"/>
    <s v="INICIO ANTES DEL HORARIO"/>
    <s v="23/09/2026 00:01:55"/>
    <s v="00:00"/>
    <d v="1899-12-30T00:01:55"/>
    <s v="FIN CUMPLE"/>
    <d v="1899-12-30T06:40:42"/>
    <n v="90.361999999999995"/>
    <n v="16.829999999999998"/>
    <d v="1899-12-30T05:22:03"/>
    <d v="1899-12-30T01:57:39"/>
    <d v="1899-12-30T00:00:00"/>
    <n v="0"/>
    <n v="0"/>
    <n v="0"/>
    <n v="0"/>
    <n v="0"/>
    <n v="0"/>
    <s v="REVISAR"/>
    <s v="Inicio GPS anterior al horario: 00:38:47 antes de las 18:00.; Fin GPS dentro de la tolerancia del horario programado."/>
    <s v="6.226689, -75.599312"/>
    <n v="6.2266890000000004"/>
    <n v="-75.599311999999998"/>
    <s v="6.290541, -75.546397"/>
    <n v="6.2905410000000002"/>
    <n v="-75.546396999999999"/>
    <x v="4"/>
  </r>
  <r>
    <s v="6c6a01bf19af2e78"/>
    <s v="22_09_2026_JP_Noct.gpx"/>
    <s v="6c6a01bf19af2e78e9bcfc6cc317e47b2a3f8fca1ba9f4a003178fda7d114836"/>
    <x v="18"/>
    <x v="0"/>
    <s v="Martes"/>
    <x v="12"/>
    <s v="JP"/>
    <s v="NOCTURNO"/>
    <n v="2470"/>
    <s v="22/09/2026 17:43:40"/>
    <s v="18:00"/>
    <d v="1899-12-30T00:16:20"/>
    <s v="INICIO ANTES DEL HORARIO"/>
    <s v="22/09/2026 22:07:06"/>
    <s v="00:00"/>
    <d v="1899-12-30T01:52:54"/>
    <s v="TERMINÓ ANTES"/>
    <d v="1899-12-30T04:23:26"/>
    <n v="32.774000000000001"/>
    <n v="10.53"/>
    <d v="1899-12-30T03:06:47"/>
    <d v="1899-12-30T02:00:52"/>
    <d v="1899-12-30T00:00:00"/>
    <n v="0"/>
    <n v="0"/>
    <n v="0"/>
    <n v="0"/>
    <n v="0"/>
    <n v="0"/>
    <s v="REVISAR"/>
    <s v="Inicio GPS anterior al horario: 00:16:20 antes de las 18:00.; Fin GPS anticipado: 01:52:54 antes de las 00:00."/>
    <s v="6.226945, -75.599697"/>
    <n v="6.2269449999999997"/>
    <n v="-75.599697000000006"/>
    <s v="6.251832, -75.551803"/>
    <n v="6.2518320000000003"/>
    <n v="-75.551803000000007"/>
    <x v="127"/>
  </r>
  <r>
    <s v="43299031c0ccff50"/>
    <s v="22_09_2026_DV_Noct.gpx"/>
    <s v="43299031c0ccff50294b6f975c848301f36803586ffe271406e537e2a79cdfa0"/>
    <x v="18"/>
    <x v="0"/>
    <s v="Martes"/>
    <x v="9"/>
    <s v="DV"/>
    <s v="NOCTURNO"/>
    <n v="4471"/>
    <s v="22/09/2026 16:55:24"/>
    <s v="18:00"/>
    <d v="1899-12-30T01:04:36"/>
    <s v="INICIO ANTES DEL HORARIO"/>
    <s v="23/09/2026 00:21:54"/>
    <s v="00:00"/>
    <d v="1899-12-30T00:21:54"/>
    <s v="TERMINÓ DESPUÉS"/>
    <d v="1899-12-30T07:26:30"/>
    <n v="56.018999999999998"/>
    <n v="11.32"/>
    <d v="1899-12-30T04:56:53"/>
    <d v="1899-12-30T01:23:27"/>
    <d v="1899-12-30T00:00:00"/>
    <n v="0"/>
    <n v="0"/>
    <n v="0"/>
    <n v="0"/>
    <n v="0"/>
    <n v="0"/>
    <s v="FIN POSTERIOR"/>
    <s v="Inicio GPS anterior al horario: 01:04:36 antes de las 18:00.; Fin GPS posterior: 00:21:54 después de las 00:00."/>
    <s v="6.263043, -75.595582"/>
    <n v="6.2630429999999997"/>
    <n v="-75.595581999999993"/>
    <s v="6.272825, -75.602050"/>
    <n v="6.2728250000000001"/>
    <n v="-75.602050000000006"/>
    <x v="4"/>
  </r>
  <r>
    <s v="e2ed9061be63926a"/>
    <s v="22_09_2026_LA_Noct.gpx"/>
    <s v="e2ed9061be63926a391cd48dc7c044e90a74ac21cbda166b2d4e8ac09b45c814"/>
    <x v="18"/>
    <x v="0"/>
    <s v="Martes"/>
    <x v="13"/>
    <s v="LA"/>
    <s v="NOCTURNO"/>
    <n v="7824"/>
    <s v="22/09/2026 17:01:15"/>
    <s v="18:00"/>
    <d v="1899-12-30T00:58:45"/>
    <s v="INICIO ANTES DEL HORARIO"/>
    <s v="22/09/2026 23:57:14"/>
    <s v="00:00"/>
    <d v="1899-12-30T00:02:46"/>
    <s v="FIN CUMPLE"/>
    <d v="1899-12-30T06:55:59"/>
    <n v="50.188000000000002"/>
    <n v="12.01"/>
    <d v="1899-12-30T04:10:43"/>
    <d v="1899-12-30T02:47:56"/>
    <d v="1899-12-30T00:00:00"/>
    <n v="0"/>
    <n v="0"/>
    <n v="0"/>
    <n v="0"/>
    <n v="0"/>
    <n v="3"/>
    <s v="REVISAR"/>
    <s v="Inicio GPS anterior al horario: 00:58:45 antes de las 18:00.; Fin GPS dentro de la tolerancia del horario programado.; 3 hueco(s) GPS &gt;= 10 min."/>
    <s v="6.226620, -75.598615"/>
    <n v="6.2266199999999996"/>
    <n v="-75.598614999999995"/>
    <s v="6.252440, -75.582687"/>
    <n v="6.25244"/>
    <n v="-75.582687000000007"/>
    <x v="4"/>
  </r>
  <r>
    <s v="27bf9ccc57f408d3"/>
    <s v="23_09_2026_AO_Diur.gpx"/>
    <s v="27bf9ccc57f408d3a1e58989de7178cb85dd167049fa727b70aa3a0879a845cb"/>
    <x v="19"/>
    <x v="0"/>
    <s v="Miércoles"/>
    <x v="0"/>
    <s v="AO"/>
    <s v="DIURNO"/>
    <n v="5959"/>
    <s v="23/09/2026 09:17:02"/>
    <s v="08:30"/>
    <d v="1899-12-30T00:47:03"/>
    <s v="INICIO TARDÍO"/>
    <s v="23/09/2026 17:09:42"/>
    <s v="16:30"/>
    <d v="1899-12-30T00:39:43"/>
    <s v="TERMINÓ DESPUÉS"/>
    <d v="1899-12-30T07:52:40"/>
    <n v="33.295999999999999"/>
    <n v="9.5399999999999991"/>
    <d v="1899-12-30T03:29:22"/>
    <d v="1899-12-30T02:39:13"/>
    <d v="1899-12-30T00:00:00"/>
    <n v="0"/>
    <n v="0"/>
    <n v="0"/>
    <n v="0"/>
    <n v="0"/>
    <n v="4"/>
    <s v="FIN POSTERIOR"/>
    <s v="Inicio GPS tardío: 00:47:03 después de las 08:30.; Fin GPS posterior: 00:39:43 después de las 16:30.; 4 hueco(s) GPS &gt;= 10 min."/>
    <s v="6.203335, -75.600755"/>
    <n v="6.203335"/>
    <n v="-75.600755000000007"/>
    <s v="6.233316, -75.603455"/>
    <n v="6.2333160000000003"/>
    <n v="-75.603454999999997"/>
    <x v="128"/>
  </r>
  <r>
    <s v="7a91edd00a841142"/>
    <s v="23_09_2026_AR_Diur.gpx"/>
    <s v="7a91edd00a8411422c22e48ab6aa40db972723a3e6f81e1d911b47c901f33c40"/>
    <x v="19"/>
    <x v="0"/>
    <s v="Miércoles"/>
    <x v="1"/>
    <s v="AR"/>
    <s v="DIURNO"/>
    <n v="1868"/>
    <s v="23/09/2026 08:16:16"/>
    <s v="08:30"/>
    <d v="1899-12-30T00:13:44"/>
    <s v="INICIO CUMPLE"/>
    <s v="23/09/2026 16:11:11"/>
    <s v="16:30"/>
    <d v="1899-12-30T00:18:49"/>
    <s v="TERMINÓ ANTES"/>
    <d v="1899-12-30T07:54:55"/>
    <n v="22.170999999999999"/>
    <n v="4.5"/>
    <d v="1899-12-30T04:55:26"/>
    <d v="1899-12-30T03:46:22"/>
    <d v="1899-12-30T00:00:00"/>
    <n v="0"/>
    <n v="0"/>
    <n v="0"/>
    <n v="0"/>
    <n v="0"/>
    <n v="2"/>
    <s v="INICIO CUMPLE / FIN ANTICIPADO"/>
    <s v="Inicio GPS dentro de la tolerancia del horario programado.; Fin GPS anticipado: 00:18:49 antes de las 16:30.; 2 hueco(s) GPS &gt;= 10 min."/>
    <s v="6.225747, -75.599410"/>
    <n v="6.2257470000000001"/>
    <n v="-75.599410000000006"/>
    <s v="6.255957, -75.616418"/>
    <n v="6.2559570000000004"/>
    <n v="-75.616417999999996"/>
    <x v="129"/>
  </r>
  <r>
    <s v="4408ac1d649faca3"/>
    <s v="23_09_2026_DR_Diur.gpx"/>
    <s v="4408ac1d649faca302b1a8ecf19b979de608bcd9adef35bce34292cd26b3aeb6"/>
    <x v="19"/>
    <x v="0"/>
    <s v="Miércoles"/>
    <x v="8"/>
    <s v="DR"/>
    <s v="DIURNO"/>
    <n v="2244"/>
    <s v="23/09/2026 08:51:52"/>
    <s v="08:30"/>
    <d v="1899-12-30T00:21:52"/>
    <s v="INICIO TARDÍO"/>
    <s v="23/09/2026 16:41:32"/>
    <s v="16:30"/>
    <d v="1899-12-30T00:11:32"/>
    <s v="FIN CUMPLE"/>
    <d v="1899-12-30T07:49:40"/>
    <n v="27.957000000000001"/>
    <n v="5.12"/>
    <d v="1899-12-30T05:27:49"/>
    <d v="1899-12-30T04:07:55"/>
    <d v="1899-12-30T00:00:00"/>
    <n v="0"/>
    <n v="0"/>
    <n v="0"/>
    <n v="0"/>
    <n v="0"/>
    <n v="3"/>
    <s v="INICIO TARDÍO / FIN CUMPLE"/>
    <s v="Inicio GPS tardío: 00:21:52 después de las 08:30.; Fin GPS dentro de la tolerancia del horario programado.; 3 hueco(s) GPS &gt;= 10 min."/>
    <s v="6.232912, -75.602197"/>
    <n v="6.2329119999999998"/>
    <n v="-75.602197000000004"/>
    <s v="6.250884, -75.621311"/>
    <n v="6.2508840000000001"/>
    <n v="-75.621311000000006"/>
    <x v="130"/>
  </r>
  <r>
    <s v="cee7dbc94d8380b9"/>
    <s v="23_09_2026_HC_Diur.gpx"/>
    <s v="cee7dbc94d8380b967c51fa1a926584f6f8387e40221a1c8e56431369faf5ba9"/>
    <x v="19"/>
    <x v="0"/>
    <s v="Miércoles"/>
    <x v="2"/>
    <s v="HC"/>
    <s v="DIURNO"/>
    <n v="4411"/>
    <s v="23/09/2026 08:20:00"/>
    <s v="08:30"/>
    <d v="1899-12-30T00:10:00"/>
    <s v="INICIO CUMPLE"/>
    <s v="23/09/2026 14:17:50"/>
    <s v="16:30"/>
    <d v="1899-12-30T02:12:10"/>
    <s v="TERMINÓ ANTES"/>
    <d v="1899-12-30T05:57:50"/>
    <n v="57.37"/>
    <n v="13.72"/>
    <d v="1899-12-30T04:10:57"/>
    <d v="1899-12-30T01:36:07"/>
    <d v="1899-12-30T00:00:00"/>
    <n v="0"/>
    <n v="0"/>
    <n v="0"/>
    <n v="0"/>
    <n v="0"/>
    <n v="0"/>
    <s v="INICIO CUMPLE / FIN ANTICIPADO"/>
    <s v="Inicio GPS dentro de la tolerancia del horario programado.; Fin GPS anticipado: 02:12:10 antes de las 16:30."/>
    <s v="6.225662, -75.599078"/>
    <n v="6.2256619999999998"/>
    <n v="-75.599078000000006"/>
    <s v="6.271636, -75.597142"/>
    <n v="6.271636"/>
    <n v="-75.597142000000005"/>
    <x v="131"/>
  </r>
  <r>
    <s v="025a647a490108ab"/>
    <s v="23_09_2026_JO_Diur.gpx"/>
    <s v="025a647a490108ab58e8e211691c0f25058cad25387522be9e59a593723a511c"/>
    <x v="19"/>
    <x v="0"/>
    <s v="Miércoles"/>
    <x v="4"/>
    <s v="JO"/>
    <s v="DIURNO"/>
    <n v="5246"/>
    <s v="23/09/2026 08:45:49"/>
    <s v="08:30"/>
    <d v="1899-12-30T00:15:49"/>
    <s v="INICIO TARDÍO"/>
    <s v="23/09/2026 16:45:11"/>
    <s v="16:30"/>
    <d v="1899-12-30T00:15:11"/>
    <s v="TERMINÓ DESPUÉS"/>
    <d v="1899-12-30T07:59:22"/>
    <n v="27.216000000000001"/>
    <n v="33.270000000000003"/>
    <d v="1899-12-30T00:49:05"/>
    <d v="1899-12-30T00:23:44"/>
    <d v="1899-12-30T00:00:00"/>
    <n v="0"/>
    <n v="0"/>
    <n v="0"/>
    <n v="0"/>
    <n v="0"/>
    <n v="10"/>
    <s v="FIN POSTERIOR"/>
    <s v="Inicio GPS tardío: 00:15:49 después de las 08:30.; Fin GPS posterior: 00:15:11 después de las 16:30.; 10 hueco(s) GPS &gt;= 10 min."/>
    <s v="6.225619, -75.599349"/>
    <n v="6.225619"/>
    <n v="-75.599349000000004"/>
    <s v="6.246063, -75.561330"/>
    <n v="6.2460630000000004"/>
    <n v="-75.561329999999998"/>
    <x v="132"/>
  </r>
  <r>
    <s v="902a3fd7e70712ae"/>
    <s v="23_09_2026_JZ_Diur.gpx"/>
    <s v="902a3fd7e70712aeca6629d519f06105047cecdd8a4069792258d07bdd369e43"/>
    <x v="19"/>
    <x v="0"/>
    <s v="Miércoles"/>
    <x v="5"/>
    <s v="JZ"/>
    <s v="DIURNO"/>
    <n v="5580"/>
    <s v="23/09/2026 08:04:28"/>
    <s v="08:30"/>
    <d v="1899-12-30T00:25:32"/>
    <s v="INICIO ANTES DEL HORARIO"/>
    <s v="23/09/2026 16:34:36"/>
    <s v="16:30"/>
    <d v="1899-12-30T00:04:36"/>
    <s v="FIN CUMPLE"/>
    <d v="1899-12-30T08:30:08"/>
    <n v="75.423000000000002"/>
    <n v="10.25"/>
    <d v="1899-12-30T07:21:34"/>
    <d v="1899-12-30T04:07:10"/>
    <d v="1899-12-30T00:00:00"/>
    <n v="0"/>
    <n v="0"/>
    <n v="0"/>
    <n v="0"/>
    <n v="0"/>
    <n v="3"/>
    <s v="REVISAR"/>
    <s v="Inicio GPS anterior al horario: 00:25:32 antes de las 08:30.; Fin GPS dentro de la tolerancia del horario programado.; 3 hueco(s) GPS &gt;= 10 min."/>
    <s v="6.226573, -75.599305"/>
    <n v="6.2265730000000001"/>
    <n v="-75.599305000000001"/>
    <s v="6.279455, -75.570395"/>
    <n v="6.2794549999999996"/>
    <n v="-75.570395000000005"/>
    <x v="4"/>
  </r>
  <r>
    <s v="a87b9c61f88f6dc6"/>
    <s v="23_09_2026_SJ_Diur.gpx"/>
    <s v="a87b9c61f88f6dc61d7c57e704a7019cfeeb155863211b6fcd05b1a5345a41e2"/>
    <x v="19"/>
    <x v="0"/>
    <s v="Miércoles"/>
    <x v="6"/>
    <s v="SJ"/>
    <s v="DIURNO"/>
    <n v="2385"/>
    <s v="23/09/2026 08:39:04"/>
    <s v="08:30"/>
    <d v="1899-12-30T00:09:04"/>
    <s v="INICIO CUMPLE"/>
    <s v="23/09/2026 16:04:43"/>
    <s v="16:30"/>
    <d v="1899-12-30T00:25:17"/>
    <s v="TERMINÓ ANTES"/>
    <d v="1899-12-30T07:25:39"/>
    <n v="30.879000000000001"/>
    <n v="7.36"/>
    <d v="1899-12-30T04:11:48"/>
    <d v="1899-12-30T03:02:03"/>
    <d v="1899-12-30T00:00:00"/>
    <n v="0"/>
    <n v="0"/>
    <n v="0"/>
    <n v="0"/>
    <n v="0"/>
    <n v="1"/>
    <s v="INICIO CUMPLE / FIN ANTICIPADO"/>
    <s v="Inicio GPS dentro de la tolerancia del horario programado.; Fin GPS anticipado: 00:25:17 antes de las 16:30.; 1 hueco(s) GPS &gt;= 10 min."/>
    <s v="6.225663, -75.599389"/>
    <n v="6.2256629999999999"/>
    <n v="-75.599389000000002"/>
    <s v="6.308000, -75.581952"/>
    <n v="6.3079999999999998"/>
    <n v="-75.581952000000001"/>
    <x v="133"/>
  </r>
  <r>
    <s v="562b967a6b961354"/>
    <s v="23_09_2026_YL_Diur.gpx"/>
    <s v="562b967a6b961354db78b9cffe2da313776b367f0271c4f71ff1efefdac672ff"/>
    <x v="19"/>
    <x v="0"/>
    <s v="Miércoles"/>
    <x v="7"/>
    <s v="YL"/>
    <s v="DIURNO"/>
    <n v="4294"/>
    <s v="23/09/2026 08:49:21"/>
    <s v="08:30"/>
    <d v="1899-12-30T00:19:21"/>
    <s v="INICIO TARDÍO"/>
    <s v="23/09/2026 16:45:00"/>
    <s v="16:30"/>
    <d v="1899-12-30T00:15:00"/>
    <s v="FIN CUMPLE"/>
    <d v="1899-12-30T07:55:39"/>
    <n v="57.81"/>
    <n v="13.04"/>
    <d v="1899-12-30T04:25:55"/>
    <d v="1899-12-30T02:30:43"/>
    <d v="1899-12-30T00:00:00"/>
    <n v="0"/>
    <n v="0"/>
    <n v="0"/>
    <n v="0"/>
    <n v="0"/>
    <n v="0"/>
    <s v="INICIO TARDÍO / FIN CUMPLE"/>
    <s v="Inicio GPS tardío: 00:19:21 después de las 08:30.; Fin GPS dentro de la tolerancia del horario programado."/>
    <s v="6.225580, -75.599298"/>
    <n v="6.2255799999999999"/>
    <n v="-75.599298000000005"/>
    <s v="6.258559, -75.616272"/>
    <n v="6.258559"/>
    <n v="-75.616271999999995"/>
    <x v="134"/>
  </r>
  <r>
    <s v="dba3452836ba7e50"/>
    <s v="23_09_2026_JA_Diur1.gpx"/>
    <s v="dba3452836ba7e50cc3f660a7059238423e73768e6e6d9c1ebe7ef47a5a38bab"/>
    <x v="19"/>
    <x v="0"/>
    <s v="Miércoles"/>
    <x v="3"/>
    <s v="JA"/>
    <s v="DIURNO"/>
    <n v="1382"/>
    <s v="23/09/2026 08:50:57"/>
    <s v="08:30"/>
    <d v="1899-12-30T00:20:57"/>
    <s v="INICIO TARDÍO"/>
    <s v="23/09/2026 12:14:38"/>
    <s v="16:30"/>
    <m/>
    <s v="PARTE DE RECORRIDO"/>
    <d v="1899-12-30T08:40:41"/>
    <n v="17.55"/>
    <n v="7.15"/>
    <d v="1899-12-30T02:27:13"/>
    <d v="1899-12-30T01:42:55"/>
    <d v="1899-12-30T00:00:00"/>
    <n v="0"/>
    <n v="0"/>
    <n v="0"/>
    <n v="0"/>
    <n v="0"/>
    <n v="0"/>
    <s v="PARTE DE RECORRIDO"/>
    <s v="Recorrido fragmentado 2 parte(s): INICIO DE RECORRIDO. Inicio operativo 08:50:57 y fin operativo 17:31:38.; Inicio GPS tardío: 00:20:57 después de las 08:30."/>
    <s v="6.225734, -75.599447"/>
    <n v="6.2257340000000001"/>
    <n v="-75.599446999999998"/>
    <s v="6.235813, -75.555079"/>
    <n v="6.2358130000000003"/>
    <n v="-75.555079000000006"/>
    <x v="135"/>
  </r>
  <r>
    <s v="abbfd962adecc6f9"/>
    <s v="23_09_2026_JA_Diur2.gpx"/>
    <s v="abbfd962adecc6f91b4e71bf28b254f741a22c8e9aedc308cb409194fbd1ad5b"/>
    <x v="19"/>
    <x v="0"/>
    <s v="Miércoles"/>
    <x v="3"/>
    <s v="JA"/>
    <s v="DIURNO"/>
    <n v="336"/>
    <s v="23/09/2026 16:26:53"/>
    <s v="08:30"/>
    <m/>
    <s v="PARTE DE RECORRIDO"/>
    <s v="23/09/2026 17:31:38"/>
    <s v="16:30"/>
    <d v="1899-12-30T01:01:38"/>
    <s v="TERMINÓ DESPUÉS"/>
    <d v="1899-12-30T08:40:41"/>
    <n v="3.5720000000000001"/>
    <n v="3.31"/>
    <d v="1899-12-30T01:04:45"/>
    <d v="1899-12-30T00:53:31"/>
    <d v="1899-12-30T00:00:00"/>
    <n v="0"/>
    <n v="0"/>
    <n v="0"/>
    <n v="0"/>
    <n v="0"/>
    <n v="0"/>
    <s v="PARTE DE RECORRIDO"/>
    <s v="Recorrido fragmentado 2 parte(s): FIN DE RECORRIDO. Inicio operativo 08:50:57 y fin operativo 17:31:38.; Fin GPS posterior: 01:01:38 después de las 16:30."/>
    <s v="6.236402, -75.560054"/>
    <n v="6.236402"/>
    <n v="-75.560053999999994"/>
    <s v="6.237026, -75.558757"/>
    <n v="6.2370260000000002"/>
    <n v="-75.558757"/>
    <x v="4"/>
  </r>
  <r>
    <s v="c7bcdda3448eca70"/>
    <s v="23_09_2026_DV_Noct.gpx"/>
    <s v="c7bcdda3448eca7014a76963f98c28a7628c901ad953ed367050d466f0da05ff"/>
    <x v="19"/>
    <x v="0"/>
    <s v="Miércoles"/>
    <x v="9"/>
    <s v="DV"/>
    <s v="NOCTURNO"/>
    <n v="5086"/>
    <s v="23/09/2026 17:50:48"/>
    <s v="18:00"/>
    <d v="1899-12-30T00:09:12"/>
    <s v="INICIO CUMPLE"/>
    <s v="24/09/2026 00:23:26"/>
    <s v="00:00"/>
    <d v="1899-12-30T00:23:26"/>
    <s v="TERMINÓ DESPUÉS"/>
    <d v="1899-12-30T06:32:38"/>
    <n v="64.069000000000003"/>
    <n v="13.78"/>
    <d v="1899-12-30T04:39:00"/>
    <d v="1899-12-30T01:05:33"/>
    <d v="1899-12-30T00:00:00"/>
    <n v="0"/>
    <n v="0"/>
    <n v="0"/>
    <n v="0"/>
    <n v="0"/>
    <n v="0"/>
    <s v="FIN POSTERIOR"/>
    <s v="Inicio GPS dentro de la tolerancia del horario programado.; Fin GPS posterior: 00:23:26 después de las 00:00."/>
    <s v="6.226789, -75.599344"/>
    <n v="6.2267890000000001"/>
    <n v="-75.599344000000002"/>
    <s v="6.272684, -75.602048"/>
    <n v="6.2726839999999999"/>
    <n v="-75.602047999999996"/>
    <x v="4"/>
  </r>
  <r>
    <s v="854b85750ca295ba"/>
    <s v="23_09_2026_IQ_Noct.gpx"/>
    <s v="854b85750ca295bab2dbaff996de56ef78092891b34f495b545a89ffb99f5af8"/>
    <x v="19"/>
    <x v="0"/>
    <s v="Miércoles"/>
    <x v="10"/>
    <s v="IQ"/>
    <s v="NOCTURNO"/>
    <n v="2052"/>
    <s v="23/09/2026 17:35:20"/>
    <s v="18:00"/>
    <d v="1899-12-30T00:24:40"/>
    <s v="INICIO ANTES DEL HORARIO"/>
    <s v="23/09/2026 23:57:48"/>
    <s v="00:00"/>
    <d v="1899-12-30T00:02:12"/>
    <s v="FIN CUMPLE"/>
    <d v="1899-12-30T06:22:28"/>
    <n v="35.808999999999997"/>
    <n v="14.06"/>
    <d v="1899-12-30T02:32:51"/>
    <d v="1899-12-30T01:34:56"/>
    <d v="1899-12-30T00:00:00"/>
    <n v="0"/>
    <n v="0"/>
    <n v="0"/>
    <n v="0"/>
    <n v="0"/>
    <n v="6"/>
    <s v="REVISAR"/>
    <s v="Inicio GPS anterior al horario: 00:24:40 antes de las 18:00.; Fin GPS dentro de la tolerancia del horario programado.; 6 hueco(s) GPS &gt;= 10 min."/>
    <s v="6.213995, -75.596642"/>
    <n v="6.2139949999999997"/>
    <n v="-75.596642000000003"/>
    <s v="6.270932, -75.554243"/>
    <n v="6.2709320000000002"/>
    <n v="-75.554243"/>
    <x v="4"/>
  </r>
  <r>
    <s v="1524ebf6e64c53aa"/>
    <s v="23_09_2026_JP_Noct.gpx"/>
    <s v="1524ebf6e64c53aa5e6027a2d921e2541675d5de5bc7ab5d37d972940274a473"/>
    <x v="19"/>
    <x v="0"/>
    <s v="Miércoles"/>
    <x v="12"/>
    <s v="JP"/>
    <s v="NOCTURNO"/>
    <n v="3372"/>
    <s v="23/09/2026 17:30:41"/>
    <s v="18:00"/>
    <d v="1899-12-30T00:29:19"/>
    <s v="INICIO ANTES DEL HORARIO"/>
    <s v="23/09/2026 21:41:04"/>
    <s v="00:00"/>
    <d v="1899-12-30T02:18:56"/>
    <s v="TERMINÓ ANTES"/>
    <d v="1899-12-30T04:10:23"/>
    <n v="46.061"/>
    <n v="13.42"/>
    <d v="1899-12-30T03:26:00"/>
    <d v="1899-12-30T01:50:48"/>
    <d v="1899-12-30T00:00:00"/>
    <n v="0"/>
    <n v="0"/>
    <n v="0"/>
    <n v="0"/>
    <n v="0"/>
    <n v="0"/>
    <s v="REVISAR"/>
    <s v="Inicio GPS anterior al horario: 00:29:19 antes de las 18:00.; Fin GPS anticipado: 02:18:56 antes de las 00:00."/>
    <s v="6.226977, -75.599622"/>
    <n v="6.2269769999999998"/>
    <n v="-75.599621999999997"/>
    <s v="6.251832, -75.551835"/>
    <n v="6.2518320000000003"/>
    <n v="-75.551834999999997"/>
    <x v="136"/>
  </r>
  <r>
    <s v="c28c6adae2a52086"/>
    <s v="23_09_2026_LA_Noct.gpx"/>
    <s v="c28c6adae2a52086a5b43f8adf2f7efb0ab6d21e943556b357652747d7f1966b"/>
    <x v="19"/>
    <x v="0"/>
    <s v="Miércoles"/>
    <x v="13"/>
    <s v="LA"/>
    <s v="NOCTURNO"/>
    <n v="7287"/>
    <s v="23/09/2026 17:41:21"/>
    <s v="18:00"/>
    <d v="1899-12-30T00:18:39"/>
    <s v="INICIO ANTES DEL HORARIO"/>
    <s v="24/09/2026 00:07:53"/>
    <s v="00:00"/>
    <d v="1899-12-30T00:07:53"/>
    <s v="FIN CUMPLE"/>
    <d v="1899-12-30T06:26:32"/>
    <n v="45.036999999999999"/>
    <n v="10.41"/>
    <d v="1899-12-30T04:19:36"/>
    <d v="1899-12-30T03:13:05"/>
    <d v="1899-12-30T00:00:00"/>
    <n v="0"/>
    <n v="0"/>
    <n v="0"/>
    <n v="0"/>
    <n v="0"/>
    <n v="2"/>
    <s v="REVISAR"/>
    <s v="Inicio GPS anterior al horario: 00:18:39 antes de las 18:00.; Fin GPS dentro de la tolerancia del horario programado.; 2 hueco(s) GPS &gt;= 10 min."/>
    <s v="6.226768, -75.599312"/>
    <n v="6.2267679999999999"/>
    <n v="-75.599311999999998"/>
    <s v="6.268597, -75.599288"/>
    <n v="6.2685969999999998"/>
    <n v="-75.599288000000001"/>
    <x v="4"/>
  </r>
  <r>
    <s v="d8610283ab31c17b"/>
    <s v="24_09_2026_AO_Diur.gpx"/>
    <s v="d8610283ab31c17b60cf55c57f3fef35c24792cb35cd6303472074d6dc57a9e2"/>
    <x v="20"/>
    <x v="0"/>
    <s v="Jueves"/>
    <x v="0"/>
    <s v="AO"/>
    <s v="DIURNO"/>
    <n v="3430"/>
    <s v="24/09/2026 09:11:42"/>
    <s v="08:30"/>
    <d v="1899-12-30T00:41:43"/>
    <s v="INICIO TARDÍO"/>
    <s v="24/09/2026 15:36:24"/>
    <s v="16:30"/>
    <d v="1899-12-30T00:53:36"/>
    <s v="TERMINÓ ANTES"/>
    <d v="1899-12-30T06:24:42"/>
    <n v="19.553999999999998"/>
    <n v="18.96"/>
    <d v="1899-12-30T01:01:54"/>
    <d v="1899-12-30T00:34:52"/>
    <d v="1899-12-30T00:00:00"/>
    <n v="0"/>
    <n v="0"/>
    <n v="0"/>
    <n v="0"/>
    <n v="0"/>
    <n v="4"/>
    <s v="INICIO TARDÍO / FIN ANTICIPADO"/>
    <s v="Inicio GPS tardío: 00:41:43 después de las 08:30.; Fin GPS anticipado: 00:53:36 antes de las 16:30.; 4 hueco(s) GPS &gt;= 10 min."/>
    <s v="6.216154, -75.597554"/>
    <n v="6.2161540000000004"/>
    <n v="-75.597554000000002"/>
    <s v="6.222023, -75.593338"/>
    <n v="6.2220230000000001"/>
    <n v="-75.593338000000003"/>
    <x v="137"/>
  </r>
  <r>
    <s v="80b1d8418c2b1eaa"/>
    <s v="24_09_2026_AR_Diur.gpx"/>
    <s v="80b1d8418c2b1eaab60e02e6a877ea0131fa1acbbaf1244fd97677a34ac1ea83"/>
    <x v="20"/>
    <x v="0"/>
    <s v="Jueves"/>
    <x v="1"/>
    <s v="AR"/>
    <s v="DIURNO"/>
    <n v="1795"/>
    <s v="24/09/2026 08:14:20"/>
    <s v="08:30"/>
    <d v="1899-12-30T00:15:40"/>
    <s v="INICIO ANTES DEL HORARIO"/>
    <s v="24/09/2026 16:32:03"/>
    <s v="16:30"/>
    <d v="1899-12-30T00:02:03"/>
    <s v="FIN CUMPLE"/>
    <d v="1899-12-30T08:17:43"/>
    <n v="29.731000000000002"/>
    <n v="4.18"/>
    <d v="1899-12-30T07:07:08"/>
    <d v="1899-12-30T06:18:47"/>
    <d v="1899-12-30T00:00:00"/>
    <n v="0"/>
    <n v="0"/>
    <n v="0"/>
    <n v="0"/>
    <n v="0"/>
    <n v="4"/>
    <s v="REVISAR"/>
    <s v="Inicio GPS anterior al horario: 00:15:40 antes de las 08:30.; Fin GPS dentro de la tolerancia del horario programado.; 4 hueco(s) GPS &gt;= 10 min."/>
    <s v="6.225782, -75.599368"/>
    <n v="6.2257819999999997"/>
    <n v="-75.599367999999998"/>
    <s v="6.247414, -75.615005"/>
    <n v="6.247414"/>
    <n v="-75.615004999999996"/>
    <x v="4"/>
  </r>
  <r>
    <s v="26d8bdaf1d13469e"/>
    <s v="24_09_2026_DR_Diur.gpx"/>
    <s v="26d8bdaf1d13469ee33712c9bfcbfe9c5901905e2a80baf0fe4c1f50012cf2f3"/>
    <x v="20"/>
    <x v="0"/>
    <s v="Jueves"/>
    <x v="8"/>
    <s v="DR"/>
    <s v="DIURNO"/>
    <n v="2721"/>
    <s v="24/09/2026 08:27:18"/>
    <s v="08:30"/>
    <d v="1899-12-30T00:02:42"/>
    <s v="INICIO CUMPLE"/>
    <s v="24/09/2026 15:51:15"/>
    <s v="16:30"/>
    <d v="1899-12-30T00:38:45"/>
    <s v="TERMINÓ ANTES"/>
    <d v="1899-12-30T07:23:57"/>
    <n v="35.728999999999999"/>
    <n v="5.9"/>
    <d v="1899-12-30T06:03:17"/>
    <d v="1899-12-30T04:39:47"/>
    <d v="1899-12-30T00:00:00"/>
    <n v="0"/>
    <n v="0"/>
    <n v="0"/>
    <n v="0"/>
    <n v="0"/>
    <n v="2"/>
    <s v="INICIO CUMPLE / FIN ANTICIPADO"/>
    <s v="Inicio GPS dentro de la tolerancia del horario programado.; Fin GPS anticipado: 00:38:45 antes de las 16:30.; 2 hueco(s) GPS &gt;= 10 min."/>
    <s v="6.238194, -75.603010"/>
    <n v="6.238194"/>
    <n v="-75.603009999999998"/>
    <s v="6.248174, -75.605002"/>
    <n v="6.2481739999999997"/>
    <n v="-75.605001999999999"/>
    <x v="138"/>
  </r>
  <r>
    <s v="92b923405ece402b"/>
    <s v="24_09_2026_HC_Diur.gpx"/>
    <s v="92b923405ece402b75cd59de5c90e486ec87dfad75c78c4f899255e5739248da"/>
    <x v="20"/>
    <x v="0"/>
    <s v="Jueves"/>
    <x v="2"/>
    <s v="HC"/>
    <s v="DIURNO"/>
    <n v="2783"/>
    <s v="24/09/2026 09:16:50"/>
    <s v="08:30"/>
    <d v="1899-12-30T00:46:50"/>
    <s v="INICIO TARDÍO"/>
    <s v="24/09/2026 13:34:41"/>
    <s v="16:30"/>
    <d v="1899-12-30T02:55:19"/>
    <s v="TERMINÓ ANTES"/>
    <d v="1899-12-30T04:17:51"/>
    <n v="36.811"/>
    <n v="11.08"/>
    <d v="1899-12-30T03:19:22"/>
    <d v="1899-12-30T01:51:42"/>
    <d v="1899-12-30T00:00:00"/>
    <n v="0"/>
    <n v="0"/>
    <n v="0"/>
    <n v="0"/>
    <n v="0"/>
    <n v="1"/>
    <s v="INICIO TARDÍO / FIN ANTICIPADO"/>
    <s v="Inicio GPS tardío: 00:46:50 después de las 08:30.; Fin GPS anticipado: 02:55:19 antes de las 16:30.; 1 hueco(s) GPS &gt;= 10 min."/>
    <s v="6.225663, -75.599553"/>
    <n v="6.2256629999999999"/>
    <n v="-75.599553"/>
    <s v="6.261435, -75.603897"/>
    <n v="6.2614349999999996"/>
    <n v="-75.603897000000003"/>
    <x v="139"/>
  </r>
  <r>
    <s v="676d50fbccc03774"/>
    <s v="24_09_2026_JA_Diur.gpx"/>
    <s v="676d50fbccc0377475a506b4c473ea57a7024889c5da3b94f8b6202fc5952dfe"/>
    <x v="20"/>
    <x v="0"/>
    <s v="Jueves"/>
    <x v="3"/>
    <s v="JA"/>
    <s v="DIURNO"/>
    <n v="1079"/>
    <s v="24/09/2026 08:52:25"/>
    <s v="08:30"/>
    <d v="1899-12-30T00:22:25"/>
    <s v="INICIO TARDÍO"/>
    <s v="24/09/2026 12:37:22"/>
    <s v="16:30"/>
    <d v="1899-12-30T03:52:38"/>
    <s v="TERMINÓ ANTES"/>
    <d v="1899-12-30T03:44:57"/>
    <n v="14.132"/>
    <n v="5.49"/>
    <d v="1899-12-30T02:34:22"/>
    <d v="1899-12-30T02:06:45"/>
    <d v="1899-12-30T00:00:00"/>
    <n v="0"/>
    <n v="0"/>
    <n v="0"/>
    <n v="0"/>
    <n v="0"/>
    <n v="0"/>
    <s v="INICIO TARDÍO / FIN ANTICIPADO"/>
    <s v="Inicio GPS tardío: 00:22:25 después de las 08:30.; Fin GPS anticipado: 03:52:38 antes de las 16:30."/>
    <s v="6.225514, -75.599447"/>
    <n v="6.2255140000000004"/>
    <n v="-75.599446999999998"/>
    <s v="6.236992, -75.558877"/>
    <n v="6.2369919999999999"/>
    <n v="-75.558876999999995"/>
    <x v="140"/>
  </r>
  <r>
    <s v="b4281bc6eb1402cd"/>
    <s v="24_09_2026_JO_Diur.gpx"/>
    <s v="b4281bc6eb1402cd6b1c175a0e75d9bca1eb794b273c036c77cd612468789d15"/>
    <x v="20"/>
    <x v="0"/>
    <s v="Jueves"/>
    <x v="4"/>
    <s v="JO"/>
    <s v="DIURNO"/>
    <n v="4391"/>
    <s v="24/09/2026 08:53:59"/>
    <s v="08:30"/>
    <d v="1899-12-30T00:23:59"/>
    <s v="INICIO TARDÍO"/>
    <s v="24/09/2026 16:24:23"/>
    <s v="16:30"/>
    <d v="1899-12-30T00:05:37"/>
    <s v="FIN CUMPLE"/>
    <d v="1899-12-30T07:30:24"/>
    <n v="28.091000000000001"/>
    <n v="8.52"/>
    <d v="1899-12-30T03:17:54"/>
    <d v="1899-12-30T02:29:31"/>
    <d v="1899-12-30T00:00:00"/>
    <n v="0"/>
    <n v="0"/>
    <n v="0"/>
    <n v="0"/>
    <n v="0"/>
    <n v="14"/>
    <s v="INICIO TARDÍO / FIN CUMPLE"/>
    <s v="Inicio GPS tardío: 00:23:59 después de las 08:30.; Fin GPS dentro de la tolerancia del horario programado.; 14 hueco(s) GPS &gt;= 10 min."/>
    <s v="6.225613, -75.599412"/>
    <n v="6.2256130000000001"/>
    <n v="-75.599412000000001"/>
    <s v="6.246439, -75.552709"/>
    <n v="6.2464389999999996"/>
    <n v="-75.552708999999993"/>
    <x v="141"/>
  </r>
  <r>
    <s v="9f4f0535ce907d5c"/>
    <s v="24_09_2026_JZ_Diur.gpx"/>
    <s v="9f4f0535ce907d5c87d52ce754bb4b9539a103e71e85d5792a13d7c8617a20d6"/>
    <x v="20"/>
    <x v="0"/>
    <s v="Jueves"/>
    <x v="5"/>
    <s v="JZ"/>
    <s v="DIURNO"/>
    <n v="4312"/>
    <s v="24/09/2026 08:33:45"/>
    <s v="08:30"/>
    <d v="1899-12-30T00:03:45"/>
    <s v="INICIO CUMPLE"/>
    <s v="24/09/2026 16:40:46"/>
    <s v="16:30"/>
    <d v="1899-12-30T00:10:46"/>
    <s v="FIN CUMPLE"/>
    <d v="1899-12-30T08:07:01"/>
    <n v="53.088999999999999"/>
    <n v="9"/>
    <d v="1899-12-30T05:53:55"/>
    <d v="1899-12-30T03:16:39"/>
    <d v="1899-12-30T00:00:00"/>
    <n v="0"/>
    <n v="0"/>
    <n v="0"/>
    <n v="0"/>
    <n v="0"/>
    <n v="1"/>
    <s v="DENTRO DE HORARIO"/>
    <s v="Inicio GPS dentro de la tolerancia del horario programado.; Fin GPS dentro de la tolerancia del horario programado.; 1 hueco(s) GPS &gt;= 10 min."/>
    <s v="6.226663, -75.599202"/>
    <n v="6.2266630000000003"/>
    <n v="-75.599202000000005"/>
    <s v="6.279131, -75.569137"/>
    <n v="6.2791309999999996"/>
    <n v="-75.569136999999998"/>
    <x v="4"/>
  </r>
  <r>
    <s v="6c891630b524a9ff"/>
    <s v="24_09_2026_SJ_Diur.gpx"/>
    <s v="6c891630b524a9ffafdb948e9cbc7937f36d22b6ca2cbcba2289b40b905b476d"/>
    <x v="20"/>
    <x v="0"/>
    <s v="Jueves"/>
    <x v="6"/>
    <s v="SJ"/>
    <s v="DIURNO"/>
    <n v="3465"/>
    <s v="24/09/2026 08:53:57"/>
    <s v="08:30"/>
    <d v="1899-12-30T00:23:57"/>
    <s v="INICIO TARDÍO"/>
    <s v="24/09/2026 15:52:13"/>
    <s v="16:30"/>
    <d v="1899-12-30T00:37:47"/>
    <s v="TERMINÓ ANTES"/>
    <d v="1899-12-30T06:58:16"/>
    <n v="45.395000000000003"/>
    <n v="10.93"/>
    <d v="1899-12-30T04:09:06"/>
    <d v="1899-12-30T02:37:05"/>
    <d v="1899-12-30T00:00:00"/>
    <n v="0"/>
    <n v="0"/>
    <n v="0"/>
    <n v="0"/>
    <n v="0"/>
    <n v="1"/>
    <s v="INICIO TARDÍO / FIN ANTICIPADO"/>
    <s v="Inicio GPS tardío: 00:23:57 después de las 08:30.; Fin GPS anticipado: 00:37:47 antes de las 16:30.; 1 hueco(s) GPS &gt;= 10 min."/>
    <s v="6.225561, -75.599342"/>
    <n v="6.2255609999999999"/>
    <n v="-75.599341999999993"/>
    <s v="6.311430, -75.558457"/>
    <n v="6.3114299999999997"/>
    <n v="-75.558457000000004"/>
    <x v="142"/>
  </r>
  <r>
    <s v="564426f7571d7fb3"/>
    <s v="24_09_2026_YL_Diur.gpx"/>
    <s v="564426f7571d7fb39bec01e73fe74859f78006eae2f3d66e604884dc4b8f07a3"/>
    <x v="20"/>
    <x v="0"/>
    <s v="Jueves"/>
    <x v="7"/>
    <s v="YL"/>
    <s v="DIURNO"/>
    <n v="679"/>
    <s v="24/09/2026 08:29:19"/>
    <s v="08:30"/>
    <d v="1899-12-30T00:00:41"/>
    <s v="INICIO CUMPLE"/>
    <s v="24/09/2026 16:35:40"/>
    <s v="16:30"/>
    <d v="1899-12-30T00:05:40"/>
    <s v="FIN CUMPLE"/>
    <d v="1899-12-30T08:06:21"/>
    <n v="13.8"/>
    <n v="1.9"/>
    <d v="1899-12-30T07:15:55"/>
    <d v="1899-12-30T07:02:05"/>
    <d v="1899-12-30T00:00:00"/>
    <n v="0"/>
    <n v="0"/>
    <n v="0"/>
    <n v="0"/>
    <n v="0"/>
    <n v="1"/>
    <s v="DENTRO DE HORARIO"/>
    <s v="Inicio GPS dentro de la tolerancia del horario programado.; Fin GPS dentro de la tolerancia del horario programado.; 1 hueco(s) GPS &gt;= 10 min."/>
    <s v="6.225586, -75.599145"/>
    <n v="6.2255859999999998"/>
    <n v="-75.599144999999993"/>
    <s v="6.258532, -75.615984"/>
    <n v="6.2585319999999998"/>
    <n v="-75.615983999999997"/>
    <x v="4"/>
  </r>
  <r>
    <s v="bab305730ba056d1"/>
    <s v="24_09_2026_DV_Noct.gpx"/>
    <s v="bab305730ba056d176d0642f5f7797bef81782d99654b9a7d153eca74bc51454"/>
    <x v="20"/>
    <x v="0"/>
    <s v="Jueves"/>
    <x v="9"/>
    <s v="DV"/>
    <s v="NOCTURNO"/>
    <n v="3161"/>
    <s v="24/09/2026 17:45:06"/>
    <s v="18:00"/>
    <d v="1899-12-30T00:14:54"/>
    <s v="INICIO CUMPLE"/>
    <s v="25/09/2026 00:20:21"/>
    <s v="00:00"/>
    <d v="1899-12-30T00:20:21"/>
    <s v="TERMINÓ DESPUÉS"/>
    <d v="1899-12-30T06:35:15"/>
    <n v="63.529000000000003"/>
    <n v="14.36"/>
    <d v="1899-12-30T04:25:25"/>
    <d v="1899-12-30T01:50:45"/>
    <d v="1899-12-30T00:00:00"/>
    <n v="0"/>
    <n v="0"/>
    <n v="0"/>
    <n v="0"/>
    <n v="0"/>
    <n v="0"/>
    <s v="FIN POSTERIOR"/>
    <s v="Inicio GPS dentro de la tolerancia del horario programado.; Fin GPS posterior: 00:20:21 después de las 00:00."/>
    <s v="6.226775, -75.599357"/>
    <n v="6.2267749999999999"/>
    <n v="-75.599356999999998"/>
    <s v="6.272680, -75.601973"/>
    <n v="6.2726800000000003"/>
    <n v="-75.601973000000001"/>
    <x v="4"/>
  </r>
  <r>
    <s v="517e09ca382f2401"/>
    <s v="24_09_2026_IQ_Noct.gpx"/>
    <s v="517e09ca382f240146f4d160e91a2e77611b8b3c7b2749178d70cd88ebdba105"/>
    <x v="20"/>
    <x v="0"/>
    <s v="Jueves"/>
    <x v="10"/>
    <s v="IQ"/>
    <s v="NOCTURNO"/>
    <n v="1719"/>
    <s v="24/09/2026 16:44:27"/>
    <s v="18:00"/>
    <d v="1899-12-30T01:15:33"/>
    <s v="INICIO ANTES DEL HORARIO"/>
    <s v="24/09/2026 23:53:58"/>
    <s v="00:00"/>
    <d v="1899-12-30T00:06:02"/>
    <s v="FIN CUMPLE"/>
    <d v="1899-12-30T07:09:31"/>
    <n v="29.850999999999999"/>
    <n v="10.64"/>
    <d v="1899-12-30T02:48:17"/>
    <d v="1899-12-30T01:53:01"/>
    <d v="1899-12-30T00:00:00"/>
    <n v="0"/>
    <n v="0"/>
    <n v="0"/>
    <n v="0"/>
    <n v="0"/>
    <n v="2"/>
    <s v="REVISAR"/>
    <s v="Inicio GPS anterior al horario: 01:15:33 antes de las 18:00.; Fin GPS dentro de la tolerancia del horario programado.; 2 hueco(s) GPS &gt;= 10 min."/>
    <s v="6.228867, -75.596225"/>
    <n v="6.2288670000000002"/>
    <n v="-75.596225000000004"/>
    <s v="6.294895, -75.543944"/>
    <n v="6.2948950000000004"/>
    <n v="-75.543943999999996"/>
    <x v="4"/>
  </r>
  <r>
    <s v="c91268ef9d9bb5cd"/>
    <s v="24_09_2026_JP_Noct.gpx"/>
    <s v="c91268ef9d9bb5cde23a9219657fe3b734c5e105bab9c46f195b8e269fa1ffd3"/>
    <x v="20"/>
    <x v="0"/>
    <s v="Jueves"/>
    <x v="12"/>
    <s v="JP"/>
    <s v="NOCTURNO"/>
    <n v="2463"/>
    <s v="24/09/2026 17:43:58"/>
    <s v="18:00"/>
    <d v="1899-12-30T00:16:02"/>
    <s v="INICIO ANTES DEL HORARIO"/>
    <s v="24/09/2026 22:51:32"/>
    <s v="00:00"/>
    <d v="1899-12-30T01:08:28"/>
    <s v="TERMINÓ ANTES"/>
    <d v="1899-12-30T05:07:34"/>
    <n v="32.11"/>
    <n v="9.9"/>
    <d v="1899-12-30T03:14:38"/>
    <d v="1899-12-30T01:57:11"/>
    <d v="1899-12-30T00:00:00"/>
    <n v="0"/>
    <n v="0"/>
    <n v="0"/>
    <n v="0"/>
    <n v="0"/>
    <n v="0"/>
    <s v="REVISAR"/>
    <s v="Inicio GPS anterior al horario: 00:16:02 antes de las 18:00.; Fin GPS anticipado: 01:08:28 antes de las 00:00."/>
    <s v="6.226888, -75.599710"/>
    <n v="6.2268879999999998"/>
    <n v="-75.599710000000002"/>
    <s v="6.251725, -75.551782"/>
    <n v="6.2517250000000004"/>
    <n v="-75.551782000000003"/>
    <x v="143"/>
  </r>
  <r>
    <s v="7bc001476223be32"/>
    <s v="24_09_2026_LA_Noct.gpx"/>
    <s v="7bc001476223be32ca2e18bfca848d78c20a463a1f334d53d5ae105117f98a46"/>
    <x v="20"/>
    <x v="0"/>
    <s v="Jueves"/>
    <x v="13"/>
    <s v="LA"/>
    <s v="NOCTURNO"/>
    <n v="4867"/>
    <s v="24/09/2026 17:26:54"/>
    <s v="18:00"/>
    <d v="1899-12-30T00:33:06"/>
    <s v="INICIO ANTES DEL HORARIO"/>
    <s v="25/09/2026 00:05:11"/>
    <s v="00:00"/>
    <d v="1899-12-30T00:05:11"/>
    <s v="FIN CUMPLE"/>
    <d v="1899-12-30T06:38:17"/>
    <n v="32.299999999999997"/>
    <n v="6.81"/>
    <d v="1899-12-30T04:44:40"/>
    <d v="1899-12-30T03:55:42"/>
    <d v="1899-12-30T00:00:00"/>
    <n v="0"/>
    <n v="0"/>
    <n v="0"/>
    <n v="0"/>
    <n v="0"/>
    <n v="3"/>
    <s v="REVISAR"/>
    <s v="Inicio GPS anterior al horario: 00:33:06 antes de las 18:00.; Fin GPS dentro de la tolerancia del horario programado.; 3 hueco(s) GPS &gt;= 10 min."/>
    <s v="6.226773, -75.599313"/>
    <n v="6.2267729999999997"/>
    <n v="-75.599312999999995"/>
    <s v="6.263545, -75.596572"/>
    <n v="6.2635449999999997"/>
    <n v="-75.596571999999995"/>
    <x v="4"/>
  </r>
  <r>
    <s v="66823889791403a1"/>
    <s v="25_09_2026_AO_Diur.gpx"/>
    <s v="66823889791403a126d911dc47e1d121fe441ef26c47416174d39d07380224a7"/>
    <x v="21"/>
    <x v="0"/>
    <s v="Viernes"/>
    <x v="0"/>
    <s v="AO"/>
    <s v="DIURNO"/>
    <n v="4768"/>
    <s v="25/09/2026 09:17:31"/>
    <s v="08:30"/>
    <d v="1899-12-30T00:47:32"/>
    <s v="INICIO TARDÍO"/>
    <s v="25/09/2026 16:01:29"/>
    <s v="16:00"/>
    <d v="1899-12-30T00:01:30"/>
    <s v="FIN CUMPLE"/>
    <d v="1899-12-30T06:43:58"/>
    <n v="36.932000000000002"/>
    <n v="16.53"/>
    <d v="1899-12-30T02:14:02"/>
    <d v="1899-12-30T01:14:36"/>
    <d v="1899-12-30T00:00:00"/>
    <n v="0"/>
    <n v="0"/>
    <n v="0"/>
    <n v="0"/>
    <n v="0"/>
    <n v="5"/>
    <s v="INICIO TARDÍO / FIN CUMPLE"/>
    <s v="Inicio GPS tardío: 00:47:32 después de las 08:30.; Fin GPS dentro de la tolerancia del horario programado.; 5 hueco(s) GPS &gt;= 10 min."/>
    <s v="6.220678, -75.593290"/>
    <n v="6.2206780000000004"/>
    <n v="-75.593289999999996"/>
    <s v="6.221836, -75.593831"/>
    <n v="6.2218359999999997"/>
    <n v="-75.593830999999994"/>
    <x v="144"/>
  </r>
  <r>
    <s v="f003510ff71a767b"/>
    <s v="25_09_2026_AR_Diur.gpx"/>
    <s v="f003510ff71a767bc3ed575332c6e60823f2ef2112d58474ef892ed3cb349b48"/>
    <x v="21"/>
    <x v="0"/>
    <s v="Viernes"/>
    <x v="1"/>
    <s v="AR"/>
    <s v="DIURNO"/>
    <n v="6506"/>
    <s v="25/09/2026 08:17:26"/>
    <s v="08:30"/>
    <d v="1899-12-30T00:12:34"/>
    <s v="INICIO CUMPLE"/>
    <s v="25/09/2026 16:03:38"/>
    <s v="16:00"/>
    <d v="1899-12-30T00:03:38"/>
    <s v="FIN CUMPLE"/>
    <d v="1899-12-30T07:46:12"/>
    <n v="89.007999999999996"/>
    <n v="13.16"/>
    <d v="1899-12-30T06:45:42"/>
    <d v="1899-12-30T03:43:31"/>
    <d v="1899-12-30T00:00:00"/>
    <n v="0"/>
    <n v="0"/>
    <n v="0"/>
    <n v="0"/>
    <n v="0"/>
    <n v="2"/>
    <s v="DENTRO DE HORARIO"/>
    <s v="Inicio GPS dentro de la tolerancia del horario programado.; Fin GPS dentro de la tolerancia del horario programado.; 2 hueco(s) GPS &gt;= 10 min."/>
    <s v="6.225593, -75.599538"/>
    <n v="6.2255929999999999"/>
    <n v="-75.599537999999995"/>
    <s v="6.247700, -75.615107"/>
    <n v="6.2477"/>
    <n v="-75.615106999999995"/>
    <x v="4"/>
  </r>
  <r>
    <s v="cec1be82c82d8e62"/>
    <s v="25_09_2026_DR_Diur.gpx"/>
    <s v="cec1be82c82d8e62da311bb07b83e550afd873d4fecd0d016da15ee7afc2b77b"/>
    <x v="21"/>
    <x v="0"/>
    <s v="Viernes"/>
    <x v="8"/>
    <s v="DR"/>
    <s v="DIURNO"/>
    <n v="2565"/>
    <s v="25/09/2026 08:40:49"/>
    <s v="08:30"/>
    <d v="1899-12-30T00:10:49"/>
    <s v="INICIO CUMPLE"/>
    <s v="25/09/2026 13:58:26"/>
    <s v="16:00"/>
    <d v="1899-12-30T02:01:34"/>
    <s v="TERMINÓ ANTES"/>
    <d v="1899-12-30T05:17:37"/>
    <n v="34.225000000000001"/>
    <n v="11.53"/>
    <d v="1899-12-30T02:58:09"/>
    <d v="1899-12-30T01:36:06"/>
    <d v="1899-12-30T00:00:00"/>
    <n v="0"/>
    <n v="0"/>
    <n v="0"/>
    <n v="0"/>
    <n v="0"/>
    <n v="1"/>
    <s v="INICIO CUMPLE / FIN ANTICIPADO"/>
    <s v="Inicio GPS dentro de la tolerancia del horario programado.; Fin GPS anticipado: 02:01:34 antes de las 16:00.; 1 hueco(s) GPS &gt;= 10 min."/>
    <s v="6.238038, -75.602919"/>
    <n v="6.2380380000000004"/>
    <n v="-75.602919"/>
    <s v="6.250678, -75.602010"/>
    <n v="6.2506779999999997"/>
    <n v="-75.602010000000007"/>
    <x v="145"/>
  </r>
  <r>
    <s v="dbe485f0783f5711"/>
    <s v="25_09_2026_HC_Diur.gpx"/>
    <s v="dbe485f0783f5711d5aeff872143aa2a4942a8963022affc3f06e544fe8ca4ad"/>
    <x v="21"/>
    <x v="0"/>
    <s v="Viernes"/>
    <x v="2"/>
    <s v="HC"/>
    <s v="DIURNO"/>
    <n v="2599"/>
    <s v="25/09/2026 08:29:46"/>
    <s v="08:30"/>
    <d v="1899-12-30T00:00:14"/>
    <s v="INICIO CUMPLE"/>
    <s v="25/09/2026 14:29:25"/>
    <s v="16:00"/>
    <d v="1899-12-30T01:30:35"/>
    <s v="TERMINÓ ANTES"/>
    <d v="1899-12-30T05:59:39"/>
    <n v="33.68"/>
    <n v="9.6"/>
    <d v="1899-12-30T03:30:25"/>
    <d v="1899-12-30T02:15:05"/>
    <d v="1899-12-30T00:00:00"/>
    <n v="0"/>
    <n v="0"/>
    <n v="0"/>
    <n v="0"/>
    <n v="0"/>
    <n v="0"/>
    <s v="INICIO CUMPLE / FIN ANTICIPADO"/>
    <s v="Inicio GPS dentro de la tolerancia del horario programado.; Fin GPS anticipado: 01:30:35 antes de las 16:00."/>
    <s v="6.225806, -75.599375"/>
    <n v="6.2258060000000004"/>
    <n v="-75.599374999999995"/>
    <s v="6.296980, -75.582724"/>
    <n v="6.2969799999999996"/>
    <n v="-75.582723999999999"/>
    <x v="146"/>
  </r>
  <r>
    <s v="667ac675a4f68eaf"/>
    <s v="25_09_2026_JA_Diur.gpx"/>
    <s v="667ac675a4f68eafc3da38fa706169b8e2184f033be2437f1d09db1f7d69088e"/>
    <x v="21"/>
    <x v="0"/>
    <s v="Viernes"/>
    <x v="3"/>
    <s v="JA"/>
    <s v="DIURNO"/>
    <n v="1190"/>
    <s v="25/09/2026 08:29:20"/>
    <s v="08:30"/>
    <d v="1899-12-30T00:00:40"/>
    <s v="INICIO CUMPLE"/>
    <s v="25/09/2026 12:54:58"/>
    <s v="16:00"/>
    <d v="1899-12-30T03:05:02"/>
    <s v="TERMINÓ ANTES"/>
    <d v="1899-12-30T04:25:38"/>
    <n v="16.114999999999998"/>
    <n v="3.78"/>
    <d v="1899-12-30T04:15:33"/>
    <d v="1899-12-30T03:39:01"/>
    <d v="1899-12-30T00:00:00"/>
    <n v="0"/>
    <n v="0"/>
    <n v="0"/>
    <n v="0"/>
    <n v="0"/>
    <n v="2"/>
    <s v="INICIO CUMPLE / FIN ANTICIPADO"/>
    <s v="Inicio GPS dentro de la tolerancia del horario programado.; Fin GPS anticipado: 03:05:02 antes de las 16:00.; 2 hueco(s) GPS &gt;= 10 min."/>
    <s v="6.225645, -75.599042"/>
    <n v="6.2256450000000001"/>
    <n v="-75.599041999999997"/>
    <s v="6.237027, -75.558895"/>
    <n v="6.2370270000000003"/>
    <n v="-75.558895000000007"/>
    <x v="147"/>
  </r>
  <r>
    <s v="b010c76cac8409c2"/>
    <s v="25_09_2026_JO_Diur.gpx"/>
    <s v="b010c76cac8409c2a157749e925a74b96d69d911005a380d7266c184438cbdcd"/>
    <x v="21"/>
    <x v="0"/>
    <s v="Viernes"/>
    <x v="4"/>
    <s v="JO"/>
    <s v="DIURNO"/>
    <n v="3651"/>
    <s v="25/09/2026 08:30:59"/>
    <s v="08:30"/>
    <d v="1899-12-30T00:00:59"/>
    <s v="INICIO CUMPLE"/>
    <s v="25/09/2026 16:04:35"/>
    <s v="16:00"/>
    <d v="1899-12-30T00:04:35"/>
    <s v="FIN CUMPLE"/>
    <d v="1899-12-30T07:33:36"/>
    <n v="30.792999999999999"/>
    <n v="17.37"/>
    <d v="1899-12-30T01:46:22"/>
    <d v="1899-12-30T00:56:12"/>
    <d v="1899-12-30T00:00:00"/>
    <n v="0"/>
    <n v="0"/>
    <n v="0"/>
    <n v="0"/>
    <n v="0"/>
    <n v="11"/>
    <s v="DENTRO DE HORARIO"/>
    <s v="Inicio GPS dentro de la tolerancia del horario programado.; Fin GPS dentro de la tolerancia del horario programado.; 11 hueco(s) GPS &gt;= 10 min."/>
    <s v="6.225840, -75.599376"/>
    <n v="6.2258399999999998"/>
    <n v="-75.599376000000007"/>
    <s v="6.259314, -75.620380"/>
    <n v="6.2593139999999998"/>
    <n v="-75.620379999999997"/>
    <x v="4"/>
  </r>
  <r>
    <s v="4179c4693bca0dbb"/>
    <s v="25_09_2026_JZ_Diur.gpx"/>
    <s v="4179c4693bca0dbb3c70994a99f8c396a7b13745649d5c6657d557357528533b"/>
    <x v="21"/>
    <x v="0"/>
    <s v="Viernes"/>
    <x v="5"/>
    <s v="JZ"/>
    <s v="DIURNO"/>
    <n v="3573"/>
    <s v="25/09/2026 08:13:48"/>
    <s v="08:30"/>
    <d v="1899-12-30T00:16:12"/>
    <s v="INICIO ANTES DEL HORARIO"/>
    <s v="25/09/2026 14:39:11"/>
    <s v="16:00"/>
    <d v="1899-12-30T01:20:49"/>
    <s v="TERMINÓ ANTES"/>
    <d v="1899-12-30T06:25:23"/>
    <n v="46.692"/>
    <n v="13.09"/>
    <d v="1899-12-30T03:33:58"/>
    <d v="1899-12-30T01:12:34"/>
    <d v="1899-12-30T00:00:00"/>
    <n v="0"/>
    <n v="0"/>
    <n v="0"/>
    <n v="0"/>
    <n v="0"/>
    <n v="0"/>
    <s v="REVISAR"/>
    <s v="Inicio GPS anterior al horario: 00:16:12 antes de las 08:30.; Fin GPS anticipado: 01:20:49 antes de las 16:00."/>
    <s v="6.226632, -75.599344"/>
    <n v="6.2266320000000004"/>
    <n v="-75.599344000000002"/>
    <s v="6.280067, -75.635467"/>
    <n v="6.2800669999999998"/>
    <n v="-75.635467000000006"/>
    <x v="148"/>
  </r>
  <r>
    <s v="0701bdacf7671d43"/>
    <s v="25_09_2026_SJ_Diur.gpx"/>
    <s v="0701bdacf7671d43bf0f7a3a9f4e7bfa0432ce044dd120ea07efbcf187c6cd18"/>
    <x v="21"/>
    <x v="0"/>
    <s v="Viernes"/>
    <x v="6"/>
    <s v="SJ"/>
    <s v="DIURNO"/>
    <n v="2794"/>
    <s v="25/09/2026 08:33:57"/>
    <s v="08:30"/>
    <d v="1899-12-30T00:03:57"/>
    <s v="INICIO CUMPLE"/>
    <s v="25/09/2026 15:27:48"/>
    <s v="16:00"/>
    <d v="1899-12-30T00:32:12"/>
    <s v="TERMINÓ ANTES"/>
    <d v="1899-12-30T06:53:51"/>
    <n v="36.914999999999999"/>
    <n v="9.5299999999999994"/>
    <d v="1899-12-30T03:52:30"/>
    <d v="1899-12-30T02:30:28"/>
    <d v="1899-12-30T00:00:00"/>
    <n v="0"/>
    <n v="0"/>
    <n v="0"/>
    <n v="0"/>
    <n v="0"/>
    <n v="0"/>
    <s v="INICIO CUMPLE / FIN ANTICIPADO"/>
    <s v="Inicio GPS dentro de la tolerancia del horario programado.; Fin GPS anticipado: 00:32:12 antes de las 16:00."/>
    <s v="6.225620, -75.599405"/>
    <n v="6.2256200000000002"/>
    <n v="-75.599405000000004"/>
    <s v="6.305035, -75.577577"/>
    <n v="6.3050350000000002"/>
    <n v="-75.577577000000005"/>
    <x v="24"/>
  </r>
  <r>
    <s v="c322c2c243de6f1e"/>
    <s v="25_09_2026_YL_Diur.gpx"/>
    <s v="c322c2c243de6f1ee20eb3e05fd6f6fedfe6aa9c2d18fa10f21a216c72de0d01"/>
    <x v="21"/>
    <x v="0"/>
    <s v="Viernes"/>
    <x v="7"/>
    <s v="YL"/>
    <s v="DIURNO"/>
    <n v="1429"/>
    <s v="25/09/2026 09:22:22"/>
    <s v="08:30"/>
    <d v="1899-12-30T00:52:22"/>
    <s v="INICIO TARDÍO"/>
    <s v="25/09/2026 16:07:40"/>
    <s v="16:00"/>
    <d v="1899-12-30T00:07:40"/>
    <s v="FIN CUMPLE"/>
    <d v="1899-12-30T06:45:18"/>
    <n v="18.013000000000002"/>
    <n v="4.96"/>
    <d v="1899-12-30T03:37:44"/>
    <d v="1899-12-30T02:45:02"/>
    <d v="1899-12-30T00:00:00"/>
    <n v="0"/>
    <n v="0"/>
    <n v="0"/>
    <n v="0"/>
    <n v="0"/>
    <n v="1"/>
    <s v="INICIO TARDÍO / FIN CUMPLE"/>
    <s v="Inicio GPS tardío: 00:52:22 después de las 08:30.; Fin GPS dentro de la tolerancia del horario programado.; 1 hueco(s) GPS &gt;= 10 min."/>
    <s v="6.258981, -75.620635"/>
    <n v="6.2589810000000003"/>
    <n v="-75.620634999999993"/>
    <s v="6.258362, -75.616013"/>
    <n v="6.258362"/>
    <n v="-75.616012999999995"/>
    <x v="149"/>
  </r>
  <r>
    <s v="7d32aa5979d2510b"/>
    <s v="26_09_2026_DR_Diur.gpx"/>
    <s v="7d32aa5979d2510b20610445a2ecdaaec04d4a8bd9c9df4ba25d5854761f537c"/>
    <x v="22"/>
    <x v="0"/>
    <s v="Sábado"/>
    <x v="8"/>
    <s v="DR"/>
    <s v="DIURNO"/>
    <n v="3409"/>
    <s v="26/09/2026 09:20:19"/>
    <s v="08:30"/>
    <d v="1899-12-30T00:50:19"/>
    <s v="INICIO TARDÍO"/>
    <s v="26/09/2026 16:27:06"/>
    <s v="16:00"/>
    <d v="1899-12-30T00:27:06"/>
    <s v="TERMINÓ DESPUÉS"/>
    <d v="1899-12-30T07:06:47"/>
    <n v="44.567"/>
    <n v="10.47"/>
    <d v="1899-12-30T04:15:21"/>
    <d v="1899-12-30T02:25:47"/>
    <d v="1899-12-30T00:00:00"/>
    <n v="0"/>
    <n v="0"/>
    <n v="0"/>
    <n v="0"/>
    <n v="0"/>
    <n v="1"/>
    <s v="FIN POSTERIOR"/>
    <s v="Inicio GPS tardío: 00:50:19 después de las 08:30.; Fin GPS posterior: 00:27:06 después de las 16:00.; 1 hueco(s) GPS &gt;= 10 min."/>
    <s v="6.247793, -75.615010"/>
    <n v="6.2477929999999997"/>
    <n v="-75.615009999999998"/>
    <s v="6.198403, -75.593670"/>
    <n v="6.1984029999999999"/>
    <n v="-75.593670000000003"/>
    <x v="150"/>
  </r>
  <r>
    <m/>
    <m/>
    <m/>
    <x v="23"/>
    <x v="1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1"/>
  </r>
  <r>
    <m/>
    <m/>
    <m/>
    <x v="23"/>
    <x v="1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1"/>
  </r>
  <r>
    <m/>
    <m/>
    <m/>
    <x v="23"/>
    <x v="1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1"/>
  </r>
  <r>
    <m/>
    <m/>
    <m/>
    <x v="23"/>
    <x v="1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1"/>
  </r>
  <r>
    <m/>
    <m/>
    <m/>
    <x v="23"/>
    <x v="1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1"/>
  </r>
  <r>
    <m/>
    <m/>
    <m/>
    <x v="23"/>
    <x v="1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1"/>
  </r>
  <r>
    <m/>
    <m/>
    <m/>
    <x v="23"/>
    <x v="1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1"/>
  </r>
  <r>
    <m/>
    <m/>
    <m/>
    <x v="23"/>
    <x v="1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1"/>
  </r>
  <r>
    <m/>
    <m/>
    <m/>
    <x v="23"/>
    <x v="1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1"/>
  </r>
  <r>
    <m/>
    <m/>
    <m/>
    <x v="23"/>
    <x v="1"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s v="ced367c3758385ee"/>
    <s v="01_09_2026_AO_Diur.gpx"/>
    <s v="ced367c3758385eed4de45aabf21d0294ddc2e98be8aa3a6e22b48d6a681476d"/>
    <x v="0"/>
    <x v="0"/>
    <s v="Martes"/>
    <x v="0"/>
    <s v="AO"/>
    <x v="0"/>
    <n v="11197"/>
    <s v="01/09/2026 09:38:49"/>
    <s v="08:30"/>
    <d v="1899-12-30T01:08:50"/>
    <x v="0"/>
    <s v="01/09/2026 16:29:00"/>
    <s v="16:30"/>
    <d v="1899-12-30T00:01:00"/>
    <x v="0"/>
    <d v="1899-12-30T06:50:10"/>
    <n v="80.8"/>
    <n v="30.08"/>
    <d v="1899-12-30T02:41:10"/>
    <d v="1899-12-30T00:07:38"/>
    <d v="1899-12-30T00:00:00"/>
    <n v="0"/>
    <n v="0"/>
    <n v="0"/>
    <n v="0"/>
    <n v="0"/>
    <n v="6"/>
    <s v="INICIO TARDÍO / FIN CUMPLE"/>
    <s v="Inicio GPS tardío: 01:08:50 después de las 08:30.; Fin GPS dentro de la tolerancia del horario programado.; 6 hueco(s) GPS &gt;= 10 min."/>
  </r>
  <r>
    <s v="def0fdf1c3f42bfc"/>
    <s v="01_09_2026_AR_Diur.gpx"/>
    <s v="def0fdf1c3f42bfc46e7eec7c07750b2214a2bdc681ef88299474bd340369329"/>
    <x v="0"/>
    <x v="0"/>
    <s v="Martes"/>
    <x v="1"/>
    <s v="AR"/>
    <x v="0"/>
    <n v="3256"/>
    <s v="01/09/2026 10:10:46"/>
    <s v="08:30"/>
    <d v="1899-12-30T01:40:46"/>
    <x v="0"/>
    <s v="01/09/2026 15:54:28"/>
    <s v="16:30"/>
    <d v="1899-12-30T00:35:32"/>
    <x v="1"/>
    <d v="1899-12-30T05:43:42"/>
    <n v="40.072000000000003"/>
    <n v="13.96"/>
    <d v="1899-12-30T02:52:17"/>
    <d v="1899-12-30T00:50:31"/>
    <d v="1899-12-30T00:00:00"/>
    <n v="0"/>
    <n v="0"/>
    <n v="0"/>
    <n v="0"/>
    <n v="0"/>
    <n v="0"/>
    <s v="INICIO TARDÍO / FIN ANTICIPADO"/>
    <s v="Inicio GPS tardío: 01:40:46 después de las 08:30.; Fin GPS anticipado: 00:35:32 antes de las 16:30."/>
  </r>
  <r>
    <s v="ffe1b2a105ff8d6f"/>
    <s v="01_09_2026_HC_Diur.gpx"/>
    <s v="ffe1b2a105ff8d6f2d4890284bbd4aa3f44ed758644fa3525834e8eb6f267891"/>
    <x v="0"/>
    <x v="0"/>
    <s v="Martes"/>
    <x v="2"/>
    <s v="HC"/>
    <x v="0"/>
    <n v="5047"/>
    <s v="01/09/2026 08:29:19"/>
    <s v="08:30"/>
    <d v="1899-12-30T00:00:41"/>
    <x v="1"/>
    <s v="01/09/2026 14:43:56"/>
    <s v="16:30"/>
    <d v="1899-12-30T01:46:04"/>
    <x v="1"/>
    <d v="1899-12-30T06:14:37"/>
    <n v="65.918999999999997"/>
    <n v="15.72"/>
    <d v="1899-12-30T04:11:36"/>
    <d v="1899-12-30T01:19:12"/>
    <d v="1899-12-30T00:00:00"/>
    <n v="0"/>
    <n v="0"/>
    <n v="0"/>
    <n v="0"/>
    <n v="0"/>
    <n v="1"/>
    <s v="INICIO CUMPLE / FIN ANTICIPADO"/>
    <s v="Inicio GPS dentro de la tolerancia del horario programado.; Fin GPS anticipado: 01:46:04 antes de las 16:30.; 1 hueco(s) GPS &gt;= 10 min."/>
  </r>
  <r>
    <s v="d19559b0b3eddfd6"/>
    <s v="01_09_2026_JA_Diur.gpx"/>
    <s v="d19559b0b3eddfd6e735427bf7bb7440e315c7d6b819bfa8a66c5fcae38407dc"/>
    <x v="0"/>
    <x v="0"/>
    <s v="Martes"/>
    <x v="3"/>
    <s v="JA"/>
    <x v="0"/>
    <n v="3227"/>
    <s v="01/09/2026 11:22:21"/>
    <s v="08:30"/>
    <d v="1899-12-30T02:52:21"/>
    <x v="0"/>
    <s v="01/09/2026 14:21:44"/>
    <s v="16:30"/>
    <d v="1899-12-30T02:08:16"/>
    <x v="1"/>
    <d v="1899-12-30T02:59:23"/>
    <n v="44.070999999999998"/>
    <n v="17.73"/>
    <d v="1899-12-30T02:29:08"/>
    <d v="1899-12-30T00:47:55"/>
    <d v="1899-12-30T00:00:00"/>
    <n v="0"/>
    <n v="0"/>
    <n v="0"/>
    <n v="0"/>
    <n v="0"/>
    <n v="0"/>
    <s v="INICIO TARDÍO / FIN ANTICIPADO"/>
    <s v="Inicio GPS tardío: 02:52:21 después de las 08:30.; Fin GPS anticipado: 02:08:16 antes de las 16:30."/>
  </r>
  <r>
    <s v="ab874b20b140f4f7"/>
    <s v="01_09_2026_JO_Diur.gpx"/>
    <s v="ab874b20b140f4f75ea82bec11a15fab3a6b324f51d3e2c8a533ae04455e7a8e"/>
    <x v="0"/>
    <x v="0"/>
    <s v="Martes"/>
    <x v="4"/>
    <s v="JO"/>
    <x v="0"/>
    <n v="7518"/>
    <s v="01/09/2026 08:19:55"/>
    <s v="08:30"/>
    <d v="1899-12-30T00:10:04"/>
    <x v="1"/>
    <s v="01/09/2026 16:31:32"/>
    <s v="16:30"/>
    <d v="1899-12-30T00:01:32"/>
    <x v="0"/>
    <d v="1899-12-30T08:11:37"/>
    <n v="51.048999999999999"/>
    <n v="22.05"/>
    <d v="1899-12-30T02:18:53"/>
    <d v="1899-12-30T01:05:41"/>
    <d v="1899-12-30T00:00:00"/>
    <n v="0"/>
    <n v="0"/>
    <n v="0"/>
    <n v="0"/>
    <n v="0"/>
    <n v="12"/>
    <s v="DENTRO DE HORARIO"/>
    <s v="Inicio GPS dentro de la tolerancia del horario programado.; Fin GPS dentro de la tolerancia del horario programado.; 12 hueco(s) GPS &gt;= 10 min."/>
  </r>
  <r>
    <s v="9e0bda107497748a"/>
    <s v="01_09_2026_JZ_Diur.gpx"/>
    <s v="9e0bda107497748a6b5ea3bb79f1ce45eb9522e83c80e8c1d56dab6587b54b56"/>
    <x v="0"/>
    <x v="0"/>
    <s v="Martes"/>
    <x v="5"/>
    <s v="JZ"/>
    <x v="0"/>
    <n v="5358"/>
    <s v="01/09/2026 11:23:06"/>
    <s v="08:30"/>
    <d v="1899-12-30T02:53:06"/>
    <x v="0"/>
    <s v="01/09/2026 16:35:55"/>
    <s v="16:30"/>
    <d v="1899-12-30T00:05:55"/>
    <x v="0"/>
    <d v="1899-12-30T05:12:49"/>
    <n v="70.408000000000001"/>
    <n v="14.95"/>
    <d v="1899-12-30T04:42:34"/>
    <d v="1899-12-30T01:07:37"/>
    <d v="1899-12-30T00:00:00"/>
    <n v="0"/>
    <n v="0"/>
    <n v="0"/>
    <n v="0"/>
    <n v="0"/>
    <n v="0"/>
    <s v="INICIO TARDÍO / FIN CUMPLE"/>
    <s v="Inicio GPS tardío: 02:53:06 después de las 08:30.; Fin GPS dentro de la tolerancia del horario programado."/>
  </r>
  <r>
    <s v="b51e0d2941336223"/>
    <s v="01_09_2026_SJ_Diur.gpx"/>
    <s v="b51e0d294133622324026908d2cfd998b4d4651f1aa52180ddaa2249255300a4"/>
    <x v="0"/>
    <x v="0"/>
    <s v="Martes"/>
    <x v="6"/>
    <s v="SJ"/>
    <x v="0"/>
    <n v="4561"/>
    <s v="01/09/2026 08:36:38"/>
    <s v="08:30"/>
    <d v="1899-12-30T00:06:38"/>
    <x v="1"/>
    <s v="01/09/2026 16:13:33"/>
    <s v="16:30"/>
    <d v="1899-12-30T00:16:27"/>
    <x v="1"/>
    <d v="1899-12-30T07:36:55"/>
    <n v="60.509"/>
    <n v="11.47"/>
    <d v="1899-12-30T05:16:32"/>
    <d v="1899-12-30T02:51:14"/>
    <d v="1899-12-30T00:00:00"/>
    <n v="0"/>
    <n v="0"/>
    <n v="0"/>
    <n v="0"/>
    <n v="0"/>
    <n v="0"/>
    <s v="INICIO CUMPLE / FIN ANTICIPADO"/>
    <s v="Inicio GPS dentro de la tolerancia del horario programado.; Fin GPS anticipado: 00:16:27 antes de las 16:30."/>
  </r>
  <r>
    <s v="128eec6bd1ad56c9"/>
    <s v="01_09_2026_YL_Diur.gpx"/>
    <s v="128eec6bd1ad56c94f38054a8d4f987a4a35e0527fcd59cd392fe2dc28180cf2"/>
    <x v="0"/>
    <x v="0"/>
    <s v="Martes"/>
    <x v="7"/>
    <s v="YL"/>
    <x v="0"/>
    <n v="2608"/>
    <s v="01/09/2026 08:50:48"/>
    <s v="08:30"/>
    <d v="1899-12-30T00:20:48"/>
    <x v="0"/>
    <s v="01/09/2026 16:15:03"/>
    <s v="16:30"/>
    <d v="1899-12-30T00:14:57"/>
    <x v="0"/>
    <d v="1899-12-30T07:24:15"/>
    <n v="36.395000000000003"/>
    <n v="8.93"/>
    <d v="1899-12-30T04:04:36"/>
    <d v="1899-12-30T02:30:20"/>
    <d v="1899-12-30T00:00:00"/>
    <n v="0"/>
    <n v="0"/>
    <n v="0"/>
    <n v="0"/>
    <n v="0"/>
    <n v="0"/>
    <s v="INICIO TARDÍO / FIN CUMPLE"/>
    <s v="Inicio GPS tardío: 00:20:48 después de las 08:30.; Fin GPS dentro de la tolerancia del horario programado."/>
  </r>
  <r>
    <s v="cf32724f2779e230"/>
    <s v="01_09_2026_DR_Noct.gpx"/>
    <s v="cf32724f2779e23028cbda4e52e5f8d99005bc190675cd481031d75a87505878"/>
    <x v="0"/>
    <x v="0"/>
    <s v="Martes"/>
    <x v="8"/>
    <s v="DR"/>
    <x v="1"/>
    <n v="1807"/>
    <s v="01/09/2026 18:34:18"/>
    <s v="18:00"/>
    <d v="1899-12-30T00:34:18"/>
    <x v="0"/>
    <s v="01/09/2026 22:43:49"/>
    <s v="00:00"/>
    <d v="1899-12-30T01:16:11"/>
    <x v="1"/>
    <d v="1899-12-30T04:09:31"/>
    <n v="26.773"/>
    <n v="9.08"/>
    <d v="1899-12-30T02:56:55"/>
    <d v="1899-12-30T01:50:59"/>
    <d v="1899-12-30T00:00:00"/>
    <n v="0"/>
    <n v="0"/>
    <n v="0"/>
    <n v="0"/>
    <n v="0"/>
    <n v="0"/>
    <s v="INICIO TARDÍO / FIN ANTICIPADO"/>
    <s v="Inicio GPS tardío: 00:34:18 después de las 18:00.; Fin GPS anticipado: 01:16:11 antes de las 00:00."/>
  </r>
  <r>
    <s v="84b8dd69b678e5d2"/>
    <s v="01_09_2026_DV_Noct.gpx"/>
    <s v="84b8dd69b678e5d258010063a27aeb95877eb430a6405acd68b049d3282e48ad"/>
    <x v="0"/>
    <x v="0"/>
    <s v="Martes"/>
    <x v="9"/>
    <s v="DV"/>
    <x v="1"/>
    <n v="4693"/>
    <s v="01/09/2026 16:55:54"/>
    <s v="18:00"/>
    <d v="1899-12-30T01:04:06"/>
    <x v="2"/>
    <s v="02/09/2026 01:04:05"/>
    <s v="00:00"/>
    <d v="1899-12-30T01:04:05"/>
    <x v="2"/>
    <d v="1899-12-30T08:08:11"/>
    <n v="60.158999999999999"/>
    <n v="10.029999999999999"/>
    <d v="1899-12-30T05:59:52"/>
    <d v="1899-12-30T02:47:52"/>
    <d v="1899-12-30T00:00:00"/>
    <n v="0"/>
    <n v="0"/>
    <n v="0"/>
    <n v="0"/>
    <n v="0"/>
    <n v="0"/>
    <s v="FIN POSTERIOR"/>
    <s v="Inicio GPS anterior al horario: 01:04:06 antes de las 18:00.; Fin GPS posterior: 01:04:05 después de las 00:00."/>
  </r>
  <r>
    <s v="41a493fa401c0d5f"/>
    <s v="01_09_2026_IQ_Noct.gpx"/>
    <s v="41a493fa401c0d5f5b51f0397a10ad0e31c2c7cebd8fad803ebd57403289c66b"/>
    <x v="0"/>
    <x v="0"/>
    <s v="Martes"/>
    <x v="10"/>
    <s v="IQ"/>
    <x v="1"/>
    <n v="2378"/>
    <s v="01/09/2026 17:01:01"/>
    <s v="18:00"/>
    <d v="1899-12-30T00:58:59"/>
    <x v="2"/>
    <s v="02/09/2026 00:00:16"/>
    <s v="00:00"/>
    <d v="1899-12-30T00:00:16"/>
    <x v="0"/>
    <d v="1899-12-30T06:59:15"/>
    <n v="45.13"/>
    <n v="11.1"/>
    <d v="1899-12-30T04:04:00"/>
    <d v="1899-12-30T02:25:35"/>
    <d v="1899-12-30T00:00:00"/>
    <n v="0"/>
    <n v="0"/>
    <n v="0"/>
    <n v="0"/>
    <n v="0"/>
    <n v="5"/>
    <s v="REVISAR"/>
    <s v="Inicio GPS anterior al horario: 00:58:59 antes de las 18:00.; Fin GPS dentro de la tolerancia del horario programado.; 5 hueco(s) GPS &gt;= 10 min."/>
  </r>
  <r>
    <s v="64b7f9194388a956"/>
    <s v="01_09_2026_JHP_Noct.gpx"/>
    <s v="64b7f9194388a9561a5bf868e711077947a15159ebb3cd6e1c293ae1f57d408e"/>
    <x v="0"/>
    <x v="0"/>
    <s v="Martes"/>
    <x v="11"/>
    <s v="JHP"/>
    <x v="1"/>
    <n v="6795"/>
    <s v="01/09/2026 16:58:32"/>
    <s v="18:00"/>
    <d v="1899-12-30T01:01:28"/>
    <x v="2"/>
    <s v="01/09/2026 23:21:48"/>
    <s v="00:00"/>
    <d v="1899-12-30T00:38:12"/>
    <x v="1"/>
    <d v="1899-12-30T06:23:16"/>
    <n v="95.019000000000005"/>
    <n v="19.63"/>
    <d v="1899-12-30T04:50:30"/>
    <d v="1899-12-30T01:08:56"/>
    <d v="1899-12-30T00:00:00"/>
    <n v="0"/>
    <n v="0"/>
    <n v="0"/>
    <n v="0"/>
    <n v="0"/>
    <n v="0"/>
    <s v="REVISAR"/>
    <s v="Inicio GPS anterior al horario: 01:01:28 antes de las 18:00.; Fin GPS anticipado: 00:38:12 antes de las 00:00."/>
  </r>
  <r>
    <s v="ab81bd255207513a"/>
    <s v="01_09_2026_JP_Noct.gpx"/>
    <s v="ab81bd255207513a2667874c1009d77bb9c403ce643ceb792d7f7cd2032a08ac"/>
    <x v="0"/>
    <x v="0"/>
    <s v="Martes"/>
    <x v="12"/>
    <s v="JP"/>
    <x v="1"/>
    <n v="2821"/>
    <s v="01/09/2026 16:52:53"/>
    <s v="18:00"/>
    <d v="1899-12-30T01:07:07"/>
    <x v="2"/>
    <s v="01/09/2026 22:27:26"/>
    <s v="00:00"/>
    <d v="1899-12-30T01:32:34"/>
    <x v="1"/>
    <d v="1899-12-30T05:34:33"/>
    <n v="37.137"/>
    <n v="9.7899999999999991"/>
    <d v="1899-12-30T03:47:39"/>
    <d v="1899-12-30T02:16:10"/>
    <d v="1899-12-30T00:00:00"/>
    <n v="0"/>
    <n v="0"/>
    <n v="0"/>
    <n v="0"/>
    <n v="0"/>
    <n v="0"/>
    <s v="REVISAR"/>
    <s v="Inicio GPS anterior al horario: 01:07:07 antes de las 18:00.; Fin GPS anticipado: 01:32:34 antes de las 00:00."/>
  </r>
  <r>
    <s v="7ad8b21bef5c67cc"/>
    <s v="01_09_2026_LA_Noct.gpx"/>
    <s v="7ad8b21bef5c67ccadd4e48fced83f5268f78a0d87f69794f49089f252a157b5"/>
    <x v="0"/>
    <x v="0"/>
    <s v="Martes"/>
    <x v="13"/>
    <s v="LA"/>
    <x v="1"/>
    <n v="12049"/>
    <s v="01/09/2026 17:02:23"/>
    <s v="18:00"/>
    <d v="1899-12-30T00:57:36"/>
    <x v="2"/>
    <s v="02/09/2026 00:15:25"/>
    <s v="00:00"/>
    <d v="1899-12-30T00:15:26"/>
    <x v="2"/>
    <d v="1899-12-30T07:13:02"/>
    <n v="59.566000000000003"/>
    <n v="15.83"/>
    <d v="1899-12-30T03:45:45"/>
    <d v="1899-12-30T02:47:19"/>
    <d v="1899-12-30T00:00:00"/>
    <n v="0"/>
    <n v="0"/>
    <n v="0"/>
    <n v="0"/>
    <n v="0"/>
    <n v="1"/>
    <s v="FIN POSTERIOR"/>
    <s v="Inicio GPS anterior al horario: 00:57:36 antes de las 18:00.; Fin GPS posterior: 00:15:26 después de las 00:00.; 1 hueco(s) GPS &gt;= 10 min."/>
  </r>
  <r>
    <s v="5facab3d709484a0"/>
    <s v="02_09_2026_AO_Diur.gpx"/>
    <s v="5facab3d709484a0a6a7e92adcbbd2b76afde8d10a1c93b712d35330da59d8ab"/>
    <x v="1"/>
    <x v="0"/>
    <s v="Miércoles"/>
    <x v="0"/>
    <s v="AO"/>
    <x v="0"/>
    <n v="8617"/>
    <s v="02/09/2026 08:44:28"/>
    <s v="08:30"/>
    <d v="1899-12-30T00:14:29"/>
    <x v="1"/>
    <s v="02/09/2026 16:39:32"/>
    <s v="16:30"/>
    <d v="1899-12-30T00:09:32"/>
    <x v="0"/>
    <d v="1899-12-30T07:55:04"/>
    <n v="53.473999999999997"/>
    <n v="19.57"/>
    <d v="1899-12-30T02:43:58"/>
    <d v="1899-12-30T01:09:16"/>
    <d v="1899-12-30T00:00:00"/>
    <n v="0"/>
    <n v="0"/>
    <n v="0"/>
    <n v="0"/>
    <n v="0"/>
    <n v="6"/>
    <s v="DENTRO DE HORARIO"/>
    <s v="Inicio GPS dentro de la tolerancia del horario programado.; Fin GPS dentro de la tolerancia del horario programado.; 6 hueco(s) GPS &gt;= 10 min."/>
  </r>
  <r>
    <s v="67cc835e2ba80d04"/>
    <s v="02_09_2026_AR_Diur.gpx"/>
    <s v="67cc835e2ba80d04c4e07c7aa94c563971f07161c4d4b9552572b4168324bc16"/>
    <x v="1"/>
    <x v="0"/>
    <s v="Miércoles"/>
    <x v="1"/>
    <s v="AR"/>
    <x v="0"/>
    <n v="4186"/>
    <s v="02/09/2026 08:08:01"/>
    <s v="08:30"/>
    <d v="1899-12-30T00:21:59"/>
    <x v="2"/>
    <s v="02/09/2026 15:57:45"/>
    <s v="16:30"/>
    <d v="1899-12-30T00:32:15"/>
    <x v="1"/>
    <d v="1899-12-30T07:49:44"/>
    <n v="53.058"/>
    <n v="9.02"/>
    <d v="1899-12-30T05:52:46"/>
    <d v="1899-12-30T03:25:47"/>
    <d v="1899-12-30T00:00:00"/>
    <n v="0"/>
    <n v="0"/>
    <n v="0"/>
    <n v="0"/>
    <n v="0"/>
    <n v="3"/>
    <s v="REVISAR"/>
    <s v="Inicio GPS anterior al horario: 00:21:59 antes de las 08:30.; Fin GPS anticipado: 00:32:15 antes de las 16:30.; 3 hueco(s) GPS &gt;= 10 min."/>
  </r>
  <r>
    <s v="92ae7c426fb4dbac"/>
    <s v="02_09_2026_JA_Diur.gpx"/>
    <s v="92ae7c426fb4dbac37fff3a53bb3ab786a1c4d0ba545058e3600b5ecefe93da0"/>
    <x v="1"/>
    <x v="0"/>
    <s v="Miércoles"/>
    <x v="3"/>
    <s v="JA"/>
    <x v="0"/>
    <n v="4058"/>
    <s v="02/09/2026 08:35:04"/>
    <s v="08:30"/>
    <d v="1899-12-30T00:05:04"/>
    <x v="1"/>
    <s v="02/09/2026 12:09:58"/>
    <s v="16:30"/>
    <d v="1899-12-30T04:20:02"/>
    <x v="1"/>
    <d v="1899-12-30T03:34:54"/>
    <n v="55.665999999999997"/>
    <n v="19.13"/>
    <d v="1899-12-30T02:54:34"/>
    <d v="1899-12-30T00:54:41"/>
    <d v="1899-12-30T00:00:00"/>
    <n v="0"/>
    <n v="0"/>
    <n v="0"/>
    <n v="0"/>
    <n v="0"/>
    <n v="0"/>
    <s v="INICIO CUMPLE / FIN ANTICIPADO"/>
    <s v="Inicio GPS dentro de la tolerancia del horario programado.; Fin GPS anticipado: 04:20:02 antes de las 16:30."/>
  </r>
  <r>
    <s v="402d02aa8a12a9ba"/>
    <s v="02_09_2026_JO_Diur.gpx"/>
    <s v="402d02aa8a12a9ba22aa6765a29da9cea9348b6db2f8fa70769fa1742a041a4c"/>
    <x v="1"/>
    <x v="0"/>
    <s v="Miércoles"/>
    <x v="4"/>
    <s v="JO"/>
    <x v="0"/>
    <n v="7728"/>
    <s v="02/09/2026 08:36:00"/>
    <s v="08:30"/>
    <d v="1899-12-30T00:06:01"/>
    <x v="1"/>
    <s v="02/09/2026 16:30:45"/>
    <s v="16:30"/>
    <d v="1899-12-30T00:00:46"/>
    <x v="0"/>
    <d v="1899-12-30T07:54:45"/>
    <n v="50.911000000000001"/>
    <n v="14.81"/>
    <d v="1899-12-30T03:26:15"/>
    <d v="1899-12-30T02:11:36"/>
    <d v="1899-12-30T00:00:00"/>
    <n v="0"/>
    <n v="0"/>
    <n v="0"/>
    <n v="0"/>
    <n v="0"/>
    <n v="11"/>
    <s v="DENTRO DE HORARIO"/>
    <s v="Inicio GPS dentro de la tolerancia del horario programado.; Fin GPS dentro de la tolerancia del horario programado.; 11 hueco(s) GPS &gt;= 10 min."/>
  </r>
  <r>
    <s v="e0bb97405efbf09d"/>
    <s v="02_09_2026_JZ_Diur.gpx"/>
    <s v="e0bb97405efbf09dcbdb64ca1925cfad002b4c645046788805fd4df7a37af5c4"/>
    <x v="1"/>
    <x v="0"/>
    <s v="Miércoles"/>
    <x v="5"/>
    <s v="JZ"/>
    <x v="0"/>
    <n v="8741"/>
    <s v="02/09/2026 08:04:33"/>
    <s v="08:30"/>
    <d v="1899-12-30T00:25:27"/>
    <x v="2"/>
    <s v="02/09/2026 16:23:16"/>
    <s v="16:30"/>
    <d v="1899-12-30T00:06:44"/>
    <x v="0"/>
    <d v="1899-12-30T08:18:43"/>
    <n v="124.512"/>
    <n v="20.32"/>
    <d v="1899-12-30T06:07:38"/>
    <d v="1899-12-30T01:45:21"/>
    <d v="1899-12-30T00:00:00"/>
    <n v="0"/>
    <n v="0"/>
    <n v="0"/>
    <n v="0"/>
    <n v="0"/>
    <n v="0"/>
    <s v="REVISAR"/>
    <s v="Inicio GPS anterior al horario: 00:25:27 antes de las 08:30.; Fin GPS dentro de la tolerancia del horario programado."/>
  </r>
  <r>
    <s v="f62124899818082c"/>
    <s v="02_09_2026_SJ_Diur.gpx"/>
    <s v="f62124899818082c503c4e95b294f758de08588593db467ae265663046f17255"/>
    <x v="1"/>
    <x v="0"/>
    <s v="Miércoles"/>
    <x v="6"/>
    <s v="SJ"/>
    <x v="0"/>
    <n v="5179"/>
    <s v="02/09/2026 08:34:26"/>
    <s v="08:30"/>
    <d v="1899-12-30T00:04:26"/>
    <x v="1"/>
    <s v="02/09/2026 16:04:58"/>
    <s v="16:30"/>
    <d v="1899-12-30T00:25:02"/>
    <x v="1"/>
    <d v="1899-12-30T07:30:32"/>
    <n v="68.456999999999994"/>
    <n v="14.49"/>
    <d v="1899-12-30T04:43:29"/>
    <d v="1899-12-30T02:11:16"/>
    <d v="1899-12-30T00:00:00"/>
    <n v="0"/>
    <n v="0"/>
    <n v="0"/>
    <n v="0"/>
    <n v="0"/>
    <n v="0"/>
    <s v="INICIO CUMPLE / FIN ANTICIPADO"/>
    <s v="Inicio GPS dentro de la tolerancia del horario programado.; Fin GPS anticipado: 00:25:02 antes de las 16:30."/>
  </r>
  <r>
    <n v="0"/>
    <s v="02_09_2026_HC_Diur.gpx"/>
    <s v="cfe0b8c8df58659a38e16e626b0183a946392677f00ae3ed19903abfd39cfb09"/>
    <x v="1"/>
    <x v="0"/>
    <s v="Miércoles"/>
    <x v="2"/>
    <s v="HC"/>
    <x v="0"/>
    <n v="6624"/>
    <d v="2026-09-02T08:29:19"/>
    <s v="08:30:00"/>
    <d v="1899-12-30T00:00:41"/>
    <x v="1"/>
    <d v="2026-09-02T14:43:56"/>
    <s v="16:30"/>
    <d v="1899-12-30T01:46:04"/>
    <x v="1"/>
    <d v="1899-12-30T06:14:37"/>
    <n v="69.915000000000006"/>
    <n v="20.3"/>
    <d v="1899-12-30T04:11:36"/>
    <d v="1899-12-30T01:19:12"/>
    <d v="1899-12-30T00:00:00"/>
    <n v="0"/>
    <n v="0"/>
    <n v="0"/>
    <n v="0"/>
    <n v="0"/>
    <n v="1"/>
    <s v="REVISAR GPX"/>
    <s v="GPX sin marcas de tiempo en los puntos (&lt;trkpt&gt;&lt;time&gt;). Se pueden calcular puntos y kilómetros, pero no inicio/fin GPS, duración, velocidad, movimiento, permanencias, paradas ni huecos GPS. El timestamp encontrado en &lt;desc&gt; corresponde al metadato de la ruta y no permite reconstruir los tiempos de cada punto."/>
  </r>
  <r>
    <s v="ad47cf36141805bc"/>
    <s v="02_09_2026_YL_Diur.gpx"/>
    <s v="ad47cf36141805bc3efac4c9964aabf7b3a5d6ec8c999800dad89f827164ec64"/>
    <x v="1"/>
    <x v="0"/>
    <s v="Miércoles"/>
    <x v="7"/>
    <s v="YL"/>
    <x v="0"/>
    <n v="3111"/>
    <s v="02/09/2026 08:37:51"/>
    <s v="08:30"/>
    <d v="1899-12-30T00:07:51"/>
    <x v="1"/>
    <s v="02/09/2026 16:07:13"/>
    <s v="16:30"/>
    <d v="1899-12-30T00:22:47"/>
    <x v="1"/>
    <d v="1899-12-30T07:29:22"/>
    <n v="40.978000000000002"/>
    <n v="11.74"/>
    <d v="1899-12-30T03:29:23"/>
    <d v="1899-12-30T01:59:58"/>
    <d v="1899-12-30T00:00:00"/>
    <n v="0"/>
    <n v="0"/>
    <n v="0"/>
    <n v="0"/>
    <n v="0"/>
    <n v="0"/>
    <s v="INICIO CUMPLE / FIN ANTICIPADO"/>
    <s v="Inicio GPS dentro de la tolerancia del horario programado.; Fin GPS anticipado: 00:22:47 antes de las 16:30."/>
  </r>
  <r>
    <s v="8df1e6d7cfb2afc8"/>
    <s v="02_09_2026_DR_Noct.gpx"/>
    <s v="8df1e6d7cfb2afc8eda9ca2bc86d5e7eb39030d6e0b28f57a5529bc56c255f17"/>
    <x v="1"/>
    <x v="0"/>
    <s v="Miércoles"/>
    <x v="8"/>
    <s v="DR"/>
    <x v="1"/>
    <n v="3952"/>
    <s v="02/09/2026 18:11:53"/>
    <s v="18:00"/>
    <d v="1899-12-30T00:11:53"/>
    <x v="1"/>
    <s v="02/09/2026 22:18:33"/>
    <s v="00:00"/>
    <d v="1899-12-30T01:41:27"/>
    <x v="1"/>
    <d v="1899-12-30T04:06:40"/>
    <n v="61.189"/>
    <n v="18.52"/>
    <d v="1899-12-30T03:18:16"/>
    <d v="1899-12-30T01:08:06"/>
    <d v="1899-12-30T00:00:00"/>
    <n v="0"/>
    <n v="0"/>
    <n v="0"/>
    <n v="0"/>
    <n v="0"/>
    <n v="0"/>
    <s v="INICIO CUMPLE / FIN ANTICIPADO"/>
    <s v="Inicio GPS dentro de la tolerancia del horario programado.; Fin GPS anticipado: 01:41:27 antes de las 00:00."/>
  </r>
  <r>
    <s v="45a7c46fc3c306c6"/>
    <s v="02_09_2026_DV_Noct.gpx"/>
    <s v="45a7c46fc3c306c652329ef3d7cb3309615d12444d4bdc0fd51cf66b1f44471c"/>
    <x v="1"/>
    <x v="0"/>
    <s v="Miércoles"/>
    <x v="9"/>
    <s v="DV"/>
    <x v="1"/>
    <n v="4654"/>
    <s v="02/09/2026 17:20:30"/>
    <s v="18:00"/>
    <d v="1899-12-30T00:39:30"/>
    <x v="2"/>
    <s v="03/09/2026 00:25:50"/>
    <s v="00:00"/>
    <d v="1899-12-30T00:25:50"/>
    <x v="2"/>
    <d v="1899-12-30T07:05:20"/>
    <n v="59.173000000000002"/>
    <n v="11.07"/>
    <d v="1899-12-30T05:20:43"/>
    <d v="1899-12-30T02:13:02"/>
    <d v="1899-12-30T00:00:00"/>
    <n v="0"/>
    <n v="0"/>
    <n v="0"/>
    <n v="0"/>
    <n v="0"/>
    <n v="0"/>
    <s v="FIN POSTERIOR"/>
    <s v="Inicio GPS anterior al horario: 00:39:30 antes de las 18:00.; Fin GPS posterior: 00:25:50 después de las 00:00."/>
  </r>
  <r>
    <s v="055a8d87bc74b761"/>
    <s v="02_09_2026_IQ_Noct.gpx"/>
    <s v="055a8d87bc74b761029634d8cf91caeeee6e873376a0ad528e0375bfa62b3fac"/>
    <x v="1"/>
    <x v="0"/>
    <s v="Miércoles"/>
    <x v="10"/>
    <s v="IQ"/>
    <x v="1"/>
    <n v="1814"/>
    <s v="02/09/2026 18:08:57"/>
    <s v="18:00"/>
    <d v="1899-12-30T00:08:57"/>
    <x v="1"/>
    <s v="02/09/2026 23:54:06"/>
    <s v="00:00"/>
    <d v="1899-12-30T00:05:54"/>
    <x v="0"/>
    <d v="1899-12-30T05:45:09"/>
    <n v="25.899000000000001"/>
    <n v="13.01"/>
    <d v="1899-12-30T01:59:25"/>
    <d v="1899-12-30T01:18:35"/>
    <d v="1899-12-30T00:00:00"/>
    <n v="0"/>
    <n v="0"/>
    <n v="0"/>
    <n v="0"/>
    <n v="0"/>
    <n v="3"/>
    <s v="DENTRO DE HORARIO"/>
    <s v="Inicio GPS dentro de la tolerancia del horario programado.; Fin GPS dentro de la tolerancia del horario programado.; 3 hueco(s) GPS &gt;= 10 min."/>
  </r>
  <r>
    <s v="cc7ab99667e68d26"/>
    <s v="02_09_2026_JHP_Noct.gpx"/>
    <s v="cc7ab99667e68d26e88ffb424e0be1a2bdafb88c508a6fe227810c9165dd553c"/>
    <x v="1"/>
    <x v="0"/>
    <s v="Miércoles"/>
    <x v="11"/>
    <s v="JHP"/>
    <x v="1"/>
    <n v="4148"/>
    <s v="02/09/2026 19:52:29"/>
    <s v="18:00"/>
    <d v="1899-12-30T01:52:29"/>
    <x v="0"/>
    <s v="02/09/2026 23:35:11"/>
    <s v="00:00"/>
    <d v="1899-12-30T00:24:49"/>
    <x v="1"/>
    <d v="1899-12-30T03:42:42"/>
    <n v="55.295000000000002"/>
    <n v="18.190000000000001"/>
    <d v="1899-12-30T03:02:22"/>
    <d v="1899-12-30T00:40:20"/>
    <d v="1899-12-30T00:00:00"/>
    <n v="0"/>
    <n v="0"/>
    <n v="0"/>
    <n v="0"/>
    <n v="0"/>
    <n v="0"/>
    <s v="INICIO TARDÍO / FIN ANTICIPADO"/>
    <s v="Inicio GPS tardío: 01:52:29 después de las 18:00.; Fin GPS anticipado: 00:24:49 antes de las 00:00."/>
  </r>
  <r>
    <s v="1aaedffd7a302187"/>
    <s v="02_09_2026_JP_Noct.gpx"/>
    <s v="1aaedffd7a3021873504970c757383695d2ab4d79124ed87f9259d5f2c12b400"/>
    <x v="1"/>
    <x v="0"/>
    <s v="Miércoles"/>
    <x v="12"/>
    <s v="JP"/>
    <x v="1"/>
    <n v="1556"/>
    <s v="02/09/2026 17:05:57"/>
    <s v="18:00"/>
    <d v="1899-12-30T00:54:03"/>
    <x v="2"/>
    <s v="02/09/2026 22:02:31"/>
    <s v="00:00"/>
    <d v="1899-12-30T01:57:29"/>
    <x v="1"/>
    <d v="1899-12-30T04:56:34"/>
    <n v="19.588999999999999"/>
    <n v="7.66"/>
    <d v="1899-12-30T02:33:21"/>
    <d v="1899-12-30T01:57:06"/>
    <d v="1899-12-30T00:00:00"/>
    <n v="0"/>
    <n v="0"/>
    <n v="0"/>
    <n v="0"/>
    <n v="0"/>
    <n v="0"/>
    <s v="REVISAR"/>
    <s v="Inicio GPS anterior al horario: 00:54:03 antes de las 18:00.; Fin GPS anticipado: 01:57:29 antes de las 00:00."/>
  </r>
  <r>
    <s v="32a9897bd9ba22d5"/>
    <s v="02_09_2026_LA_Noct.gpx"/>
    <s v="32a9897bd9ba22d51dd896725dc28d4a353846ff850fe8fa63981303fedf77d7"/>
    <x v="1"/>
    <x v="0"/>
    <s v="Miércoles"/>
    <x v="13"/>
    <s v="LA"/>
    <x v="1"/>
    <n v="12439"/>
    <s v="02/09/2026 17:37:12"/>
    <s v="18:00"/>
    <d v="1899-12-30T00:22:48"/>
    <x v="2"/>
    <s v="03/09/2026 00:19:26"/>
    <s v="00:00"/>
    <d v="1899-12-30T00:19:26"/>
    <x v="2"/>
    <d v="1899-12-30T06:42:13"/>
    <n v="60.595999999999997"/>
    <n v="15.14"/>
    <d v="1899-12-30T04:00:09"/>
    <d v="1899-12-30T02:38:18"/>
    <d v="1899-12-30T00:00:00"/>
    <n v="0"/>
    <n v="0"/>
    <n v="0"/>
    <n v="0"/>
    <n v="0"/>
    <n v="2"/>
    <s v="FIN POSTERIOR"/>
    <s v="Inicio GPS anterior al horario: 00:22:48 antes de las 18:00.; Fin GPS posterior: 00:19:26 después de las 00:00.; 2 hueco(s) GPS &gt;= 10 min."/>
  </r>
  <r>
    <s v="6c4d43da6790c964"/>
    <s v="03_09_2026_AO_Diur.gpx"/>
    <s v="6c4d43da6790c9648972d84a378dddc5cb6cd96b9d24ac60c59862b4eeb22708"/>
    <x v="2"/>
    <x v="0"/>
    <s v="Jueves"/>
    <x v="0"/>
    <s v="AO"/>
    <x v="0"/>
    <n v="7043"/>
    <s v="03/09/2026 08:52:50"/>
    <s v="08:30"/>
    <d v="1899-12-30T00:22:51"/>
    <x v="0"/>
    <s v="03/09/2026 16:41:47"/>
    <s v="16:30"/>
    <d v="1899-12-30T00:11:48"/>
    <x v="0"/>
    <d v="1899-12-30T07:48:57"/>
    <n v="46.478999999999999"/>
    <n v="13.78"/>
    <d v="1899-12-30T03:22:26"/>
    <d v="1899-12-30T01:58:42"/>
    <d v="1899-12-30T00:00:00"/>
    <n v="0"/>
    <n v="0"/>
    <n v="0"/>
    <n v="0"/>
    <n v="0"/>
    <n v="5"/>
    <s v="INICIO TARDÍO / FIN CUMPLE"/>
    <s v="Inicio GPS tardío: 00:22:51 después de las 08:30.; Fin GPS dentro de la tolerancia del horario programado.; 5 hueco(s) GPS &gt;= 10 min."/>
  </r>
  <r>
    <s v="822239f48279266f"/>
    <s v="03_09_2026_AR_Diur.gpx"/>
    <s v="822239f48279266f3ac639a3e69207718138f0e17d5b3502a6af9343e483dd25"/>
    <x v="2"/>
    <x v="0"/>
    <s v="Jueves"/>
    <x v="1"/>
    <s v="AR"/>
    <x v="0"/>
    <n v="3948"/>
    <s v="03/09/2026 08:42:44"/>
    <s v="08:30"/>
    <d v="1899-12-30T00:12:44"/>
    <x v="1"/>
    <s v="03/09/2026 16:31:45"/>
    <s v="16:30"/>
    <d v="1899-12-30T00:01:45"/>
    <x v="0"/>
    <d v="1899-12-30T07:49:01"/>
    <n v="51.637"/>
    <n v="8.9600000000000009"/>
    <d v="1899-12-30T05:45:58"/>
    <d v="1899-12-30T03:15:51"/>
    <d v="1899-12-30T00:00:00"/>
    <n v="0"/>
    <n v="0"/>
    <n v="0"/>
    <n v="0"/>
    <n v="0"/>
    <n v="1"/>
    <s v="DENTRO DE HORARIO"/>
    <s v="Inicio GPS dentro de la tolerancia del horario programado.; Fin GPS dentro de la tolerancia del horario programado.; 1 hueco(s) GPS &gt;= 10 min."/>
  </r>
  <r>
    <s v="743b57c8175b2ab0"/>
    <s v="03_09_2026_JA_Diur.gpx"/>
    <s v="743b57c8175b2ab0d878ae09f329131b91c94317f74f19c1de62349a45f89c44"/>
    <x v="2"/>
    <x v="0"/>
    <s v="Jueves"/>
    <x v="3"/>
    <s v="JA"/>
    <x v="0"/>
    <n v="3751"/>
    <s v="03/09/2026 08:12:05"/>
    <s v="08:30"/>
    <d v="1899-12-30T00:17:55"/>
    <x v="2"/>
    <s v="03/09/2026 12:45:30"/>
    <s v="16:30"/>
    <d v="1899-12-30T03:44:30"/>
    <x v="1"/>
    <d v="1899-12-30T04:33:25"/>
    <n v="51.040999999999997"/>
    <n v="15.56"/>
    <d v="1899-12-30T03:16:47"/>
    <d v="1899-12-30T01:18:45"/>
    <d v="1899-12-30T00:00:00"/>
    <n v="0"/>
    <n v="0"/>
    <n v="0"/>
    <n v="0"/>
    <n v="0"/>
    <n v="0"/>
    <s v="REVISAR"/>
    <s v="Inicio GPS anterior al horario: 00:17:55 antes de las 08:30.; Fin GPS anticipado: 03:44:30 antes de las 16:30."/>
  </r>
  <r>
    <s v="b4e38e6c48aedbb0"/>
    <s v="03_09_2026_JO_Diur.gpx"/>
    <s v="b4e38e6c48aedbb0538e19d4f4ba428816cdaa62bafb88b421d661289a1e6ed2"/>
    <x v="2"/>
    <x v="0"/>
    <s v="Jueves"/>
    <x v="4"/>
    <s v="JO"/>
    <x v="0"/>
    <n v="7699"/>
    <s v="03/09/2026 08:31:24"/>
    <s v="08:30"/>
    <d v="1899-12-30T00:01:25"/>
    <x v="1"/>
    <s v="03/09/2026 16:30:57"/>
    <s v="16:30"/>
    <d v="1899-12-30T00:00:58"/>
    <x v="0"/>
    <d v="1899-12-30T07:59:33"/>
    <n v="51.274999999999999"/>
    <n v="37.32"/>
    <d v="1899-12-30T01:22:26"/>
    <d v="1899-12-30T00:06:44"/>
    <d v="1899-12-30T00:00:00"/>
    <n v="0"/>
    <n v="0"/>
    <n v="0"/>
    <n v="0"/>
    <n v="0"/>
    <n v="13"/>
    <s v="DENTRO DE HORARIO"/>
    <s v="Inicio GPS dentro de la tolerancia del horario programado.; Fin GPS dentro de la tolerancia del horario programado.; 13 hueco(s) GPS &gt;= 10 min."/>
  </r>
  <r>
    <s v="4dedbf53cedf50ca"/>
    <s v="03_09_2026_JZ_Diun2.gpx"/>
    <s v="4dedbf53cedf50cafc487378b7df12a1fa9a8335dcb35aaba49acc5599b72c35"/>
    <x v="2"/>
    <x v="0"/>
    <s v="Jueves"/>
    <x v="5"/>
    <s v="JZ"/>
    <x v="0"/>
    <n v="2620"/>
    <s v="03/09/2026 13:38:45"/>
    <s v="18:00"/>
    <d v="1899-12-30T04:21:15"/>
    <x v="2"/>
    <s v="03/09/2026 16:26:27"/>
    <s v="00:00"/>
    <d v="1899-12-30T07:33:33"/>
    <x v="1"/>
    <d v="1899-12-30T02:47:42"/>
    <n v="33.488"/>
    <n v="16.559999999999999"/>
    <d v="1899-12-30T02:01:19"/>
    <d v="1899-12-30T00:33:00"/>
    <d v="1899-12-30T00:00:00"/>
    <n v="0"/>
    <n v="0"/>
    <n v="0"/>
    <n v="0"/>
    <n v="0"/>
    <n v="0"/>
    <s v="REVISAR"/>
    <s v="Inicio GPS anterior al horario: 04:21:15 antes de las 18:00.; Fin GPS anticipado: 07:33:33 antes de las 00:00."/>
  </r>
  <r>
    <s v="fbe86ca39f48efb4"/>
    <s v="03_09_2026_JZ_Diurn1.gpx"/>
    <s v="fbe86ca39f48efb4c8cea5fb0c7fea638f508f6240dc6b2496aad8d34a4e4d08"/>
    <x v="2"/>
    <x v="0"/>
    <s v="Jueves"/>
    <x v="5"/>
    <s v="JZ"/>
    <x v="0"/>
    <n v="3960"/>
    <s v="03/09/2026 08:13:10"/>
    <s v="08:30"/>
    <d v="1899-12-30T00:16:50"/>
    <x v="2"/>
    <s v="03/09/2026 13:34:27"/>
    <s v="16:30"/>
    <d v="1899-12-30T02:55:33"/>
    <x v="1"/>
    <d v="1899-12-30T05:21:17"/>
    <n v="49.508000000000003"/>
    <n v="12.04"/>
    <d v="1899-12-30T04:06:40"/>
    <d v="1899-12-30T01:25:53"/>
    <d v="1899-12-30T00:00:00"/>
    <n v="0"/>
    <n v="0"/>
    <n v="0"/>
    <n v="0"/>
    <n v="0"/>
    <n v="0"/>
    <s v="REVISAR"/>
    <s v="Inicio GPS anterior al horario: 00:16:50 antes de las 08:30.; Fin GPS anticipado: 02:55:33 antes de las 16:30."/>
  </r>
  <r>
    <s v="e6ac8c8844d3c867"/>
    <s v="03_09_2026_SJ_Diur.gpx"/>
    <s v="e6ac8c8844d3c867877e751eeadfaab706870248195f9f2622d285d6036c2fde"/>
    <x v="2"/>
    <x v="0"/>
    <s v="Jueves"/>
    <x v="6"/>
    <s v="SJ"/>
    <x v="0"/>
    <n v="1887"/>
    <s v="03/09/2026 08:27:21"/>
    <s v="08:30"/>
    <d v="1899-12-30T00:02:39"/>
    <x v="1"/>
    <s v="03/09/2026 16:39:46"/>
    <s v="16:30"/>
    <d v="1899-12-30T00:09:46"/>
    <x v="0"/>
    <d v="1899-12-30T08:12:25"/>
    <n v="24.088999999999999"/>
    <n v="5.84"/>
    <d v="1899-12-30T04:07:21"/>
    <d v="1899-12-30T03:12:43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</r>
  <r>
    <s v="85553d7e7a054529"/>
    <s v="03_09_2026_YL_Diur.gpx"/>
    <s v="85553d7e7a054529c3e91ddc681b52a7e7aca3a9b9029cf564b8bad6980a1bb4"/>
    <x v="2"/>
    <x v="0"/>
    <s v="Jueves"/>
    <x v="7"/>
    <s v="YL"/>
    <x v="0"/>
    <n v="2300"/>
    <s v="03/09/2026 10:12:22"/>
    <s v="08:30"/>
    <d v="1899-12-30T01:42:22"/>
    <x v="0"/>
    <s v="03/09/2026 16:24:55"/>
    <s v="16:30"/>
    <d v="1899-12-30T00:05:05"/>
    <x v="0"/>
    <d v="1899-12-30T06:12:33"/>
    <n v="28.867999999999999"/>
    <n v="10.38"/>
    <d v="1899-12-30T02:46:51"/>
    <d v="1899-12-30T01:37:21"/>
    <d v="1899-12-30T00:00:00"/>
    <n v="0"/>
    <n v="0"/>
    <n v="0"/>
    <n v="0"/>
    <n v="0"/>
    <n v="0"/>
    <s v="INICIO TARDÍO / FIN CUMPLE"/>
    <s v="Inicio GPS tardío: 01:42:22 después de las 08:30.; Fin GPS dentro de la tolerancia del horario programado."/>
  </r>
  <r>
    <n v="1"/>
    <s v="03_09_2026_HC_Diur.gpx"/>
    <s v="4b994fffa339abf9fcb70e82534a202656064aeb861bca137cd94c71d5fa997f"/>
    <x v="2"/>
    <x v="0"/>
    <s v="Viernes"/>
    <x v="2"/>
    <s v="HC"/>
    <x v="0"/>
    <n v="6378"/>
    <d v="2026-09-03T08:29:19"/>
    <s v="08:30"/>
    <d v="1899-12-30T00:00:41"/>
    <x v="1"/>
    <d v="2026-09-03T14:43:56"/>
    <s v="16:30"/>
    <d v="1899-12-30T01:46:04"/>
    <x v="1"/>
    <d v="1899-12-30T06:14:37"/>
    <n v="69.915000000000006"/>
    <n v="55.058999999999997"/>
    <d v="1899-12-30T04:11:36"/>
    <d v="1899-12-30T01:19:12"/>
    <d v="1899-12-30T00:00:00"/>
    <n v="0"/>
    <n v="0"/>
    <n v="0"/>
    <n v="0"/>
    <n v="0"/>
    <n v="1"/>
    <s v="REVISAR GPX"/>
    <s v="REVISAR GPX SIN TIMESTAMP"/>
  </r>
  <r>
    <s v="9129a7b7af86fe7d"/>
    <s v="03_09_2026_DR_Noct.gpx"/>
    <s v="9129a7b7af86fe7d5f77a4e3858f4b975baa811eae0d665c971e7d686591fd9b"/>
    <x v="2"/>
    <x v="0"/>
    <s v="Jueves"/>
    <x v="8"/>
    <s v="DR"/>
    <x v="1"/>
    <n v="3274"/>
    <s v="03/09/2026 18:03:55"/>
    <s v="18:00"/>
    <d v="1899-12-30T00:03:55"/>
    <x v="1"/>
    <s v="04/09/2026 02:13:30"/>
    <s v="00:00"/>
    <d v="1899-12-30T02:13:30"/>
    <x v="2"/>
    <d v="1899-12-30T08:09:35"/>
    <n v="51.040999999999997"/>
    <n v="7.88"/>
    <d v="1899-12-30T06:28:44"/>
    <d v="1899-12-30T04:50:38"/>
    <d v="1899-12-30T00:00:00"/>
    <n v="0"/>
    <n v="0"/>
    <n v="0"/>
    <n v="0"/>
    <n v="0"/>
    <n v="1"/>
    <s v="FIN POSTERIOR"/>
    <s v="Inicio GPS dentro de la tolerancia del horario programado.; Fin GPS posterior: 02:13:30 después de las 00:00.; 1 hueco(s) GPS &gt;= 10 min."/>
  </r>
  <r>
    <s v="57550da3425da14a"/>
    <s v="03_09_2026_DV_Noct1.gpx"/>
    <s v="57550da3425da14a9fb02a5f0ce724964e361fbef1d222c694f43b1e5ce64f04"/>
    <x v="2"/>
    <x v="0"/>
    <s v="Jueves"/>
    <x v="9"/>
    <s v="DV"/>
    <x v="1"/>
    <n v="593"/>
    <s v="03/09/2026 23:30:35"/>
    <s v="18:00"/>
    <d v="1899-12-30T05:30:35"/>
    <x v="0"/>
    <s v="04/09/2026 00:11:44"/>
    <s v="00:00"/>
    <d v="1899-12-30T00:11:44"/>
    <x v="0"/>
    <d v="1899-12-30T00:41:09"/>
    <n v="7.2619999999999996"/>
    <n v="11.22"/>
    <d v="1899-12-30T00:38:50"/>
    <d v="1899-12-30T00:12:34"/>
    <d v="1899-12-30T00:00:00"/>
    <n v="0"/>
    <n v="0"/>
    <n v="0"/>
    <n v="0"/>
    <n v="0"/>
    <n v="0"/>
    <s v="INICIO TARDÍO / FIN CUMPLE"/>
    <s v="Inicio GPS tardío: 05:30:35 después de las 18:00.; Fin GPS dentro de la tolerancia del horario programado."/>
  </r>
  <r>
    <s v="d17c59d546d93f1e"/>
    <s v="03_09_2026_DV_Noct2.gpx"/>
    <s v="d17c59d546d93f1e9ade3caf58317ffac88215056b8d8021d1b251fb79741c8b"/>
    <x v="2"/>
    <x v="0"/>
    <s v="Jueves"/>
    <x v="9"/>
    <s v="DV"/>
    <x v="1"/>
    <n v="3229"/>
    <s v="03/09/2026 17:04:15"/>
    <s v="18:00"/>
    <d v="1899-12-30T00:55:45"/>
    <x v="2"/>
    <s v="03/09/2026 23:27:48"/>
    <s v="00:00"/>
    <d v="1899-12-30T00:32:12"/>
    <x v="1"/>
    <d v="1899-12-30T06:23:33"/>
    <n v="40.777000000000001"/>
    <n v="9.7799999999999994"/>
    <d v="1899-12-30T04:10:17"/>
    <d v="1899-12-30T01:49:35"/>
    <d v="1899-12-30T00:00:00"/>
    <n v="0"/>
    <n v="0"/>
    <n v="0"/>
    <n v="0"/>
    <n v="0"/>
    <n v="0"/>
    <s v="REVISAR"/>
    <s v="Inicio GPS anterior al horario: 00:55:45 antes de las 18:00.; Fin GPS anticipado: 00:32:12 antes de las 00:00."/>
  </r>
  <r>
    <s v="37f2f45d2f373537"/>
    <s v="03_09_2026_IQ_Noct.gpx"/>
    <s v="37f2f45d2f373537f9e8ef2c71c7754d9c1f586a88e1aa69978910a1d4271af7"/>
    <x v="2"/>
    <x v="0"/>
    <s v="Jueves"/>
    <x v="10"/>
    <s v="IQ"/>
    <x v="1"/>
    <n v="962"/>
    <s v="03/09/2026 17:24:11"/>
    <s v="18:00"/>
    <d v="1899-12-30T00:35:49"/>
    <x v="2"/>
    <s v="03/09/2026 23:42:15"/>
    <s v="00:00"/>
    <d v="1899-12-30T00:17:45"/>
    <x v="1"/>
    <d v="1899-12-30T06:18:04"/>
    <n v="25.725999999999999"/>
    <n v="17.23"/>
    <d v="1899-12-30T01:29:34"/>
    <d v="1899-12-30T00:55:52"/>
    <d v="1899-12-30T00:00:00"/>
    <n v="0"/>
    <n v="0"/>
    <n v="0"/>
    <n v="0"/>
    <n v="0"/>
    <n v="5"/>
    <s v="REVISAR"/>
    <s v="Inicio GPS anterior al horario: 00:35:49 antes de las 18:00.; Fin GPS anticipado: 00:17:45 antes de las 00:00.; 5 hueco(s) GPS &gt;= 10 min."/>
  </r>
  <r>
    <s v="3c7cdaa26d0ad43f"/>
    <s v="03_09_2026_JHP_Noct.gpx"/>
    <s v="3c7cdaa26d0ad43f434937fe091104471925c2d9fda3ec33f13118ffae02cb61"/>
    <x v="2"/>
    <x v="0"/>
    <s v="Jueves"/>
    <x v="11"/>
    <s v="JHP"/>
    <x v="1"/>
    <n v="6740"/>
    <s v="03/09/2026 17:01:16"/>
    <s v="18:00"/>
    <d v="1899-12-30T00:58:44"/>
    <x v="2"/>
    <s v="04/09/2026 00:07:11"/>
    <s v="00:00"/>
    <d v="1899-12-30T00:07:11"/>
    <x v="0"/>
    <d v="1899-12-30T07:05:55"/>
    <n v="88.825000000000003"/>
    <n v="16.39"/>
    <d v="1899-12-30T05:25:05"/>
    <d v="1899-12-30T01:26:51"/>
    <d v="1899-12-30T00:00:00"/>
    <n v="0"/>
    <n v="0"/>
    <n v="0"/>
    <n v="0"/>
    <n v="0"/>
    <n v="0"/>
    <s v="REVISAR"/>
    <s v="Inicio GPS anterior al horario: 00:58:44 antes de las 18:00.; Fin GPS dentro de la tolerancia del horario programado."/>
  </r>
  <r>
    <s v="976bfdee80529c97"/>
    <s v="03_09_2026_JP_Noct.gpx"/>
    <s v="976bfdee80529c9790fe9c692739451bb06d88f0b067e15343226781092db1f3"/>
    <x v="2"/>
    <x v="0"/>
    <s v="Jueves"/>
    <x v="12"/>
    <s v="JP"/>
    <x v="1"/>
    <n v="2238"/>
    <s v="03/09/2026 16:53:44"/>
    <s v="18:00"/>
    <d v="1899-12-30T01:06:16"/>
    <x v="2"/>
    <s v="03/09/2026 22:19:58"/>
    <s v="00:00"/>
    <d v="1899-12-30T01:40:02"/>
    <x v="1"/>
    <d v="1899-12-30T05:26:14"/>
    <n v="29.141999999999999"/>
    <n v="7.43"/>
    <d v="1899-12-30T03:55:29"/>
    <d v="1899-12-30T02:39:45"/>
    <d v="1899-12-30T00:00:00"/>
    <n v="0"/>
    <n v="0"/>
    <n v="0"/>
    <n v="0"/>
    <n v="0"/>
    <n v="0"/>
    <s v="REVISAR"/>
    <s v="Inicio GPS anterior al horario: 01:06:16 antes de las 18:00.; Fin GPS anticipado: 01:40:02 antes de las 00:00."/>
  </r>
  <r>
    <s v="a775905739524cf4"/>
    <s v="03_09_2026_LA_Noct.gpx"/>
    <s v="a775905739524cf4e8be5c8ad5da4a79f7b5dfb2746344f93380c32b658f7099"/>
    <x v="2"/>
    <x v="0"/>
    <s v="Jueves"/>
    <x v="13"/>
    <s v="LA"/>
    <x v="1"/>
    <n v="10166"/>
    <s v="03/09/2026 16:45:51"/>
    <s v="18:00"/>
    <d v="1899-12-30T01:14:08"/>
    <x v="2"/>
    <s v="04/09/2026 00:13:06"/>
    <s v="00:00"/>
    <d v="1899-12-30T00:13:07"/>
    <x v="0"/>
    <d v="1899-12-30T07:27:15"/>
    <n v="52.485999999999997"/>
    <n v="11.53"/>
    <d v="1899-12-30T04:33:14"/>
    <d v="1899-12-30T03:37:03"/>
    <d v="1899-12-30T00:00:00"/>
    <n v="0"/>
    <n v="0"/>
    <n v="0"/>
    <n v="0"/>
    <n v="0"/>
    <n v="4"/>
    <s v="REVISAR"/>
    <s v="Inicio GPS anterior al horario: 01:14:08 antes de las 18:00.; Fin GPS dentro de la tolerancia del horario programado.; 4 hueco(s) GPS &gt;= 10 min."/>
  </r>
  <r>
    <s v="67f0081e17a28d28"/>
    <s v="04_09_2026_AO_Diur.gpx"/>
    <s v="67f0081e17a28d28d745dd196038bd02e7133edc3406bb34b19014fe55daea65"/>
    <x v="3"/>
    <x v="0"/>
    <s v="Viernes"/>
    <x v="0"/>
    <s v="AO"/>
    <x v="0"/>
    <n v="7869"/>
    <s v="04/09/2026 07:50:24"/>
    <s v="08:30"/>
    <d v="1899-12-30T00:39:36"/>
    <x v="2"/>
    <s v="04/09/2026 15:53:01"/>
    <s v="16:00"/>
    <d v="1899-12-30T00:06:59"/>
    <x v="0"/>
    <d v="1899-12-30T08:02:37"/>
    <n v="41.305999999999997"/>
    <n v="11.28"/>
    <d v="1899-12-30T03:39:45"/>
    <d v="1899-12-30T02:29:00"/>
    <d v="1899-12-30T00:00:00"/>
    <n v="0"/>
    <n v="0"/>
    <n v="0"/>
    <n v="0"/>
    <n v="0"/>
    <n v="6"/>
    <s v="REVISAR"/>
    <s v="Inicio GPS anterior al horario: 00:39:36 antes de las 08:30.; Fin GPS dentro de la tolerancia del horario programado.; 6 hueco(s) GPS &gt;= 10 min."/>
  </r>
  <r>
    <s v="9615b5f9340fc1d9"/>
    <s v="04_09_2026_AR_Diur.gpx"/>
    <s v="9615b5f9340fc1d991a73c5f3e443a88cf132ac7e10922c86a3fcfbbc4ef37e1"/>
    <x v="3"/>
    <x v="0"/>
    <s v="Viernes"/>
    <x v="1"/>
    <s v="AR"/>
    <x v="0"/>
    <n v="4173"/>
    <s v="04/09/2026 08:13:49"/>
    <s v="08:30"/>
    <d v="1899-12-30T00:16:11"/>
    <x v="2"/>
    <s v="04/09/2026 15:29:13"/>
    <s v="16:00"/>
    <d v="1899-12-30T00:30:47"/>
    <x v="1"/>
    <d v="1899-12-30T07:15:24"/>
    <n v="52.353999999999999"/>
    <n v="8.91"/>
    <d v="1899-12-30T05:52:43"/>
    <d v="1899-12-30T03:17:50"/>
    <d v="1899-12-30T00:00:00"/>
    <n v="0"/>
    <n v="0"/>
    <n v="0"/>
    <n v="0"/>
    <n v="0"/>
    <n v="2"/>
    <s v="REVISAR"/>
    <s v="Inicio GPS anterior al horario: 00:16:11 antes de las 08:30.; Fin GPS anticipado: 00:30:47 antes de las 16:00.; 2 hueco(s) GPS &gt;= 10 min."/>
  </r>
  <r>
    <s v="15606f86181ba976"/>
    <s v="04_09_2026_HC_Diur.gpx"/>
    <s v="15606f86181ba976bbf7360fa1a9da147bd167abd2b5f826852979079eff5ee2"/>
    <x v="3"/>
    <x v="0"/>
    <s v="Viernes"/>
    <x v="2"/>
    <s v="HC"/>
    <x v="0"/>
    <n v="4051"/>
    <s v="04/09/2026 08:28:14"/>
    <s v="08:30"/>
    <d v="1899-12-30T00:01:46"/>
    <x v="1"/>
    <s v="04/09/2026 14:16:29"/>
    <s v="16:00"/>
    <d v="1899-12-30T01:43:31"/>
    <x v="1"/>
    <d v="1899-12-30T05:48:15"/>
    <n v="51.945"/>
    <n v="13.13"/>
    <d v="1899-12-30T03:57:20"/>
    <d v="1899-12-30T01:39:14"/>
    <d v="1899-12-30T00:00:00"/>
    <n v="0"/>
    <n v="0"/>
    <n v="0"/>
    <n v="0"/>
    <n v="0"/>
    <n v="0"/>
    <s v="INICIO CUMPLE / FIN ANTICIPADO"/>
    <s v="Inicio GPS dentro de la tolerancia del horario programado.; Fin GPS anticipado: 01:43:31 antes de las 16:00."/>
  </r>
  <r>
    <s v="30294c7323b53f87"/>
    <s v="04_09_2026_JA_Diur.gpx"/>
    <s v="30294c7323b53f877b2f60ef26ad4ab4bd9955ef33bc286850a5410f92aee2cb"/>
    <x v="3"/>
    <x v="0"/>
    <s v="Viernes"/>
    <x v="3"/>
    <s v="JA"/>
    <x v="0"/>
    <n v="2454"/>
    <s v="04/09/2026 10:40:12"/>
    <s v="08:30"/>
    <d v="1899-12-30T02:10:12"/>
    <x v="0"/>
    <s v="04/09/2026 12:37:08"/>
    <s v="16:00"/>
    <d v="1899-12-30T03:22:52"/>
    <x v="1"/>
    <d v="1899-12-30T01:56:56"/>
    <n v="33.722000000000001"/>
    <n v="18.940000000000001"/>
    <d v="1899-12-30T01:46:51"/>
    <d v="1899-12-30T00:33:11"/>
    <d v="1899-12-30T00:00:00"/>
    <n v="0"/>
    <n v="0"/>
    <n v="0"/>
    <n v="0"/>
    <n v="0"/>
    <n v="0"/>
    <s v="INICIO TARDÍO / FIN ANTICIPADO"/>
    <s v="Inicio GPS tardío: 02:10:12 después de las 08:30.; Fin GPS anticipado: 03:22:52 antes de las 16:00."/>
  </r>
  <r>
    <s v="369bcd10a8aa24b4"/>
    <s v="04_09_2026_JO_Diur.gpx"/>
    <s v="369bcd10a8aa24b4ac1b3f642e1851b4fba02eb337d72fba41076e4cf4ca444b"/>
    <x v="3"/>
    <x v="0"/>
    <s v="Viernes"/>
    <x v="4"/>
    <s v="JO"/>
    <x v="0"/>
    <n v="6851"/>
    <s v="04/09/2026 08:11:44"/>
    <s v="08:30"/>
    <d v="1899-12-30T00:18:15"/>
    <x v="2"/>
    <s v="04/09/2026 16:01:38"/>
    <s v="16:00"/>
    <d v="1899-12-30T00:01:38"/>
    <x v="0"/>
    <d v="1899-12-30T07:49:54"/>
    <n v="48.073999999999998"/>
    <n v="12.47"/>
    <d v="1899-12-30T03:51:18"/>
    <d v="1899-12-30T02:34:02"/>
    <d v="1899-12-30T00:00:00"/>
    <n v="0"/>
    <n v="0"/>
    <n v="0"/>
    <n v="0"/>
    <n v="0"/>
    <n v="13"/>
    <s v="REVISAR"/>
    <s v="Inicio GPS anterior al horario: 00:18:15 antes de las 08:30.; Fin GPS dentro de la tolerancia del horario programado.; 13 hueco(s) GPS &gt;= 10 min."/>
  </r>
  <r>
    <s v="8bba77db5a7b9e67"/>
    <s v="04_09_2026_SJ_Diur.gpx"/>
    <s v="8bba77db5a7b9e670382bf6826a206f7f71b325fe4944b5410d50c68a13bf176"/>
    <x v="3"/>
    <x v="0"/>
    <s v="Viernes"/>
    <x v="6"/>
    <s v="SJ"/>
    <x v="0"/>
    <n v="2339"/>
    <s v="04/09/2026 08:31:52"/>
    <s v="08:30"/>
    <d v="1899-12-30T00:01:52"/>
    <x v="1"/>
    <s v="04/09/2026 13:57:07"/>
    <s v="16:00"/>
    <d v="1899-12-30T02:02:53"/>
    <x v="1"/>
    <d v="1899-12-30T05:25:15"/>
    <n v="31.079000000000001"/>
    <n v="8.7100000000000009"/>
    <d v="1899-12-30T03:34:01"/>
    <d v="1899-12-30T02:20:28"/>
    <d v="1899-12-30T00:00:00"/>
    <n v="0"/>
    <n v="0"/>
    <n v="0"/>
    <n v="0"/>
    <n v="0"/>
    <n v="0"/>
    <s v="INICIO CUMPLE / FIN ANTICIPADO"/>
    <s v="Inicio GPS dentro de la tolerancia del horario programado.; Fin GPS anticipado: 02:02:53 antes de las 16:00."/>
  </r>
  <r>
    <s v="21e99cb3ea7ab02e"/>
    <s v="04_09_2026_YL_Diur.gpx"/>
    <s v="21e99cb3ea7ab02ed5c3713154f284943d4ff90d25d96e17f15687e3f1d9068c"/>
    <x v="3"/>
    <x v="0"/>
    <s v="Viernes"/>
    <x v="7"/>
    <s v="YL"/>
    <x v="0"/>
    <n v="1557"/>
    <s v="04/09/2026 08:31:28"/>
    <s v="08:30"/>
    <d v="1899-12-30T00:01:28"/>
    <x v="1"/>
    <s v="04/09/2026 12:54:28"/>
    <s v="16:00"/>
    <d v="1899-12-30T03:05:32"/>
    <x v="1"/>
    <d v="1899-12-30T04:23:00"/>
    <n v="20.120999999999999"/>
    <n v="7.44"/>
    <d v="1899-12-30T02:42:10"/>
    <d v="1899-12-30T01:49:30"/>
    <d v="1899-12-30T00:00:00"/>
    <n v="0"/>
    <n v="0"/>
    <n v="0"/>
    <n v="0"/>
    <n v="0"/>
    <n v="0"/>
    <s v="INICIO CUMPLE / FIN ANTICIPADO"/>
    <s v="Inicio GPS dentro de la tolerancia del horario programado.; Fin GPS anticipado: 03:05:32 antes de las 16:00."/>
  </r>
  <r>
    <s v="a3f85936935b2bce"/>
    <s v="05_09_2026_AR_Diur.gpx"/>
    <s v="a3f85936935b2bceae939db9febf049781c55bc0bcc3dfc4f696c1a769cc1c8a"/>
    <x v="4"/>
    <x v="0"/>
    <s v="Sábado"/>
    <x v="1"/>
    <s v="AR"/>
    <x v="0"/>
    <n v="2747"/>
    <s v="05/09/2026 08:24:38"/>
    <s v="08:30"/>
    <d v="1899-12-30T00:05:22"/>
    <x v="1"/>
    <s v="05/09/2026 16:05:40"/>
    <s v="16:00"/>
    <d v="1899-12-30T00:05:40"/>
    <x v="0"/>
    <d v="1899-12-30T07:41:02"/>
    <n v="36.771000000000001"/>
    <n v="6.61"/>
    <d v="1899-12-30T05:33:59"/>
    <d v="1899-12-30T04:03:15"/>
    <d v="1899-12-30T00:00:00"/>
    <n v="0"/>
    <n v="0"/>
    <n v="0"/>
    <n v="0"/>
    <n v="0"/>
    <n v="1"/>
    <s v="DENTRO DE HORARIO"/>
    <s v="Inicio GPS dentro de la tolerancia del horario programado.; Fin GPS dentro de la tolerancia del horario programado.; 1 hueco(s) GPS &gt;= 10 min."/>
  </r>
  <r>
    <s v="4a0dcf220721d050"/>
    <s v="05_09_2026_DR_Diur.gpx"/>
    <s v="4a0dcf220721d0506a185f1f04e487aaaf5f771eb6b09e65cb548015d356cc43"/>
    <x v="4"/>
    <x v="0"/>
    <s v="Sábado"/>
    <x v="8"/>
    <s v="DR"/>
    <x v="0"/>
    <n v="2654"/>
    <s v="05/09/2026 09:26:49"/>
    <s v="08:30"/>
    <d v="1899-12-30T00:56:49"/>
    <x v="0"/>
    <s v="05/09/2026 15:44:36"/>
    <s v="16:00"/>
    <d v="1899-12-30T00:15:24"/>
    <x v="1"/>
    <d v="1899-12-30T06:17:47"/>
    <n v="34.832000000000001"/>
    <n v="8.4700000000000006"/>
    <d v="1899-12-30T04:06:42"/>
    <d v="1899-12-30T02:50:21"/>
    <d v="1899-12-30T00:00:00"/>
    <n v="0"/>
    <n v="0"/>
    <n v="0"/>
    <n v="0"/>
    <n v="0"/>
    <n v="1"/>
    <s v="INICIO TARDÍO / FIN ANTICIPADO"/>
    <s v="Inicio GPS tardío: 00:56:49 después de las 08:30.; Fin GPS anticipado: 00:15:24 antes de las 16:00.; 1 hueco(s) GPS &gt;= 10 min."/>
  </r>
  <r>
    <s v="7370c255e8fd019d"/>
    <s v="04_09_2026_DV_Noct.gpx"/>
    <s v="7370c255e8fd019d8385ecdc294131f35a734ddaef4ab6dda7b559fff19fdc82"/>
    <x v="3"/>
    <x v="0"/>
    <s v="Viernes"/>
    <x v="9"/>
    <s v="DV"/>
    <x v="1"/>
    <n v="4693"/>
    <s v="04/09/2026 17:43:38"/>
    <s v="18:00"/>
    <d v="1899-12-30T00:16:22"/>
    <x v="2"/>
    <s v="05/09/2026 00:09:13"/>
    <s v="00:00"/>
    <d v="1899-12-30T00:09:13"/>
    <x v="0"/>
    <d v="1899-12-30T06:25:35"/>
    <n v="58.811"/>
    <n v="10.26"/>
    <d v="1899-12-30T05:43:47"/>
    <d v="1899-12-30T02:30:38"/>
    <d v="1899-12-30T00:00:00"/>
    <n v="0"/>
    <n v="0"/>
    <n v="0"/>
    <n v="0"/>
    <n v="0"/>
    <n v="0"/>
    <s v="REVISAR"/>
    <s v="Inicio GPS anterior al horario: 00:16:22 antes de las 18:00.; Fin GPS dentro de la tolerancia del horario programado."/>
  </r>
  <r>
    <s v="1afb68ab74f3965a"/>
    <s v="04_09_2026_IQ_Noct.gpx"/>
    <s v="1afb68ab74f3965aa105f27eb0ba0f0ad14ccf3cbd17f237c0ae79bf0bf45e6f"/>
    <x v="3"/>
    <x v="0"/>
    <s v="Viernes"/>
    <x v="10"/>
    <s v="IQ"/>
    <x v="1"/>
    <n v="2040"/>
    <s v="04/09/2026 17:10:52"/>
    <s v="18:00"/>
    <d v="1899-12-30T00:49:08"/>
    <x v="2"/>
    <s v="04/09/2026 23:52:40"/>
    <s v="00:00"/>
    <d v="1899-12-30T00:07:20"/>
    <x v="0"/>
    <d v="1899-12-30T06:41:48"/>
    <n v="31.716999999999999"/>
    <n v="8.7899999999999991"/>
    <d v="1899-12-30T03:36:25"/>
    <d v="1899-12-30T02:34:34"/>
    <d v="1899-12-30T00:00:00"/>
    <n v="0"/>
    <n v="0"/>
    <n v="0"/>
    <n v="0"/>
    <n v="0"/>
    <n v="4"/>
    <s v="REVISAR"/>
    <s v="Inicio GPS anterior al horario: 00:49:08 antes de las 18:00.; Fin GPS dentro de la tolerancia del horario programado.; 4 hueco(s) GPS &gt;= 10 min."/>
  </r>
  <r>
    <s v="79508a861b1aa2c4"/>
    <s v="04_09_2026_JHP_Noct.gpx"/>
    <s v="79508a861b1aa2c47cb40a04cc7048204a785b1cfdf597fe13581d8c89bf6d28"/>
    <x v="3"/>
    <x v="0"/>
    <s v="Viernes"/>
    <x v="11"/>
    <s v="JHP"/>
    <x v="1"/>
    <n v="6045"/>
    <s v="04/09/2026 17:58:25"/>
    <s v="18:00"/>
    <d v="1899-12-30T00:01:35"/>
    <x v="1"/>
    <s v="05/09/2026 00:10:40"/>
    <s v="00:00"/>
    <d v="1899-12-30T00:10:40"/>
    <x v="0"/>
    <d v="1899-12-30T06:12:15"/>
    <n v="77.063999999999993"/>
    <n v="16.079999999999998"/>
    <d v="1899-12-30T04:47:33"/>
    <d v="1899-12-30T00:57:03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</r>
  <r>
    <s v="deedbdb22b548406"/>
    <s v="04_09_2026_JP_Noct.gpx"/>
    <s v="deedbdb22b548406f1667ee478d28be706a47624138e6929e01f19a5956cdc4e"/>
    <x v="3"/>
    <x v="0"/>
    <s v="Viernes"/>
    <x v="12"/>
    <s v="JP"/>
    <x v="1"/>
    <n v="4696"/>
    <s v="04/09/2026 17:52:00"/>
    <s v="18:00"/>
    <d v="1899-12-30T00:08:00"/>
    <x v="1"/>
    <s v="04/09/2026 23:47:09"/>
    <s v="00:00"/>
    <d v="1899-12-30T00:12:51"/>
    <x v="0"/>
    <d v="1899-12-30T05:55:09"/>
    <n v="64.072000000000003"/>
    <n v="12.29"/>
    <d v="1899-12-30T05:12:47"/>
    <d v="1899-12-30T02:39:47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</r>
  <r>
    <s v="6b55b67b7e632ebf"/>
    <s v="04_09_2026_LA_Noct.gpx"/>
    <s v="6b55b67b7e632ebf3d6c5a266758d1245e9b255fec6178a3d9b57e94770c4014"/>
    <x v="3"/>
    <x v="0"/>
    <s v="Viernes"/>
    <x v="13"/>
    <s v="LA"/>
    <x v="1"/>
    <n v="9697"/>
    <s v="04/09/2026 17:30:26"/>
    <s v="18:00"/>
    <d v="1899-12-30T00:29:33"/>
    <x v="2"/>
    <s v="05/09/2026 00:08:50"/>
    <s v="00:00"/>
    <d v="1899-12-30T00:08:51"/>
    <x v="0"/>
    <d v="1899-12-30T06:38:24"/>
    <n v="49.506"/>
    <n v="13.49"/>
    <d v="1899-12-30T03:40:12"/>
    <d v="1899-12-30T02:41:45"/>
    <d v="1899-12-30T00:00:00"/>
    <n v="0"/>
    <n v="0"/>
    <n v="0"/>
    <n v="0"/>
    <n v="0"/>
    <n v="4"/>
    <s v="REVISAR"/>
    <s v="Inicio GPS anterior al horario: 00:29:33 antes de las 18:00.; Fin GPS dentro de la tolerancia del horario programado.; 4 hueco(s) GPS &gt;= 10 min."/>
  </r>
  <r>
    <s v="ef36d8739a581064"/>
    <s v="05_09_2026_YL_Noct.gpx"/>
    <s v="ef36d8739a5810643a61bb23a41c5d9545047dfd3f97967e3b0f54cbd65596b5"/>
    <x v="4"/>
    <x v="0"/>
    <s v="Sábado"/>
    <x v="7"/>
    <s v="YL"/>
    <x v="1"/>
    <n v="3556"/>
    <s v="05/09/2026 17:27:03"/>
    <s v="18:00"/>
    <d v="1899-12-30T00:32:57"/>
    <x v="2"/>
    <s v="06/09/2026 00:07:39"/>
    <s v="00:00"/>
    <d v="1899-12-30T00:07:39"/>
    <x v="0"/>
    <d v="1899-12-30T06:40:36"/>
    <n v="46.487000000000002"/>
    <n v="9.6300000000000008"/>
    <d v="1899-12-30T04:49:41"/>
    <d v="1899-12-30T02:41:26"/>
    <d v="1899-12-30T00:00:00"/>
    <n v="0"/>
    <n v="0"/>
    <n v="0"/>
    <n v="0"/>
    <n v="0"/>
    <n v="0"/>
    <s v="REVISAR"/>
    <s v="Inicio GPS anterior al horario: 00:32:57 antes de las 18:00.; Fin GPS dentro de la tolerancia del horario programado.; Sábado nocturno: verificar técnico asignado."/>
  </r>
  <r>
    <s v="8b91759faefa088e"/>
    <s v="04_09_2026_DR_Noct.gpx"/>
    <s v="8b91759faefa088e6e2474bd6ad0e5900a77bdfbcac1bb2728706931eb179193"/>
    <x v="3"/>
    <x v="0"/>
    <s v="Viernes"/>
    <x v="8"/>
    <s v="DR"/>
    <x v="1"/>
    <n v="1805"/>
    <s v="04/09/2026 18:42:51"/>
    <s v="18:00"/>
    <d v="1899-12-30T00:42:51"/>
    <x v="0"/>
    <s v="04/09/2026 22:55:07"/>
    <s v="00:00"/>
    <d v="1899-12-30T01:04:53"/>
    <x v="1"/>
    <d v="1899-12-30T04:12:16"/>
    <n v="26.018999999999998"/>
    <n v="8.59"/>
    <d v="1899-12-30T03:01:41"/>
    <d v="1899-12-30T02:06:30"/>
    <d v="1899-12-30T00:00:00"/>
    <n v="0"/>
    <n v="0"/>
    <n v="0"/>
    <n v="0"/>
    <n v="0"/>
    <n v="1"/>
    <s v="INICIO TARDÍO / FIN ANTICIPADO"/>
    <s v="Inicio GPS tardío: 00:42:51 después de las 18:00.; Fin GPS anticipado: 01:04:53 antes de las 00:00.; 1 hueco(s) GPS &gt;= 10 min."/>
  </r>
  <r>
    <s v="5b2112e7686d3a70"/>
    <s v="07_09_2026_AO_Diur.gpx"/>
    <s v="5b2112e7686d3a7072fd6028faec676eafff119dcd1d63a95637a4d43914ea54"/>
    <x v="5"/>
    <x v="0"/>
    <s v="Lunes"/>
    <x v="0"/>
    <s v="AO"/>
    <x v="0"/>
    <n v="4138"/>
    <s v="07/09/2026 08:54:54"/>
    <s v="08:30"/>
    <d v="1899-12-30T00:24:54"/>
    <x v="0"/>
    <s v="07/09/2026 16:06:20"/>
    <s v="16:30"/>
    <d v="1899-12-30T00:23:39"/>
    <x v="1"/>
    <d v="1899-12-30T07:11:27"/>
    <n v="31.646000000000001"/>
    <n v="17.079999999999998"/>
    <d v="1899-12-30T01:51:08"/>
    <d v="1899-12-30T01:03:43"/>
    <d v="1899-12-30T00:00:00"/>
    <n v="0"/>
    <n v="0"/>
    <n v="0"/>
    <n v="0"/>
    <n v="0"/>
    <n v="4"/>
    <s v="INICIO TARDÍO / FIN ANTICIPADO"/>
    <s v="Inicio GPS tardío: 00:24:54 después de las 08:30.; Fin GPS anticipado: 00:23:39 antes de las 16:30.; 4 hueco(s) GPS &gt;= 10 min."/>
  </r>
  <r>
    <s v="97f01b7545fc3f4e"/>
    <s v="07_09_2026_AR_Diur.gpx"/>
    <s v="97f01b7545fc3f4ef98fc90cc8c8a20219600041914d00b25cb4adc6a40c5fa2"/>
    <x v="5"/>
    <x v="0"/>
    <s v="Lunes"/>
    <x v="1"/>
    <s v="AR"/>
    <x v="0"/>
    <n v="2338"/>
    <s v="07/09/2026 08:14:07"/>
    <s v="08:30"/>
    <d v="1899-12-30T00:15:53"/>
    <x v="2"/>
    <s v="07/09/2026 16:35:50"/>
    <s v="16:30"/>
    <d v="1899-12-30T00:05:50"/>
    <x v="0"/>
    <d v="1899-12-30T08:21:43"/>
    <n v="28.484000000000002"/>
    <n v="5.7"/>
    <d v="1899-12-30T05:00:03"/>
    <d v="1899-12-30T03:44:22"/>
    <d v="1899-12-30T00:00:00"/>
    <n v="0"/>
    <n v="0"/>
    <n v="0"/>
    <n v="0"/>
    <n v="0"/>
    <n v="2"/>
    <s v="REVISAR"/>
    <s v="Inicio GPS anterior al horario: 00:15:53 antes de las 08:30.; Fin GPS dentro de la tolerancia del horario programado.; 2 hueco(s) GPS &gt;= 10 min."/>
  </r>
  <r>
    <s v="31d6c3e6ba90b488"/>
    <s v="07_09_2026_DR_Diur.gpx"/>
    <s v="31d6c3e6ba90b488df9cd14d5b9516273512af9e57589052ad9faaa10b7e228b"/>
    <x v="5"/>
    <x v="0"/>
    <s v="Lunes"/>
    <x v="8"/>
    <s v="DR"/>
    <x v="0"/>
    <n v="1619"/>
    <s v="07/09/2026 09:48:00"/>
    <s v="08:30"/>
    <d v="1899-12-30T01:18:00"/>
    <x v="0"/>
    <s v="07/09/2026 14:00:19"/>
    <s v="16:30"/>
    <d v="1899-12-30T02:29:41"/>
    <x v="1"/>
    <d v="1899-12-30T04:12:19"/>
    <n v="20.939"/>
    <n v="8.64"/>
    <d v="1899-12-30T02:25:26"/>
    <d v="1899-12-30T01:32:47"/>
    <d v="1899-12-30T00:00:00"/>
    <n v="0"/>
    <n v="0"/>
    <n v="0"/>
    <n v="0"/>
    <n v="0"/>
    <n v="0"/>
    <s v="INICIO TARDÍO / FIN ANTICIPADO"/>
    <s v="Inicio GPS tardío: 01:18:00 después de las 08:30.; Fin GPS anticipado: 02:29:41 antes de las 16:30."/>
  </r>
  <r>
    <s v="b29fa710d0c63e23"/>
    <s v="07_09_2026_HC_Diur.gpx"/>
    <s v="b29fa710d0c63e23fe724231fb296251a6446a3208366fe3938636f6e326ba43"/>
    <x v="5"/>
    <x v="0"/>
    <s v="Lunes"/>
    <x v="2"/>
    <s v="HC"/>
    <x v="0"/>
    <n v="5104"/>
    <s v="07/09/2026 08:29:19"/>
    <s v="08:30"/>
    <d v="1899-12-30T00:00:41"/>
    <x v="1"/>
    <s v="07/09/2026 15:16:52"/>
    <s v="16:30"/>
    <d v="1899-12-30T01:13:08"/>
    <x v="1"/>
    <d v="1899-12-30T06:47:33"/>
    <n v="65.27"/>
    <n v="12.02"/>
    <d v="1899-12-30T05:25:41"/>
    <d v="1899-12-30T02:07:31"/>
    <d v="1899-12-30T00:00:00"/>
    <n v="0"/>
    <n v="0"/>
    <n v="0"/>
    <n v="0"/>
    <n v="0"/>
    <n v="1"/>
    <s v="INICIO CUMPLE / FIN ANTICIPADO"/>
    <s v="Inicio GPS dentro de la tolerancia del horario programado.; Fin GPS anticipado: 01:13:08 antes de las 16:30.; 1 hueco(s) GPS &gt;= 10 min."/>
  </r>
  <r>
    <s v="7319203feb87eb5a"/>
    <s v="07_09_2026_JA_Diur.gpx"/>
    <s v="7319203feb87eb5a6cdbee3eaa32b93abf749c17055009b85f9035c11b0c7d32"/>
    <x v="5"/>
    <x v="0"/>
    <s v="Lunes"/>
    <x v="3"/>
    <s v="JA"/>
    <x v="0"/>
    <n v="1601"/>
    <s v="07/09/2026 08:09:03"/>
    <s v="08:30"/>
    <d v="1899-12-30T00:20:57"/>
    <x v="2"/>
    <s v="07/09/2026 13:16:06"/>
    <s v="16:30"/>
    <d v="1899-12-30T03:13:54"/>
    <x v="1"/>
    <d v="1899-12-30T05:07:03"/>
    <n v="21.873000000000001"/>
    <n v="5.07"/>
    <d v="1899-12-30T04:18:39"/>
    <d v="1899-12-30T03:32:39"/>
    <d v="1899-12-30T00:00:00"/>
    <n v="0"/>
    <n v="0"/>
    <n v="0"/>
    <n v="0"/>
    <n v="0"/>
    <n v="1"/>
    <s v="REVISAR"/>
    <s v="Inicio GPS anterior al horario: 00:20:57 antes de las 08:30.; Fin GPS anticipado: 03:13:54 antes de las 16:30.; 1 hueco(s) GPS &gt;= 10 min."/>
  </r>
  <r>
    <s v="1dc2465d752346ae"/>
    <s v="07_09_2026_JO_Diur.gpx"/>
    <s v="1dc2465d752346ae1a81a5f1ddb36a6dc3d1363cb6dc5f9174a3e01d5ad22a09"/>
    <x v="5"/>
    <x v="0"/>
    <s v="Lunes"/>
    <x v="4"/>
    <s v="JO"/>
    <x v="0"/>
    <n v="4176"/>
    <s v="07/09/2026 09:35:42"/>
    <s v="08:30"/>
    <d v="1899-12-30T01:05:43"/>
    <x v="0"/>
    <s v="07/09/2026 16:29:23"/>
    <s v="16:30"/>
    <d v="1899-12-30T00:00:37"/>
    <x v="0"/>
    <d v="1899-12-30T06:53:40"/>
    <n v="18.858000000000001"/>
    <n v="16.82"/>
    <d v="1899-12-30T01:07:16"/>
    <d v="1899-12-30T00:49:59"/>
    <d v="1899-12-30T00:00:00"/>
    <n v="0"/>
    <n v="0"/>
    <n v="0"/>
    <n v="0"/>
    <n v="0"/>
    <n v="5"/>
    <s v="INICIO TARDÍO / FIN CUMPLE"/>
    <s v="Inicio GPS tardío: 01:05:43 después de las 08:30.; Fin GPS dentro de la tolerancia del horario programado.; 5 hueco(s) GPS &gt;= 10 min."/>
  </r>
  <r>
    <s v="927e836c2bccf3f2"/>
    <s v="07_09_2026_JZ_Diur.gpx"/>
    <s v="927e836c2bccf3f2422c3ecf9d76f1d355a673a0ecb8e22371670b11cae4974d"/>
    <x v="5"/>
    <x v="0"/>
    <s v="Lunes"/>
    <x v="5"/>
    <s v="JZ"/>
    <x v="0"/>
    <n v="6900"/>
    <s v="07/09/2026 08:08:15"/>
    <s v="08:30"/>
    <d v="1899-12-30T00:21:45"/>
    <x v="2"/>
    <s v="07/09/2026 16:33:57"/>
    <s v="16:30"/>
    <d v="1899-12-30T00:03:57"/>
    <x v="0"/>
    <d v="1899-12-30T08:25:42"/>
    <n v="88.251999999999995"/>
    <n v="12.64"/>
    <d v="1899-12-30T06:58:59"/>
    <d v="1899-12-30T02:33:52"/>
    <d v="1899-12-30T00:00:00"/>
    <n v="0"/>
    <n v="0"/>
    <n v="0"/>
    <n v="0"/>
    <n v="0"/>
    <n v="0"/>
    <s v="REVISAR"/>
    <s v="Inicio GPS anterior al horario: 00:21:45 antes de las 08:30.; Fin GPS dentro de la tolerancia del horario programado."/>
  </r>
  <r>
    <s v="1cb2d1efc5faa75f"/>
    <s v="07_09_2026_SJ_Diur.gpx"/>
    <s v="1cb2d1efc5faa75f8bcfc9ca616f4116ca9722834abd750eee9615f3cf6a2c73"/>
    <x v="5"/>
    <x v="0"/>
    <s v="Lunes"/>
    <x v="6"/>
    <s v="SJ"/>
    <x v="0"/>
    <n v="3968"/>
    <s v="07/09/2026 08:30:03"/>
    <s v="08:30"/>
    <d v="1899-12-30T00:00:03"/>
    <x v="1"/>
    <s v="07/09/2026 15:45:59"/>
    <s v="16:30"/>
    <d v="1899-12-30T00:44:01"/>
    <x v="1"/>
    <d v="1899-12-30T07:15:56"/>
    <n v="52.521999999999998"/>
    <n v="12.62"/>
    <d v="1899-12-30T04:09:37"/>
    <d v="1899-12-30T02:23:40"/>
    <d v="1899-12-30T00:00:00"/>
    <n v="0"/>
    <n v="0"/>
    <n v="0"/>
    <n v="0"/>
    <n v="0"/>
    <n v="0"/>
    <s v="INICIO CUMPLE / FIN ANTICIPADO"/>
    <s v="Inicio GPS dentro de la tolerancia del horario programado.; Fin GPS anticipado: 00:44:01 antes de las 16:30."/>
  </r>
  <r>
    <s v="e842e22d1cb847dd"/>
    <s v="07_09_2026_YL_Diur.gpx"/>
    <s v="e842e22d1cb847dd6d272eff331d09e9c7c38eb26e28e7fd877e59e590cdfa85"/>
    <x v="5"/>
    <x v="0"/>
    <s v="Lunes"/>
    <x v="7"/>
    <s v="YL"/>
    <x v="0"/>
    <n v="3343"/>
    <s v="07/09/2026 09:29:45"/>
    <s v="08:30"/>
    <d v="1899-12-30T00:59:45"/>
    <x v="0"/>
    <s v="07/09/2026 16:09:13"/>
    <s v="16:30"/>
    <d v="1899-12-30T00:20:47"/>
    <x v="1"/>
    <d v="1899-12-30T06:39:28"/>
    <n v="45.014000000000003"/>
    <n v="10.79"/>
    <d v="1899-12-30T04:10:14"/>
    <d v="1899-12-30T02:29:28"/>
    <d v="1899-12-30T00:00:00"/>
    <n v="0"/>
    <n v="0"/>
    <n v="0"/>
    <n v="0"/>
    <n v="0"/>
    <n v="0"/>
    <s v="INICIO TARDÍO / FIN ANTICIPADO"/>
    <s v="Inicio GPS tardío: 00:59:45 después de las 08:30.; Fin GPS anticipado: 00:20:47 antes de las 16:30."/>
  </r>
  <r>
    <s v="d05ae3e9a3e0b539"/>
    <s v="08_09_2026_AO_Diur.gpx"/>
    <s v="d05ae3e9a3e0b5393207d0c5148f6536f3154bd0cb8bed56cb98e3b7e8602c08"/>
    <x v="6"/>
    <x v="0"/>
    <s v="Martes"/>
    <x v="0"/>
    <s v="AO"/>
    <x v="0"/>
    <n v="3838"/>
    <s v="08/09/2026 08:38:19"/>
    <s v="08:30"/>
    <d v="1899-12-30T00:08:19"/>
    <x v="1"/>
    <s v="08/09/2026 16:30:13"/>
    <s v="16:30"/>
    <d v="1899-12-30T00:00:13"/>
    <x v="0"/>
    <d v="1899-12-30T07:51:54"/>
    <n v="28.545000000000002"/>
    <n v="12.49"/>
    <d v="1899-12-30T02:17:08"/>
    <d v="1899-12-30T01:34:09"/>
    <d v="1899-12-30T00:00:00"/>
    <n v="0"/>
    <n v="0"/>
    <n v="0"/>
    <n v="0"/>
    <n v="0"/>
    <n v="8"/>
    <s v="DENTRO DE HORARIO"/>
    <s v="Inicio GPS dentro de la tolerancia del horario programado.; Fin GPS dentro de la tolerancia del horario programado.; 8 hueco(s) GPS &gt;= 10 min."/>
  </r>
  <r>
    <s v="8fb26cd9beb300ad"/>
    <s v="08_09_2026_AR_Diur.gpx"/>
    <s v="8fb26cd9beb300ad25705e9f992bf41fe4d9862054021d4b1f162f6fc890e776"/>
    <x v="6"/>
    <x v="0"/>
    <s v="Martes"/>
    <x v="1"/>
    <s v="AR"/>
    <x v="0"/>
    <n v="2322"/>
    <s v="08/09/2026 07:57:45"/>
    <s v="08:30"/>
    <d v="1899-12-30T00:32:15"/>
    <x v="2"/>
    <s v="08/09/2026 15:31:55"/>
    <s v="16:30"/>
    <d v="1899-12-30T00:58:05"/>
    <x v="1"/>
    <d v="1899-12-30T07:34:10"/>
    <n v="30.937000000000001"/>
    <n v="5.82"/>
    <d v="1899-12-30T05:18:50"/>
    <d v="1899-12-30T04:09:06"/>
    <d v="1899-12-30T00:00:00"/>
    <n v="0"/>
    <n v="0"/>
    <n v="0"/>
    <n v="0"/>
    <n v="0"/>
    <n v="3"/>
    <s v="REVISAR"/>
    <s v="Inicio GPS anterior al horario: 00:32:15 antes de las 08:30.; Fin GPS anticipado: 00:58:05 antes de las 16:30.; 3 hueco(s) GPS &gt;= 10 min."/>
  </r>
  <r>
    <s v="c8d3c6782c8f7561"/>
    <s v="08_09_2026_HC_Diur.gpx"/>
    <s v="c8d3c6782c8f75617787b988619e0aae675ab27acbdf5709a6c6017e077c7963"/>
    <x v="6"/>
    <x v="0"/>
    <s v="Martes"/>
    <x v="2"/>
    <s v="HC"/>
    <x v="0"/>
    <n v="4626"/>
    <s v="08/09/2026 08:38:04"/>
    <s v="08:30"/>
    <d v="1899-12-30T00:08:04"/>
    <x v="1"/>
    <s v="08/09/2026 13:49:43"/>
    <s v="16:30"/>
    <d v="1899-12-30T02:40:17"/>
    <x v="1"/>
    <d v="1899-12-30T05:11:39"/>
    <n v="64.143000000000001"/>
    <n v="18.079999999999998"/>
    <d v="1899-12-30T03:32:50"/>
    <d v="1899-12-30T01:09:36"/>
    <d v="1899-12-30T00:00:00"/>
    <n v="0"/>
    <n v="0"/>
    <n v="0"/>
    <n v="0"/>
    <n v="0"/>
    <n v="0"/>
    <s v="INICIO CUMPLE / FIN ANTICIPADO"/>
    <s v="Inicio GPS dentro de la tolerancia del horario programado.; Fin GPS anticipado: 02:40:17 antes de las 16:30."/>
  </r>
  <r>
    <s v="6b0e4d9d405ffcfb"/>
    <s v="08_09_2026_JA_Diur.gpx"/>
    <s v="6b0e4d9d405ffcfbe2b50e4da5a497346f4379439dc9745668c041b91e9a80eb"/>
    <x v="6"/>
    <x v="0"/>
    <s v="Martes"/>
    <x v="3"/>
    <s v="JA"/>
    <x v="0"/>
    <n v="1888"/>
    <s v="08/09/2026 08:20:29"/>
    <s v="08:30"/>
    <d v="1899-12-30T00:09:31"/>
    <x v="1"/>
    <s v="08/09/2026 12:24:30"/>
    <s v="16:30"/>
    <d v="1899-12-30T04:05:30"/>
    <x v="1"/>
    <d v="1899-12-30T04:04:01"/>
    <n v="25.75"/>
    <n v="9"/>
    <d v="1899-12-30T02:51:41"/>
    <d v="1899-12-30T01:57:45"/>
    <d v="1899-12-30T00:00:00"/>
    <n v="0"/>
    <n v="0"/>
    <n v="0"/>
    <n v="0"/>
    <n v="0"/>
    <n v="2"/>
    <s v="INICIO CUMPLE / FIN ANTICIPADO"/>
    <s v="Inicio GPS dentro de la tolerancia del horario programado.; Fin GPS anticipado: 04:05:30 antes de las 16:30.; 2 hueco(s) GPS &gt;= 10 min."/>
  </r>
  <r>
    <s v="23886afeb9d1ab61"/>
    <s v="08_09_2026_JO_Diur.gpx"/>
    <s v="23886afeb9d1ab619864a069d2b1db0805b5316ab1ceeb7c01691672d9251a94"/>
    <x v="6"/>
    <x v="0"/>
    <s v="Martes"/>
    <x v="4"/>
    <s v="JO"/>
    <x v="0"/>
    <n v="6764"/>
    <s v="08/09/2026 08:26:51"/>
    <s v="08:30"/>
    <d v="1899-12-30T00:03:09"/>
    <x v="1"/>
    <s v="08/09/2026 16:16:30"/>
    <s v="16:30"/>
    <d v="1899-12-30T00:13:30"/>
    <x v="0"/>
    <d v="1899-12-30T07:49:39"/>
    <n v="45.899000000000001"/>
    <n v="22.44"/>
    <d v="1899-12-30T02:02:45"/>
    <d v="1899-12-30T00:48:20"/>
    <d v="1899-12-30T00:00:00"/>
    <n v="0"/>
    <n v="0"/>
    <n v="0"/>
    <n v="0"/>
    <n v="0"/>
    <n v="10"/>
    <s v="DENTRO DE HORARIO"/>
    <s v="Inicio GPS dentro de la tolerancia del horario programado.; Fin GPS dentro de la tolerancia del horario programado.; 10 hueco(s) GPS &gt;= 10 min."/>
  </r>
  <r>
    <s v="b0e3e018588636b1"/>
    <s v="08_09_2026_JZ_Diur.gpx"/>
    <s v="b0e3e018588636b1975a680425a51f58b7d05612369237301944e59f47274eed"/>
    <x v="6"/>
    <x v="0"/>
    <s v="Martes"/>
    <x v="5"/>
    <s v="JZ"/>
    <x v="0"/>
    <n v="6390"/>
    <s v="08/09/2026 08:21:32"/>
    <s v="08:30"/>
    <d v="1899-12-30T00:08:28"/>
    <x v="1"/>
    <s v="08/09/2026 16:49:42"/>
    <s v="16:30"/>
    <d v="1899-12-30T00:19:42"/>
    <x v="2"/>
    <d v="1899-12-30T08:28:10"/>
    <n v="83.77"/>
    <n v="12.59"/>
    <d v="1899-12-30T06:39:16"/>
    <d v="1899-12-30T02:03:55"/>
    <d v="1899-12-30T00:00:00"/>
    <n v="0"/>
    <n v="0"/>
    <n v="0"/>
    <n v="0"/>
    <n v="0"/>
    <n v="1"/>
    <s v="FIN POSTERIOR"/>
    <s v="Inicio GPS dentro de la tolerancia del horario programado.; Fin GPS posterior: 00:19:42 después de las 16:30.; 1 hueco(s) GPS &gt;= 10 min."/>
  </r>
  <r>
    <s v="836074121bb53fd7"/>
    <s v="08_09_2026_SJ_Diur.gpx"/>
    <s v="836074121bb53fd71c132554ed2e02eee9fe5b48e6ff0b428736cc0d2960112f"/>
    <x v="6"/>
    <x v="0"/>
    <s v="Martes"/>
    <x v="6"/>
    <s v="SJ"/>
    <x v="0"/>
    <n v="2193"/>
    <s v="08/09/2026 08:29:21"/>
    <s v="08:30"/>
    <d v="1899-12-30T00:00:39"/>
    <x v="1"/>
    <s v="08/09/2026 15:13:43"/>
    <s v="16:30"/>
    <d v="1899-12-30T01:16:17"/>
    <x v="1"/>
    <d v="1899-12-30T06:44:22"/>
    <n v="28.241"/>
    <n v="6.2"/>
    <d v="1899-12-30T04:33:16"/>
    <d v="1899-12-30T03:23:37"/>
    <d v="1899-12-30T00:00:00"/>
    <n v="0"/>
    <n v="0"/>
    <n v="0"/>
    <n v="0"/>
    <n v="0"/>
    <n v="1"/>
    <s v="INICIO CUMPLE / FIN ANTICIPADO"/>
    <s v="Inicio GPS dentro de la tolerancia del horario programado.; Fin GPS anticipado: 01:16:17 antes de las 16:30.; 1 hueco(s) GPS &gt;= 10 min."/>
  </r>
  <r>
    <s v="2182847adb621956"/>
    <s v="08_09_2026_YL_Diur.gpx"/>
    <s v="2182847adb621956bfde111289dca6380b2b353a2a3b5d4efdd550ed6650c986"/>
    <x v="6"/>
    <x v="0"/>
    <s v="Martes"/>
    <x v="7"/>
    <s v="YL"/>
    <x v="0"/>
    <n v="1986"/>
    <s v="08/09/2026 08:28:00"/>
    <s v="08:30"/>
    <d v="1899-12-30T00:02:00"/>
    <x v="1"/>
    <s v="08/09/2026 16:12:59"/>
    <s v="16:30"/>
    <d v="1899-12-30T00:17:01"/>
    <x v="1"/>
    <d v="1899-12-30T07:44:59"/>
    <n v="25.768999999999998"/>
    <n v="6.75"/>
    <d v="1899-12-30T03:49:05"/>
    <d v="1899-12-30T02:46:38"/>
    <d v="1899-12-30T00:00:00"/>
    <n v="0"/>
    <n v="0"/>
    <n v="0"/>
    <n v="0"/>
    <n v="0"/>
    <n v="0"/>
    <s v="INICIO CUMPLE / FIN ANTICIPADO"/>
    <s v="Inicio GPS dentro de la tolerancia del horario programado.; Fin GPS anticipado: 00:17:01 antes de las 16:30."/>
  </r>
  <r>
    <s v="3cbe626b5b36bcd2"/>
    <s v="08_09_2026_DR_Diur.gpx"/>
    <s v="3cbe626b5b36bcd2176f786478a475f09990a81c1a09a92b26bde173d88a6717"/>
    <x v="6"/>
    <x v="0"/>
    <s v="Martes"/>
    <x v="8"/>
    <s v="DR"/>
    <x v="0"/>
    <n v="1619"/>
    <d v="2026-09-08T08:30:00"/>
    <s v="08:30"/>
    <d v="1899-12-30T00:00:00"/>
    <x v="2"/>
    <d v="2026-09-08T14:00:19"/>
    <s v="16:30"/>
    <d v="1899-12-30T02:29:41"/>
    <x v="1"/>
    <d v="1899-12-30T04:12:19"/>
    <n v="20.939"/>
    <n v="8.64"/>
    <d v="1899-12-30T02:25:26"/>
    <d v="1899-12-30T01:32:47"/>
    <d v="1899-12-30T00:00:00"/>
    <n v="0"/>
    <n v="0"/>
    <n v="0"/>
    <n v="0"/>
    <n v="0"/>
    <n v="0"/>
    <s v="REVISAR"/>
    <s v="Inicio GPS anterior al horario: 22:42:00 antes de las 08:30.; Fin GPS anticipado: 26:29:41 antes de las 16:30."/>
  </r>
  <r>
    <s v="623dbd4adc044d1e"/>
    <s v="08_09_2026_DV_Noct.gpx"/>
    <s v="623dbd4adc044d1e78efa1c6301ecb42bdb10a42af6a88c9a832b5c1ef4bde81"/>
    <x v="6"/>
    <x v="0"/>
    <s v="Martes"/>
    <x v="9"/>
    <s v="DV"/>
    <x v="1"/>
    <n v="3792"/>
    <s v="08/09/2026 16:41:00"/>
    <s v="18:00"/>
    <d v="1899-12-30T01:19:00"/>
    <x v="2"/>
    <s v="09/09/2026 00:13:36"/>
    <s v="00:00"/>
    <d v="1899-12-30T00:13:36"/>
    <x v="0"/>
    <d v="1899-12-30T07:32:36"/>
    <n v="46.256"/>
    <n v="9.7899999999999991"/>
    <d v="1899-12-30T04:43:33"/>
    <d v="1899-12-30T01:52:07"/>
    <d v="1899-12-30T00:00:00"/>
    <n v="0"/>
    <n v="0"/>
    <n v="0"/>
    <n v="0"/>
    <n v="0"/>
    <n v="0"/>
    <s v="REVISAR"/>
    <s v="Inicio GPS anterior al horario: 01:19:00 antes de las 18:00.; Fin GPS dentro de la tolerancia del horario programado."/>
  </r>
  <r>
    <s v="f0c24638a94bf9d6"/>
    <s v="08_09_2026_IQ_Noct.gpx"/>
    <s v="f0c24638a94bf9d6966fab43d59ea18ee254e0d00a1aace92c3cc7e41264e728"/>
    <x v="6"/>
    <x v="0"/>
    <s v="Martes"/>
    <x v="10"/>
    <s v="IQ"/>
    <x v="1"/>
    <n v="1478"/>
    <s v="08/09/2026 16:43:54"/>
    <s v="18:00"/>
    <d v="1899-12-30T01:16:06"/>
    <x v="2"/>
    <s v="08/09/2026 23:51:23"/>
    <s v="00:00"/>
    <d v="1899-12-30T00:08:37"/>
    <x v="0"/>
    <d v="1899-12-30T07:07:29"/>
    <n v="43.536999999999999"/>
    <n v="8.2200000000000006"/>
    <d v="1899-12-30T05:17:45"/>
    <d v="1899-12-30T04:33:20"/>
    <d v="1899-12-30T00:00:00"/>
    <n v="0"/>
    <n v="0"/>
    <n v="0"/>
    <n v="0"/>
    <n v="0"/>
    <n v="3"/>
    <s v="REVISAR"/>
    <s v="Inicio GPS anterior al horario: 01:16:06 antes de las 18:00.; Fin GPS dentro de la tolerancia del horario programado.; 3 hueco(s) GPS &gt;= 10 min."/>
  </r>
  <r>
    <s v="83ae9919d351859e"/>
    <s v="08_09_2026_JHP_Noct.gpx"/>
    <s v="83ae9919d351859e6b93b29cdeee69a8ab828e42621354ba3897f88711d46378"/>
    <x v="6"/>
    <x v="0"/>
    <s v="Martes"/>
    <x v="11"/>
    <s v="JHP"/>
    <x v="1"/>
    <n v="4868"/>
    <s v="08/09/2026 17:40:32"/>
    <s v="18:00"/>
    <d v="1899-12-30T00:19:28"/>
    <x v="2"/>
    <s v="09/09/2026 00:02:26"/>
    <s v="00:00"/>
    <d v="1899-12-30T00:02:26"/>
    <x v="0"/>
    <d v="1899-12-30T06:21:54"/>
    <n v="61.854999999999997"/>
    <n v="13.3"/>
    <d v="1899-12-30T04:39:03"/>
    <d v="1899-12-30T01:18:39"/>
    <d v="1899-12-30T00:00:00"/>
    <n v="0"/>
    <n v="0"/>
    <n v="0"/>
    <n v="0"/>
    <n v="0"/>
    <n v="0"/>
    <s v="REVISAR"/>
    <s v="Inicio GPS anterior al horario: 00:19:28 antes de las 18:00.; Fin GPS dentro de la tolerancia del horario programado."/>
  </r>
  <r>
    <s v="977be07413a6a54f"/>
    <s v="08_09_2026_JP_Noct.gpx"/>
    <s v="977be07413a6a54fda3f1c215dd7e858fbf230a514977fcb251bc712226fd12a"/>
    <x v="6"/>
    <x v="0"/>
    <s v="Martes"/>
    <x v="12"/>
    <s v="JP"/>
    <x v="1"/>
    <n v="4020"/>
    <s v="08/09/2026 17:40:07"/>
    <s v="18:00"/>
    <d v="1899-12-30T00:19:53"/>
    <x v="2"/>
    <s v="08/09/2026 23:15:52"/>
    <s v="00:00"/>
    <d v="1899-12-30T00:44:08"/>
    <x v="1"/>
    <d v="1899-12-30T05:35:45"/>
    <n v="55.811"/>
    <n v="13.78"/>
    <d v="1899-12-30T04:02:59"/>
    <d v="1899-12-30T01:55:00"/>
    <d v="1899-12-30T00:00:00"/>
    <n v="0"/>
    <n v="0"/>
    <n v="0"/>
    <n v="0"/>
    <n v="0"/>
    <n v="0"/>
    <s v="REVISAR"/>
    <s v="Inicio GPS anterior al horario: 00:19:53 antes de las 18:00.; Fin GPS anticipado: 00:44:08 antes de las 00:00."/>
  </r>
  <r>
    <s v="b59692cadd895df4"/>
    <s v="08_09_2026_LA_Noct.gpx"/>
    <s v="b59692cadd895df4be0a7fb4435b4be5780e7fa87e1206ecf3c7499f8286f2cd"/>
    <x v="6"/>
    <x v="0"/>
    <s v="Martes"/>
    <x v="13"/>
    <s v="LA"/>
    <x v="1"/>
    <n v="7480"/>
    <s v="08/09/2026 17:19:00"/>
    <s v="18:00"/>
    <d v="1899-12-30T00:41:00"/>
    <x v="2"/>
    <s v="08/09/2026 23:56:03"/>
    <s v="00:00"/>
    <d v="1899-12-30T00:03:56"/>
    <x v="0"/>
    <d v="1899-12-30T06:37:04"/>
    <n v="39.557000000000002"/>
    <n v="8.93"/>
    <d v="1899-12-30T04:25:50"/>
    <d v="1899-12-30T03:48:02"/>
    <d v="1899-12-30T00:00:00"/>
    <n v="0"/>
    <n v="0"/>
    <n v="0"/>
    <n v="0"/>
    <n v="0"/>
    <n v="3"/>
    <s v="REVISAR"/>
    <s v="Inicio GPS anterior al horario: 00:41:00 antes de las 18:00.; Fin GPS dentro de la tolerancia del horario programado.; 3 hueco(s) GPS &gt;= 10 min."/>
  </r>
  <r>
    <s v="99032add666a5b78"/>
    <s v="09_09_2026_AO_Diur.gpx"/>
    <s v="99032add666a5b78c7dc085ca160321662324a60c628fdba5fb80585d94232eb"/>
    <x v="7"/>
    <x v="0"/>
    <s v="Miércoles"/>
    <x v="0"/>
    <s v="AO"/>
    <x v="0"/>
    <n v="10331"/>
    <s v="09/09/2026 08:56:55"/>
    <s v="08:30"/>
    <d v="1899-12-30T00:26:56"/>
    <x v="0"/>
    <s v="09/09/2026 16:41:47"/>
    <s v="16:30"/>
    <d v="1899-12-30T00:11:47"/>
    <x v="0"/>
    <d v="1899-12-30T07:44:51"/>
    <n v="96.043999999999997"/>
    <n v="26.29"/>
    <d v="1899-12-30T03:39:10"/>
    <d v="1899-12-30T01:08:00"/>
    <d v="1899-12-30T00:00:00"/>
    <n v="0"/>
    <n v="0"/>
    <n v="0"/>
    <n v="0"/>
    <n v="0"/>
    <n v="1"/>
    <s v="INICIO TARDÍO / FIN CUMPLE"/>
    <s v="Inicio GPS tardío: 00:26:56 después de las 08:30.; Fin GPS dentro de la tolerancia del horario programado.; 1 hueco(s) GPS &gt;= 10 min."/>
  </r>
  <r>
    <s v="7028c543c1a55e64"/>
    <s v="09_09_2026_AR_Diur.gpx"/>
    <s v="7028c543c1a55e64f9d6545d87150eaa38a664cc8771f16028ef8844e15768ed"/>
    <x v="7"/>
    <x v="0"/>
    <s v="Miércoles"/>
    <x v="1"/>
    <s v="AR"/>
    <x v="0"/>
    <n v="2906"/>
    <s v="09/09/2026 08:02:33"/>
    <s v="08:30"/>
    <d v="1899-12-30T00:27:27"/>
    <x v="2"/>
    <s v="09/09/2026 16:05:26"/>
    <s v="16:30"/>
    <d v="1899-12-30T00:24:34"/>
    <x v="1"/>
    <d v="1899-12-30T08:02:53"/>
    <n v="38.857999999999997"/>
    <n v="6.95"/>
    <d v="1899-12-30T05:35:39"/>
    <d v="1899-12-30T04:05:24"/>
    <d v="1899-12-30T00:00:00"/>
    <n v="0"/>
    <n v="0"/>
    <n v="0"/>
    <n v="0"/>
    <n v="0"/>
    <n v="1"/>
    <s v="REVISAR"/>
    <s v="Inicio GPS anterior al horario: 00:27:27 antes de las 08:30.; Fin GPS anticipado: 00:24:34 antes de las 16:30.; 1 hueco(s) GPS &gt;= 10 min."/>
  </r>
  <r>
    <s v="99ef37226866ca3f"/>
    <s v="09_09_2026_DR_Diur.gpx"/>
    <s v="99ef37226866ca3fb47f572dc0ed087fa678d179df72524bb14dfb7fda9ed446"/>
    <x v="7"/>
    <x v="0"/>
    <s v="Miércoles"/>
    <x v="8"/>
    <s v="DR"/>
    <x v="0"/>
    <n v="3496"/>
    <s v="09/09/2026 08:26:08"/>
    <s v="08:30"/>
    <d v="1899-12-30T00:03:52"/>
    <x v="1"/>
    <s v="09/09/2026 16:51:07"/>
    <s v="16:30"/>
    <d v="1899-12-30T00:21:07"/>
    <x v="2"/>
    <d v="1899-12-30T08:24:59"/>
    <n v="47.039000000000001"/>
    <n v="6.38"/>
    <d v="1899-12-30T07:22:28"/>
    <d v="1899-12-30T05:39:44"/>
    <d v="1899-12-30T00:00:00"/>
    <n v="0"/>
    <n v="0"/>
    <n v="0"/>
    <n v="0"/>
    <n v="0"/>
    <n v="2"/>
    <s v="FIN POSTERIOR"/>
    <s v="Inicio GPS dentro de la tolerancia del horario programado.; Fin GPS posterior: 00:21:07 después de las 16:30.; 2 hueco(s) GPS &gt;= 10 min."/>
  </r>
  <r>
    <s v="5eed61f1895806bb"/>
    <s v="09_09_2026_HC_Diur.gpx"/>
    <s v="5eed61f1895806bb318c2af5513cd199c412f2ac040a2b306335e354499b960c"/>
    <x v="7"/>
    <x v="0"/>
    <s v="Miércoles"/>
    <x v="2"/>
    <s v="HC"/>
    <x v="0"/>
    <n v="4464"/>
    <s v="09/09/2026 08:35:37"/>
    <s v="08:30"/>
    <d v="1899-12-30T00:05:37"/>
    <x v="1"/>
    <s v="09/09/2026 14:49:13"/>
    <s v="16:30"/>
    <d v="1899-12-30T01:40:47"/>
    <x v="1"/>
    <d v="1899-12-30T06:13:36"/>
    <n v="57.075000000000003"/>
    <n v="13.62"/>
    <d v="1899-12-30T04:11:29"/>
    <d v="1899-12-30T01:19:20"/>
    <d v="1899-12-30T00:00:00"/>
    <n v="0"/>
    <n v="0"/>
    <n v="0"/>
    <n v="0"/>
    <n v="0"/>
    <n v="1"/>
    <s v="INICIO CUMPLE / FIN ANTICIPADO"/>
    <s v="Inicio GPS dentro de la tolerancia del horario programado.; Fin GPS anticipado: 01:40:47 antes de las 16:30.; 1 hueco(s) GPS &gt;= 10 min."/>
  </r>
  <r>
    <s v="2438d2e0f02f05e4"/>
    <s v="09_09_2026_JA_Diur.gpx"/>
    <s v="2438d2e0f02f05e4cdd41ceeb72042b3d4a1f877ed8d3ae7d4be5a26f9d25a02"/>
    <x v="7"/>
    <x v="0"/>
    <s v="Miércoles"/>
    <x v="3"/>
    <s v="JA"/>
    <x v="0"/>
    <n v="3438"/>
    <s v="09/09/2026 09:19:06"/>
    <s v="08:30"/>
    <d v="1899-12-30T00:49:06"/>
    <x v="0"/>
    <s v="09/09/2026 12:48:43"/>
    <s v="16:30"/>
    <d v="1899-12-30T03:41:17"/>
    <x v="1"/>
    <d v="1899-12-30T03:29:37"/>
    <n v="47.387999999999998"/>
    <n v="15.33"/>
    <d v="1899-12-30T03:05:25"/>
    <d v="1899-12-30T01:34:44"/>
    <d v="1899-12-30T00:00:00"/>
    <n v="0"/>
    <n v="0"/>
    <n v="0"/>
    <n v="0"/>
    <n v="0"/>
    <n v="0"/>
    <s v="INICIO TARDÍO / FIN ANTICIPADO"/>
    <s v="Inicio GPS tardío: 00:49:06 después de las 08:30.; Fin GPS anticipado: 03:41:17 antes de las 16:30."/>
  </r>
  <r>
    <s v="5540a1302384a7b2"/>
    <s v="09_09_2026_JO_Diur.gpx"/>
    <s v="5540a1302384a7b266d0763139567cb066671fe04e60482882ef1e679442d1c3"/>
    <x v="7"/>
    <x v="0"/>
    <s v="Miércoles"/>
    <x v="4"/>
    <s v="JO"/>
    <x v="0"/>
    <n v="6674"/>
    <s v="09/09/2026 08:36:02"/>
    <s v="08:30"/>
    <d v="1899-12-30T00:06:02"/>
    <x v="1"/>
    <s v="09/09/2026 16:23:27"/>
    <s v="16:30"/>
    <d v="1899-12-30T00:06:32"/>
    <x v="0"/>
    <d v="1899-12-30T07:47:26"/>
    <n v="42.155999999999999"/>
    <n v="24.67"/>
    <d v="1899-12-30T01:42:31"/>
    <d v="1899-12-30T00:31:38"/>
    <d v="1899-12-30T00:00:00"/>
    <n v="0"/>
    <n v="0"/>
    <n v="0"/>
    <n v="0"/>
    <n v="0"/>
    <n v="10"/>
    <s v="DENTRO DE HORARIO"/>
    <s v="Inicio GPS dentro de la tolerancia del horario programado.; Fin GPS dentro de la tolerancia del horario programado.; 10 hueco(s) GPS &gt;= 10 min."/>
  </r>
  <r>
    <s v="9baae6386e744a5c"/>
    <s v="09_09_2026_JZ_Diur.gpx"/>
    <s v="9baae6386e744a5cf38abcbd9dc28772f92bc83a77f82bea3895976d4f7fa024"/>
    <x v="7"/>
    <x v="0"/>
    <s v="Miércoles"/>
    <x v="5"/>
    <s v="JZ"/>
    <x v="0"/>
    <n v="6609"/>
    <s v="09/09/2026 09:40:12"/>
    <s v="08:30"/>
    <d v="1899-12-30T01:10:12"/>
    <x v="0"/>
    <s v="09/09/2026 16:43:25"/>
    <s v="16:30"/>
    <d v="1899-12-30T00:13:25"/>
    <x v="0"/>
    <d v="1899-12-30T07:03:13"/>
    <n v="92.83"/>
    <n v="16.16"/>
    <d v="1899-12-30T05:44:34"/>
    <d v="1899-12-30T01:57:25"/>
    <d v="1899-12-30T00:00:00"/>
    <n v="0"/>
    <n v="0"/>
    <n v="0"/>
    <n v="0"/>
    <n v="0"/>
    <n v="1"/>
    <s v="INICIO TARDÍO / FIN CUMPLE"/>
    <s v="Inicio GPS tardío: 01:10:12 después de las 08:30.; Fin GPS dentro de la tolerancia del horario programado.; 1 hueco(s) GPS &gt;= 10 min."/>
  </r>
  <r>
    <s v="64d25202a143c856"/>
    <s v="09_09_2026_SJ_Diur.gpx"/>
    <s v="64d25202a143c85670dbb4a2d7928068147edfd6b86f8f8d8327cabcf780a791"/>
    <x v="7"/>
    <x v="0"/>
    <s v="Miércoles"/>
    <x v="6"/>
    <s v="SJ"/>
    <x v="0"/>
    <n v="2010"/>
    <s v="09/09/2026 08:29:38"/>
    <s v="08:30"/>
    <d v="1899-12-30T00:00:22"/>
    <x v="1"/>
    <s v="09/09/2026 13:49:48"/>
    <s v="16:30"/>
    <d v="1899-12-30T02:40:12"/>
    <x v="1"/>
    <d v="1899-12-30T05:20:10"/>
    <n v="24.972999999999999"/>
    <n v="8.4700000000000006"/>
    <d v="1899-12-30T02:56:50"/>
    <d v="1899-12-30T01:40:41"/>
    <d v="1899-12-30T00:00:00"/>
    <n v="0"/>
    <n v="0"/>
    <n v="0"/>
    <n v="0"/>
    <n v="0"/>
    <n v="0"/>
    <s v="INICIO CUMPLE / FIN ANTICIPADO"/>
    <s v="Inicio GPS dentro de la tolerancia del horario programado.; Fin GPS anticipado: 02:40:12 antes de las 16:30."/>
  </r>
  <r>
    <s v="257bfeb6a38e1dc5"/>
    <s v="09_09_2026_YL_Diur.gpx"/>
    <s v="257bfeb6a38e1dc53fbe6b1a48f666f5efb24c2e5a04433374c950f93a55e2d4"/>
    <x v="7"/>
    <x v="0"/>
    <s v="Miércoles"/>
    <x v="7"/>
    <s v="YL"/>
    <x v="0"/>
    <n v="1636"/>
    <s v="09/09/2026 08:55:30"/>
    <s v="08:30"/>
    <d v="1899-12-30T00:25:30"/>
    <x v="0"/>
    <s v="09/09/2026 14:34:47"/>
    <s v="16:30"/>
    <d v="1899-12-30T01:55:13"/>
    <x v="1"/>
    <d v="1899-12-30T05:39:17"/>
    <n v="21.09"/>
    <n v="10.08"/>
    <d v="1899-12-30T02:05:31"/>
    <d v="1899-12-30T01:14:44"/>
    <d v="1899-12-30T00:00:00"/>
    <n v="0"/>
    <n v="0"/>
    <n v="0"/>
    <n v="0"/>
    <n v="0"/>
    <n v="0"/>
    <s v="INICIO TARDÍO / FIN ANTICIPADO"/>
    <s v="Inicio GPS tardío: 00:25:30 después de las 08:30.; Fin GPS anticipado: 01:55:13 antes de las 16:30."/>
  </r>
  <r>
    <s v="8489f5ca727c48b9"/>
    <s v="09_09_2026_DV_Noct.gpx"/>
    <s v="8489f5ca727c48b9206c42f67637d5103e839cbcd4b3101de42d6376f92ccdd3"/>
    <x v="7"/>
    <x v="0"/>
    <s v="Miércoles"/>
    <x v="9"/>
    <s v="DV"/>
    <x v="1"/>
    <n v="3917"/>
    <s v="09/09/2026 17:44:20"/>
    <s v="18:00"/>
    <d v="1899-12-30T00:15:40"/>
    <x v="2"/>
    <s v="10/09/2026 00:04:06"/>
    <s v="00:00"/>
    <d v="1899-12-30T00:04:06"/>
    <x v="0"/>
    <d v="1899-12-30T06:19:46"/>
    <n v="47.945999999999998"/>
    <n v="10.35"/>
    <d v="1899-12-30T04:38:00"/>
    <d v="1899-12-30T01:43:05"/>
    <d v="1899-12-30T00:00:00"/>
    <n v="0"/>
    <n v="0"/>
    <n v="0"/>
    <n v="0"/>
    <n v="0"/>
    <n v="0"/>
    <s v="REVISAR"/>
    <s v="Inicio GPS anterior al horario: 00:15:40 antes de las 18:00.; Fin GPS dentro de la tolerancia del horario programado."/>
  </r>
  <r>
    <s v="37dbfb2410a78669"/>
    <s v="09_09_2026_IQ_Noct.gpx"/>
    <s v="37dbfb2410a78669d73e94f529ac859d840c050911e3ee33ca7ea067260690ca"/>
    <x v="7"/>
    <x v="0"/>
    <s v="Miércoles"/>
    <x v="10"/>
    <s v="IQ"/>
    <x v="1"/>
    <n v="1448"/>
    <s v="09/09/2026 17:44:02"/>
    <s v="18:00"/>
    <d v="1899-12-30T00:15:58"/>
    <x v="2"/>
    <s v="09/09/2026 23:50:35"/>
    <s v="00:00"/>
    <d v="1899-12-30T00:09:25"/>
    <x v="0"/>
    <d v="1899-12-30T06:06:33"/>
    <n v="36.604999999999997"/>
    <n v="15.05"/>
    <d v="1899-12-30T02:25:55"/>
    <d v="1899-12-30T01:41:19"/>
    <d v="1899-12-30T00:00:00"/>
    <n v="0"/>
    <n v="0"/>
    <n v="0"/>
    <n v="0"/>
    <n v="0"/>
    <n v="2"/>
    <s v="REVISAR"/>
    <s v="Inicio GPS anterior al horario: 00:15:58 antes de las 18:00.; Fin GPS dentro de la tolerancia del horario programado.; 2 hueco(s) GPS &gt;= 10 min."/>
  </r>
  <r>
    <s v="8e51cb7bcda39249"/>
    <s v="09_09_2026_JHP_Noct.gpx"/>
    <s v="8e51cb7bcda39249e739e58e94512dc9e7ceae8e48d1de8cdc279bf91805f76b"/>
    <x v="7"/>
    <x v="0"/>
    <s v="Miércoles"/>
    <x v="11"/>
    <s v="JHP"/>
    <x v="1"/>
    <n v="4949"/>
    <s v="09/09/2026 18:58:33"/>
    <s v="18:00"/>
    <d v="1899-12-30T00:58:33"/>
    <x v="0"/>
    <s v="10/09/2026 00:05:29"/>
    <s v="00:00"/>
    <d v="1899-12-30T00:05:29"/>
    <x v="0"/>
    <d v="1899-12-30T05:06:56"/>
    <n v="66.066999999999993"/>
    <n v="17.059999999999999"/>
    <d v="1899-12-30T03:52:19"/>
    <d v="1899-12-30T00:53:17"/>
    <d v="1899-12-30T00:00:00"/>
    <n v="0"/>
    <n v="0"/>
    <n v="0"/>
    <n v="0"/>
    <n v="0"/>
    <n v="0"/>
    <s v="INICIO TARDÍO / FIN CUMPLE"/>
    <s v="Inicio GPS tardío: 00:58:33 después de las 18:00.; Fin GPS dentro de la tolerancia del horario programado."/>
  </r>
  <r>
    <s v="aad319aa116864e7"/>
    <s v="09_09_2026_JP_Noct.gpx"/>
    <s v="aad319aa116864e7dd28f754de0c33e8689b34c39da53806fd044a1af5a431df"/>
    <x v="7"/>
    <x v="0"/>
    <s v="Miércoles"/>
    <x v="12"/>
    <s v="JP"/>
    <x v="1"/>
    <n v="1436"/>
    <s v="09/09/2026 18:24:15"/>
    <s v="18:00"/>
    <d v="1899-12-30T00:24:15"/>
    <x v="0"/>
    <s v="09/09/2026 23:23:52"/>
    <s v="00:00"/>
    <d v="1899-12-30T00:36:08"/>
    <x v="1"/>
    <d v="1899-12-30T04:59:37"/>
    <n v="18.117999999999999"/>
    <n v="6.37"/>
    <d v="1899-12-30T02:50:33"/>
    <d v="1899-12-30T02:00:42"/>
    <d v="1899-12-30T00:00:00"/>
    <n v="0"/>
    <n v="0"/>
    <n v="0"/>
    <n v="0"/>
    <n v="0"/>
    <n v="0"/>
    <s v="INICIO TARDÍO / FIN ANTICIPADO"/>
    <s v="Inicio GPS tardío: 00:24:15 después de las 18:00.; Fin GPS anticipado: 00:36:08 antes de las 00:00."/>
  </r>
  <r>
    <s v="277b45e27a0c46f8"/>
    <s v="09_09_2026_LA_Noct.gpx"/>
    <s v="277b45e27a0c46f89e3fa48e83a1db2593bce72d88c914807a0d7f62b78c4b7b"/>
    <x v="7"/>
    <x v="0"/>
    <s v="Miércoles"/>
    <x v="13"/>
    <s v="LA"/>
    <x v="1"/>
    <n v="10950"/>
    <s v="09/09/2026 17:29:10"/>
    <s v="18:00"/>
    <d v="1899-12-30T00:30:50"/>
    <x v="2"/>
    <s v="10/09/2026 00:04:12"/>
    <s v="00:00"/>
    <d v="1899-12-30T00:04:13"/>
    <x v="0"/>
    <d v="1899-12-30T06:35:03"/>
    <n v="56.308"/>
    <n v="14.4"/>
    <d v="1899-12-30T03:54:37"/>
    <d v="1899-12-30T02:41:45"/>
    <d v="1899-12-30T00:00:00"/>
    <n v="0"/>
    <n v="0"/>
    <n v="0"/>
    <n v="0"/>
    <n v="0"/>
    <n v="2"/>
    <s v="REVISAR"/>
    <s v="Inicio GPS anterior al horario: 00:30:50 antes de las 18:00.; Fin GPS dentro de la tolerancia del horario programado.; 2 hueco(s) GPS &gt;= 10 min."/>
  </r>
  <r>
    <s v="369aa134b9ee94cb"/>
    <s v="10_09_2026_AO_Diur.gpx"/>
    <s v="369aa134b9ee94cb24b23111cb2a73af38312fc53fe3383c050896ab18feeb0f"/>
    <x v="8"/>
    <x v="0"/>
    <s v="Jueves"/>
    <x v="0"/>
    <s v="AO"/>
    <x v="0"/>
    <n v="3372"/>
    <s v="10/09/2026 09:24:58"/>
    <s v="08:30"/>
    <d v="1899-12-30T00:54:59"/>
    <x v="0"/>
    <s v="10/09/2026 16:14:06"/>
    <s v="16:30"/>
    <d v="1899-12-30T00:15:53"/>
    <x v="1"/>
    <d v="1899-12-30T06:49:08"/>
    <n v="33.204999999999998"/>
    <n v="7.1"/>
    <d v="1899-12-30T04:40:40"/>
    <d v="1899-12-30T03:39:41"/>
    <d v="1899-12-30T02:39:17"/>
    <n v="1"/>
    <n v="1"/>
    <n v="1"/>
    <n v="1"/>
    <n v="1"/>
    <n v="3"/>
    <s v="INICIO TARDÍO / FIN ANTICIPADO"/>
    <s v="Inicio GPS tardío: 00:54:59 después de las 08:30.; Fin GPS anticipado: 00:15:53 antes de las 16:30.; 3 hueco(s) GPS &gt;= 10 min.; 1 permanencia(s) GPS detectada(s); requiere contexto."/>
  </r>
  <r>
    <s v="77e3ff26a69209f6"/>
    <s v="10_09_2026_AR_Diur.gpx"/>
    <s v="77e3ff26a69209f67a812e8501ddcf927d95e794505d83b9a978965e8bd59158"/>
    <x v="8"/>
    <x v="0"/>
    <s v="Jueves"/>
    <x v="1"/>
    <s v="AR"/>
    <x v="0"/>
    <n v="3183"/>
    <s v="10/09/2026 08:35:10"/>
    <s v="08:30"/>
    <d v="1899-12-30T00:05:10"/>
    <x v="1"/>
    <s v="10/09/2026 16:32:13"/>
    <s v="16:30"/>
    <d v="1899-12-30T00:02:13"/>
    <x v="0"/>
    <d v="1899-12-30T07:57:03"/>
    <n v="45.685000000000002"/>
    <n v="7.13"/>
    <d v="1899-12-30T06:24:17"/>
    <d v="1899-12-30T04:52:50"/>
    <d v="1899-12-30T00:00:00"/>
    <n v="0"/>
    <n v="0"/>
    <n v="0"/>
    <n v="0"/>
    <n v="0"/>
    <n v="3"/>
    <s v="DENTRO DE HORARIO"/>
    <s v="Inicio GPS dentro de la tolerancia del horario programado.; Fin GPS dentro de la tolerancia del horario programado.; 3 hueco(s) GPS &gt;= 10 min."/>
  </r>
  <r>
    <s v="154f0e99dca2066a"/>
    <s v="10_09_2026_HC_Diur.gpx"/>
    <s v="154f0e99dca2066a4fa4320f7c9d7c28810c3a82b25870057d249b1c84fe5fe0"/>
    <x v="8"/>
    <x v="0"/>
    <s v="Jueves"/>
    <x v="2"/>
    <s v="HC"/>
    <x v="0"/>
    <n v="3750"/>
    <s v="10/09/2026 08:43:55"/>
    <s v="08:30"/>
    <d v="1899-12-30T00:13:55"/>
    <x v="1"/>
    <s v="10/09/2026 15:10:33"/>
    <s v="16:30"/>
    <d v="1899-12-30T01:19:27"/>
    <x v="1"/>
    <d v="1899-12-30T06:26:38"/>
    <n v="50.122999999999998"/>
    <n v="10.97"/>
    <d v="1899-12-30T04:34:10"/>
    <d v="1899-12-30T02:16:14"/>
    <d v="1899-12-30T00:00:00"/>
    <n v="0"/>
    <n v="0"/>
    <n v="0"/>
    <n v="0"/>
    <n v="0"/>
    <n v="1"/>
    <s v="INICIO CUMPLE / FIN ANTICIPADO"/>
    <s v="Inicio GPS dentro de la tolerancia del horario programado.; Fin GPS anticipado: 01:19:27 antes de las 16:30.; 1 hueco(s) GPS &gt;= 10 min."/>
  </r>
  <r>
    <s v="4a99b8c715c37006"/>
    <s v="10_09_2026_JA_Diur.gpx"/>
    <s v="4a99b8c715c370069db7d68789aebb5ee39591e3079215be74483df1a7501dec"/>
    <x v="8"/>
    <x v="0"/>
    <s v="Jueves"/>
    <x v="3"/>
    <s v="JA"/>
    <x v="0"/>
    <n v="2732"/>
    <s v="10/09/2026 08:53:29"/>
    <s v="08:30"/>
    <d v="1899-12-30T00:23:29"/>
    <x v="0"/>
    <s v="10/09/2026 12:23:25"/>
    <s v="16:30"/>
    <d v="1899-12-30T04:06:35"/>
    <x v="1"/>
    <d v="1899-12-30T03:29:56"/>
    <n v="37.540999999999997"/>
    <n v="13.77"/>
    <d v="1899-12-30T02:43:33"/>
    <d v="1899-12-30T01:26:37"/>
    <d v="1899-12-30T00:00:00"/>
    <n v="0"/>
    <n v="0"/>
    <n v="0"/>
    <n v="0"/>
    <n v="0"/>
    <n v="0"/>
    <s v="INICIO TARDÍO / FIN ANTICIPADO"/>
    <s v="Inicio GPS tardío: 00:23:29 después de las 08:30.; Fin GPS anticipado: 04:06:35 antes de las 16:30."/>
  </r>
  <r>
    <s v="237e8034bfc1025d"/>
    <s v="10_09_2026_JO_Diur.gpx"/>
    <s v="237e8034bfc1025d9c1eb375dc23d57201d1fae1ea5fa546675c33177a275f86"/>
    <x v="8"/>
    <x v="0"/>
    <s v="Jueves"/>
    <x v="4"/>
    <s v="JO"/>
    <x v="0"/>
    <n v="6286"/>
    <s v="10/09/2026 08:35:17"/>
    <s v="08:30"/>
    <d v="1899-12-30T00:05:17"/>
    <x v="1"/>
    <s v="10/09/2026 15:48:43"/>
    <s v="16:30"/>
    <d v="1899-12-30T00:41:16"/>
    <x v="1"/>
    <d v="1899-12-30T07:13:27"/>
    <n v="35.920999999999999"/>
    <n v="16.68"/>
    <d v="1899-12-30T02:09:11"/>
    <d v="1899-12-30T01:19:03"/>
    <d v="1899-12-30T00:00:00"/>
    <n v="0"/>
    <n v="0"/>
    <n v="0"/>
    <n v="0"/>
    <n v="0"/>
    <n v="11"/>
    <s v="INICIO CUMPLE / FIN ANTICIPADO"/>
    <s v="Inicio GPS dentro de la tolerancia del horario programado.; Fin GPS anticipado: 00:41:16 antes de las 16:30.; 11 hueco(s) GPS &gt;= 10 min."/>
  </r>
  <r>
    <s v="156cadcbdc564093"/>
    <s v="10_09_2026_JZ_Diur.gpx"/>
    <s v="156cadcbdc5640934e19146064486c8725ab66230313b9a252650a9da1bdf4cd"/>
    <x v="8"/>
    <x v="0"/>
    <s v="Jueves"/>
    <x v="5"/>
    <s v="JZ"/>
    <x v="0"/>
    <n v="7939"/>
    <s v="10/09/2026 08:00:24"/>
    <s v="08:30"/>
    <d v="1899-12-30T00:29:36"/>
    <x v="2"/>
    <s v="10/09/2026 18:31:00"/>
    <s v="16:30"/>
    <d v="1899-12-30T02:01:00"/>
    <x v="2"/>
    <d v="1899-12-30T10:30:36"/>
    <n v="103.40300000000001"/>
    <n v="11.85"/>
    <d v="1899-12-30T08:43:41"/>
    <d v="1899-12-30T03:49:03"/>
    <d v="1899-12-30T00:00:00"/>
    <n v="0"/>
    <n v="0"/>
    <n v="0"/>
    <n v="0"/>
    <n v="0"/>
    <n v="0"/>
    <s v="FIN POSTERIOR"/>
    <s v="Inicio GPS anterior al horario: 00:29:36 antes de las 08:30.; Fin GPS posterior: 02:01:00 después de las 16:30."/>
  </r>
  <r>
    <s v="c9663a8e274dfd85"/>
    <s v="10_09_2026_SJ_Diur.gpx"/>
    <s v="c9663a8e274dfd85184810ef7fa85094d297b14cdde02416fbdf76b53b15e871"/>
    <x v="8"/>
    <x v="0"/>
    <s v="Jueves"/>
    <x v="6"/>
    <s v="SJ"/>
    <x v="0"/>
    <n v="2420"/>
    <s v="10/09/2026 08:35:15"/>
    <s v="08:30"/>
    <d v="1899-12-30T00:05:15"/>
    <x v="1"/>
    <s v="10/09/2026 15:30:36"/>
    <s v="16:30"/>
    <d v="1899-12-30T00:59:24"/>
    <x v="1"/>
    <d v="1899-12-30T06:55:21"/>
    <n v="30.905999999999999"/>
    <n v="8.89"/>
    <d v="1899-12-30T03:28:33"/>
    <d v="1899-12-30T02:15:12"/>
    <d v="1899-12-30T00:00:00"/>
    <n v="0"/>
    <n v="0"/>
    <n v="0"/>
    <n v="0"/>
    <n v="0"/>
    <n v="0"/>
    <s v="INICIO CUMPLE / FIN ANTICIPADO"/>
    <s v="Inicio GPS dentro de la tolerancia del horario programado.; Fin GPS anticipado: 00:59:24 antes de las 16:30."/>
  </r>
  <r>
    <s v="5f08e7c6d2f0026e"/>
    <s v="10_09_2026_DR_Diur.gpx"/>
    <s v="5f08e7c6d2f0026ed4569ad835cb476c6973071c09d43199de2a7cf51bf72d07"/>
    <x v="8"/>
    <x v="0"/>
    <s v="Jueves"/>
    <x v="8"/>
    <s v="DR"/>
    <x v="0"/>
    <n v="4852"/>
    <s v="10/09/2026 08:57:01"/>
    <s v="08:30"/>
    <d v="1899-12-30T00:27:01"/>
    <x v="0"/>
    <s v="10/09/2026 13:59:43"/>
    <s v="16:30"/>
    <d v="1899-12-30T02:30:17"/>
    <x v="1"/>
    <d v="1899-12-30T05:02:42"/>
    <n v="73.456999999999994"/>
    <n v="18.66"/>
    <d v="1899-12-30T03:56:09"/>
    <d v="1899-12-30T01:46:41"/>
    <d v="1899-12-30T00:00:00"/>
    <n v="0"/>
    <n v="0"/>
    <n v="0"/>
    <n v="0"/>
    <n v="0"/>
    <n v="1"/>
    <s v="INICIO TARDÍO / FIN ANTICIPADO"/>
    <s v="Inicio GPS tardío: 00:27:01 después de las 08:30.; Fin GPS anticipado: 02:30:17 antes de las 16:30.; 1 hueco(s) GPS &gt;= 10 min."/>
  </r>
  <r>
    <s v="6db090df841ec014"/>
    <s v="10_09_2026_YL_Diur.gpx"/>
    <s v="6db090df841ec01429f60926fe4aab345b496fa8c208bed6d920182dd55e2e85"/>
    <x v="8"/>
    <x v="0"/>
    <s v="Jueves"/>
    <x v="7"/>
    <s v="YL"/>
    <x v="0"/>
    <n v="430"/>
    <s v="10/09/2026 11:00:20"/>
    <s v="08:30"/>
    <d v="1899-12-30T02:30:20"/>
    <x v="0"/>
    <s v="10/09/2026 16:11:25"/>
    <s v="16:30"/>
    <d v="1899-12-30T00:18:35"/>
    <x v="1"/>
    <d v="1899-12-30T05:11:05"/>
    <n v="8.2119999999999997"/>
    <n v="1.71"/>
    <d v="1899-12-30T04:48:54"/>
    <d v="1899-12-30T04:35:22"/>
    <d v="1899-12-30T00:00:00"/>
    <n v="0"/>
    <n v="0"/>
    <n v="0"/>
    <n v="0"/>
    <n v="0"/>
    <n v="1"/>
    <s v="INICIO TARDÍO / FIN ANTICIPADO"/>
    <s v="Inicio GPS tardío: 02:30:20 después de las 08:30.; Fin GPS anticipado: 00:18:35 antes de las 16:30.; 1 hueco(s) GPS &gt;= 10 min."/>
  </r>
  <r>
    <s v="322b7ac522442dc6"/>
    <s v="10_09_2026_DV_Noct.gpx"/>
    <s v="322b7ac522442dc6989f419b877dfa288905fff74d5a5ade76dea1bb2e5b2a59"/>
    <x v="8"/>
    <x v="0"/>
    <s v="Jueves"/>
    <x v="9"/>
    <s v="DV"/>
    <x v="1"/>
    <n v="3938"/>
    <s v="10/09/2026 16:40:32"/>
    <s v="18:00"/>
    <d v="1899-12-30T01:19:28"/>
    <x v="2"/>
    <s v="11/09/2026 00:11:32"/>
    <s v="00:00"/>
    <d v="1899-12-30T00:11:32"/>
    <x v="0"/>
    <d v="1899-12-30T07:31:00"/>
    <n v="47.618000000000002"/>
    <n v="10.23"/>
    <d v="1899-12-30T04:39:15"/>
    <d v="1899-12-30T01:44:54"/>
    <d v="1899-12-30T00:00:00"/>
    <n v="0"/>
    <n v="0"/>
    <n v="0"/>
    <n v="0"/>
    <n v="0"/>
    <n v="0"/>
    <s v="REVISAR"/>
    <s v="Inicio GPS anterior al horario: 01:19:28 antes de las 18:00.; Fin GPS dentro de la tolerancia del horario programado."/>
  </r>
  <r>
    <s v="7be688bf7a294659"/>
    <s v="10_09_2026_IQ_Noct.gpx"/>
    <s v="7be688bf7a29465983907bdf2d7dc1db2b35c9f19596e75e1a106608aab779d4"/>
    <x v="8"/>
    <x v="0"/>
    <s v="Jueves"/>
    <x v="10"/>
    <s v="IQ"/>
    <x v="1"/>
    <n v="1126"/>
    <s v="10/09/2026 17:31:25"/>
    <s v="18:00"/>
    <d v="1899-12-30T00:28:35"/>
    <x v="2"/>
    <s v="11/09/2026 00:00:50"/>
    <s v="00:00"/>
    <d v="1899-12-30T00:00:50"/>
    <x v="0"/>
    <d v="1899-12-30T06:29:25"/>
    <n v="21.57"/>
    <n v="7.21"/>
    <d v="1899-12-30T02:59:33"/>
    <d v="1899-12-30T02:27:49"/>
    <d v="1899-12-30T00:12:06"/>
    <n v="1"/>
    <n v="0"/>
    <n v="0"/>
    <n v="0"/>
    <n v="0"/>
    <n v="5"/>
    <s v="REVISAR"/>
    <s v="Inicio GPS anterior al horario: 00:28:35 antes de las 18:00.; Fin GPS dentro de la tolerancia del horario programado.; 5 hueco(s) GPS &gt;= 10 min.; 1 permanencia(s) GPS detectada(s); requiere contexto."/>
  </r>
  <r>
    <s v="334979fb68f1cd12"/>
    <s v="10_09_2026_JHP_Noct.gpx"/>
    <s v="334979fb68f1cd120875a8a3e2a2eb506d380a3b3167bce2f8e73c0cf1f21537"/>
    <x v="8"/>
    <x v="0"/>
    <s v="Jueves"/>
    <x v="11"/>
    <s v="JHP"/>
    <x v="1"/>
    <n v="6236"/>
    <s v="10/09/2026 17:03:01"/>
    <s v="18:00"/>
    <d v="1899-12-30T00:56:59"/>
    <x v="2"/>
    <s v="11/09/2026 00:16:45"/>
    <s v="00:00"/>
    <d v="1899-12-30T00:16:45"/>
    <x v="2"/>
    <d v="1899-12-30T07:13:44"/>
    <n v="86.531000000000006"/>
    <n v="14.38"/>
    <d v="1899-12-30T06:01:08"/>
    <d v="1899-12-30T02:15:30"/>
    <d v="1899-12-30T00:00:00"/>
    <n v="0"/>
    <n v="0"/>
    <n v="0"/>
    <n v="0"/>
    <n v="0"/>
    <n v="0"/>
    <s v="FIN POSTERIOR"/>
    <s v="Inicio GPS anterior al horario: 00:56:59 antes de las 18:00.; Fin GPS posterior: 00:16:45 después de las 00:00."/>
  </r>
  <r>
    <s v="f3346f117e9cf1d9"/>
    <s v="10_09_2026_LA_Noct.gpx"/>
    <s v="f3346f117e9cf1d9f0d33b362d4060cbc766aee3a341156b083fa129c84d9494"/>
    <x v="8"/>
    <x v="0"/>
    <s v="Jueves"/>
    <x v="13"/>
    <s v="LA"/>
    <x v="1"/>
    <n v="8946"/>
    <s v="10/09/2026 17:34:50"/>
    <s v="18:00"/>
    <d v="1899-12-30T00:25:09"/>
    <x v="2"/>
    <s v="11/09/2026 00:07:26"/>
    <s v="00:00"/>
    <d v="1899-12-30T00:07:27"/>
    <x v="0"/>
    <d v="1899-12-30T06:32:36"/>
    <n v="47.781999999999996"/>
    <n v="11.97"/>
    <d v="1899-12-30T03:59:28"/>
    <d v="1899-12-30T02:51:53"/>
    <d v="1899-12-30T00:00:00"/>
    <n v="0"/>
    <n v="0"/>
    <n v="0"/>
    <n v="0"/>
    <n v="0"/>
    <n v="2"/>
    <s v="REVISAR"/>
    <s v="Inicio GPS anterior al horario: 00:25:09 antes de las 18:00.; Fin GPS dentro de la tolerancia del horario programado.; 2 hueco(s) GPS &gt;= 10 min."/>
  </r>
  <r>
    <s v="62a9fcb82e66121f"/>
    <s v="11_09_2026_AO_Diur.gpx"/>
    <s v="62a9fcb82e66121fd226f99e4734428d49a69553222d2a8ef31f520a1bad3640"/>
    <x v="9"/>
    <x v="0"/>
    <s v="Viernes"/>
    <x v="0"/>
    <s v="AO"/>
    <x v="0"/>
    <n v="9828"/>
    <s v="11/09/2026 09:08:21"/>
    <s v="08:30"/>
    <d v="1899-12-30T00:38:21"/>
    <x v="0"/>
    <s v="11/09/2026 16:22:09"/>
    <s v="16:00"/>
    <d v="1899-12-30T00:22:09"/>
    <x v="2"/>
    <d v="1899-12-30T07:13:48"/>
    <n v="68.373999999999995"/>
    <n v="24.96"/>
    <d v="1899-12-30T02:44:23"/>
    <d v="1899-12-30T00:25:52"/>
    <d v="1899-12-30T00:00:00"/>
    <n v="0"/>
    <n v="0"/>
    <n v="0"/>
    <n v="0"/>
    <n v="0"/>
    <n v="4"/>
    <s v="FIN POSTERIOR"/>
    <s v="Inicio GPS tardío: 00:38:21 después de las 08:30.; Fin GPS posterior: 00:22:09 después de las 16:00.; 4 hueco(s) GPS &gt;= 10 min."/>
  </r>
  <r>
    <s v="9e563886926028fa"/>
    <s v="11_09_2026_AR_Diur.gpx"/>
    <s v="9e563886926028faae0c50afb06b9c2eec6cc19cc3787b47b12a6a3e698e823a"/>
    <x v="9"/>
    <x v="0"/>
    <s v="Viernes"/>
    <x v="1"/>
    <s v="AR"/>
    <x v="0"/>
    <n v="3486"/>
    <s v="11/09/2026 08:27:53"/>
    <s v="08:30"/>
    <d v="1899-12-30T00:02:07"/>
    <x v="1"/>
    <s v="11/09/2026 15:32:58"/>
    <s v="16:00"/>
    <d v="1899-12-30T00:27:02"/>
    <x v="1"/>
    <d v="1899-12-30T07:05:05"/>
    <n v="45.167999999999999"/>
    <n v="7.47"/>
    <d v="1899-12-30T06:02:34"/>
    <d v="1899-12-30T04:00:25"/>
    <d v="1899-12-30T00:00:00"/>
    <n v="0"/>
    <n v="0"/>
    <n v="0"/>
    <n v="0"/>
    <n v="0"/>
    <n v="2"/>
    <s v="INICIO CUMPLE / FIN ANTICIPADO"/>
    <s v="Inicio GPS dentro de la tolerancia del horario programado.; Fin GPS anticipado: 00:27:02 antes de las 16:00.; 2 hueco(s) GPS &gt;= 10 min."/>
  </r>
  <r>
    <s v="2f4d79bdcb63d229"/>
    <s v="11_09_2026_DR_Diur.gpx"/>
    <s v="2f4d79bdcb63d229863d3c4763cda73e2d436c8a28772f4f9a414ecd43264982"/>
    <x v="9"/>
    <x v="0"/>
    <s v="Viernes"/>
    <x v="8"/>
    <s v="DR"/>
    <x v="0"/>
    <n v="2550"/>
    <s v="11/09/2026 08:33:26"/>
    <s v="08:30"/>
    <d v="1899-12-30T00:03:26"/>
    <x v="1"/>
    <s v="11/09/2026 12:53:35"/>
    <s v="16:00"/>
    <d v="1899-12-30T03:06:25"/>
    <x v="1"/>
    <d v="1899-12-30T04:20:09"/>
    <n v="34.093000000000004"/>
    <n v="7.86"/>
    <d v="1899-12-30T04:20:09"/>
    <d v="1899-12-30T02:34:47"/>
    <d v="1899-12-30T00:00:00"/>
    <n v="0"/>
    <n v="0"/>
    <n v="0"/>
    <n v="0"/>
    <n v="0"/>
    <n v="1"/>
    <s v="INICIO CUMPLE / FIN ANTICIPADO"/>
    <s v="Inicio GPS dentro de la tolerancia del horario programado.; Fin GPS anticipado: 03:06:25 antes de las 16:00.; 1 hueco(s) GPS &gt;= 10 min."/>
  </r>
  <r>
    <s v="983be0c15a210d25"/>
    <s v="11_09_2026_HC_Diur.gpx"/>
    <s v="983be0c15a210d253e8bb0c8e09526a57eef1017e98aca8ce373210873dfad91"/>
    <x v="9"/>
    <x v="0"/>
    <s v="Viernes"/>
    <x v="2"/>
    <s v="HC"/>
    <x v="0"/>
    <n v="2778"/>
    <s v="11/09/2026 08:32:22"/>
    <s v="08:30"/>
    <d v="1899-12-30T00:02:22"/>
    <x v="1"/>
    <s v="11/09/2026 13:47:57"/>
    <s v="16:00"/>
    <d v="1899-12-30T02:12:03"/>
    <x v="1"/>
    <d v="1899-12-30T05:15:35"/>
    <n v="36.688000000000002"/>
    <n v="10.210000000000001"/>
    <d v="1899-12-30T03:35:39"/>
    <d v="1899-12-30T02:05:21"/>
    <d v="1899-12-30T00:00:00"/>
    <n v="0"/>
    <n v="0"/>
    <n v="0"/>
    <n v="0"/>
    <n v="0"/>
    <n v="0"/>
    <s v="INICIO CUMPLE / FIN ANTICIPADO"/>
    <s v="Inicio GPS dentro de la tolerancia del horario programado.; Fin GPS anticipado: 02:12:03 antes de las 16:00."/>
  </r>
  <r>
    <s v="35bdb47cd2be35a8"/>
    <s v="11_09_2026_JA_Diur.gpx"/>
    <s v="35bdb47cd2be35a85c093f0ef8ca0a1d5ca3fd9113e6959351e550aaa8d88923"/>
    <x v="9"/>
    <x v="0"/>
    <s v="Viernes"/>
    <x v="3"/>
    <s v="JA"/>
    <x v="0"/>
    <n v="3026"/>
    <s v="11/09/2026 08:24:29"/>
    <s v="08:30"/>
    <d v="1899-12-30T00:05:31"/>
    <x v="1"/>
    <s v="11/09/2026 10:39:00"/>
    <s v="16:00"/>
    <d v="1899-12-30T05:21:00"/>
    <x v="1"/>
    <d v="1899-12-30T02:14:31"/>
    <n v="41.774999999999999"/>
    <n v="19.21"/>
    <d v="1899-12-30T02:10:29"/>
    <d v="1899-12-30T00:31:24"/>
    <d v="1899-12-30T00:00:00"/>
    <n v="0"/>
    <n v="0"/>
    <n v="0"/>
    <n v="0"/>
    <n v="0"/>
    <n v="0"/>
    <s v="INICIO CUMPLE / FIN ANTICIPADO"/>
    <s v="Inicio GPS dentro de la tolerancia del horario programado.; Fin GPS anticipado: 05:21:00 antes de las 16:00."/>
  </r>
  <r>
    <s v="4757f2fa78252f55"/>
    <s v="11_09_2026_JZ_Diur.gpx"/>
    <s v="4757f2fa78252f55d539c2c39d65af44de927d858dfcc4c386545675a7810557"/>
    <x v="9"/>
    <x v="0"/>
    <s v="Viernes"/>
    <x v="5"/>
    <s v="JZ"/>
    <x v="0"/>
    <n v="6062"/>
    <s v="11/09/2026 08:23:18"/>
    <s v="08:30"/>
    <d v="1899-12-30T00:06:42"/>
    <x v="1"/>
    <s v="11/09/2026 15:50:40"/>
    <s v="16:00"/>
    <d v="1899-12-30T00:09:20"/>
    <x v="0"/>
    <d v="1899-12-30T07:27:22"/>
    <n v="80.531999999999996"/>
    <n v="14.03"/>
    <d v="1899-12-30T05:44:31"/>
    <d v="1899-12-30T02:04:15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</r>
  <r>
    <s v="66075bf6ada2eeb9"/>
    <s v="11_09_2026_SJ_Diur.gpx"/>
    <s v="66075bf6ada2eeb99187a8f9cb0f1d5735c26937aff74bbfec90ef08babed9d9"/>
    <x v="9"/>
    <x v="0"/>
    <s v="Viernes"/>
    <x v="6"/>
    <s v="SJ"/>
    <x v="0"/>
    <n v="2357"/>
    <s v="11/09/2026 08:40:23"/>
    <s v="08:30"/>
    <d v="1899-12-30T00:10:23"/>
    <x v="1"/>
    <s v="11/09/2026 16:05:32"/>
    <s v="16:00"/>
    <d v="1899-12-30T00:05:32"/>
    <x v="0"/>
    <d v="1899-12-30T07:25:09"/>
    <n v="30.547000000000001"/>
    <n v="8.73"/>
    <d v="1899-12-30T03:29:54"/>
    <d v="1899-12-30T02:16:49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</r>
  <r>
    <s v="b24d45d04d5bd409"/>
    <s v="12_09_2026_DR_Diur.gpx"/>
    <s v="b24d45d04d5bd4098daab01bb99513f001c9748b78ac58765414f3057baff550"/>
    <x v="10"/>
    <x v="0"/>
    <s v="Sábado"/>
    <x v="8"/>
    <s v="DR"/>
    <x v="0"/>
    <n v="2047"/>
    <s v="12/09/2026 09:17:49"/>
    <s v="08:30"/>
    <d v="1899-12-30T00:47:49"/>
    <x v="0"/>
    <s v="12/09/2026 16:00:31"/>
    <s v="16:00"/>
    <d v="1899-12-30T00:00:31"/>
    <x v="0"/>
    <d v="1899-12-30T06:42:42"/>
    <n v="25.844999999999999"/>
    <n v="5.93"/>
    <d v="1899-12-30T04:21:32"/>
    <d v="1899-12-30T03:33:50"/>
    <d v="1899-12-30T00:00:00"/>
    <n v="0"/>
    <n v="0"/>
    <n v="0"/>
    <n v="0"/>
    <n v="0"/>
    <n v="2"/>
    <s v="INICIO TARDÍO / FIN CUMPLE"/>
    <s v="Inicio GPS tardío: 00:47:49 después de las 08:30.; Fin GPS dentro de la tolerancia del horario programado.; 2 hueco(s) GPS &gt;= 10 min."/>
  </r>
  <r>
    <s v="d182d0833a09621d"/>
    <s v="11_09_2026_DV_Noct.gpx"/>
    <s v="d182d0833a09621d0a513eb7d412c4bfcafa2ca1ea0c512db34325c14cabe0a3"/>
    <x v="9"/>
    <x v="0"/>
    <s v="Viernes"/>
    <x v="9"/>
    <s v="DV"/>
    <x v="1"/>
    <n v="3050"/>
    <s v="11/09/2026 17:46:18"/>
    <s v="18:00"/>
    <d v="1899-12-30T00:13:42"/>
    <x v="1"/>
    <s v="12/09/2026 01:11:07"/>
    <s v="00:00"/>
    <d v="1899-12-30T01:11:07"/>
    <x v="2"/>
    <d v="1899-12-30T07:24:49"/>
    <n v="36.299999999999997"/>
    <n v="8.24"/>
    <d v="1899-12-30T04:24:17"/>
    <d v="1899-12-30T02:05:40"/>
    <d v="1899-12-30T00:00:00"/>
    <n v="0"/>
    <n v="0"/>
    <n v="0"/>
    <n v="0"/>
    <n v="0"/>
    <n v="0"/>
    <s v="FIN POSTERIOR"/>
    <s v="Inicio GPS dentro de la tolerancia del horario programado.; Fin GPS posterior: 01:11:07 después de las 00:00."/>
  </r>
  <r>
    <s v="3174bb6a9870fea4"/>
    <s v="11_09_2026_IQ_Noct.gpx"/>
    <s v="3174bb6a9870fea45a50cbd12a19351e9011c4d42b3cb1088a6e3b416001263d"/>
    <x v="9"/>
    <x v="0"/>
    <s v="Viernes"/>
    <x v="10"/>
    <s v="IQ"/>
    <x v="1"/>
    <n v="708"/>
    <s v="11/09/2026 18:20:17"/>
    <s v="18:00"/>
    <d v="1899-12-30T00:20:17"/>
    <x v="0"/>
    <s v="12/09/2026 00:00:08"/>
    <s v="00:00"/>
    <d v="1899-12-30T00:00:08"/>
    <x v="0"/>
    <d v="1899-12-30T05:39:51"/>
    <n v="44.496000000000002"/>
    <n v="11.94"/>
    <d v="1899-12-30T03:43:35"/>
    <d v="1899-12-30T03:05:16"/>
    <d v="1899-12-30T00:00:00"/>
    <n v="0"/>
    <n v="0"/>
    <n v="0"/>
    <n v="0"/>
    <n v="0"/>
    <n v="4"/>
    <s v="INICIO TARDÍO / FIN CUMPLE"/>
    <s v="Inicio GPS tardío: 00:20:17 después de las 18:00.; Fin GPS dentro de la tolerancia del horario programado.; 4 hueco(s) GPS &gt;= 10 min."/>
  </r>
  <r>
    <s v="ed0e4e1d4d3a7045"/>
    <s v="11_09_2026_JHP_Noct.gpx"/>
    <s v="ed0e4e1d4d3a7045f5a58f3ae81dac01e679c8173646f4ee993ea002f789dfb6"/>
    <x v="9"/>
    <x v="0"/>
    <s v="Viernes"/>
    <x v="11"/>
    <s v="JHP"/>
    <x v="1"/>
    <n v="7487"/>
    <s v="11/09/2026 16:54:22"/>
    <s v="18:00"/>
    <d v="1899-12-30T01:05:38"/>
    <x v="2"/>
    <s v="12/09/2026 00:06:07"/>
    <s v="00:00"/>
    <d v="1899-12-30T00:06:07"/>
    <x v="0"/>
    <d v="1899-12-30T07:11:45"/>
    <n v="105.99299999999999"/>
    <n v="17.809999999999999"/>
    <d v="1899-12-30T05:57:08"/>
    <d v="1899-12-30T01:45:30"/>
    <d v="1899-12-30T00:00:00"/>
    <n v="0"/>
    <n v="0"/>
    <n v="0"/>
    <n v="0"/>
    <n v="0"/>
    <n v="0"/>
    <s v="REVISAR"/>
    <s v="Inicio GPS anterior al horario: 01:05:38 antes de las 18:00.; Fin GPS dentro de la tolerancia del horario programado."/>
  </r>
  <r>
    <s v="c4d966cb83556657"/>
    <s v="11_09_2026_JO_Diur.gpx"/>
    <s v="c4d966cb83556657d134f8318260112284196e27faae77be0106a89509e50971"/>
    <x v="9"/>
    <x v="0"/>
    <s v="Viernes"/>
    <x v="4"/>
    <s v="JO"/>
    <x v="0"/>
    <n v="5705"/>
    <s v="11/09/2026 08:42:51"/>
    <s v="08:30"/>
    <d v="1899-12-30T00:12:51"/>
    <x v="1"/>
    <s v="11/09/2026 16:00:42"/>
    <s v="16:00"/>
    <d v="1899-12-30T00:00:42"/>
    <x v="0"/>
    <d v="1899-12-30T07:17:51"/>
    <n v="40.686"/>
    <n v="14.51"/>
    <d v="1899-12-30T02:48:12"/>
    <d v="1899-12-30T01:41:15"/>
    <d v="1899-12-30T00:00:00"/>
    <n v="0"/>
    <n v="0"/>
    <n v="0"/>
    <n v="0"/>
    <n v="0"/>
    <n v="11"/>
    <s v="DENTRO DE HORARIO"/>
    <s v="Inicio GPS dentro de la tolerancia del horario programado.; Fin GPS dentro de la tolerancia del horario programado.; 11 hueco(s) GPS &gt;= 10 min."/>
  </r>
  <r>
    <s v="921e3cf8f1c73d8e"/>
    <s v="11_09_2026_JP_Noct.gpx"/>
    <s v="921e3cf8f1c73d8efc1047f960af19364e7bcf8aa63025bbc69b615acd4fc9db"/>
    <x v="9"/>
    <x v="0"/>
    <s v="Viernes"/>
    <x v="12"/>
    <s v="JP"/>
    <x v="1"/>
    <n v="3174"/>
    <s v="11/09/2026 17:59:21"/>
    <s v="18:00"/>
    <d v="1899-12-30T00:00:39"/>
    <x v="1"/>
    <s v="11/09/2026 22:40:33"/>
    <s v="00:00"/>
    <d v="1899-12-30T01:19:27"/>
    <x v="1"/>
    <d v="1899-12-30T04:41:12"/>
    <n v="43.072000000000003"/>
    <n v="10.3"/>
    <d v="1899-12-30T04:10:57"/>
    <d v="1899-12-30T02:20:12"/>
    <d v="1899-12-30T00:00:00"/>
    <n v="0"/>
    <n v="0"/>
    <n v="0"/>
    <n v="0"/>
    <n v="0"/>
    <n v="0"/>
    <s v="INICIO CUMPLE / FIN ANTICIPADO"/>
    <s v="Inicio GPS dentro de la tolerancia del horario programado.; Fin GPS anticipado: 01:19:27 antes de las 00:00."/>
  </r>
  <r>
    <s v="e8bbb4cd9f17894a"/>
    <s v="12_09_2026_JO_Noct.gpx"/>
    <s v="e8bbb4cd9f17894ad401cfb6fd1dceca91daeb6fdcf6b86d1fcab0bda39c2ae2"/>
    <x v="10"/>
    <x v="0"/>
    <s v="Sábado"/>
    <x v="4"/>
    <s v="JO"/>
    <x v="1"/>
    <n v="7819"/>
    <s v="12/09/2026 18:04:42"/>
    <s v="18:00"/>
    <d v="1899-12-30T00:04:42"/>
    <x v="1"/>
    <s v="13/09/2026 00:06:22"/>
    <s v="00:00"/>
    <d v="1899-12-30T00:06:22"/>
    <x v="0"/>
    <d v="1899-12-30T06:01:40"/>
    <n v="45.506"/>
    <n v="18.010000000000002"/>
    <d v="1899-12-30T02:31:36"/>
    <d v="1899-12-30T01:07:59"/>
    <d v="1899-12-30T00:00:00"/>
    <n v="0"/>
    <n v="0"/>
    <n v="0"/>
    <n v="0"/>
    <n v="0"/>
    <n v="6"/>
    <s v="DENTRO DE HORARIO"/>
    <s v="Inicio GPS dentro de la tolerancia del horario programado.; Fin GPS dentro de la tolerancia del horario programado.; 6 hueco(s) GPS &gt;= 10 min.; Sábado nocturno: verificar técnico asignado."/>
  </r>
  <r>
    <s v="12b42f3142a0a948"/>
    <s v="11_09_2026_LA_Noct.gpx"/>
    <s v="12b42f3142a0a948a3c42116179952c216f41cf0cde6db180ee4acd0861cec4a"/>
    <x v="9"/>
    <x v="0"/>
    <s v="Viernes"/>
    <x v="13"/>
    <s v="LA"/>
    <x v="1"/>
    <n v="11960"/>
    <s v="11/09/2026 17:11:09"/>
    <s v="18:00"/>
    <d v="1899-12-30T00:48:51"/>
    <x v="2"/>
    <s v="11/09/2026 23:57:13"/>
    <s v="00:00"/>
    <d v="1899-12-30T00:02:46"/>
    <x v="0"/>
    <d v="1899-12-30T06:46:04"/>
    <n v="66.061999999999998"/>
    <n v="15.35"/>
    <d v="1899-12-30T04:18:09"/>
    <d v="1899-12-30T02:37:42"/>
    <d v="1899-12-30T00:00:00"/>
    <n v="0"/>
    <n v="0"/>
    <n v="0"/>
    <n v="0"/>
    <n v="0"/>
    <n v="3"/>
    <s v="REVISAR"/>
    <s v="Inicio GPS anterior al horario: 00:48:51 antes de las 18:00.; Fin GPS dentro de la tolerancia del horario programado.; 3 hueco(s) GPS &gt;= 10 min."/>
  </r>
  <r>
    <s v="64608d775471e888"/>
    <s v="14_09_2026_AO_Diur.gpx"/>
    <s v="64608d775471e88835392ff434de461429e8d784558f1c78facdbf0260003a55"/>
    <x v="11"/>
    <x v="0"/>
    <s v="Lunes"/>
    <x v="0"/>
    <s v="AO"/>
    <x v="0"/>
    <n v="9328"/>
    <s v="14/09/2026 08:49:52"/>
    <s v="08:30"/>
    <d v="1899-12-30T00:19:52"/>
    <x v="0"/>
    <s v="14/09/2026 16:59:42"/>
    <s v="16:30"/>
    <d v="1899-12-30T00:29:42"/>
    <x v="2"/>
    <d v="1899-12-30T08:09:50"/>
    <n v="79.951999999999998"/>
    <n v="20.77"/>
    <d v="1899-12-30T03:51:00"/>
    <d v="1899-12-30T01:11:31"/>
    <d v="1899-12-30T00:00:00"/>
    <n v="0"/>
    <n v="0"/>
    <n v="0"/>
    <n v="0"/>
    <n v="0"/>
    <n v="5"/>
    <s v="FIN POSTERIOR"/>
    <s v="Inicio GPS tardío: 00:19:52 después de las 08:30.; Fin GPS posterior: 00:29:42 después de las 16:30.; 5 hueco(s) GPS &gt;= 10 min."/>
  </r>
  <r>
    <s v="d3a38467d28aea42"/>
    <s v="14_09_2026_AR_Diur.gpx"/>
    <s v="d3a38467d28aea420ccdc283b959d46ded65190cf988176747e8e2ccfdd5997a"/>
    <x v="11"/>
    <x v="0"/>
    <s v="Lunes"/>
    <x v="1"/>
    <s v="AR"/>
    <x v="0"/>
    <n v="3877"/>
    <s v="14/09/2026 08:13:31"/>
    <s v="08:30"/>
    <d v="1899-12-30T00:16:29"/>
    <x v="2"/>
    <s v="14/09/2026 16:00:40"/>
    <s v="16:30"/>
    <d v="1899-12-30T00:29:20"/>
    <x v="1"/>
    <d v="1899-12-30T07:47:09"/>
    <n v="46.598999999999997"/>
    <n v="7.59"/>
    <d v="1899-12-30T06:08:18"/>
    <d v="1899-12-30T03:07:10"/>
    <d v="1899-12-30T00:00:00"/>
    <n v="0"/>
    <n v="0"/>
    <n v="0"/>
    <n v="0"/>
    <n v="0"/>
    <n v="2"/>
    <s v="REVISAR"/>
    <s v="Inicio GPS anterior al horario: 00:16:29 antes de las 08:30.; Fin GPS anticipado: 00:29:20 antes de las 16:30.; 2 hueco(s) GPS &gt;= 10 min."/>
  </r>
  <r>
    <s v="9b80091cfa0bc372"/>
    <s v="14_09_2026_DR_Diur.gpx"/>
    <s v="9b80091cfa0bc372306c9ba91bf6256a061f1e34f8179fff16d59c3583f41a4d"/>
    <x v="11"/>
    <x v="0"/>
    <s v="Lunes"/>
    <x v="8"/>
    <s v="DR"/>
    <x v="0"/>
    <n v="3951"/>
    <s v="14/09/2026 09:05:21"/>
    <s v="08:30"/>
    <d v="1899-12-30T00:35:21"/>
    <x v="0"/>
    <s v="14/09/2026 15:39:31"/>
    <s v="16:30"/>
    <d v="1899-12-30T00:50:29"/>
    <x v="1"/>
    <d v="1899-12-30T06:34:10"/>
    <n v="53.475999999999999"/>
    <n v="9.44"/>
    <d v="1899-12-30T05:39:43"/>
    <d v="1899-12-30T03:36:07"/>
    <d v="1899-12-30T00:00:00"/>
    <n v="0"/>
    <n v="0"/>
    <n v="0"/>
    <n v="0"/>
    <n v="0"/>
    <n v="2"/>
    <s v="INICIO TARDÍO / FIN ANTICIPADO"/>
    <s v="Inicio GPS tardío: 00:35:21 después de las 08:30.; Fin GPS anticipado: 00:50:29 antes de las 16:30.; 2 hueco(s) GPS &gt;= 10 min."/>
  </r>
  <r>
    <s v="087877c2cd424574"/>
    <s v="14_09_2026_HC_Diur.gpx"/>
    <s v="087877c2cd42457462ad2419ee8929ec30d937ab215bda615f1cc5533b13278a"/>
    <x v="11"/>
    <x v="0"/>
    <s v="Lunes"/>
    <x v="2"/>
    <s v="HC"/>
    <x v="0"/>
    <n v="4211"/>
    <s v="14/09/2026 08:16:51"/>
    <s v="08:30"/>
    <d v="1899-12-30T00:13:09"/>
    <x v="1"/>
    <s v="14/09/2026 14:04:45"/>
    <s v="16:30"/>
    <d v="1899-12-30T02:25:15"/>
    <x v="1"/>
    <d v="1899-12-30T05:47:54"/>
    <n v="56.030999999999999"/>
    <n v="17.48"/>
    <d v="1899-12-30T03:12:22"/>
    <d v="1899-12-30T00:57:37"/>
    <d v="1899-12-30T00:00:00"/>
    <n v="0"/>
    <n v="0"/>
    <n v="0"/>
    <n v="0"/>
    <n v="0"/>
    <n v="0"/>
    <s v="INICIO CUMPLE / FIN ANTICIPADO"/>
    <s v="Inicio GPS dentro de la tolerancia del horario programado.; Fin GPS anticipado: 02:25:15 antes de las 16:30."/>
  </r>
  <r>
    <s v="a0ebf6c120309c0c"/>
    <s v="14_09_2026_JZ_Diur.gpx"/>
    <s v="a0ebf6c120309c0c2f3036aab4f2daedc622d401d4ff1245de0dca5345739069"/>
    <x v="11"/>
    <x v="0"/>
    <s v="Lunes"/>
    <x v="5"/>
    <s v="JZ"/>
    <x v="0"/>
    <n v="6651"/>
    <s v="14/09/2026 08:35:02"/>
    <s v="08:30"/>
    <d v="1899-12-30T00:05:02"/>
    <x v="1"/>
    <s v="14/09/2026 16:32:34"/>
    <s v="16:30"/>
    <d v="1899-12-30T00:02:34"/>
    <x v="0"/>
    <d v="1899-12-30T07:57:32"/>
    <n v="88.263999999999996"/>
    <n v="15.29"/>
    <d v="1899-12-30T05:46:27"/>
    <d v="1899-12-30T02:08:33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</r>
  <r>
    <s v="e2ecd19a94981685"/>
    <s v="14_09_2026_SJ_Diur.gpx"/>
    <s v="e2ecd19a94981685a641cc725303113f23247fb18ef773b1c075668c37cad329"/>
    <x v="11"/>
    <x v="0"/>
    <s v="Lunes"/>
    <x v="6"/>
    <s v="SJ"/>
    <x v="0"/>
    <n v="2421"/>
    <s v="14/09/2026 08:51:42"/>
    <s v="08:30"/>
    <d v="1899-12-30T00:21:42"/>
    <x v="0"/>
    <s v="14/09/2026 16:09:06"/>
    <s v="16:30"/>
    <d v="1899-12-30T00:20:54"/>
    <x v="1"/>
    <d v="1899-12-30T07:17:24"/>
    <n v="31.95"/>
    <n v="7.64"/>
    <d v="1899-12-30T04:10:48"/>
    <d v="1899-12-30T02:57:33"/>
    <d v="1899-12-30T00:00:00"/>
    <n v="0"/>
    <n v="0"/>
    <n v="0"/>
    <n v="0"/>
    <n v="0"/>
    <n v="0"/>
    <s v="INICIO TARDÍO / FIN ANTICIPADO"/>
    <s v="Inicio GPS tardío: 00:21:42 después de las 08:30.; Fin GPS anticipado: 00:20:54 antes de las 16:30."/>
  </r>
  <r>
    <s v="17813c2c4f61c56e"/>
    <s v="14_09_2026_YL_Diur.gpx"/>
    <s v="17813c2c4f61c56ea82fbe6ab194981f81baeea1f60c7c18a865e0c7a256a62e"/>
    <x v="11"/>
    <x v="0"/>
    <s v="Lunes"/>
    <x v="7"/>
    <s v="YL"/>
    <x v="0"/>
    <n v="3076"/>
    <s v="14/09/2026 08:48:38"/>
    <s v="08:30"/>
    <d v="1899-12-30T00:18:38"/>
    <x v="0"/>
    <s v="14/09/2026 16:33:57"/>
    <s v="16:30"/>
    <d v="1899-12-30T00:03:57"/>
    <x v="0"/>
    <d v="1899-12-30T07:45:19"/>
    <n v="39.648000000000003"/>
    <n v="14.43"/>
    <d v="1899-12-30T02:44:50"/>
    <d v="1899-12-30T01:21:43"/>
    <d v="1899-12-30T00:00:00"/>
    <n v="0"/>
    <n v="0"/>
    <n v="0"/>
    <n v="0"/>
    <n v="0"/>
    <n v="0"/>
    <s v="INICIO TARDÍO / FIN CUMPLE"/>
    <s v="Inicio GPS tardío: 00:18:38 después de las 08:30.; Fin GPS dentro de la tolerancia del horario programado."/>
  </r>
  <r>
    <s v="2fb4c6305023bf8f"/>
    <s v="14_09_2026_JA_Diur.gpx"/>
    <s v="2fb4c6305023bf8fb43bfabe0b00fe20c31bd06c132fb4a51cd41f8194ca4b2c"/>
    <x v="11"/>
    <x v="0"/>
    <s v="Lunes"/>
    <x v="3"/>
    <s v="JA"/>
    <x v="0"/>
    <n v="3218"/>
    <s v="14/09/2026 08:16:49"/>
    <s v="08:30"/>
    <d v="1899-12-30T00:13:11"/>
    <x v="1"/>
    <s v="14/09/2026 12:56:56"/>
    <s v="16:30"/>
    <d v="1899-12-30T03:33:04"/>
    <x v="1"/>
    <d v="1899-12-30T04:40:07"/>
    <n v="44.1"/>
    <n v="9.65"/>
    <d v="1899-12-30T04:34:04"/>
    <d v="1899-12-30T02:47:56"/>
    <d v="1899-12-30T00:00:00"/>
    <n v="0"/>
    <n v="0"/>
    <n v="0"/>
    <n v="0"/>
    <n v="0"/>
    <n v="1"/>
    <s v="INICIO CUMPLE / FIN ANTICIPADO"/>
    <s v="Inicio GPS dentro de la tolerancia del horario programado.; Fin GPS anticipado: 03:33:04 antes de las 16:30.; 1 hueco(s) GPS &gt;= 10 min."/>
  </r>
  <r>
    <s v="c6914eb88cd5f98b"/>
    <s v="14_09_2026_DV_Noct.gpx"/>
    <s v="c6914eb88cd5f98bf7d3cb5a4e7f264edd67b3f562bba28d2ca9ec7fd0a425cb"/>
    <x v="11"/>
    <x v="0"/>
    <s v="Lunes"/>
    <x v="9"/>
    <s v="DV"/>
    <x v="1"/>
    <n v="5430"/>
    <s v="14/09/2026 17:04:55"/>
    <s v="18:00"/>
    <d v="1899-12-30T00:55:05"/>
    <x v="2"/>
    <s v="15/09/2026 00:24:58"/>
    <s v="00:00"/>
    <d v="1899-12-30T00:24:58"/>
    <x v="2"/>
    <d v="1899-12-30T07:20:03"/>
    <n v="69.721000000000004"/>
    <n v="13.26"/>
    <d v="1899-12-30T05:15:25"/>
    <d v="1899-12-30T01:36:28"/>
    <d v="1899-12-30T00:00:00"/>
    <n v="0"/>
    <n v="0"/>
    <n v="0"/>
    <n v="0"/>
    <n v="0"/>
    <n v="0"/>
    <s v="FIN POSTERIOR"/>
    <s v="Inicio GPS anterior al horario: 00:55:05 antes de las 18:00.; Fin GPS posterior: 00:24:58 después de las 00:00."/>
  </r>
  <r>
    <s v="c22ce3f880a76352"/>
    <s v="14_09_2026_IQ_Noct.gpx"/>
    <s v="c22ce3f880a76352ee249e038479ca23d76ce9e2ca26662b154aa53b2159668e"/>
    <x v="11"/>
    <x v="0"/>
    <s v="Lunes"/>
    <x v="10"/>
    <s v="IQ"/>
    <x v="1"/>
    <n v="1837"/>
    <s v="14/09/2026 18:20:53"/>
    <s v="18:00"/>
    <d v="1899-12-30T00:20:53"/>
    <x v="0"/>
    <s v="15/09/2026 00:03:23"/>
    <s v="00:00"/>
    <d v="1899-12-30T00:03:23"/>
    <x v="0"/>
    <d v="1899-12-30T05:42:30"/>
    <n v="23.887"/>
    <n v="7.22"/>
    <d v="1899-12-30T03:18:25"/>
    <d v="1899-12-30T02:16:01"/>
    <d v="1899-12-30T00:00:00"/>
    <n v="0"/>
    <n v="0"/>
    <n v="0"/>
    <n v="0"/>
    <n v="0"/>
    <n v="1"/>
    <s v="INICIO TARDÍO / FIN CUMPLE"/>
    <s v="Inicio GPS tardío: 00:20:53 después de las 18:00.; Fin GPS dentro de la tolerancia del horario programado.; 1 hueco(s) GPS &gt;= 10 min."/>
  </r>
  <r>
    <s v="f77269df50f1ad1f"/>
    <s v="14_09_2026_JHP_Noct.gpx"/>
    <s v="f77269df50f1ad1f2cddfe33fa12b1adae75d28c8df5349a3eb9d341ea04b0af"/>
    <x v="11"/>
    <x v="0"/>
    <s v="Lunes"/>
    <x v="11"/>
    <s v="JHP"/>
    <x v="1"/>
    <n v="4827"/>
    <s v="14/09/2026 17:41:58"/>
    <s v="18:00"/>
    <d v="1899-12-30T00:18:02"/>
    <x v="2"/>
    <s v="15/09/2026 00:03:58"/>
    <s v="00:00"/>
    <d v="1899-12-30T00:03:58"/>
    <x v="0"/>
    <d v="1899-12-30T06:22:00"/>
    <n v="62.723999999999997"/>
    <n v="13.39"/>
    <d v="1899-12-30T04:41:10"/>
    <d v="1899-12-30T01:36:12"/>
    <d v="1899-12-30T00:00:00"/>
    <n v="0"/>
    <n v="0"/>
    <n v="0"/>
    <n v="0"/>
    <n v="0"/>
    <n v="0"/>
    <s v="REVISAR"/>
    <s v="Inicio GPS anterior al horario: 00:18:02 antes de las 18:00.; Fin GPS dentro de la tolerancia del horario programado."/>
  </r>
  <r>
    <s v="af238268905a721a"/>
    <s v="14_09_2026_JP_Noct.gpx"/>
    <s v="af238268905a721a65e42e2c4ef00e8085025a564f894f5af63ae97aca334ac7"/>
    <x v="11"/>
    <x v="0"/>
    <s v="Lunes"/>
    <x v="12"/>
    <s v="JP"/>
    <x v="1"/>
    <n v="3810"/>
    <s v="14/09/2026 17:08:15"/>
    <s v="18:00"/>
    <d v="1899-12-30T00:51:45"/>
    <x v="2"/>
    <s v="14/09/2026 23:22:19"/>
    <s v="00:00"/>
    <d v="1899-12-30T00:37:41"/>
    <x v="1"/>
    <d v="1899-12-30T06:14:04"/>
    <n v="51.901000000000003"/>
    <n v="10.99"/>
    <d v="1899-12-30T04:43:19"/>
    <d v="1899-12-30T03:06:36"/>
    <d v="1899-12-30T00:00:00"/>
    <n v="0"/>
    <n v="0"/>
    <n v="0"/>
    <n v="0"/>
    <n v="0"/>
    <n v="0"/>
    <s v="REVISAR"/>
    <s v="Inicio GPS anterior al horario: 00:51:45 antes de las 18:00.; Fin GPS anticipado: 00:37:41 antes de las 00:00."/>
  </r>
  <r>
    <s v="8db51ad76e93ce48"/>
    <s v="14_09_2026_LA_Noct.gpx"/>
    <s v="8db51ad76e93ce48967781d321dcf3cc81fe19b0a68dfbaa98ced51bb4793096"/>
    <x v="11"/>
    <x v="0"/>
    <s v="Lunes"/>
    <x v="13"/>
    <s v="LA"/>
    <x v="1"/>
    <n v="10473"/>
    <s v="14/09/2026 17:07:23"/>
    <s v="18:00"/>
    <d v="1899-12-30T00:52:37"/>
    <x v="2"/>
    <s v="14/09/2026 23:55:40"/>
    <s v="00:00"/>
    <d v="1899-12-30T00:04:20"/>
    <x v="0"/>
    <d v="1899-12-30T06:48:17"/>
    <n v="49.595999999999997"/>
    <n v="12.02"/>
    <d v="1899-12-30T04:07:39"/>
    <d v="1899-12-30T03:07:23"/>
    <d v="1899-12-30T00:00:00"/>
    <n v="0"/>
    <n v="0"/>
    <n v="0"/>
    <n v="0"/>
    <n v="0"/>
    <n v="1"/>
    <s v="REVISAR"/>
    <s v="Inicio GPS anterior al horario: 00:52:37 antes de las 18:00.; Fin GPS dentro de la tolerancia del horario programado.; 1 hueco(s) GPS &gt;= 10 min."/>
  </r>
  <r>
    <s v="6d383f5126627be4"/>
    <s v="15_09_2026_AO_Diur.gpx"/>
    <s v="6d383f5126627be401112e1581edf5783ae50b1c21b8d2025337951781db3b22"/>
    <x v="12"/>
    <x v="0"/>
    <s v="Martes"/>
    <x v="0"/>
    <s v="AO"/>
    <x v="0"/>
    <n v="6378"/>
    <s v="15/09/2026 08:45:57"/>
    <s v="08:30"/>
    <d v="1899-12-30T00:15:57"/>
    <x v="0"/>
    <s v="15/09/2026 16:39:58"/>
    <s v="16:30"/>
    <d v="1899-12-30T00:09:59"/>
    <x v="0"/>
    <d v="1899-12-30T07:54:02"/>
    <n v="52.210999999999999"/>
    <n v="21.96"/>
    <d v="1899-12-30T02:22:41"/>
    <d v="1899-12-30T00:57:39"/>
    <d v="1899-12-30T00:00:00"/>
    <n v="0"/>
    <n v="0"/>
    <n v="0"/>
    <n v="0"/>
    <n v="0"/>
    <n v="5"/>
    <s v="INICIO TARDÍO / FIN CUMPLE"/>
    <s v="Inicio GPS tardío: 00:15:57 después de las 08:30.; Fin GPS dentro de la tolerancia del horario programado.; 5 hueco(s) GPS &gt;= 10 min."/>
  </r>
  <r>
    <s v="4d27ae64e07a9404"/>
    <s v="15_09_2026_AR_Diur.gpx"/>
    <s v="4d27ae64e07a9404aa5d39fab767faf7cf4e5f540bab0c6e152567a5ad6e6e63"/>
    <x v="12"/>
    <x v="0"/>
    <s v="Martes"/>
    <x v="1"/>
    <s v="AR"/>
    <x v="0"/>
    <n v="3906"/>
    <s v="15/09/2026 08:01:55"/>
    <s v="08:30"/>
    <d v="1899-12-30T00:28:05"/>
    <x v="2"/>
    <s v="15/09/2026 16:32:09"/>
    <s v="16:30"/>
    <d v="1899-12-30T00:02:09"/>
    <x v="0"/>
    <d v="1899-12-30T08:30:14"/>
    <n v="55.177"/>
    <n v="9.5500000000000007"/>
    <d v="1899-12-30T05:46:50"/>
    <d v="1899-12-30T03:19:21"/>
    <d v="1899-12-30T00:00:00"/>
    <n v="0"/>
    <n v="0"/>
    <n v="0"/>
    <n v="0"/>
    <n v="0"/>
    <n v="7"/>
    <s v="REVISAR"/>
    <s v="Inicio GPS anterior al horario: 00:28:05 antes de las 08:30.; Fin GPS dentro de la tolerancia del horario programado.; 7 hueco(s) GPS &gt;= 10 min."/>
  </r>
  <r>
    <s v="8ecfd841945da9c4"/>
    <s v="15_09_2026_DR_Diur.gpx"/>
    <s v="8ecfd841945da9c4002d1f85112d3f8c7207b5c014a3b68465fae25ce35d189a"/>
    <x v="12"/>
    <x v="0"/>
    <s v="Martes"/>
    <x v="8"/>
    <s v="DR"/>
    <x v="0"/>
    <n v="2317"/>
    <s v="15/09/2026 09:02:58"/>
    <s v="08:30"/>
    <d v="1899-12-30T00:32:58"/>
    <x v="0"/>
    <s v="15/09/2026 16:19:40"/>
    <s v="16:30"/>
    <d v="1899-12-30T00:10:20"/>
    <x v="0"/>
    <d v="1899-12-30T07:16:42"/>
    <n v="29.96"/>
    <n v="5.32"/>
    <d v="1899-12-30T05:37:53"/>
    <d v="1899-12-30T04:16:49"/>
    <d v="1899-12-30T00:00:00"/>
    <n v="0"/>
    <n v="0"/>
    <n v="0"/>
    <n v="0"/>
    <n v="0"/>
    <n v="1"/>
    <s v="INICIO TARDÍO / FIN CUMPLE"/>
    <s v="Inicio GPS tardío: 00:32:58 después de las 08:30.; Fin GPS dentro de la tolerancia del horario programado.; 1 hueco(s) GPS &gt;= 10 min."/>
  </r>
  <r>
    <s v="e3104078aa2c2eab"/>
    <s v="15_09_2026_HC_Diur.gpx"/>
    <s v="e3104078aa2c2eab9b95e1615030c327378203ff9db0cfabc0922e82a3b91bdf"/>
    <x v="12"/>
    <x v="0"/>
    <s v="Martes"/>
    <x v="2"/>
    <s v="HC"/>
    <x v="0"/>
    <n v="3558"/>
    <s v="15/09/2026 08:14:48"/>
    <s v="08:30"/>
    <d v="1899-12-30T00:15:12"/>
    <x v="2"/>
    <s v="15/09/2026 14:15:33"/>
    <s v="16:30"/>
    <d v="1899-12-30T02:14:27"/>
    <x v="1"/>
    <d v="1899-12-30T06:00:45"/>
    <n v="45.686"/>
    <n v="13.47"/>
    <d v="1899-12-30T03:23:27"/>
    <d v="1899-12-30T01:21:39"/>
    <d v="1899-12-30T00:00:00"/>
    <n v="0"/>
    <n v="0"/>
    <n v="0"/>
    <n v="0"/>
    <n v="0"/>
    <n v="0"/>
    <s v="REVISAR"/>
    <s v="Inicio GPS anterior al horario: 00:15:12 antes de las 08:30.; Fin GPS anticipado: 02:14:27 antes de las 16:30."/>
  </r>
  <r>
    <s v="d4d492c68722cb2b"/>
    <s v="15_09_2026_JA_Diur.gpx"/>
    <s v="d4d492c68722cb2b831d2d860db03a1f9931758c2958c1f7565139f596aca08f"/>
    <x v="12"/>
    <x v="0"/>
    <s v="Martes"/>
    <x v="3"/>
    <s v="JA"/>
    <x v="0"/>
    <n v="3204"/>
    <s v="15/09/2026 08:08:17"/>
    <s v="08:30"/>
    <d v="1899-12-30T00:21:43"/>
    <x v="2"/>
    <s v="15/09/2026 11:33:01"/>
    <s v="16:30"/>
    <d v="1899-12-30T04:56:59"/>
    <x v="1"/>
    <d v="1899-12-30T03:24:44"/>
    <n v="43.651000000000003"/>
    <n v="16.54"/>
    <d v="1899-12-30T02:38:21"/>
    <d v="1899-12-30T01:18:03"/>
    <d v="1899-12-30T00:00:00"/>
    <n v="0"/>
    <n v="0"/>
    <n v="0"/>
    <n v="0"/>
    <n v="0"/>
    <n v="0"/>
    <s v="REVISAR"/>
    <s v="Inicio GPS anterior al horario: 00:21:43 antes de las 08:30.; Fin GPS anticipado: 04:56:59 antes de las 16:30."/>
  </r>
  <r>
    <s v="9b8ad0d75b183458"/>
    <s v="15_09_2026_JO_Diur.gpx"/>
    <s v="9b8ad0d75b183458c88a5d9c2e455fd9a72c0e2acf0ecbb212ee54543c045994"/>
    <x v="12"/>
    <x v="0"/>
    <s v="Martes"/>
    <x v="4"/>
    <s v="JO"/>
    <x v="0"/>
    <n v="7445"/>
    <s v="15/09/2026 08:23:56"/>
    <s v="08:30"/>
    <d v="1899-12-30T00:06:04"/>
    <x v="1"/>
    <s v="15/09/2026 16:29:33"/>
    <s v="16:30"/>
    <d v="1899-12-30T00:00:26"/>
    <x v="0"/>
    <d v="1899-12-30T08:05:38"/>
    <n v="48.784999999999997"/>
    <n v="31.72"/>
    <d v="1899-12-30T01:32:17"/>
    <d v="1899-12-30T00:07:58"/>
    <d v="1899-12-30T00:00:00"/>
    <n v="0"/>
    <n v="0"/>
    <n v="0"/>
    <n v="0"/>
    <n v="0"/>
    <n v="11"/>
    <s v="DENTRO DE HORARIO"/>
    <s v="Inicio GPS dentro de la tolerancia del horario programado.; Fin GPS dentro de la tolerancia del horario programado.; 11 hueco(s) GPS &gt;= 10 min."/>
  </r>
  <r>
    <s v="5031b827ce5a2888"/>
    <s v="15_09_2026_JZ_Diur.gpx"/>
    <s v="5031b827ce5a288868319a26a4217c209c72fe1a6b47184ee6c7833b615a3f45"/>
    <x v="12"/>
    <x v="0"/>
    <s v="Martes"/>
    <x v="5"/>
    <s v="JZ"/>
    <x v="0"/>
    <n v="7142"/>
    <s v="15/09/2026 08:11:11"/>
    <s v="08:30"/>
    <d v="1899-12-30T00:18:49"/>
    <x v="2"/>
    <s v="15/09/2026 16:51:21"/>
    <s v="16:30"/>
    <d v="1899-12-30T00:21:21"/>
    <x v="2"/>
    <d v="1899-12-30T08:40:10"/>
    <n v="95.906000000000006"/>
    <n v="16.04"/>
    <d v="1899-12-30T05:58:50"/>
    <d v="1899-12-30T02:05:08"/>
    <d v="1899-12-30T00:00:00"/>
    <n v="0"/>
    <n v="0"/>
    <n v="0"/>
    <n v="0"/>
    <n v="0"/>
    <n v="0"/>
    <s v="FIN POSTERIOR"/>
    <s v="Inicio GPS anterior al horario: 00:18:49 antes de las 08:30.; Fin GPS posterior: 00:21:21 después de las 16:30."/>
  </r>
  <r>
    <s v="2b7fff97dbe28da1"/>
    <s v="15_09_2026_SJ_Diur.gpx"/>
    <s v="2b7fff97dbe28da1a4a4a793da92ce0f8dac17afddeef474c1b0334c2c675801"/>
    <x v="12"/>
    <x v="0"/>
    <s v="Martes"/>
    <x v="6"/>
    <s v="SJ"/>
    <x v="0"/>
    <n v="2650"/>
    <s v="15/09/2026 08:33:13"/>
    <s v="08:30"/>
    <d v="1899-12-30T00:03:13"/>
    <x v="1"/>
    <s v="15/09/2026 16:54:43"/>
    <s v="16:30"/>
    <d v="1899-12-30T00:24:43"/>
    <x v="2"/>
    <d v="1899-12-30T08:21:30"/>
    <n v="34.738"/>
    <n v="6.64"/>
    <d v="1899-12-30T05:14:06"/>
    <d v="1899-12-30T03:57:06"/>
    <d v="1899-12-30T00:00:00"/>
    <n v="0"/>
    <n v="0"/>
    <n v="0"/>
    <n v="0"/>
    <n v="0"/>
    <n v="1"/>
    <s v="FIN POSTERIOR"/>
    <s v="Inicio GPS dentro de la tolerancia del horario programado.; Fin GPS posterior: 00:24:43 después de las 16:30.; 1 hueco(s) GPS &gt;= 10 min."/>
  </r>
  <r>
    <s v="0ffd8dceae54f308"/>
    <s v="15_09_2026_YL_Diur.gpx"/>
    <s v="0ffd8dceae54f308689f3f62a5ca513e819061f2ef3e0745cd3ffe5edbcc6a20"/>
    <x v="12"/>
    <x v="0"/>
    <s v="Martes"/>
    <x v="7"/>
    <s v="YL"/>
    <x v="0"/>
    <n v="4660"/>
    <s v="15/09/2026 08:21:05"/>
    <s v="08:30"/>
    <d v="1899-12-30T00:08:55"/>
    <x v="1"/>
    <s v="15/09/2026 16:26:08"/>
    <s v="16:30"/>
    <d v="1899-12-30T00:03:52"/>
    <x v="0"/>
    <d v="1899-12-30T08:05:03"/>
    <n v="71.48"/>
    <n v="15.81"/>
    <d v="1899-12-30T04:31:17"/>
    <d v="1899-12-30T02:14:46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</r>
  <r>
    <s v="a7be8528a7abbac9"/>
    <s v="15_09_2026_DV_Noct.gpx"/>
    <s v="a7be8528a7abbac9737086375e0e27be9d77a33a0372117fb8b07910c0fa7166"/>
    <x v="12"/>
    <x v="0"/>
    <s v="Martes"/>
    <x v="9"/>
    <s v="DV"/>
    <x v="1"/>
    <n v="3732"/>
    <s v="15/09/2026 17:06:25"/>
    <s v="18:00"/>
    <d v="1899-12-30T00:53:35"/>
    <x v="2"/>
    <s v="16/09/2026 00:17:19"/>
    <s v="00:00"/>
    <d v="1899-12-30T00:17:19"/>
    <x v="2"/>
    <d v="1899-12-30T07:10:54"/>
    <n v="47.478000000000002"/>
    <n v="10.15"/>
    <d v="1899-12-30T04:40:43"/>
    <d v="1899-12-30T02:19:17"/>
    <d v="1899-12-30T00:00:00"/>
    <n v="0"/>
    <n v="0"/>
    <n v="0"/>
    <n v="0"/>
    <n v="0"/>
    <n v="0"/>
    <s v="FIN POSTERIOR"/>
    <s v="Inicio GPS anterior al horario: 00:53:35 antes de las 18:00.; Fin GPS posterior: 00:17:19 después de las 00:00."/>
  </r>
  <r>
    <s v="97aa6c8b72ea29e1"/>
    <s v="15_09_2026_IQ_Noct.gpx"/>
    <s v="97aa6c8b72ea29e10dd0df2ab21223ef9e5a1a3a7df9f678d7956e27f9d98b49"/>
    <x v="12"/>
    <x v="0"/>
    <s v="Martes"/>
    <x v="10"/>
    <s v="IQ"/>
    <x v="1"/>
    <n v="348"/>
    <s v="15/09/2026 20:18:15"/>
    <s v="18:00"/>
    <d v="1899-12-30T02:18:15"/>
    <x v="0"/>
    <s v="16/09/2026 00:00:27"/>
    <s v="00:00"/>
    <d v="1899-12-30T00:00:27"/>
    <x v="0"/>
    <d v="1899-12-30T03:42:12"/>
    <n v="5.0149999999999997"/>
    <n v="2.77"/>
    <d v="1899-12-30T01:48:37"/>
    <d v="1899-12-30T01:40:58"/>
    <d v="1899-12-30T00:00:00"/>
    <n v="0"/>
    <n v="0"/>
    <n v="0"/>
    <n v="0"/>
    <n v="0"/>
    <n v="1"/>
    <s v="INICIO TARDÍO / FIN CUMPLE"/>
    <s v="Inicio GPS tardío: 02:18:15 después de las 18:00.; Fin GPS dentro de la tolerancia del horario programado.; 1 hueco(s) GPS &gt;= 10 min."/>
  </r>
  <r>
    <s v="04521f33ccb9cfd5"/>
    <s v="15_09_2026_JHP_Noct.gpx"/>
    <s v="04521f33ccb9cfd5c00dcd03b275fe7678fd93dcd8760f0e3be73b414b1b9a8f"/>
    <x v="12"/>
    <x v="0"/>
    <s v="Martes"/>
    <x v="11"/>
    <s v="JHP"/>
    <x v="1"/>
    <n v="4981"/>
    <s v="15/09/2026 17:24:11"/>
    <s v="18:00"/>
    <d v="1899-12-30T00:35:49"/>
    <x v="2"/>
    <s v="16/09/2026 00:01:01"/>
    <s v="00:00"/>
    <d v="1899-12-30T00:01:01"/>
    <x v="0"/>
    <d v="1899-12-30T06:36:50"/>
    <n v="66.094999999999999"/>
    <n v="13.13"/>
    <d v="1899-12-30T05:02:03"/>
    <d v="1899-12-30T02:02:35"/>
    <d v="1899-12-30T00:00:00"/>
    <n v="0"/>
    <n v="0"/>
    <n v="0"/>
    <n v="0"/>
    <n v="0"/>
    <n v="0"/>
    <s v="REVISAR"/>
    <s v="Inicio GPS anterior al horario: 00:35:49 antes de las 18:00.; Fin GPS dentro de la tolerancia del horario programado."/>
  </r>
  <r>
    <s v="98fa2bbce48b2177"/>
    <s v="15_09_2026_JP_Noct.gpx"/>
    <s v="98fa2bbce48b21778d5aa86ad2ed4fbca419da04a870c06f9d4675f766176d6c"/>
    <x v="12"/>
    <x v="0"/>
    <s v="Martes"/>
    <x v="12"/>
    <s v="JP"/>
    <x v="1"/>
    <n v="1755"/>
    <s v="15/09/2026 17:04:55"/>
    <s v="18:00"/>
    <d v="1899-12-30T00:55:05"/>
    <x v="2"/>
    <s v="15/09/2026 23:57:33"/>
    <s v="00:00"/>
    <d v="1899-12-30T00:02:27"/>
    <x v="0"/>
    <d v="1899-12-30T06:52:38"/>
    <n v="22.286999999999999"/>
    <n v="4.8499999999999996"/>
    <d v="1899-12-30T04:35:29"/>
    <d v="1899-12-30T03:48:16"/>
    <d v="1899-12-30T00:19:41"/>
    <n v="1"/>
    <n v="1"/>
    <n v="0"/>
    <n v="0"/>
    <n v="0"/>
    <n v="2"/>
    <s v="REVISAR"/>
    <s v="Inicio GPS anterior al horario: 00:55:05 antes de las 18:00.; Fin GPS dentro de la tolerancia del horario programado.; 2 hueco(s) GPS &gt;= 10 min.; 1 permanencia(s) GPS detectada(s); requiere contexto."/>
  </r>
  <r>
    <s v="0d2068e33f3404c0"/>
    <s v="15_09_2026_LA_Noct.gpx"/>
    <s v="0d2068e33f3404c019b708a6448d49f1456c49b098ad02919091bc2cb0c8e751"/>
    <x v="12"/>
    <x v="0"/>
    <s v="Martes"/>
    <x v="13"/>
    <s v="LA"/>
    <x v="1"/>
    <n v="9704"/>
    <s v="15/09/2026 17:28:19"/>
    <s v="18:00"/>
    <d v="1899-12-30T00:31:41"/>
    <x v="2"/>
    <s v="15/09/2026 23:49:05"/>
    <s v="00:00"/>
    <d v="1899-12-30T00:10:55"/>
    <x v="0"/>
    <d v="1899-12-30T06:20:46"/>
    <n v="47.337000000000003"/>
    <n v="13.39"/>
    <d v="1899-12-30T03:32:08"/>
    <d v="1899-12-30T02:41:51"/>
    <d v="1899-12-30T00:00:00"/>
    <n v="0"/>
    <n v="0"/>
    <n v="0"/>
    <n v="0"/>
    <n v="0"/>
    <n v="3"/>
    <s v="REVISAR"/>
    <s v="Inicio GPS anterior al horario: 00:31:41 antes de las 18:00.; Fin GPS dentro de la tolerancia del horario programado.; 3 hueco(s) GPS &gt;= 10 min."/>
  </r>
  <r>
    <s v="a9ac34af93719c48"/>
    <s v="16_09_2026_AO_Diur.gpx"/>
    <s v="a9ac34af93719c48bdfe031bcb9811f05f160a66f050698e91f8089cbd915e33"/>
    <x v="13"/>
    <x v="0"/>
    <s v="Miércoles"/>
    <x v="0"/>
    <s v="AO"/>
    <x v="0"/>
    <n v="7726"/>
    <s v="16/09/2026 09:03:29"/>
    <s v="08:30"/>
    <d v="1899-12-30T00:33:30"/>
    <x v="0"/>
    <s v="16/09/2026 17:15:08"/>
    <s v="16:30"/>
    <d v="1899-12-30T00:45:08"/>
    <x v="2"/>
    <d v="1899-12-30T08:11:38"/>
    <n v="58.965000000000003"/>
    <n v="14.6"/>
    <d v="1899-12-30T04:02:23"/>
    <d v="1899-12-30T02:27:25"/>
    <d v="1899-12-30T00:00:00"/>
    <n v="0"/>
    <n v="0"/>
    <n v="0"/>
    <n v="0"/>
    <n v="0"/>
    <n v="2"/>
    <s v="FIN POSTERIOR"/>
    <s v="Inicio GPS tardío: 00:33:30 después de las 08:30.; Fin GPS posterior: 00:45:08 después de las 16:30.; 2 hueco(s) GPS &gt;= 10 min."/>
  </r>
  <r>
    <s v="3ac851bf8705c0d1"/>
    <s v="16_09_2026_AR_Diur.gpx"/>
    <s v="3ac851bf8705c0d1f2c563800c8f4217be95fba18555ad4415b5cbb7038352e4"/>
    <x v="13"/>
    <x v="0"/>
    <s v="Miércoles"/>
    <x v="1"/>
    <s v="AR"/>
    <x v="0"/>
    <n v="4190"/>
    <s v="16/09/2026 08:12:15"/>
    <s v="08:30"/>
    <d v="1899-12-30T00:17:45"/>
    <x v="2"/>
    <s v="16/09/2026 16:17:35"/>
    <s v="16:30"/>
    <d v="1899-12-30T00:12:25"/>
    <x v="0"/>
    <d v="1899-12-30T08:05:20"/>
    <n v="62.14"/>
    <n v="9.26"/>
    <d v="1899-12-30T06:42:39"/>
    <d v="1899-12-30T04:23:30"/>
    <d v="1899-12-30T00:00:00"/>
    <n v="0"/>
    <n v="0"/>
    <n v="0"/>
    <n v="0"/>
    <n v="0"/>
    <n v="2"/>
    <s v="REVISAR"/>
    <s v="Inicio GPS anterior al horario: 00:17:45 antes de las 08:30.; Fin GPS dentro de la tolerancia del horario programado.; 2 hueco(s) GPS &gt;= 10 min."/>
  </r>
  <r>
    <s v="3e39fdc211d07b1b"/>
    <s v="16_09_2026_DR_Diur.gpx"/>
    <s v="3e39fdc211d07b1bb3fc96650c6d83be3f58019cf17b652432d621619e052a96"/>
    <x v="13"/>
    <x v="0"/>
    <s v="Miércoles"/>
    <x v="8"/>
    <s v="DR"/>
    <x v="0"/>
    <n v="1943"/>
    <s v="16/09/2026 08:27:23"/>
    <s v="08:30"/>
    <d v="1899-12-30T00:02:37"/>
    <x v="1"/>
    <s v="16/09/2026 16:34:27"/>
    <s v="16:30"/>
    <d v="1899-12-30T00:04:27"/>
    <x v="0"/>
    <d v="1899-12-30T08:07:04"/>
    <n v="24.663"/>
    <n v="4.46"/>
    <d v="1899-12-30T05:31:46"/>
    <d v="1899-12-30T04:35:55"/>
    <d v="1899-12-30T00:00:00"/>
    <n v="0"/>
    <n v="0"/>
    <n v="0"/>
    <n v="0"/>
    <n v="0"/>
    <n v="2"/>
    <s v="DENTRO DE HORARIO"/>
    <s v="Inicio GPS dentro de la tolerancia del horario programado.; Fin GPS dentro de la tolerancia del horario programado.; 2 hueco(s) GPS &gt;= 10 min."/>
  </r>
  <r>
    <s v="b8bea033a4cc81a3"/>
    <s v="16_09_2026_HC_Diur.gpx"/>
    <s v="b8bea033a4cc81a3412c228b00eafc6534ebcfcf99fd3b99486ca816ff293681"/>
    <x v="13"/>
    <x v="0"/>
    <s v="Miércoles"/>
    <x v="2"/>
    <s v="HC"/>
    <x v="0"/>
    <n v="4626"/>
    <s v="16/09/2026 08:45:39"/>
    <s v="08:30"/>
    <d v="1899-12-30T00:15:39"/>
    <x v="0"/>
    <s v="16/09/2026 14:29:19"/>
    <s v="16:30"/>
    <d v="1899-12-30T02:00:41"/>
    <x v="1"/>
    <d v="1899-12-30T05:43:40"/>
    <n v="61.677"/>
    <n v="14.99"/>
    <d v="1899-12-30T04:06:52"/>
    <d v="1899-12-30T01:29:43"/>
    <d v="1899-12-30T00:00:00"/>
    <n v="0"/>
    <n v="0"/>
    <n v="0"/>
    <n v="0"/>
    <n v="0"/>
    <n v="0"/>
    <s v="INICIO TARDÍO / FIN ANTICIPADO"/>
    <s v="Inicio GPS tardío: 00:15:39 después de las 08:30.; Fin GPS anticipado: 02:00:41 antes de las 16:30."/>
  </r>
  <r>
    <s v="2fc7984f381079d1"/>
    <s v="16_09_2026_JA_Diur.gpx"/>
    <s v="2fc7984f381079d18ee6b999b1a24166315bcaefbdb1ca50a5f9d99856a66db1"/>
    <x v="13"/>
    <x v="0"/>
    <s v="Miércoles"/>
    <x v="3"/>
    <s v="JA"/>
    <x v="0"/>
    <n v="2452"/>
    <s v="16/09/2026 08:31:09"/>
    <s v="08:30"/>
    <d v="1899-12-30T00:01:09"/>
    <x v="1"/>
    <s v="16/09/2026 14:06:45"/>
    <s v="16:30"/>
    <d v="1899-12-30T02:23:15"/>
    <x v="1"/>
    <d v="1899-12-30T05:35:36"/>
    <n v="33.414000000000001"/>
    <n v="7.62"/>
    <d v="1899-12-30T04:23:00"/>
    <d v="1899-12-30T03:11:58"/>
    <d v="1899-12-30T00:00:00"/>
    <n v="0"/>
    <n v="0"/>
    <n v="0"/>
    <n v="0"/>
    <n v="0"/>
    <n v="1"/>
    <s v="INICIO CUMPLE / FIN ANTICIPADO"/>
    <s v="Inicio GPS dentro de la tolerancia del horario programado.; Fin GPS anticipado: 02:23:15 antes de las 16:30.; 1 hueco(s) GPS &gt;= 10 min."/>
  </r>
  <r>
    <s v="bd3c6d93c1f7f6fb"/>
    <s v="16_09_2026_JO_Diur.gpx"/>
    <s v="bd3c6d93c1f7f6fb21776f967fbdca69a3086d0520c82f46c9dda94aa1db2dda"/>
    <x v="13"/>
    <x v="0"/>
    <s v="Miércoles"/>
    <x v="4"/>
    <s v="JO"/>
    <x v="0"/>
    <n v="7687"/>
    <s v="16/09/2026 08:28:22"/>
    <s v="08:30"/>
    <d v="1899-12-30T00:01:38"/>
    <x v="1"/>
    <s v="16/09/2026 16:47:18"/>
    <s v="16:30"/>
    <d v="1899-12-30T00:17:19"/>
    <x v="2"/>
    <d v="1899-12-30T08:18:56"/>
    <n v="53.442999999999998"/>
    <n v="23.79"/>
    <d v="1899-12-30T02:14:49"/>
    <d v="1899-12-30T00:51:18"/>
    <d v="1899-12-30T00:00:00"/>
    <n v="0"/>
    <n v="0"/>
    <n v="0"/>
    <n v="0"/>
    <n v="0"/>
    <n v="11"/>
    <s v="FIN POSTERIOR"/>
    <s v="Inicio GPS dentro de la tolerancia del horario programado.; Fin GPS posterior: 00:17:19 después de las 16:30.; 11 hueco(s) GPS &gt;= 10 min."/>
  </r>
  <r>
    <s v="6c809a2f130808f0"/>
    <s v="16_09_2026_JZ_Diur1.gpx"/>
    <s v="6c809a2f130808f0c66761153ccb840c98df1ed0f335c47e144905a8badc8e8b"/>
    <x v="13"/>
    <x v="0"/>
    <s v="Miércoles"/>
    <x v="5"/>
    <s v="JZ"/>
    <x v="0"/>
    <n v="3522"/>
    <s v="16/09/2026 08:25:09"/>
    <s v="08:30"/>
    <d v="1899-12-30T00:04:51"/>
    <x v="1"/>
    <s v="16/09/2026 13:08:11"/>
    <s v="16:30"/>
    <d v="1899-12-30T03:21:49"/>
    <x v="1"/>
    <d v="1899-12-30T04:43:02"/>
    <n v="46.213999999999999"/>
    <n v="11.06"/>
    <d v="1899-12-30T04:10:46"/>
    <d v="1899-12-30T01:55:37"/>
    <d v="1899-12-30T00:00:00"/>
    <n v="0"/>
    <n v="0"/>
    <n v="0"/>
    <n v="0"/>
    <n v="0"/>
    <n v="0"/>
    <s v="INICIO CUMPLE / FIN ANTICIPADO"/>
    <s v="Inicio GPS dentro de la tolerancia del horario programado.; Fin GPS anticipado: 03:21:49 antes de las 16:30."/>
  </r>
  <r>
    <s v="45d82fb81f8f9bba"/>
    <s v="16_09_2026_JZ_Diur2.gpx"/>
    <s v="45d82fb81f8f9bbafb415b302d30781be5c714eb81735c06aa39b857fcfbce17"/>
    <x v="13"/>
    <x v="0"/>
    <s v="Miércoles"/>
    <x v="5"/>
    <s v="JZ"/>
    <x v="0"/>
    <n v="2702"/>
    <s v="16/09/2026 13:10:10"/>
    <s v="08:30"/>
    <d v="1899-12-30T04:40:10"/>
    <x v="0"/>
    <s v="16/09/2026 16:44:14"/>
    <s v="16:30"/>
    <d v="1899-12-30T00:14:14"/>
    <x v="0"/>
    <d v="1899-12-30T03:34:04"/>
    <n v="35.628999999999998"/>
    <n v="13.74"/>
    <d v="1899-12-30T02:35:35"/>
    <d v="1899-12-30T01:07:36"/>
    <d v="1899-12-30T00:00:00"/>
    <n v="0"/>
    <n v="0"/>
    <n v="0"/>
    <n v="0"/>
    <n v="0"/>
    <n v="0"/>
    <s v="INICIO TARDÍO / FIN CUMPLE"/>
    <s v="Inicio GPS tardío: 04:40:10 después de las 08:30.; Fin GPS dentro de la tolerancia del horario programado."/>
  </r>
  <r>
    <s v="5e62867aa9cc28bd"/>
    <s v="16_09_2026_SJ_Diur.gpx"/>
    <s v="5e62867aa9cc28bd45021a589af54341f64bb0f6aed6930d9b7703a502bf072d"/>
    <x v="13"/>
    <x v="0"/>
    <s v="Miércoles"/>
    <x v="6"/>
    <s v="SJ"/>
    <x v="0"/>
    <n v="1362"/>
    <s v="16/09/2026 08:38:41"/>
    <s v="08:30"/>
    <d v="1899-12-30T00:08:41"/>
    <x v="1"/>
    <s v="16/09/2026 15:47:14"/>
    <s v="16:30"/>
    <d v="1899-12-30T00:42:46"/>
    <x v="1"/>
    <d v="1899-12-30T07:08:33"/>
    <n v="15.948"/>
    <n v="4.38"/>
    <d v="1899-12-30T03:38:38"/>
    <d v="1899-12-30T03:02:32"/>
    <d v="1899-12-30T00:00:00"/>
    <n v="0"/>
    <n v="0"/>
    <n v="0"/>
    <n v="0"/>
    <n v="0"/>
    <n v="0"/>
    <s v="INICIO CUMPLE / FIN ANTICIPADO"/>
    <s v="Inicio GPS dentro de la tolerancia del horario programado.; Fin GPS anticipado: 00:42:46 antes de las 16:30."/>
  </r>
  <r>
    <s v="e75ddf9347e9b447"/>
    <s v="16_09_2026_YL_Diur.gpx"/>
    <s v="e75ddf9347e9b4476f0a73f33c064b5ced25103c7bfdce32473c5a49caa3be30"/>
    <x v="13"/>
    <x v="0"/>
    <s v="Miércoles"/>
    <x v="7"/>
    <s v="YL"/>
    <x v="0"/>
    <n v="2091"/>
    <s v="16/09/2026 08:33:02"/>
    <s v="08:30"/>
    <d v="1899-12-30T00:03:02"/>
    <x v="1"/>
    <s v="16/09/2026 14:16:23"/>
    <s v="16:30"/>
    <d v="1899-12-30T02:13:37"/>
    <x v="1"/>
    <d v="1899-12-30T05:43:21"/>
    <n v="28.777999999999999"/>
    <n v="11.69"/>
    <d v="1899-12-30T02:27:44"/>
    <d v="1899-12-30T01:39:07"/>
    <d v="1899-12-30T00:00:00"/>
    <n v="0"/>
    <n v="0"/>
    <n v="0"/>
    <n v="0"/>
    <n v="0"/>
    <n v="0"/>
    <s v="INICIO CUMPLE / FIN ANTICIPADO"/>
    <s v="Inicio GPS dentro de la tolerancia del horario programado.; Fin GPS anticipado: 02:13:37 antes de las 16:30."/>
  </r>
  <r>
    <s v="8505a438c7fcc5ce"/>
    <s v="16_09_2026_DV_Noct.gpx"/>
    <s v="8505a438c7fcc5ce63d1db6381c07848115a808c854f79a81edcf0e8bcf86c1d"/>
    <x v="13"/>
    <x v="0"/>
    <s v="Miércoles"/>
    <x v="9"/>
    <s v="DV"/>
    <x v="1"/>
    <n v="3621"/>
    <s v="16/09/2026 17:05:59"/>
    <s v="18:00"/>
    <d v="1899-12-30T00:54:01"/>
    <x v="2"/>
    <s v="17/09/2026 00:17:51"/>
    <s v="00:00"/>
    <d v="1899-12-30T00:17:51"/>
    <x v="2"/>
    <d v="1899-12-30T07:11:52"/>
    <n v="43.08"/>
    <n v="10.8"/>
    <d v="1899-12-30T03:59:22"/>
    <d v="1899-12-30T01:15:17"/>
    <d v="1899-12-30T00:00:00"/>
    <n v="0"/>
    <n v="0"/>
    <n v="0"/>
    <n v="0"/>
    <n v="0"/>
    <n v="0"/>
    <s v="FIN POSTERIOR"/>
    <s v="Inicio GPS anterior al horario: 00:54:01 antes de las 18:00.; Fin GPS posterior: 00:17:51 después de las 00:00."/>
  </r>
  <r>
    <s v="021d1d2d569dd0ec"/>
    <s v="16_09_2026_IQ_Noct.gpx"/>
    <s v="021d1d2d569dd0ec9de892ec20cd314ca53a44fd06c11a325fedb8633ba5fd89"/>
    <x v="13"/>
    <x v="0"/>
    <s v="Miércoles"/>
    <x v="10"/>
    <s v="IQ"/>
    <x v="1"/>
    <n v="2863"/>
    <s v="16/09/2026 18:11:25"/>
    <s v="18:00"/>
    <d v="1899-12-30T00:11:25"/>
    <x v="1"/>
    <s v="16/09/2026 23:58:01"/>
    <s v="00:00"/>
    <d v="1899-12-30T00:01:59"/>
    <x v="0"/>
    <d v="1899-12-30T05:46:36"/>
    <n v="41.088000000000001"/>
    <n v="9.9499999999999993"/>
    <d v="1899-12-30T04:07:47"/>
    <d v="1899-12-30T02:22:07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</r>
  <r>
    <s v="f0e1ec5408d8a40d"/>
    <s v="16_09_2026_JHP_Noct.gpx"/>
    <s v="f0e1ec5408d8a40dae9b5b446429552ddace2d70d1f96e30593b9fdf768d2ce9"/>
    <x v="13"/>
    <x v="0"/>
    <s v="Miércoles"/>
    <x v="11"/>
    <s v="JHP"/>
    <x v="1"/>
    <n v="4329"/>
    <s v="16/09/2026 18:40:50"/>
    <s v="18:00"/>
    <d v="1899-12-30T00:40:50"/>
    <x v="0"/>
    <s v="16/09/2026 23:57:54"/>
    <s v="00:00"/>
    <d v="1899-12-30T00:02:06"/>
    <x v="0"/>
    <d v="1899-12-30T05:17:04"/>
    <n v="57.337000000000003"/>
    <n v="16.53"/>
    <d v="1899-12-30T03:28:10"/>
    <d v="1899-12-30T00:48:56"/>
    <d v="1899-12-30T00:00:00"/>
    <n v="0"/>
    <n v="0"/>
    <n v="0"/>
    <n v="0"/>
    <n v="0"/>
    <n v="0"/>
    <s v="INICIO TARDÍO / FIN CUMPLE"/>
    <s v="Inicio GPS tardío: 00:40:50 después de las 18:00.; Fin GPS dentro de la tolerancia del horario programado."/>
  </r>
  <r>
    <s v="6ed2472289c054f7"/>
    <s v="16_09_2026_JP_Noct.gpx"/>
    <s v="6ed2472289c054f711878f44854acc65dd1e9ad3fba0dee49264b9b66c78b22b"/>
    <x v="13"/>
    <x v="0"/>
    <s v="Miércoles"/>
    <x v="12"/>
    <s v="JP"/>
    <x v="1"/>
    <n v="1982"/>
    <s v="16/09/2026 17:11:24"/>
    <s v="18:00"/>
    <d v="1899-12-30T00:48:36"/>
    <x v="2"/>
    <s v="16/09/2026 23:14:07"/>
    <s v="00:00"/>
    <d v="1899-12-30T00:45:53"/>
    <x v="1"/>
    <d v="1899-12-30T06:02:43"/>
    <n v="25.13"/>
    <n v="6.45"/>
    <d v="1899-12-30T03:53:39"/>
    <d v="1899-12-30T03:04:12"/>
    <d v="1899-12-30T00:00:00"/>
    <n v="0"/>
    <n v="0"/>
    <n v="0"/>
    <n v="0"/>
    <n v="0"/>
    <n v="0"/>
    <s v="REVISAR"/>
    <s v="Inicio GPS anterior al horario: 00:48:36 antes de las 18:00.; Fin GPS anticipado: 00:45:53 antes de las 00:00."/>
  </r>
  <r>
    <s v="1ce717193d8e1492"/>
    <s v="16_09_2026_LA_Noct.gpx"/>
    <s v="1ce717193d8e1492ba8d384a79f5ba5ed8f6971370881873dbab5964578c3400"/>
    <x v="13"/>
    <x v="0"/>
    <s v="Miércoles"/>
    <x v="13"/>
    <s v="LA"/>
    <x v="1"/>
    <n v="9389"/>
    <s v="16/09/2026 17:09:24"/>
    <s v="18:00"/>
    <d v="1899-12-30T00:50:36"/>
    <x v="2"/>
    <s v="17/09/2026 00:04:20"/>
    <s v="00:00"/>
    <d v="1899-12-30T00:04:20"/>
    <x v="0"/>
    <d v="1899-12-30T06:54:56"/>
    <n v="52.752000000000002"/>
    <n v="11.82"/>
    <d v="1899-12-30T04:27:52"/>
    <d v="1899-12-30T03:12:55"/>
    <d v="1899-12-30T00:00:00"/>
    <n v="0"/>
    <n v="0"/>
    <n v="0"/>
    <n v="0"/>
    <n v="0"/>
    <n v="2"/>
    <s v="REVISAR"/>
    <s v="Inicio GPS anterior al horario: 00:50:36 antes de las 18:00.; Fin GPS dentro de la tolerancia del horario programado.; 2 hueco(s) GPS &gt;= 10 min."/>
  </r>
  <r>
    <s v="db9a6c93bcce8dcf"/>
    <s v="17_09_2026_AO_Diur.gpx"/>
    <s v="db9a6c93bcce8dcfb43d8d836998372371504459e792c4599942d0c6d0f419f4"/>
    <x v="14"/>
    <x v="0"/>
    <s v="Jueves"/>
    <x v="0"/>
    <s v="AO"/>
    <x v="0"/>
    <n v="1812"/>
    <s v="17/09/2026 09:07:46"/>
    <s v="08:30"/>
    <d v="1899-12-30T00:37:47"/>
    <x v="0"/>
    <s v="17/09/2026 16:13:45"/>
    <s v="16:30"/>
    <d v="1899-12-30T00:16:15"/>
    <x v="1"/>
    <d v="1899-12-30T07:05:59"/>
    <n v="13.552"/>
    <n v="3.15"/>
    <d v="1899-12-30T04:18:09"/>
    <d v="1899-12-30T04:04:26"/>
    <d v="1899-12-30T00:00:00"/>
    <n v="0"/>
    <n v="0"/>
    <n v="0"/>
    <n v="0"/>
    <n v="0"/>
    <n v="5"/>
    <s v="INICIO TARDÍO / FIN ANTICIPADO"/>
    <s v="Inicio GPS tardío: 00:37:47 después de las 08:30.; Fin GPS anticipado: 00:16:15 antes de las 16:30.; 5 hueco(s) GPS &gt;= 10 min."/>
  </r>
  <r>
    <s v="48482f905abd0f80"/>
    <s v="17_09_2026_AR_Diur.gpx"/>
    <s v="48482f905abd0f80e843177b5a866e326f81a8c90e5deca481e4733892197fa0"/>
    <x v="14"/>
    <x v="0"/>
    <s v="Jueves"/>
    <x v="1"/>
    <s v="AR"/>
    <x v="0"/>
    <n v="617"/>
    <s v="17/09/2026 09:25:00"/>
    <s v="08:30"/>
    <d v="1899-12-30T00:55:00"/>
    <x v="0"/>
    <s v="17/09/2026 16:23:45"/>
    <s v="16:30"/>
    <d v="1899-12-30T00:06:15"/>
    <x v="0"/>
    <d v="1899-12-30T06:58:45"/>
    <n v="19.247"/>
    <n v="3"/>
    <d v="1899-12-30T06:24:28"/>
    <d v="1899-12-30T05:20:39"/>
    <d v="1899-12-30T00:00:00"/>
    <n v="0"/>
    <n v="0"/>
    <n v="0"/>
    <n v="0"/>
    <n v="0"/>
    <n v="8"/>
    <s v="INICIO TARDÍO / FIN CUMPLE"/>
    <s v="Inicio GPS tardío: 00:55:00 después de las 08:30.; Fin GPS dentro de la tolerancia del horario programado.; 8 hueco(s) GPS &gt;= 10 min."/>
  </r>
  <r>
    <s v="89c8e55171e9cf58"/>
    <s v="17_09_2026_DR_Diur.gpx"/>
    <s v="89c8e55171e9cf587e467d6c3c7aa85cbc1e6fe0af8b68727f2da7ca46094aae"/>
    <x v="14"/>
    <x v="0"/>
    <s v="Jueves"/>
    <x v="8"/>
    <s v="DR"/>
    <x v="0"/>
    <n v="2331"/>
    <s v="17/09/2026 16:32:09"/>
    <s v="08:30"/>
    <d v="1899-12-30T08:02:09"/>
    <x v="0"/>
    <s v="17/09/2026 20:15:20"/>
    <s v="16:30"/>
    <d v="1899-12-30T03:45:20"/>
    <x v="2"/>
    <d v="1899-12-30T03:43:11"/>
    <n v="33.826000000000001"/>
    <n v="10"/>
    <d v="1899-12-30T03:23:01"/>
    <d v="1899-12-30T02:17:09"/>
    <d v="1899-12-30T00:00:00"/>
    <n v="0"/>
    <n v="0"/>
    <n v="0"/>
    <n v="0"/>
    <n v="0"/>
    <n v="1"/>
    <s v="FIN POSTERIOR"/>
    <s v="Inicio GPS tardío: 08:02:09 después de las 08:30.; Fin GPS posterior: 03:45:20 después de las 16:30.; 1 hueco(s) GPS &gt;= 10 min."/>
  </r>
  <r>
    <s v="c6fa90b043d988e3"/>
    <s v="17_09_2026_HC_Diur.gpx"/>
    <s v="c6fa90b043d988e3bf24d608c7264f4522da012f47bded55dee742c08acc26e5"/>
    <x v="14"/>
    <x v="0"/>
    <s v="Jueves"/>
    <x v="2"/>
    <s v="HC"/>
    <x v="0"/>
    <n v="2102"/>
    <s v="17/09/2026 08:38:37"/>
    <s v="08:30"/>
    <d v="1899-12-30T00:08:37"/>
    <x v="1"/>
    <s v="17/09/2026 16:01:16"/>
    <s v="16:30"/>
    <d v="1899-12-30T00:28:44"/>
    <x v="1"/>
    <d v="1899-12-30T07:22:39"/>
    <n v="27.943999999999999"/>
    <n v="6.05"/>
    <d v="1899-12-30T04:37:16"/>
    <d v="1899-12-30T03:40:05"/>
    <d v="1899-12-30T00:00:00"/>
    <n v="0"/>
    <n v="0"/>
    <n v="0"/>
    <n v="0"/>
    <n v="0"/>
    <n v="1"/>
    <s v="INICIO CUMPLE / FIN ANTICIPADO"/>
    <s v="Inicio GPS dentro de la tolerancia del horario programado.; Fin GPS anticipado: 00:28:44 antes de las 16:30.; 1 hueco(s) GPS &gt;= 10 min."/>
  </r>
  <r>
    <s v="b0de4e1c7b0a338c"/>
    <s v="17_09_2026_JA_Diur.gpx"/>
    <s v="b0de4e1c7b0a338c3d00acc8a46510517793fa0c5b4fdfe61a2ae381fa38d42f"/>
    <x v="14"/>
    <x v="0"/>
    <s v="Jueves"/>
    <x v="3"/>
    <s v="JA"/>
    <x v="0"/>
    <n v="891"/>
    <s v="17/09/2026 08:56:04"/>
    <s v="08:30"/>
    <d v="1899-12-30T00:26:04"/>
    <x v="0"/>
    <s v="17/09/2026 13:17:56"/>
    <s v="16:30"/>
    <d v="1899-12-30T03:12:04"/>
    <x v="1"/>
    <d v="1899-12-30T04:21:52"/>
    <n v="12.468"/>
    <n v="3.38"/>
    <d v="1899-12-30T03:41:32"/>
    <d v="1899-12-30T03:18:58"/>
    <d v="1899-12-30T00:00:00"/>
    <n v="0"/>
    <n v="0"/>
    <n v="0"/>
    <n v="0"/>
    <n v="0"/>
    <n v="1"/>
    <s v="INICIO TARDÍO / FIN ANTICIPADO"/>
    <s v="Inicio GPS tardío: 00:26:04 después de las 08:30.; Fin GPS anticipado: 03:12:04 antes de las 16:30.; 1 hueco(s) GPS &gt;= 10 min."/>
  </r>
  <r>
    <s v="149d341aa6c6b8ef"/>
    <s v="17_09_2026_JO_Diur.gpx"/>
    <s v="149d341aa6c6b8efad940b1bb99234a47390dfde365fde8a2895918b68bc4f93"/>
    <x v="14"/>
    <x v="0"/>
    <s v="Jueves"/>
    <x v="4"/>
    <s v="JO"/>
    <x v="0"/>
    <n v="5261"/>
    <s v="17/09/2026 09:04:20"/>
    <s v="08:30"/>
    <d v="1899-12-30T00:34:21"/>
    <x v="0"/>
    <s v="17/09/2026 16:22:36"/>
    <s v="16:30"/>
    <d v="1899-12-30T00:07:24"/>
    <x v="0"/>
    <d v="1899-12-30T07:18:16"/>
    <n v="35.633000000000003"/>
    <n v="15.21"/>
    <d v="1899-12-30T02:20:35"/>
    <d v="1899-12-30T01:13:01"/>
    <d v="1899-12-30T00:00:00"/>
    <n v="0"/>
    <n v="0"/>
    <n v="0"/>
    <n v="0"/>
    <n v="0"/>
    <n v="14"/>
    <s v="INICIO TARDÍO / FIN CUMPLE"/>
    <s v="Inicio GPS tardío: 00:34:21 después de las 08:30.; Fin GPS dentro de la tolerancia del horario programado.; 14 hueco(s) GPS &gt;= 10 min."/>
  </r>
  <r>
    <s v="695b287de97870f5"/>
    <s v="17_09_2026_JZ_Diur.gpx"/>
    <s v="695b287de97870f56d132e2cd9c698f8f5ae796e765fd2b587105a2119bee7b2"/>
    <x v="14"/>
    <x v="0"/>
    <s v="Jueves"/>
    <x v="5"/>
    <s v="JZ"/>
    <x v="0"/>
    <n v="5227"/>
    <s v="17/09/2026 11:04:09"/>
    <s v="08:30"/>
    <d v="1899-12-30T02:34:09"/>
    <x v="0"/>
    <s v="17/09/2026 16:49:13"/>
    <s v="16:30"/>
    <d v="1899-12-30T00:19:13"/>
    <x v="2"/>
    <d v="1899-12-30T05:45:04"/>
    <n v="70.236999999999995"/>
    <n v="15.13"/>
    <d v="1899-12-30T04:38:31"/>
    <d v="1899-12-30T01:57:11"/>
    <d v="1899-12-30T00:00:00"/>
    <n v="0"/>
    <n v="0"/>
    <n v="0"/>
    <n v="0"/>
    <n v="0"/>
    <n v="0"/>
    <s v="FIN POSTERIOR"/>
    <s v="Inicio GPS tardío: 02:34:09 después de las 08:30.; Fin GPS posterior: 00:19:13 después de las 16:30."/>
  </r>
  <r>
    <s v="47c288c4408e51e2"/>
    <s v="17_09_2026_SJ_Diur.gpx"/>
    <s v="47c288c4408e51e26e8f2e8f5a3fc9523c144af92e8ebcecce04521c5e40c8bf"/>
    <x v="14"/>
    <x v="0"/>
    <s v="Jueves"/>
    <x v="6"/>
    <s v="SJ"/>
    <x v="0"/>
    <n v="2724"/>
    <s v="17/09/2026 09:07:36"/>
    <s v="08:30"/>
    <d v="1899-12-30T00:37:36"/>
    <x v="0"/>
    <s v="17/09/2026 16:28:04"/>
    <s v="16:30"/>
    <d v="1899-12-30T00:01:56"/>
    <x v="0"/>
    <d v="1899-12-30T07:20:28"/>
    <n v="35.584000000000003"/>
    <n v="8.5500000000000007"/>
    <d v="1899-12-30T04:09:38"/>
    <d v="1899-12-30T02:54:43"/>
    <d v="1899-12-30T00:00:00"/>
    <n v="0"/>
    <n v="0"/>
    <n v="0"/>
    <n v="0"/>
    <n v="0"/>
    <n v="0"/>
    <s v="INICIO TARDÍO / FIN CUMPLE"/>
    <s v="Inicio GPS tardío: 00:37:36 después de las 08:30.; Fin GPS dentro de la tolerancia del horario programado."/>
  </r>
  <r>
    <s v="0d73802b346ac592"/>
    <s v="17_09_2026_YL_Diur.gpx"/>
    <s v="0d73802b346ac592d8d6c8656e7f0be03292329a76a2237f51d4cec0bc3c2289"/>
    <x v="14"/>
    <x v="0"/>
    <s v="Jueves"/>
    <x v="7"/>
    <s v="YL"/>
    <x v="0"/>
    <n v="958"/>
    <s v="17/09/2026 09:23:16"/>
    <s v="08:30"/>
    <d v="1899-12-30T00:53:16"/>
    <x v="0"/>
    <s v="17/09/2026 16:27:14"/>
    <s v="16:30"/>
    <d v="1899-12-30T00:02:46"/>
    <x v="0"/>
    <d v="1899-12-30T07:03:58"/>
    <n v="11.42"/>
    <n v="3.22"/>
    <d v="1899-12-30T03:32:29"/>
    <d v="1899-12-30T03:03:54"/>
    <d v="1899-12-30T00:00:00"/>
    <n v="0"/>
    <n v="0"/>
    <n v="0"/>
    <n v="0"/>
    <n v="0"/>
    <n v="2"/>
    <s v="INICIO TARDÍO / FIN CUMPLE"/>
    <s v="Inicio GPS tardío: 00:53:16 después de las 08:30.; Fin GPS dentro de la tolerancia del horario programado.; 2 hueco(s) GPS &gt;= 10 min."/>
  </r>
  <r>
    <s v="fff7f9eeb238f034"/>
    <s v="17_09_2026_DV_Noct.gpx"/>
    <s v="fff7f9eeb238f034fd6b1afc193a31f58c732ec7fc80dbb37b1e1e4faa2cda60"/>
    <x v="14"/>
    <x v="0"/>
    <s v="Jueves"/>
    <x v="9"/>
    <s v="DV"/>
    <x v="1"/>
    <n v="4787"/>
    <s v="17/09/2026 18:03:33"/>
    <s v="18:00"/>
    <d v="1899-12-30T00:03:33"/>
    <x v="1"/>
    <s v="18/09/2026 00:10:05"/>
    <s v="00:00"/>
    <d v="1899-12-30T00:10:05"/>
    <x v="0"/>
    <d v="1899-12-30T06:06:32"/>
    <n v="64.459999999999994"/>
    <n v="13.37"/>
    <d v="1899-12-30T04:49:18"/>
    <d v="1899-12-30T01:58:33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</r>
  <r>
    <s v="90d0773390aedeab"/>
    <s v="17_09_2026_IQ_Noct.gpx"/>
    <s v="90d0773390aedeab4121f4063e189c889225c1ec7a0ff2874ad4aa036513428c"/>
    <x v="14"/>
    <x v="0"/>
    <s v="Jueves"/>
    <x v="10"/>
    <s v="IQ"/>
    <x v="1"/>
    <n v="1578"/>
    <s v="17/09/2026 17:35:37"/>
    <s v="18:00"/>
    <d v="1899-12-30T00:24:23"/>
    <x v="2"/>
    <s v="17/09/2026 23:27:47"/>
    <s v="00:00"/>
    <d v="1899-12-30T00:32:13"/>
    <x v="1"/>
    <d v="1899-12-30T05:52:10"/>
    <n v="55"/>
    <n v="261"/>
    <d v="1899-12-30T02:07:11"/>
    <d v="1899-12-30T01:23:14"/>
    <d v="1899-12-30T00:00:00"/>
    <n v="0"/>
    <n v="0"/>
    <n v="0"/>
    <n v="0"/>
    <n v="0"/>
    <n v="2"/>
    <s v="REVISAR"/>
    <s v="Inicio GPS anterior al horario: 00:24:23 antes de las 18:00.; Fin GPS anticipado: 00:32:13 antes de las 00:00.; 2 hueco(s) GPS &gt;= 10 min."/>
  </r>
  <r>
    <s v="36d2a54507cdf0d9"/>
    <s v="17_09_2026_JHP_Noct.gpx"/>
    <s v="36d2a54507cdf0d92008ff785845ad240ecdfed5458c2151a3469acc1df89e04"/>
    <x v="14"/>
    <x v="0"/>
    <s v="Jueves"/>
    <x v="11"/>
    <s v="JHP"/>
    <x v="1"/>
    <n v="7183"/>
    <s v="17/09/2026 17:06:35"/>
    <s v="18:00"/>
    <d v="1899-12-30T00:53:25"/>
    <x v="2"/>
    <s v="18/09/2026 00:03:33"/>
    <s v="00:00"/>
    <d v="1899-12-30T00:03:33"/>
    <x v="0"/>
    <d v="1899-12-30T06:56:58"/>
    <n v="96.944999999999993"/>
    <n v="18.64"/>
    <d v="1899-12-30T05:12:05"/>
    <d v="1899-12-30T01:24:14"/>
    <d v="1899-12-30T00:00:00"/>
    <n v="0"/>
    <n v="0"/>
    <n v="0"/>
    <n v="0"/>
    <n v="0"/>
    <n v="0"/>
    <s v="REVISAR"/>
    <s v="Inicio GPS anterior al horario: 00:53:25 antes de las 18:00.; Fin GPS dentro de la tolerancia del horario programado."/>
  </r>
  <r>
    <s v="3d8e25f8e5d40521"/>
    <s v="17_09_2026_JP_Noct.gpx"/>
    <s v="3d8e25f8e5d40521a4d29bb20f974cdac24f04478585e9b7f8f9513ccaaf7c4f"/>
    <x v="14"/>
    <x v="0"/>
    <s v="Jueves"/>
    <x v="12"/>
    <s v="JP"/>
    <x v="1"/>
    <n v="2203"/>
    <s v="17/09/2026 17:27:26"/>
    <s v="18:00"/>
    <d v="1899-12-30T00:32:34"/>
    <x v="2"/>
    <s v="17/09/2026 21:20:46"/>
    <s v="00:00"/>
    <d v="1899-12-30T02:39:14"/>
    <x v="1"/>
    <d v="1899-12-30T03:53:20"/>
    <n v="28.535"/>
    <n v="8.7799999999999994"/>
    <d v="1899-12-30T03:15:01"/>
    <d v="1899-12-30T01:56:00"/>
    <d v="1899-12-30T00:00:00"/>
    <n v="0"/>
    <n v="0"/>
    <n v="0"/>
    <n v="0"/>
    <n v="0"/>
    <n v="1"/>
    <s v="REVISAR"/>
    <s v="Inicio GPS anterior al horario: 00:32:34 antes de las 18:00.; Fin GPS anticipado: 02:39:14 antes de las 00:00.; 1 hueco(s) GPS &gt;= 10 min."/>
  </r>
  <r>
    <s v="489f0c842f5e227a"/>
    <s v="17_09_2026_LA_Noct.gpx"/>
    <s v="489f0c842f5e227af2996fea935928f335b2763b3ab4144c5eac7192dc931080"/>
    <x v="14"/>
    <x v="0"/>
    <s v="Jueves"/>
    <x v="13"/>
    <s v="LA"/>
    <x v="1"/>
    <n v="10981"/>
    <s v="17/09/2026 17:12:50"/>
    <s v="18:00"/>
    <d v="1899-12-30T00:47:09"/>
    <x v="2"/>
    <s v="18/09/2026 00:12:09"/>
    <s v="00:00"/>
    <d v="1899-12-30T00:12:10"/>
    <x v="0"/>
    <d v="1899-12-30T06:59:19"/>
    <n v="64.697000000000003"/>
    <n v="13.7"/>
    <d v="1899-12-30T04:43:20"/>
    <d v="1899-12-30T03:01:53"/>
    <d v="1899-12-30T00:00:00"/>
    <n v="0"/>
    <n v="0"/>
    <n v="0"/>
    <n v="0"/>
    <n v="0"/>
    <n v="3"/>
    <s v="REVISAR"/>
    <s v="Inicio GPS anterior al horario: 00:47:09 antes de las 18:00.; Fin GPS dentro de la tolerancia del horario programado.; 3 hueco(s) GPS &gt;= 10 min."/>
  </r>
  <r>
    <s v="574ed8d39c896c02"/>
    <s v="18_09_2026_AO_Diur.gpx"/>
    <s v="574ed8d39c896c0247f665ebcba8d2a772669a22f14ae0070f8da719917542de"/>
    <x v="15"/>
    <x v="0"/>
    <s v="Viernes"/>
    <x v="0"/>
    <s v="AO"/>
    <x v="0"/>
    <n v="6065"/>
    <s v="18/09/2026 08:35:14"/>
    <s v="08:30"/>
    <d v="1899-12-30T00:05:14"/>
    <x v="1"/>
    <s v="18/09/2026 16:03:43"/>
    <s v="16:00"/>
    <d v="1899-12-30T00:03:43"/>
    <x v="0"/>
    <d v="1899-12-30T07:28:29"/>
    <n v="44.219000000000001"/>
    <n v="11.09"/>
    <d v="1899-12-30T03:59:20"/>
    <d v="1899-12-30T02:42:41"/>
    <d v="1899-12-30T00:00:00"/>
    <n v="0"/>
    <n v="0"/>
    <n v="0"/>
    <n v="0"/>
    <n v="0"/>
    <n v="4"/>
    <s v="DENTRO DE HORARIO"/>
    <s v="Inicio GPS dentro de la tolerancia del horario programado.; Fin GPS dentro de la tolerancia del horario programado.; 4 hueco(s) GPS &gt;= 10 min."/>
  </r>
  <r>
    <s v="db75e5dbfc3c1eec"/>
    <s v="18_09_2026_AR_Diur.gpx"/>
    <s v="db75e5dbfc3c1eecb9afb154e5d6a0d39956d0605060534e537b415b99a07c0a"/>
    <x v="15"/>
    <x v="0"/>
    <s v="Viernes"/>
    <x v="1"/>
    <s v="AR"/>
    <x v="0"/>
    <n v="1949"/>
    <s v="18/09/2026 08:29:36"/>
    <s v="08:30"/>
    <d v="1899-12-30T00:00:24"/>
    <x v="1"/>
    <s v="18/09/2026 16:01:24"/>
    <s v="16:00"/>
    <d v="1899-12-30T00:01:24"/>
    <x v="0"/>
    <d v="1899-12-30T07:31:48"/>
    <n v="27.864000000000001"/>
    <n v="5.21"/>
    <d v="1899-12-30T05:20:42"/>
    <d v="1899-12-30T04:20:42"/>
    <d v="1899-12-30T00:00:00"/>
    <n v="0"/>
    <n v="0"/>
    <n v="0"/>
    <n v="0"/>
    <n v="0"/>
    <n v="1"/>
    <s v="DENTRO DE HORARIO"/>
    <s v="Inicio GPS dentro de la tolerancia del horario programado.; Fin GPS dentro de la tolerancia del horario programado.; 1 hueco(s) GPS &gt;= 10 min."/>
  </r>
  <r>
    <s v="28351e32ecc3aab7"/>
    <s v="18_09_2026_DR_Diur.gpx"/>
    <s v="28351e32ecc3aab71e662aabbd511301bdc231f6293fc5ff9d746e362336fe1a"/>
    <x v="15"/>
    <x v="0"/>
    <s v="Viernes"/>
    <x v="8"/>
    <s v="DR"/>
    <x v="0"/>
    <n v="1910"/>
    <s v="18/09/2026 08:37:58"/>
    <s v="08:30"/>
    <d v="1899-12-30T00:07:58"/>
    <x v="1"/>
    <s v="18/09/2026 15:42:52"/>
    <s v="16:00"/>
    <d v="1899-12-30T00:17:08"/>
    <x v="1"/>
    <d v="1899-12-30T07:04:54"/>
    <n v="25.187999999999999"/>
    <n v="4.9400000000000004"/>
    <d v="1899-12-30T05:05:54"/>
    <d v="1899-12-30T04:07:02"/>
    <d v="1899-12-30T00:00:00"/>
    <n v="0"/>
    <n v="0"/>
    <n v="0"/>
    <n v="0"/>
    <n v="0"/>
    <n v="2"/>
    <s v="INICIO CUMPLE / FIN ANTICIPADO"/>
    <s v="Inicio GPS dentro de la tolerancia del horario programado.; Fin GPS anticipado: 00:17:08 antes de las 16:00.; 2 hueco(s) GPS &gt;= 10 min."/>
  </r>
  <r>
    <s v="760f3e903b5a7381"/>
    <s v="18_09_2026_JA_Diur.gpx"/>
    <s v="760f3e903b5a7381a552db57ff0e37600bba53b1b5771d9f6458bc584420641b"/>
    <x v="15"/>
    <x v="0"/>
    <s v="Viernes"/>
    <x v="3"/>
    <s v="JA"/>
    <x v="0"/>
    <n v="2871"/>
    <s v="18/09/2026 08:43:57"/>
    <s v="08:30"/>
    <d v="1899-12-30T00:13:57"/>
    <x v="1"/>
    <s v="18/09/2026 12:05:04"/>
    <s v="16:00"/>
    <d v="1899-12-30T03:54:56"/>
    <x v="1"/>
    <d v="1899-12-30T03:21:07"/>
    <n v="39.378"/>
    <n v="14.69"/>
    <d v="1899-12-30T02:40:47"/>
    <d v="1899-12-30T01:30:00"/>
    <d v="1899-12-30T00:00:00"/>
    <n v="0"/>
    <n v="0"/>
    <n v="0"/>
    <n v="0"/>
    <n v="0"/>
    <n v="0"/>
    <s v="INICIO CUMPLE / FIN ANTICIPADO"/>
    <s v="Inicio GPS dentro de la tolerancia del horario programado.; Fin GPS anticipado: 03:54:56 antes de las 16:00."/>
  </r>
  <r>
    <s v="09ab39dc75e7d94d"/>
    <s v="18_09_2026_JO_Diur.gpx"/>
    <s v="09ab39dc75e7d94d5332ccc0420aa8c018154017de4e948142214b7b19dd0966"/>
    <x v="15"/>
    <x v="0"/>
    <s v="Viernes"/>
    <x v="4"/>
    <s v="JO"/>
    <x v="0"/>
    <n v="5700"/>
    <s v="18/09/2026 08:46:27"/>
    <s v="08:30"/>
    <d v="1899-12-30T00:16:28"/>
    <x v="0"/>
    <s v="18/09/2026 16:00:31"/>
    <s v="16:00"/>
    <d v="1899-12-30T00:00:32"/>
    <x v="0"/>
    <d v="1899-12-30T07:14:04"/>
    <n v="36.863"/>
    <n v="22.3"/>
    <d v="1899-12-30T01:39:11"/>
    <d v="1899-12-30T00:34:40"/>
    <d v="1899-12-30T00:07:57"/>
    <n v="0"/>
    <n v="0"/>
    <n v="0"/>
    <n v="0"/>
    <n v="0"/>
    <n v="11"/>
    <s v="INICIO TARDÍO / FIN CUMPLE"/>
    <s v="Inicio GPS tardío: 00:16:28 después de las 08:30.; Fin GPS dentro de la tolerancia del horario programado.; 11 hueco(s) GPS &gt;= 10 min.; 1 permanencia(s) GPS detectada(s); requiere contexto."/>
  </r>
  <r>
    <s v="9031de5bb9e7b3c5"/>
    <s v="18_09_2026_JZ_Diur.gpx"/>
    <s v="9031de5bb9e7b3c53e589e5b129dad5824953847aaa15e3f4a325f215adbb8cd"/>
    <x v="15"/>
    <x v="0"/>
    <s v="Viernes"/>
    <x v="5"/>
    <s v="JZ"/>
    <x v="0"/>
    <n v="5344"/>
    <s v="18/09/2026 08:10:59"/>
    <s v="08:30"/>
    <d v="1899-12-30T00:19:01"/>
    <x v="2"/>
    <s v="18/09/2026 14:48:04"/>
    <s v="16:00"/>
    <d v="1899-12-30T01:11:56"/>
    <x v="1"/>
    <d v="1899-12-30T06:37:05"/>
    <n v="72.647999999999996"/>
    <n v="15.45"/>
    <d v="1899-12-30T04:42:08"/>
    <d v="1899-12-30T01:59:26"/>
    <d v="1899-12-30T00:00:00"/>
    <n v="0"/>
    <n v="0"/>
    <n v="0"/>
    <n v="0"/>
    <n v="0"/>
    <n v="0"/>
    <s v="REVISAR"/>
    <s v="Inicio GPS anterior al horario: 00:19:01 antes de las 08:30.; Fin GPS anticipado: 01:11:56 antes de las 16:00."/>
  </r>
  <r>
    <s v="d4b7f60cdb6f56d4"/>
    <s v="18_09_2026_SJ_Diur.gpx"/>
    <s v="d4b7f60cdb6f56d4d15ed5e2a9c06189fdbb0bf21191b183fc95e0debaba2af6"/>
    <x v="15"/>
    <x v="0"/>
    <s v="Viernes"/>
    <x v="6"/>
    <s v="SJ"/>
    <x v="0"/>
    <n v="2704"/>
    <s v="18/09/2026 08:40:31"/>
    <s v="08:30"/>
    <d v="1899-12-30T00:10:31"/>
    <x v="1"/>
    <s v="18/09/2026 15:28:50"/>
    <s v="16:00"/>
    <d v="1899-12-30T00:31:10"/>
    <x v="1"/>
    <d v="1899-12-30T06:48:19"/>
    <n v="34.909999999999997"/>
    <n v="9.0500000000000007"/>
    <d v="1899-12-30T03:51:26"/>
    <d v="1899-12-30T02:37:15"/>
    <d v="1899-12-30T00:00:00"/>
    <n v="0"/>
    <n v="0"/>
    <n v="0"/>
    <n v="0"/>
    <n v="0"/>
    <n v="0"/>
    <s v="INICIO CUMPLE / FIN ANTICIPADO"/>
    <s v="Inicio GPS dentro de la tolerancia del horario programado.; Fin GPS anticipado: 00:31:10 antes de las 16:00."/>
  </r>
  <r>
    <s v="6dd1257b59b28db6"/>
    <s v="18_09_2026_YL_Diur.gpx"/>
    <s v="6dd1257b59b28db66571c1c0235809e4044da3a8f08fe8f8e2c5599b906ad4eb"/>
    <x v="15"/>
    <x v="0"/>
    <s v="Viernes"/>
    <x v="7"/>
    <s v="YL"/>
    <x v="0"/>
    <n v="3812"/>
    <s v="18/09/2026 08:47:14"/>
    <s v="08:30"/>
    <d v="1899-12-30T00:17:14"/>
    <x v="0"/>
    <s v="18/09/2026 15:59:49"/>
    <s v="16:00"/>
    <d v="1899-12-30T00:00:11"/>
    <x v="0"/>
    <d v="1899-12-30T07:12:35"/>
    <n v="51.332000000000001"/>
    <n v="11.03"/>
    <d v="1899-12-30T04:39:19"/>
    <d v="1899-12-30T02:44:47"/>
    <d v="1899-12-30T00:00:00"/>
    <n v="0"/>
    <n v="0"/>
    <n v="0"/>
    <n v="0"/>
    <n v="0"/>
    <n v="0"/>
    <s v="INICIO TARDÍO / FIN CUMPLE"/>
    <s v="Inicio GPS tardío: 00:17:14 después de las 08:30.; Fin GPS dentro de la tolerancia del horario programado."/>
  </r>
  <r>
    <s v="08841ee0ded3204b"/>
    <s v="19_09_2026_DR_Diur.gpx"/>
    <s v="08841ee0ded3204baf0f20b9363ccba0e7e3c445dfce38bd70bfa3a7b5a4ec8c"/>
    <x v="16"/>
    <x v="0"/>
    <s v="Sábado"/>
    <x v="8"/>
    <s v="DR"/>
    <x v="0"/>
    <n v="1982"/>
    <s v="19/09/2026 09:28:26"/>
    <s v="08:30"/>
    <d v="1899-12-30T00:58:26"/>
    <x v="0"/>
    <s v="19/09/2026 14:22:55"/>
    <s v="16:00"/>
    <d v="1899-12-30T01:37:05"/>
    <x v="1"/>
    <d v="1899-12-30T04:54:29"/>
    <n v="25.9"/>
    <n v="8.75"/>
    <d v="1899-12-30T02:57:31"/>
    <d v="1899-12-30T01:56:28"/>
    <d v="1899-12-30T00:00:00"/>
    <n v="0"/>
    <n v="0"/>
    <n v="0"/>
    <n v="0"/>
    <n v="0"/>
    <n v="1"/>
    <s v="INICIO TARDÍO / FIN ANTICIPADO"/>
    <s v="Inicio GPS tardío: 00:58:26 después de las 08:30.; Fin GPS anticipado: 01:37:05 antes de las 16:00.; 1 hueco(s) GPS &gt;= 10 min."/>
  </r>
  <r>
    <s v="d7b664ef81ad9651"/>
    <s v="18_09_2026_DV_Noct1.gpx"/>
    <s v="d7b664ef81ad9651554f4d4fa4321cd936eac554b8e90b2d1b9a7efec9642fb0"/>
    <x v="15"/>
    <x v="0"/>
    <s v="Viernes"/>
    <x v="9"/>
    <s v="DV"/>
    <x v="1"/>
    <n v="2110"/>
    <s v="18/09/2026 18:14:24"/>
    <s v="18:00"/>
    <d v="1899-12-30T00:14:24"/>
    <x v="1"/>
    <s v="18/09/2026 23:07:55"/>
    <s v="00:00"/>
    <d v="1899-12-30T00:52:05"/>
    <x v="1"/>
    <d v="1899-12-30T04:53:31"/>
    <n v="26.300999999999998"/>
    <n v="7.48"/>
    <d v="1899-12-30T03:31:03"/>
    <d v="1899-12-30T01:52:20"/>
    <d v="1899-12-30T00:00:00"/>
    <n v="0"/>
    <n v="0"/>
    <n v="0"/>
    <n v="0"/>
    <n v="0"/>
    <n v="1"/>
    <s v="INICIO CUMPLE / FIN ANTICIPADO"/>
    <s v="Inicio GPS dentro de la tolerancia del horario programado.; Fin GPS anticipado: 00:52:05 antes de las 00:00.; 1 hueco(s) GPS &gt;= 10 min."/>
  </r>
  <r>
    <s v="0b3b3e04436c9877"/>
    <s v="18_09_2026_DV_Noct2.gpx"/>
    <s v="0b3b3e04436c9877c98cc7e76170acac75d69b6bfb77bc702a6e8b91134c7379"/>
    <x v="15"/>
    <x v="0"/>
    <s v="Viernes"/>
    <x v="9"/>
    <s v="DV"/>
    <x v="1"/>
    <n v="3418"/>
    <s v="18/09/2026 22:19:50"/>
    <s v="18:00"/>
    <d v="1899-12-30T04:19:51"/>
    <x v="0"/>
    <s v="19/09/2026 00:13:49"/>
    <s v="00:00"/>
    <d v="1899-12-30T00:13:49"/>
    <x v="0"/>
    <d v="1899-12-30T01:53:59"/>
    <n v="16.713999999999999"/>
    <n v="19.91"/>
    <d v="1899-12-30T00:50:22"/>
    <d v="1899-12-30T00:31:33"/>
    <d v="1899-12-30T00:00:00"/>
    <n v="0"/>
    <n v="0"/>
    <n v="0"/>
    <n v="0"/>
    <n v="0"/>
    <n v="1"/>
    <s v="INICIO TARDÍO / FIN CUMPLE"/>
    <s v="Inicio GPS tardío: 04:19:51 después de las 18:00.; Fin GPS dentro de la tolerancia del horario programado.; 1 hueco(s) GPS &gt;= 10 min."/>
  </r>
  <r>
    <s v="411c6fb03be049a0"/>
    <s v="18_09_2026_IQ_Noct.gpx"/>
    <s v="411c6fb03be049a075a3b26e6982874b7088874c41de9683287188622862b445"/>
    <x v="15"/>
    <x v="0"/>
    <s v="Viernes"/>
    <x v="10"/>
    <s v="IQ"/>
    <x v="1"/>
    <n v="1869"/>
    <s v="18/09/2026 18:02:40"/>
    <s v="18:00"/>
    <d v="1899-12-30T00:02:40"/>
    <x v="1"/>
    <s v="18/09/2026 23:44:35"/>
    <s v="00:00"/>
    <d v="1899-12-30T00:15:25"/>
    <x v="1"/>
    <d v="1899-12-30T05:41:55"/>
    <n v="34.732999999999997"/>
    <n v="19.53"/>
    <d v="1899-12-30T01:46:42"/>
    <d v="1899-12-30T00:46:05"/>
    <d v="1899-12-30T00:00:00"/>
    <n v="0"/>
    <n v="0"/>
    <n v="0"/>
    <n v="0"/>
    <n v="0"/>
    <n v="3"/>
    <s v="INICIO CUMPLE / FIN ANTICIPADO"/>
    <s v="Inicio GPS dentro de la tolerancia del horario programado.; Fin GPS anticipado: 00:15:25 antes de las 00:00.; 3 hueco(s) GPS &gt;= 10 min."/>
  </r>
  <r>
    <s v="1c33940de6d83ac0"/>
    <s v="18_09_2026_JHP_Noct.gpx"/>
    <s v="1c33940de6d83ac0ea53dec915860f2c48d3fa189da38e1c9f34d7786ab4c7ba"/>
    <x v="15"/>
    <x v="0"/>
    <s v="Viernes"/>
    <x v="11"/>
    <s v="JHP"/>
    <x v="1"/>
    <n v="7141"/>
    <s v="18/09/2026 17:31:58"/>
    <s v="18:00"/>
    <d v="1899-12-30T00:28:02"/>
    <x v="2"/>
    <s v="19/09/2026 00:21:47"/>
    <s v="00:00"/>
    <d v="1899-12-30T00:21:47"/>
    <x v="2"/>
    <d v="1899-12-30T06:49:49"/>
    <n v="95.653000000000006"/>
    <n v="18.7"/>
    <d v="1899-12-30T05:06:57"/>
    <d v="1899-12-30T01:06:04"/>
    <d v="1899-12-30T00:00:00"/>
    <n v="0"/>
    <n v="0"/>
    <n v="0"/>
    <n v="0"/>
    <n v="0"/>
    <n v="0"/>
    <s v="FIN POSTERIOR"/>
    <s v="Inicio GPS anterior al horario: 00:28:02 antes de las 18:00.; Fin GPS posterior: 00:21:47 después de las 00:00."/>
  </r>
  <r>
    <s v="1f282216ee6e37f2"/>
    <s v="18_09_2026_JP_Noct.gpx"/>
    <s v="1f282216ee6e37f2520889c4282cf35711e63dfc3ceb4eb4602373514907a767"/>
    <x v="15"/>
    <x v="0"/>
    <s v="Viernes"/>
    <x v="12"/>
    <s v="JP"/>
    <x v="1"/>
    <n v="1651"/>
    <s v="18/09/2026 17:58:21"/>
    <s v="18:00"/>
    <d v="1899-12-30T00:01:39"/>
    <x v="1"/>
    <s v="18/09/2026 23:59:00"/>
    <s v="00:00"/>
    <d v="1899-12-30T00:01:00"/>
    <x v="0"/>
    <d v="1899-12-30T06:00:39"/>
    <n v="19.93"/>
    <n v="3.93"/>
    <d v="1899-12-30T05:04:10"/>
    <d v="1899-12-30T03:47:05"/>
    <d v="1899-12-30T00:00:00"/>
    <n v="0"/>
    <n v="0"/>
    <n v="0"/>
    <n v="0"/>
    <n v="0"/>
    <n v="1"/>
    <s v="DENTRO DE HORARIO"/>
    <s v="Inicio GPS dentro de la tolerancia del horario programado.; Fin GPS dentro de la tolerancia del horario programado.; 1 hueco(s) GPS &gt;= 10 min."/>
  </r>
  <r>
    <s v="4eaa6f0e3139ce9c"/>
    <s v="18_09_2026_LA_Noct.gpx"/>
    <s v="4eaa6f0e3139ce9c3a1da9d13c538d9ea5f60c113e3a1e72c2c5288d79d3016e"/>
    <x v="15"/>
    <x v="0"/>
    <s v="Viernes"/>
    <x v="13"/>
    <s v="LA"/>
    <x v="1"/>
    <n v="11062"/>
    <s v="18/09/2026 17:27:27"/>
    <s v="18:00"/>
    <d v="1899-12-30T00:32:33"/>
    <x v="2"/>
    <s v="19/09/2026 00:00:48"/>
    <s v="00:00"/>
    <d v="1899-12-30T00:00:48"/>
    <x v="0"/>
    <d v="1899-12-30T06:33:21"/>
    <n v="54.726999999999997"/>
    <n v="12.98"/>
    <d v="1899-12-30T04:12:53"/>
    <d v="1899-12-30T02:59:43"/>
    <d v="1899-12-30T00:00:00"/>
    <n v="0"/>
    <n v="0"/>
    <n v="0"/>
    <n v="0"/>
    <n v="0"/>
    <n v="2"/>
    <s v="REVISAR"/>
    <s v="Inicio GPS anterior al horario: 00:32:33 antes de las 18:00.; Fin GPS dentro de la tolerancia del horario programado.; 2 hueco(s) GPS &gt;= 10 min."/>
  </r>
  <r>
    <s v="3045fae0d268338d"/>
    <s v="19_09_2026_AR_Noct.gpx"/>
    <s v="3045fae0d268338d25d3cd23bdd9fd7b7ab66535277cf52b510b0f2255c64b2c"/>
    <x v="16"/>
    <x v="0"/>
    <s v="Sábado"/>
    <x v="1"/>
    <s v="AR"/>
    <x v="1"/>
    <n v="1907"/>
    <s v="19/09/2026 18:23:21"/>
    <s v="18:00"/>
    <d v="1899-12-30T00:23:21"/>
    <x v="0"/>
    <s v="20/09/2026 00:05:17"/>
    <s v="00:00"/>
    <d v="1899-12-30T00:05:17"/>
    <x v="0"/>
    <d v="1899-12-30T05:41:56"/>
    <n v="25.712"/>
    <n v="7.32"/>
    <d v="1899-12-30T03:30:51"/>
    <d v="1899-12-30T02:25:46"/>
    <d v="1899-12-30T00:00:00"/>
    <n v="0"/>
    <n v="0"/>
    <n v="0"/>
    <n v="0"/>
    <n v="0"/>
    <n v="0"/>
    <s v="INICIO TARDÍO / FIN CUMPLE"/>
    <s v="Inicio GPS tardío: 00:23:21 después de las 18:00.; Fin GPS dentro de la tolerancia del horario programado.; Sábado nocturno: verificar técnico asignado."/>
  </r>
  <r>
    <s v="f5cb150a19768be1"/>
    <s v="21_09_2026_AO_Diur.gpx"/>
    <s v="f5cb150a19768be11f5f5f899eca0440e6e3b31b79532bd3d2717e1843b2aeee"/>
    <x v="17"/>
    <x v="0"/>
    <s v="Lunes"/>
    <x v="0"/>
    <s v="AO"/>
    <x v="0"/>
    <n v="5940"/>
    <s v="21/09/2026 09:19:43"/>
    <s v="08:30"/>
    <d v="1899-12-30T00:49:43"/>
    <x v="0"/>
    <s v="21/09/2026 16:31:57"/>
    <s v="16:30"/>
    <d v="1899-12-30T00:01:58"/>
    <x v="0"/>
    <d v="1899-12-30T07:12:14"/>
    <n v="46.2"/>
    <n v="18.46"/>
    <d v="1899-12-30T02:30:11"/>
    <d v="1899-12-30T01:11:34"/>
    <d v="1899-12-30T00:00:00"/>
    <n v="0"/>
    <n v="0"/>
    <n v="0"/>
    <n v="0"/>
    <n v="0"/>
    <n v="7"/>
    <s v="INICIO TARDÍO / FIN CUMPLE"/>
    <s v="Inicio GPS tardío: 00:49:43 después de las 08:30.; Fin GPS dentro de la tolerancia del horario programado.; 7 hueco(s) GPS &gt;= 10 min."/>
  </r>
  <r>
    <s v="4af9429c979acd31"/>
    <s v="21_09_2026_AR_Diur.gpx"/>
    <s v="4af9429c979acd311095eb9d774c8740b3b098e341a257bcd082b7d3d591eaf8"/>
    <x v="17"/>
    <x v="0"/>
    <s v="Lunes"/>
    <x v="1"/>
    <s v="AR"/>
    <x v="0"/>
    <n v="2849"/>
    <s v="21/09/2026 08:30:35"/>
    <s v="08:30"/>
    <d v="1899-12-30T00:00:35"/>
    <x v="1"/>
    <s v="21/09/2026 16:31:01"/>
    <s v="16:30"/>
    <d v="1899-12-30T00:01:01"/>
    <x v="0"/>
    <d v="1899-12-30T08:00:26"/>
    <n v="37.97"/>
    <n v="5.67"/>
    <d v="1899-12-30T06:41:47"/>
    <d v="1899-12-30T05:22:43"/>
    <d v="1899-12-30T00:11:29"/>
    <n v="1"/>
    <n v="0"/>
    <n v="0"/>
    <n v="0"/>
    <n v="0"/>
    <n v="3"/>
    <s v="DENTRO DE HORARIO"/>
    <s v="Inicio GPS dentro de la tolerancia del horario programado.; Fin GPS dentro de la tolerancia del horario programado.; 3 hueco(s) GPS &gt;= 10 min.; 1 permanencia(s) GPS detectada(s); requiere contexto."/>
  </r>
  <r>
    <s v="b710dc61d83a58bb"/>
    <s v="21_09_2026_DR_Diur.gpx"/>
    <s v="b710dc61d83a58bb2fd6232a2081ad7f1b35edb95d53d9681cfb5d0fc0a9002f"/>
    <x v="17"/>
    <x v="0"/>
    <s v="Lunes"/>
    <x v="8"/>
    <s v="DR"/>
    <x v="0"/>
    <n v="2438"/>
    <s v="21/09/2026 08:34:46"/>
    <s v="08:30"/>
    <d v="1899-12-30T00:04:46"/>
    <x v="1"/>
    <s v="21/09/2026 15:11:17"/>
    <s v="16:30"/>
    <d v="1899-12-30T01:18:43"/>
    <x v="1"/>
    <d v="1899-12-30T06:36:31"/>
    <n v="31.468"/>
    <n v="6.52"/>
    <d v="1899-12-30T04:49:38"/>
    <d v="1899-12-30T03:37:55"/>
    <d v="1899-12-30T00:00:00"/>
    <n v="0"/>
    <n v="0"/>
    <n v="0"/>
    <n v="0"/>
    <n v="0"/>
    <n v="1"/>
    <s v="INICIO CUMPLE / FIN ANTICIPADO"/>
    <s v="Inicio GPS dentro de la tolerancia del horario programado.; Fin GPS anticipado: 01:18:43 antes de las 16:30.; 1 hueco(s) GPS &gt;= 10 min."/>
  </r>
  <r>
    <s v="df723bcb444a9b89"/>
    <s v="21_09_2026_HC_Diur.gpx"/>
    <s v="df723bcb444a9b89a96cfe59b0b091589c7ded961c305d4de77c75f601da7f63"/>
    <x v="17"/>
    <x v="0"/>
    <s v="Lunes"/>
    <x v="2"/>
    <s v="HC"/>
    <x v="0"/>
    <n v="4843"/>
    <s v="21/09/2026 08:20:27"/>
    <s v="08:30"/>
    <d v="1899-12-30T00:09:33"/>
    <x v="1"/>
    <s v="21/09/2026 14:33:13"/>
    <s v="16:30"/>
    <d v="1899-12-30T01:56:47"/>
    <x v="1"/>
    <d v="1899-12-30T06:12:46"/>
    <n v="62.777000000000001"/>
    <n v="13.85"/>
    <d v="1899-12-30T04:31:56"/>
    <d v="1899-12-30T01:28:01"/>
    <d v="1899-12-30T00:00:00"/>
    <n v="0"/>
    <n v="0"/>
    <n v="0"/>
    <n v="0"/>
    <n v="0"/>
    <n v="0"/>
    <s v="INICIO CUMPLE / FIN ANTICIPADO"/>
    <s v="Inicio GPS dentro de la tolerancia del horario programado.; Fin GPS anticipado: 01:56:47 antes de las 16:30."/>
  </r>
  <r>
    <s v="6f27f1f7911931ca"/>
    <s v="21_09_2026_JA_Diur.gpx"/>
    <s v="6f27f1f7911931ca3828937e00b0d9d7e4b7f2e3b4a744bbd82905cb69fa15fb"/>
    <x v="17"/>
    <x v="0"/>
    <s v="Lunes"/>
    <x v="3"/>
    <s v="JA"/>
    <x v="0"/>
    <n v="3629"/>
    <s v="21/09/2026 08:36:56"/>
    <s v="08:30"/>
    <d v="1899-12-30T00:06:56"/>
    <x v="1"/>
    <s v="21/09/2026 12:04:26"/>
    <s v="16:30"/>
    <d v="1899-12-30T04:25:34"/>
    <x v="1"/>
    <d v="1899-12-30T03:27:30"/>
    <n v="48.866"/>
    <n v="15.48"/>
    <d v="1899-12-30T03:09:21"/>
    <d v="1899-12-30T01:03:13"/>
    <d v="1899-12-30T00:00:00"/>
    <n v="0"/>
    <n v="0"/>
    <n v="0"/>
    <n v="0"/>
    <n v="0"/>
    <n v="0"/>
    <s v="INICIO CUMPLE / FIN ANTICIPADO"/>
    <s v="Inicio GPS dentro de la tolerancia del horario programado.; Fin GPS anticipado: 04:25:34 antes de las 16:30."/>
  </r>
  <r>
    <s v="27e8aa2b9041b83e"/>
    <s v="21_09_2026_JO_Diur.gpx"/>
    <s v="27e8aa2b9041b83e20a191f2772b4630e814d805f38d3a0411d9332a0dae3660"/>
    <x v="17"/>
    <x v="0"/>
    <s v="Lunes"/>
    <x v="4"/>
    <s v="JO"/>
    <x v="0"/>
    <n v="6889"/>
    <s v="21/09/2026 08:37:28"/>
    <s v="08:30"/>
    <d v="1899-12-30T00:07:29"/>
    <x v="1"/>
    <s v="21/09/2026 16:43:37"/>
    <s v="16:30"/>
    <d v="1899-12-30T00:13:37"/>
    <x v="0"/>
    <d v="1899-12-30T08:06:08"/>
    <n v="50.584000000000003"/>
    <n v="20.420000000000002"/>
    <d v="1899-12-30T02:28:36"/>
    <d v="1899-12-30T01:01:57"/>
    <d v="1899-12-30T00:00:00"/>
    <n v="0"/>
    <n v="0"/>
    <n v="0"/>
    <n v="0"/>
    <n v="0"/>
    <n v="13"/>
    <s v="DENTRO DE HORARIO"/>
    <s v="Inicio GPS dentro de la tolerancia del horario programado.; Fin GPS dentro de la tolerancia del horario programado.; 13 hueco(s) GPS &gt;= 10 min."/>
  </r>
  <r>
    <s v="dde7444915f2b4e9"/>
    <s v="21_09_2026_JZ_Diur.gpx"/>
    <s v="dde7444915f2b4e92aec2f1f976d41ad31491801b484ddb32cf638a5e3f4489c"/>
    <x v="17"/>
    <x v="0"/>
    <s v="Lunes"/>
    <x v="5"/>
    <s v="JZ"/>
    <x v="0"/>
    <n v="6424"/>
    <s v="21/09/2026 08:24:13"/>
    <s v="08:30"/>
    <d v="1899-12-30T00:05:47"/>
    <x v="1"/>
    <s v="21/09/2026 16:37:06"/>
    <s v="16:30"/>
    <d v="1899-12-30T00:07:06"/>
    <x v="0"/>
    <d v="1899-12-30T08:12:53"/>
    <n v="86.244"/>
    <n v="13.99"/>
    <d v="1899-12-30T06:09:52"/>
    <d v="1899-12-30T02:25:28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</r>
  <r>
    <s v="b634bea971084078"/>
    <s v="21_09_2026_SJ_Diur.gpx"/>
    <s v="b634bea971084078b58e036e265cc4e8a09286138fc0ba3da01e624fcd462fef"/>
    <x v="17"/>
    <x v="0"/>
    <s v="Lunes"/>
    <x v="6"/>
    <s v="SJ"/>
    <x v="0"/>
    <n v="3387"/>
    <s v="21/09/2026 08:26:09"/>
    <s v="08:30"/>
    <d v="1899-12-30T00:03:51"/>
    <x v="1"/>
    <s v="21/09/2026 16:07:56"/>
    <s v="16:30"/>
    <d v="1899-12-30T00:22:04"/>
    <x v="1"/>
    <d v="1899-12-30T07:41:47"/>
    <n v="44.941000000000003"/>
    <n v="10.050000000000001"/>
    <d v="1899-12-30T04:28:17"/>
    <d v="1899-12-30T02:36:41"/>
    <d v="1899-12-30T00:00:00"/>
    <n v="0"/>
    <n v="0"/>
    <n v="0"/>
    <n v="0"/>
    <n v="0"/>
    <n v="1"/>
    <s v="INICIO CUMPLE / FIN ANTICIPADO"/>
    <s v="Inicio GPS dentro de la tolerancia del horario programado.; Fin GPS anticipado: 00:22:04 antes de las 16:30.; 1 hueco(s) GPS &gt;= 10 min."/>
  </r>
  <r>
    <s v="04d5b448cbe1d3e9"/>
    <s v="21_09_2026_YL_Diur.gpx"/>
    <s v="04d5b448cbe1d3e9f8fbfd0ec274e7c976ba2c0c9862da1199250c1f56a6b3e4"/>
    <x v="17"/>
    <x v="0"/>
    <s v="Lunes"/>
    <x v="7"/>
    <s v="YL"/>
    <x v="0"/>
    <n v="2857"/>
    <s v="21/09/2026 08:53:20"/>
    <s v="08:30"/>
    <d v="1899-12-30T00:23:20"/>
    <x v="0"/>
    <s v="21/09/2026 16:34:39"/>
    <s v="16:30"/>
    <d v="1899-12-30T00:04:39"/>
    <x v="0"/>
    <d v="1899-12-30T07:41:19"/>
    <n v="39.404000000000003"/>
    <n v="7.43"/>
    <d v="1899-12-30T05:18:08"/>
    <d v="1899-12-30T04:04:08"/>
    <d v="1899-12-30T00:00:00"/>
    <n v="0"/>
    <n v="0"/>
    <n v="0"/>
    <n v="0"/>
    <n v="0"/>
    <n v="2"/>
    <s v="INICIO TARDÍO / FIN CUMPLE"/>
    <s v="Inicio GPS tardío: 00:23:20 después de las 08:30.; Fin GPS dentro de la tolerancia del horario programado.; 2 hueco(s) GPS &gt;= 10 min."/>
  </r>
  <r>
    <s v="4884f203cb19cd6f"/>
    <s v="21_09_2026_DV_Noct.gpx"/>
    <s v="4884f203cb19cd6f079a749132d411d17323f85c044649c665815bb14f94daf2"/>
    <x v="17"/>
    <x v="0"/>
    <s v="Lunes"/>
    <x v="9"/>
    <s v="DV"/>
    <x v="1"/>
    <n v="6533"/>
    <s v="21/09/2026 16:49:40"/>
    <s v="18:00"/>
    <d v="1899-12-30T01:10:20"/>
    <x v="2"/>
    <s v="22/09/2026 00:19:36"/>
    <s v="00:00"/>
    <d v="1899-12-30T00:19:36"/>
    <x v="2"/>
    <d v="1899-12-30T07:29:56"/>
    <n v="88.581999999999994"/>
    <n v="16.45"/>
    <d v="1899-12-30T05:23:08"/>
    <d v="1899-12-30T01:21:13"/>
    <d v="1899-12-30T00:00:00"/>
    <n v="0"/>
    <n v="0"/>
    <n v="0"/>
    <n v="0"/>
    <n v="0"/>
    <n v="0"/>
    <s v="FIN POSTERIOR"/>
    <s v="Inicio GPS anterior al horario: 01:10:20 antes de las 18:00.; Fin GPS posterior: 00:19:36 después de las 00:00."/>
  </r>
  <r>
    <s v="9e22990e3b4a2ca1"/>
    <s v="21_09_2026_JHP_Noct.gpx"/>
    <s v="9e22990e3b4a2ca1d3a52ec4fc41e1d02c472c3565f3e888499da61f9f20fd26"/>
    <x v="17"/>
    <x v="0"/>
    <s v="Lunes"/>
    <x v="11"/>
    <s v="JHP"/>
    <x v="1"/>
    <n v="6535"/>
    <s v="21/09/2026 17:13:19"/>
    <s v="18:00"/>
    <d v="1899-12-30T00:46:41"/>
    <x v="2"/>
    <s v="21/09/2026 23:53:16"/>
    <s v="00:00"/>
    <d v="1899-12-30T00:06:44"/>
    <x v="0"/>
    <d v="1899-12-30T06:39:57"/>
    <n v="86.786000000000001"/>
    <n v="17.77"/>
    <d v="1899-12-30T04:53:04"/>
    <d v="1899-12-30T01:16:32"/>
    <d v="1899-12-30T00:00:00"/>
    <n v="0"/>
    <n v="0"/>
    <n v="0"/>
    <n v="0"/>
    <n v="0"/>
    <n v="0"/>
    <s v="REVISAR"/>
    <s v="Inicio GPS anterior al horario: 00:46:41 antes de las 18:00.; Fin GPS dentro de la tolerancia del horario programado."/>
  </r>
  <r>
    <s v="835e20c04a53828a"/>
    <s v="21_09_2026_JP_Noct.gpx"/>
    <s v="835e20c04a53828ac368be1f9fdba8cf009f6fbc15008e849ce99879df0dfc8c"/>
    <x v="17"/>
    <x v="0"/>
    <s v="Lunes"/>
    <x v="12"/>
    <s v="JP"/>
    <x v="1"/>
    <n v="2501"/>
    <s v="21/09/2026 17:18:13"/>
    <s v="18:00"/>
    <d v="1899-12-30T00:41:47"/>
    <x v="2"/>
    <s v="21/09/2026 21:40:42"/>
    <s v="00:00"/>
    <d v="1899-12-30T02:19:18"/>
    <x v="1"/>
    <d v="1899-12-30T04:22:29"/>
    <n v="34.625999999999998"/>
    <n v="9.35"/>
    <d v="1899-12-30T03:42:09"/>
    <d v="1899-12-30T02:31:36"/>
    <d v="1899-12-30T00:00:00"/>
    <n v="0"/>
    <n v="0"/>
    <n v="0"/>
    <n v="0"/>
    <n v="0"/>
    <n v="1"/>
    <s v="REVISAR"/>
    <s v="Inicio GPS anterior al horario: 00:41:47 antes de las 18:00.; Fin GPS anticipado: 02:19:18 antes de las 00:00.; 1 hueco(s) GPS &gt;= 10 min."/>
  </r>
  <r>
    <s v="b907b156e6a5331b"/>
    <s v="21_09_2026_LA_Noct.gpx"/>
    <s v="b907b156e6a5331be632ae339c782b82f2745169ca62414b285562508b1a292d"/>
    <x v="17"/>
    <x v="0"/>
    <s v="Lunes"/>
    <x v="13"/>
    <s v="LA"/>
    <x v="1"/>
    <n v="7696"/>
    <s v="21/09/2026 17:05:19"/>
    <s v="18:00"/>
    <d v="1899-12-30T00:54:41"/>
    <x v="2"/>
    <s v="21/09/2026 23:58:09"/>
    <s v="00:00"/>
    <d v="1899-12-30T00:01:51"/>
    <x v="0"/>
    <d v="1899-12-30T06:52:50"/>
    <n v="44.908000000000001"/>
    <n v="9.27"/>
    <d v="1899-12-30T04:50:43"/>
    <d v="1899-12-30T03:50:16"/>
    <d v="1899-12-30T00:00:00"/>
    <n v="0"/>
    <n v="0"/>
    <n v="0"/>
    <n v="0"/>
    <n v="0"/>
    <n v="2"/>
    <s v="REVISAR"/>
    <s v="Inicio GPS anterior al horario: 00:54:41 antes de las 18:00.; Fin GPS dentro de la tolerancia del horario programado.; 2 hueco(s) GPS &gt;= 10 min."/>
  </r>
  <r>
    <s v="74495a6fa19689de"/>
    <s v="21_09_2026_IQ_Noct.gpx"/>
    <s v="74495a6fa19689dec156654a51031c211e6db1b376f23ddef8a0e02cd742a84e"/>
    <x v="17"/>
    <x v="0"/>
    <s v="Lunes"/>
    <x v="10"/>
    <s v="IQ"/>
    <x v="1"/>
    <n v="1903"/>
    <s v="21/09/2026 16:52:55"/>
    <s v="18:00"/>
    <d v="1899-12-30T01:07:05"/>
    <x v="2"/>
    <s v="21/09/2026 23:52:10"/>
    <s v="00:00"/>
    <d v="1899-12-30T00:07:50"/>
    <x v="0"/>
    <d v="1899-12-30T06:59:15"/>
    <n v="37.201000000000001"/>
    <n v="11.62"/>
    <d v="1899-12-30T03:12:06"/>
    <d v="1899-12-30T02:23:01"/>
    <d v="1899-12-30T00:00:00"/>
    <n v="0"/>
    <n v="0"/>
    <n v="0"/>
    <n v="0"/>
    <n v="0"/>
    <n v="4"/>
    <s v="REVISAR"/>
    <s v="Inicio GPS anterior al horario: 01:07:05 antes de las 18:00.; Fin GPS dentro de la tolerancia del horario programado.; 4 hueco(s) GPS &gt;= 10 min."/>
  </r>
  <r>
    <s v="2a5d12d522d0ec56"/>
    <s v="22_09_2026_AO_Diur.gpx"/>
    <s v="2a5d12d522d0ec56261ab7d8d6b1630a43e635bab73594f1404ba06b34c31210"/>
    <x v="18"/>
    <x v="0"/>
    <s v="Martes"/>
    <x v="0"/>
    <s v="AO"/>
    <x v="0"/>
    <n v="7151"/>
    <s v="22/09/2026 08:59:19"/>
    <s v="08:30"/>
    <d v="1899-12-30T00:29:20"/>
    <x v="0"/>
    <s v="22/09/2026 15:52:59"/>
    <s v="16:30"/>
    <d v="1899-12-30T00:37:01"/>
    <x v="1"/>
    <d v="1899-12-30T06:53:39"/>
    <n v="52.847999999999999"/>
    <n v="16.52"/>
    <d v="1899-12-30T03:11:53"/>
    <d v="1899-12-30T01:42:11"/>
    <d v="1899-12-30T00:00:00"/>
    <n v="0"/>
    <n v="0"/>
    <n v="0"/>
    <n v="0"/>
    <n v="0"/>
    <n v="4"/>
    <s v="INICIO TARDÍO / FIN ANTICIPADO"/>
    <s v="Inicio GPS tardío: 00:29:20 después de las 08:30.; Fin GPS anticipado: 00:37:01 antes de las 16:30.; 4 hueco(s) GPS &gt;= 10 min."/>
  </r>
  <r>
    <s v="7dc74d5317f3bd9f"/>
    <s v="22_09_2026_AR_Diur.gpx"/>
    <s v="7dc74d5317f3bd9fe1c3149f518fceb8b65009e52b7a0f0f33c11d75a47426b8"/>
    <x v="18"/>
    <x v="0"/>
    <s v="Martes"/>
    <x v="1"/>
    <s v="AR"/>
    <x v="0"/>
    <n v="3653"/>
    <s v="22/09/2026 08:02:58"/>
    <s v="08:30"/>
    <d v="1899-12-30T00:27:02"/>
    <x v="2"/>
    <s v="22/09/2026 16:27:39"/>
    <s v="16:30"/>
    <d v="1899-12-30T00:02:21"/>
    <x v="0"/>
    <d v="1899-12-30T08:24:41"/>
    <n v="47.334000000000003"/>
    <n v="8.1300000000000008"/>
    <d v="1899-12-30T05:49:24"/>
    <d v="1899-12-30T04:04:32"/>
    <d v="1899-12-30T00:00:00"/>
    <n v="0"/>
    <n v="0"/>
    <n v="0"/>
    <n v="0"/>
    <n v="0"/>
    <n v="2"/>
    <s v="REVISAR"/>
    <s v="Inicio GPS anterior al horario: 00:27:02 antes de las 08:30.; Fin GPS dentro de la tolerancia del horario programado.; 2 hueco(s) GPS &gt;= 10 min."/>
  </r>
  <r>
    <s v="70230eb672e9cc1f"/>
    <s v="22_09_2026_DR_Diur.gpx"/>
    <s v="70230eb672e9cc1f3460be4ad96f5705a18da9ce7ecdad2e58586d5e223e77af"/>
    <x v="18"/>
    <x v="0"/>
    <s v="Martes"/>
    <x v="8"/>
    <s v="DR"/>
    <x v="0"/>
    <n v="1798"/>
    <s v="22/09/2026 08:32:25"/>
    <s v="08:30"/>
    <d v="1899-12-30T00:02:25"/>
    <x v="1"/>
    <s v="22/09/2026 16:42:18"/>
    <s v="16:30"/>
    <d v="1899-12-30T00:12:18"/>
    <x v="0"/>
    <d v="1899-12-30T08:09:53"/>
    <n v="23.113"/>
    <n v="3.66"/>
    <d v="1899-12-30T06:18:58"/>
    <d v="1899-12-30T05:17:27"/>
    <d v="1899-12-30T00:00:00"/>
    <n v="0"/>
    <n v="0"/>
    <n v="0"/>
    <n v="0"/>
    <n v="0"/>
    <n v="2"/>
    <s v="DENTRO DE HORARIO"/>
    <s v="Inicio GPS dentro de la tolerancia del horario programado.; Fin GPS dentro de la tolerancia del horario programado.; 2 hueco(s) GPS &gt;= 10 min."/>
  </r>
  <r>
    <s v="98c040a5bcec5b7b"/>
    <s v="22_09_2026_HC_Diur.gpx"/>
    <s v="98c040a5bcec5b7bf78e262a0f96c39560ec3f7438dae6d9eda28651eefdd49d"/>
    <x v="18"/>
    <x v="0"/>
    <s v="Martes"/>
    <x v="2"/>
    <s v="HC"/>
    <x v="0"/>
    <n v="3615"/>
    <s v="22/09/2026 08:22:01"/>
    <s v="08:30"/>
    <d v="1899-12-30T00:07:59"/>
    <x v="1"/>
    <s v="22/09/2026 14:08:55"/>
    <s v="16:30"/>
    <d v="1899-12-30T02:21:05"/>
    <x v="1"/>
    <d v="1899-12-30T05:46:54"/>
    <n v="46.113"/>
    <n v="12.03"/>
    <d v="1899-12-30T03:49:56"/>
    <d v="1899-12-30T01:35:42"/>
    <d v="1899-12-30T00:00:00"/>
    <n v="0"/>
    <n v="0"/>
    <n v="0"/>
    <n v="0"/>
    <n v="0"/>
    <n v="1"/>
    <s v="INICIO CUMPLE / FIN ANTICIPADO"/>
    <s v="Inicio GPS dentro de la tolerancia del horario programado.; Fin GPS anticipado: 02:21:05 antes de las 16:30.; 1 hueco(s) GPS &gt;= 10 min."/>
  </r>
  <r>
    <s v="244c815a07a75689"/>
    <s v="22_09_2026_JA_Diur.gpx"/>
    <s v="244c815a07a75689811bc095a5e4a5678d913ccb5415086f04a495333900a1b9"/>
    <x v="18"/>
    <x v="0"/>
    <s v="Martes"/>
    <x v="3"/>
    <s v="JA"/>
    <x v="0"/>
    <n v="3597"/>
    <s v="22/09/2026 08:33:40"/>
    <s v="08:30"/>
    <d v="1899-12-30T00:03:40"/>
    <x v="1"/>
    <s v="22/09/2026 13:22:19"/>
    <s v="16:30"/>
    <d v="1899-12-30T03:07:41"/>
    <x v="1"/>
    <d v="1899-12-30T04:48:39"/>
    <n v="49.512"/>
    <n v="13.5"/>
    <d v="1899-12-30T03:40:05"/>
    <d v="1899-12-30T02:06:12"/>
    <d v="1899-12-30T00:00:00"/>
    <n v="0"/>
    <n v="0"/>
    <n v="0"/>
    <n v="0"/>
    <n v="0"/>
    <n v="0"/>
    <s v="INICIO CUMPLE / FIN ANTICIPADO"/>
    <s v="Inicio GPS dentro de la tolerancia del horario programado.; Fin GPS anticipado: 03:07:41 antes de las 16:30."/>
  </r>
  <r>
    <s v="6c10f9a23867b808"/>
    <s v="22_09_2026_JO_Diur.gpx"/>
    <s v="6c10f9a23867b80804f0e0d3026cbd2377a4e84295aabb81f604aef45752b27f"/>
    <x v="18"/>
    <x v="0"/>
    <s v="Martes"/>
    <x v="4"/>
    <s v="JO"/>
    <x v="0"/>
    <n v="6586"/>
    <s v="22/09/2026 08:20:47"/>
    <s v="08:30"/>
    <d v="1899-12-30T00:09:12"/>
    <x v="1"/>
    <s v="22/09/2026 16:34:54"/>
    <s v="16:30"/>
    <d v="1899-12-30T00:04:55"/>
    <x v="0"/>
    <d v="1899-12-30T08:14:07"/>
    <n v="44.564"/>
    <n v="18.09"/>
    <d v="1899-12-30T02:27:49"/>
    <d v="1899-12-30T01:09:10"/>
    <d v="1899-12-30T00:00:00"/>
    <n v="0"/>
    <n v="0"/>
    <n v="0"/>
    <n v="0"/>
    <n v="0"/>
    <n v="14"/>
    <s v="DENTRO DE HORARIO"/>
    <s v="Inicio GPS dentro de la tolerancia del horario programado.; Fin GPS dentro de la tolerancia del horario programado.; 14 hueco(s) GPS &gt;= 10 min."/>
  </r>
  <r>
    <s v="f27b71b164cba290"/>
    <s v="22_09_2026_JZ_Diur.gpx"/>
    <s v="f27b71b164cba290e70f9cddfe830ad09af83e603900c2951d4a153691fc0b60"/>
    <x v="18"/>
    <x v="0"/>
    <s v="Martes"/>
    <x v="5"/>
    <s v="JZ"/>
    <x v="0"/>
    <n v="4949"/>
    <s v="22/09/2026 08:30:53"/>
    <s v="08:30"/>
    <d v="1899-12-30T00:00:53"/>
    <x v="1"/>
    <s v="22/09/2026 16:32:51"/>
    <s v="16:30"/>
    <d v="1899-12-30T00:02:51"/>
    <x v="0"/>
    <d v="1899-12-30T08:01:58"/>
    <n v="69.007999999999996"/>
    <n v="11.6"/>
    <d v="1899-12-30T05:56:56"/>
    <d v="1899-12-30T02:54:32"/>
    <d v="1899-12-30T00:00:00"/>
    <n v="0"/>
    <n v="0"/>
    <n v="0"/>
    <n v="0"/>
    <n v="0"/>
    <n v="1"/>
    <s v="DENTRO DE HORARIO"/>
    <s v="Inicio GPS dentro de la tolerancia del horario programado.; Fin GPS dentro de la tolerancia del horario programado.; 1 hueco(s) GPS &gt;= 10 min."/>
  </r>
  <r>
    <s v="0b975ab9cf7f549f"/>
    <s v="22_09_2026_SJ_Diur.gpx"/>
    <s v="0b975ab9cf7f549facbafc790c2cc7d87714627553ac9528f465dd26e9525b18"/>
    <x v="18"/>
    <x v="0"/>
    <s v="Martes"/>
    <x v="6"/>
    <s v="SJ"/>
    <x v="0"/>
    <n v="2061"/>
    <s v="22/09/2026 08:22:52"/>
    <s v="08:30"/>
    <d v="1899-12-30T00:07:08"/>
    <x v="1"/>
    <s v="22/09/2026 16:24:55"/>
    <s v="16:30"/>
    <d v="1899-12-30T00:05:05"/>
    <x v="0"/>
    <d v="1899-12-30T08:02:03"/>
    <n v="26.77"/>
    <n v="6.61"/>
    <d v="1899-12-30T04:03:03"/>
    <d v="1899-12-30T02:56:44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</r>
  <r>
    <s v="08614fea07320d08"/>
    <s v="22_09_2026_YL_Diur.gpx"/>
    <s v="08614fea07320d08084c2296fd70d2e13d8b0c1f17fdd4872e33583594595dbf"/>
    <x v="18"/>
    <x v="0"/>
    <s v="Martes"/>
    <x v="7"/>
    <s v="YL"/>
    <x v="0"/>
    <n v="3254"/>
    <s v="22/09/2026 08:32:21"/>
    <s v="08:30"/>
    <d v="1899-12-30T00:02:21"/>
    <x v="1"/>
    <s v="22/09/2026 16:33:25"/>
    <s v="16:30"/>
    <d v="1899-12-30T00:03:25"/>
    <x v="0"/>
    <d v="1899-12-30T08:01:04"/>
    <n v="43.088000000000001"/>
    <n v="11.09"/>
    <d v="1899-12-30T03:53:01"/>
    <d v="1899-12-30T02:12:50"/>
    <d v="1899-12-30T00:00:00"/>
    <n v="0"/>
    <n v="0"/>
    <n v="0"/>
    <n v="0"/>
    <n v="0"/>
    <n v="0"/>
    <s v="DENTRO DE HORARIO"/>
    <s v="Inicio GPS dentro de la tolerancia del horario programado.; Fin GPS dentro de la tolerancia del horario programado."/>
  </r>
  <r>
    <s v="22e3cf1e69577752"/>
    <s v="22_09_2026_IQ_Noct.gpx"/>
    <s v="22e3cf1e6957775221afa64285023da562984dae936caa954ee47dc6fc339b1e"/>
    <x v="18"/>
    <x v="0"/>
    <s v="Martes"/>
    <x v="10"/>
    <s v="IQ"/>
    <x v="1"/>
    <n v="3626"/>
    <s v="22/09/2026 16:26:00"/>
    <s v="18:00"/>
    <d v="1899-12-30T01:34:00"/>
    <x v="2"/>
    <s v="22/09/2026 23:44:29"/>
    <s v="00:00"/>
    <d v="1899-12-30T00:15:31"/>
    <x v="1"/>
    <d v="1899-12-30T07:18:29"/>
    <n v="51.329000000000001"/>
    <n v="13.16"/>
    <d v="1899-12-30T03:54:00"/>
    <d v="1899-12-30T02:12:53"/>
    <d v="1899-12-30T00:00:00"/>
    <n v="0"/>
    <n v="0"/>
    <n v="0"/>
    <n v="0"/>
    <n v="0"/>
    <n v="3"/>
    <s v="REVISAR"/>
    <s v="Inicio GPS anterior al horario: 01:34:00 antes de las 18:00.; Fin GPS anticipado: 00:15:31 antes de las 00:00.; 3 hueco(s) GPS &gt;= 10 min."/>
  </r>
  <r>
    <s v="030c093ed850598e"/>
    <s v="22_09_2026_JHP_Noct.gpx"/>
    <s v="030c093ed850598ec0b41fe7b3c85401960f95f2dbbed6b59963263368016517"/>
    <x v="18"/>
    <x v="0"/>
    <s v="Martes"/>
    <x v="11"/>
    <s v="JHP"/>
    <x v="1"/>
    <n v="6526"/>
    <s v="22/09/2026 17:21:13"/>
    <s v="18:00"/>
    <d v="1899-12-30T00:38:47"/>
    <x v="2"/>
    <s v="23/09/2026 00:01:55"/>
    <s v="00:00"/>
    <d v="1899-12-30T00:01:55"/>
    <x v="0"/>
    <d v="1899-12-30T06:40:42"/>
    <n v="90.361999999999995"/>
    <n v="16.829999999999998"/>
    <d v="1899-12-30T05:22:03"/>
    <d v="1899-12-30T01:57:39"/>
    <d v="1899-12-30T00:00:00"/>
    <n v="0"/>
    <n v="0"/>
    <n v="0"/>
    <n v="0"/>
    <n v="0"/>
    <n v="0"/>
    <s v="REVISAR"/>
    <s v="Inicio GPS anterior al horario: 00:38:47 antes de las 18:00.; Fin GPS dentro de la tolerancia del horario programado."/>
  </r>
  <r>
    <s v="6c6a01bf19af2e78"/>
    <s v="22_09_2026_JP_Noct.gpx"/>
    <s v="6c6a01bf19af2e78e9bcfc6cc317e47b2a3f8fca1ba9f4a003178fda7d114836"/>
    <x v="18"/>
    <x v="0"/>
    <s v="Martes"/>
    <x v="12"/>
    <s v="JP"/>
    <x v="1"/>
    <n v="2470"/>
    <s v="22/09/2026 17:43:40"/>
    <s v="18:00"/>
    <d v="1899-12-30T00:16:20"/>
    <x v="2"/>
    <s v="22/09/2026 22:07:06"/>
    <s v="00:00"/>
    <d v="1899-12-30T01:52:54"/>
    <x v="1"/>
    <d v="1899-12-30T04:23:26"/>
    <n v="32.774000000000001"/>
    <n v="10.53"/>
    <d v="1899-12-30T03:06:47"/>
    <d v="1899-12-30T02:00:52"/>
    <d v="1899-12-30T00:00:00"/>
    <n v="0"/>
    <n v="0"/>
    <n v="0"/>
    <n v="0"/>
    <n v="0"/>
    <n v="0"/>
    <s v="REVISAR"/>
    <s v="Inicio GPS anterior al horario: 00:16:20 antes de las 18:00.; Fin GPS anticipado: 01:52:54 antes de las 00:00."/>
  </r>
  <r>
    <s v="43299031c0ccff50"/>
    <s v="22_09_2026_DV_Noct.gpx"/>
    <s v="43299031c0ccff50294b6f975c848301f36803586ffe271406e537e2a79cdfa0"/>
    <x v="18"/>
    <x v="0"/>
    <s v="Martes"/>
    <x v="9"/>
    <s v="DV"/>
    <x v="1"/>
    <n v="4471"/>
    <s v="22/09/2026 16:55:24"/>
    <s v="18:00"/>
    <d v="1899-12-30T01:04:36"/>
    <x v="2"/>
    <s v="23/09/2026 00:21:54"/>
    <s v="00:00"/>
    <d v="1899-12-30T00:21:54"/>
    <x v="2"/>
    <d v="1899-12-30T07:26:30"/>
    <n v="56.018999999999998"/>
    <n v="11.32"/>
    <d v="1899-12-30T04:56:53"/>
    <d v="1899-12-30T01:23:27"/>
    <d v="1899-12-30T00:00:00"/>
    <n v="0"/>
    <n v="0"/>
    <n v="0"/>
    <n v="0"/>
    <n v="0"/>
    <n v="0"/>
    <s v="FIN POSTERIOR"/>
    <s v="Inicio GPS anterior al horario: 01:04:36 antes de las 18:00.; Fin GPS posterior: 00:21:54 después de las 00:00."/>
  </r>
  <r>
    <s v="e2ed9061be63926a"/>
    <s v="22_09_2026_LA_Noct.gpx"/>
    <s v="e2ed9061be63926a391cd48dc7c044e90a74ac21cbda166b2d4e8ac09b45c814"/>
    <x v="18"/>
    <x v="0"/>
    <s v="Martes"/>
    <x v="13"/>
    <s v="LA"/>
    <x v="1"/>
    <n v="7824"/>
    <s v="22/09/2026 17:01:15"/>
    <s v="18:00"/>
    <d v="1899-12-30T00:58:45"/>
    <x v="2"/>
    <s v="22/09/2026 23:57:14"/>
    <s v="00:00"/>
    <d v="1899-12-30T00:02:46"/>
    <x v="0"/>
    <d v="1899-12-30T06:55:59"/>
    <n v="50.188000000000002"/>
    <n v="12.01"/>
    <d v="1899-12-30T04:10:43"/>
    <d v="1899-12-30T02:47:56"/>
    <d v="1899-12-30T00:00:00"/>
    <n v="0"/>
    <n v="0"/>
    <n v="0"/>
    <n v="0"/>
    <n v="0"/>
    <n v="3"/>
    <s v="REVISAR"/>
    <s v="Inicio GPS anterior al horario: 00:58:45 antes de las 18:00.; Fin GPS dentro de la tolerancia del horario programado.; 3 hueco(s) GPS &gt;= 10 min."/>
  </r>
  <r>
    <s v="27bf9ccc57f408d3"/>
    <s v="23_09_2026_AO_Diur.gpx"/>
    <s v="27bf9ccc57f408d3a1e58989de7178cb85dd167049fa727b70aa3a0879a845cb"/>
    <x v="19"/>
    <x v="0"/>
    <s v="Miércoles"/>
    <x v="0"/>
    <s v="AO"/>
    <x v="0"/>
    <n v="5959"/>
    <s v="23/09/2026 09:17:02"/>
    <s v="08:30"/>
    <d v="1899-12-30T00:47:03"/>
    <x v="0"/>
    <s v="23/09/2026 17:09:42"/>
    <s v="16:30"/>
    <d v="1899-12-30T00:39:43"/>
    <x v="2"/>
    <d v="1899-12-30T07:52:40"/>
    <n v="33.295999999999999"/>
    <n v="9.5399999999999991"/>
    <d v="1899-12-30T03:29:22"/>
    <d v="1899-12-30T02:39:13"/>
    <d v="1899-12-30T00:00:00"/>
    <n v="0"/>
    <n v="0"/>
    <n v="0"/>
    <n v="0"/>
    <n v="0"/>
    <n v="4"/>
    <s v="FIN POSTERIOR"/>
    <s v="Inicio GPS tardío: 00:47:03 después de las 08:30.; Fin GPS posterior: 00:39:43 después de las 16:30.; 4 hueco(s) GPS &gt;= 10 min."/>
  </r>
  <r>
    <s v="7a91edd00a841142"/>
    <s v="23_09_2026_AR_Diur.gpx"/>
    <s v="7a91edd00a8411422c22e48ab6aa40db972723a3e6f81e1d911b47c901f33c40"/>
    <x v="19"/>
    <x v="0"/>
    <s v="Miércoles"/>
    <x v="1"/>
    <s v="AR"/>
    <x v="0"/>
    <n v="1868"/>
    <s v="23/09/2026 08:16:16"/>
    <s v="08:30"/>
    <d v="1899-12-30T00:13:44"/>
    <x v="1"/>
    <s v="23/09/2026 16:11:11"/>
    <s v="16:30"/>
    <d v="1899-12-30T00:18:49"/>
    <x v="1"/>
    <d v="1899-12-30T07:54:55"/>
    <n v="22.170999999999999"/>
    <n v="4.5"/>
    <d v="1899-12-30T04:55:26"/>
    <d v="1899-12-30T03:46:22"/>
    <d v="1899-12-30T00:00:00"/>
    <n v="0"/>
    <n v="0"/>
    <n v="0"/>
    <n v="0"/>
    <n v="0"/>
    <n v="2"/>
    <s v="INICIO CUMPLE / FIN ANTICIPADO"/>
    <s v="Inicio GPS dentro de la tolerancia del horario programado.; Fin GPS anticipado: 00:18:49 antes de las 16:30.; 2 hueco(s) GPS &gt;= 10 min."/>
  </r>
  <r>
    <s v="4408ac1d649faca3"/>
    <s v="23_09_2026_DR_Diur.gpx"/>
    <s v="4408ac1d649faca302b1a8ecf19b979de608bcd9adef35bce34292cd26b3aeb6"/>
    <x v="19"/>
    <x v="0"/>
    <s v="Miércoles"/>
    <x v="8"/>
    <s v="DR"/>
    <x v="0"/>
    <n v="2244"/>
    <s v="23/09/2026 08:51:52"/>
    <s v="08:30"/>
    <d v="1899-12-30T00:21:52"/>
    <x v="0"/>
    <s v="23/09/2026 16:41:32"/>
    <s v="16:30"/>
    <d v="1899-12-30T00:11:32"/>
    <x v="0"/>
    <d v="1899-12-30T07:49:40"/>
    <n v="27.957000000000001"/>
    <n v="5.12"/>
    <d v="1899-12-30T05:27:49"/>
    <d v="1899-12-30T04:07:55"/>
    <d v="1899-12-30T00:00:00"/>
    <n v="0"/>
    <n v="0"/>
    <n v="0"/>
    <n v="0"/>
    <n v="0"/>
    <n v="3"/>
    <s v="INICIO TARDÍO / FIN CUMPLE"/>
    <s v="Inicio GPS tardío: 00:21:52 después de las 08:30.; Fin GPS dentro de la tolerancia del horario programado.; 3 hueco(s) GPS &gt;= 10 min."/>
  </r>
  <r>
    <s v="cee7dbc94d8380b9"/>
    <s v="23_09_2026_HC_Diur.gpx"/>
    <s v="cee7dbc94d8380b967c51fa1a926584f6f8387e40221a1c8e56431369faf5ba9"/>
    <x v="19"/>
    <x v="0"/>
    <s v="Miércoles"/>
    <x v="2"/>
    <s v="HC"/>
    <x v="0"/>
    <n v="4411"/>
    <s v="23/09/2026 08:20:00"/>
    <s v="08:30"/>
    <d v="1899-12-30T00:10:00"/>
    <x v="1"/>
    <s v="23/09/2026 14:17:50"/>
    <s v="16:30"/>
    <d v="1899-12-30T02:12:10"/>
    <x v="1"/>
    <d v="1899-12-30T05:57:50"/>
    <n v="57.37"/>
    <n v="13.72"/>
    <d v="1899-12-30T04:10:57"/>
    <d v="1899-12-30T01:36:07"/>
    <d v="1899-12-30T00:00:00"/>
    <n v="0"/>
    <n v="0"/>
    <n v="0"/>
    <n v="0"/>
    <n v="0"/>
    <n v="0"/>
    <s v="INICIO CUMPLE / FIN ANTICIPADO"/>
    <s v="Inicio GPS dentro de la tolerancia del horario programado.; Fin GPS anticipado: 02:12:10 antes de las 16:30."/>
  </r>
  <r>
    <s v="025a647a490108ab"/>
    <s v="23_09_2026_JO_Diur.gpx"/>
    <s v="025a647a490108ab58e8e211691c0f25058cad25387522be9e59a593723a511c"/>
    <x v="19"/>
    <x v="0"/>
    <s v="Miércoles"/>
    <x v="4"/>
    <s v="JO"/>
    <x v="0"/>
    <n v="5246"/>
    <s v="23/09/2026 08:45:49"/>
    <s v="08:30"/>
    <d v="1899-12-30T00:15:49"/>
    <x v="0"/>
    <s v="23/09/2026 16:45:11"/>
    <s v="16:30"/>
    <d v="1899-12-30T00:15:11"/>
    <x v="2"/>
    <d v="1899-12-30T07:59:22"/>
    <n v="27.216000000000001"/>
    <n v="33.270000000000003"/>
    <d v="1899-12-30T00:49:05"/>
    <d v="1899-12-30T00:23:44"/>
    <d v="1899-12-30T00:00:00"/>
    <n v="0"/>
    <n v="0"/>
    <n v="0"/>
    <n v="0"/>
    <n v="0"/>
    <n v="10"/>
    <s v="FIN POSTERIOR"/>
    <s v="Inicio GPS tardío: 00:15:49 después de las 08:30.; Fin GPS posterior: 00:15:11 después de las 16:30.; 10 hueco(s) GPS &gt;= 10 min."/>
  </r>
  <r>
    <s v="902a3fd7e70712ae"/>
    <s v="23_09_2026_JZ_Diur.gpx"/>
    <s v="902a3fd7e70712aeca6629d519f06105047cecdd8a4069792258d07bdd369e43"/>
    <x v="19"/>
    <x v="0"/>
    <s v="Miércoles"/>
    <x v="5"/>
    <s v="JZ"/>
    <x v="0"/>
    <n v="5580"/>
    <s v="23/09/2026 08:04:28"/>
    <s v="08:30"/>
    <d v="1899-12-30T00:25:32"/>
    <x v="2"/>
    <s v="23/09/2026 16:34:36"/>
    <s v="16:30"/>
    <d v="1899-12-30T00:04:36"/>
    <x v="0"/>
    <d v="1899-12-30T08:30:08"/>
    <n v="75.423000000000002"/>
    <n v="10.25"/>
    <d v="1899-12-30T07:21:34"/>
    <d v="1899-12-30T04:07:10"/>
    <d v="1899-12-30T00:00:00"/>
    <n v="0"/>
    <n v="0"/>
    <n v="0"/>
    <n v="0"/>
    <n v="0"/>
    <n v="3"/>
    <s v="REVISAR"/>
    <s v="Inicio GPS anterior al horario: 00:25:32 antes de las 08:30.; Fin GPS dentro de la tolerancia del horario programado.; 3 hueco(s) GPS &gt;= 10 min."/>
  </r>
  <r>
    <s v="a87b9c61f88f6dc6"/>
    <s v="23_09_2026_SJ_Diur.gpx"/>
    <s v="a87b9c61f88f6dc61d7c57e704a7019cfeeb155863211b6fcd05b1a5345a41e2"/>
    <x v="19"/>
    <x v="0"/>
    <s v="Miércoles"/>
    <x v="6"/>
    <s v="SJ"/>
    <x v="0"/>
    <n v="2385"/>
    <s v="23/09/2026 08:39:04"/>
    <s v="08:30"/>
    <d v="1899-12-30T00:09:04"/>
    <x v="1"/>
    <s v="23/09/2026 16:04:43"/>
    <s v="16:30"/>
    <d v="1899-12-30T00:25:17"/>
    <x v="1"/>
    <d v="1899-12-30T07:25:39"/>
    <n v="30.879000000000001"/>
    <n v="7.36"/>
    <d v="1899-12-30T04:11:48"/>
    <d v="1899-12-30T03:02:03"/>
    <d v="1899-12-30T00:00:00"/>
    <n v="0"/>
    <n v="0"/>
    <n v="0"/>
    <n v="0"/>
    <n v="0"/>
    <n v="1"/>
    <s v="INICIO CUMPLE / FIN ANTICIPADO"/>
    <s v="Inicio GPS dentro de la tolerancia del horario programado.; Fin GPS anticipado: 00:25:17 antes de las 16:30.; 1 hueco(s) GPS &gt;= 10 min."/>
  </r>
  <r>
    <s v="562b967a6b961354"/>
    <s v="23_09_2026_YL_Diur.gpx"/>
    <s v="562b967a6b961354db78b9cffe2da313776b367f0271c4f71ff1efefdac672ff"/>
    <x v="19"/>
    <x v="0"/>
    <s v="Miércoles"/>
    <x v="7"/>
    <s v="YL"/>
    <x v="0"/>
    <n v="4294"/>
    <s v="23/09/2026 08:49:21"/>
    <s v="08:30"/>
    <d v="1899-12-30T00:19:21"/>
    <x v="0"/>
    <s v="23/09/2026 16:45:00"/>
    <s v="16:30"/>
    <d v="1899-12-30T00:15:00"/>
    <x v="0"/>
    <d v="1899-12-30T07:55:39"/>
    <n v="57.81"/>
    <n v="13.04"/>
    <d v="1899-12-30T04:25:55"/>
    <d v="1899-12-30T02:30:43"/>
    <d v="1899-12-30T00:00:00"/>
    <n v="0"/>
    <n v="0"/>
    <n v="0"/>
    <n v="0"/>
    <n v="0"/>
    <n v="0"/>
    <s v="INICIO TARDÍO / FIN CUMPLE"/>
    <s v="Inicio GPS tardío: 00:19:21 después de las 08:30.; Fin GPS dentro de la tolerancia del horario programado."/>
  </r>
  <r>
    <s v="dba3452836ba7e50"/>
    <s v="23_09_2026_JA_Diur1.gpx"/>
    <s v="dba3452836ba7e50cc3f660a7059238423e73768e6e6d9c1ebe7ef47a5a38bab"/>
    <x v="19"/>
    <x v="0"/>
    <s v="Miércoles"/>
    <x v="3"/>
    <s v="JA"/>
    <x v="0"/>
    <n v="1382"/>
    <s v="23/09/2026 08:50:57"/>
    <s v="08:30"/>
    <d v="1899-12-30T00:20:57"/>
    <x v="0"/>
    <s v="23/09/2026 12:14:38"/>
    <s v="16:30"/>
    <m/>
    <x v="3"/>
    <d v="1899-12-30T08:40:41"/>
    <n v="17.55"/>
    <n v="7.15"/>
    <d v="1899-12-30T02:27:13"/>
    <d v="1899-12-30T01:42:55"/>
    <d v="1899-12-30T00:00:00"/>
    <n v="0"/>
    <n v="0"/>
    <n v="0"/>
    <n v="0"/>
    <n v="0"/>
    <n v="0"/>
    <s v="PARTE DE RECORRIDO"/>
    <s v="Recorrido fragmentado 2 parte(s): INICIO DE RECORRIDO. Inicio operativo 08:50:57 y fin operativo 17:31:38.; Inicio GPS tardío: 00:20:57 después de las 08:30."/>
  </r>
  <r>
    <s v="abbfd962adecc6f9"/>
    <s v="23_09_2026_JA_Diur2.gpx"/>
    <s v="abbfd962adecc6f91b4e71bf28b254f741a22c8e9aedc308cb409194fbd1ad5b"/>
    <x v="19"/>
    <x v="0"/>
    <s v="Miércoles"/>
    <x v="3"/>
    <s v="JA"/>
    <x v="0"/>
    <n v="336"/>
    <s v="23/09/2026 16:26:53"/>
    <s v="08:30"/>
    <m/>
    <x v="3"/>
    <s v="23/09/2026 17:31:38"/>
    <s v="16:30"/>
    <d v="1899-12-30T01:01:38"/>
    <x v="2"/>
    <d v="1899-12-30T08:40:41"/>
    <n v="3.5720000000000001"/>
    <n v="3.31"/>
    <d v="1899-12-30T01:04:45"/>
    <d v="1899-12-30T00:53:31"/>
    <d v="1899-12-30T00:00:00"/>
    <n v="0"/>
    <n v="0"/>
    <n v="0"/>
    <n v="0"/>
    <n v="0"/>
    <n v="0"/>
    <s v="PARTE DE RECORRIDO"/>
    <s v="Recorrido fragmentado 2 parte(s): FIN DE RECORRIDO. Inicio operativo 08:50:57 y fin operativo 17:31:38.; Fin GPS posterior: 01:01:38 después de las 16:30."/>
  </r>
  <r>
    <s v="c7bcdda3448eca70"/>
    <s v="23_09_2026_DV_Noct.gpx"/>
    <s v="c7bcdda3448eca7014a76963f98c28a7628c901ad953ed367050d466f0da05ff"/>
    <x v="19"/>
    <x v="0"/>
    <s v="Miércoles"/>
    <x v="9"/>
    <s v="DV"/>
    <x v="1"/>
    <n v="5086"/>
    <s v="23/09/2026 17:50:48"/>
    <s v="18:00"/>
    <d v="1899-12-30T00:09:12"/>
    <x v="1"/>
    <s v="24/09/2026 00:23:26"/>
    <s v="00:00"/>
    <d v="1899-12-30T00:23:26"/>
    <x v="2"/>
    <d v="1899-12-30T06:32:38"/>
    <n v="64.069000000000003"/>
    <n v="13.78"/>
    <d v="1899-12-30T04:39:00"/>
    <d v="1899-12-30T01:05:33"/>
    <d v="1899-12-30T00:00:00"/>
    <n v="0"/>
    <n v="0"/>
    <n v="0"/>
    <n v="0"/>
    <n v="0"/>
    <n v="0"/>
    <s v="FIN POSTERIOR"/>
    <s v="Inicio GPS dentro de la tolerancia del horario programado.; Fin GPS posterior: 00:23:26 después de las 00:00."/>
  </r>
  <r>
    <s v="854b85750ca295ba"/>
    <s v="23_09_2026_IQ_Noct.gpx"/>
    <s v="854b85750ca295bab2dbaff996de56ef78092891b34f495b545a89ffb99f5af8"/>
    <x v="19"/>
    <x v="0"/>
    <s v="Miércoles"/>
    <x v="10"/>
    <s v="IQ"/>
    <x v="1"/>
    <n v="2052"/>
    <s v="23/09/2026 17:35:20"/>
    <s v="18:00"/>
    <d v="1899-12-30T00:24:40"/>
    <x v="2"/>
    <s v="23/09/2026 23:57:48"/>
    <s v="00:00"/>
    <d v="1899-12-30T00:02:12"/>
    <x v="0"/>
    <d v="1899-12-30T06:22:28"/>
    <n v="35.808999999999997"/>
    <n v="14.06"/>
    <d v="1899-12-30T02:32:51"/>
    <d v="1899-12-30T01:34:56"/>
    <d v="1899-12-30T00:00:00"/>
    <n v="0"/>
    <n v="0"/>
    <n v="0"/>
    <n v="0"/>
    <n v="0"/>
    <n v="6"/>
    <s v="REVISAR"/>
    <s v="Inicio GPS anterior al horario: 00:24:40 antes de las 18:00.; Fin GPS dentro de la tolerancia del horario programado.; 6 hueco(s) GPS &gt;= 10 min."/>
  </r>
  <r>
    <s v="1524ebf6e64c53aa"/>
    <s v="23_09_2026_JP_Noct.gpx"/>
    <s v="1524ebf6e64c53aa5e6027a2d921e2541675d5de5bc7ab5d37d972940274a473"/>
    <x v="19"/>
    <x v="0"/>
    <s v="Miércoles"/>
    <x v="12"/>
    <s v="JP"/>
    <x v="1"/>
    <n v="3372"/>
    <s v="23/09/2026 17:30:41"/>
    <s v="18:00"/>
    <d v="1899-12-30T00:29:19"/>
    <x v="2"/>
    <s v="23/09/2026 21:41:04"/>
    <s v="00:00"/>
    <d v="1899-12-30T02:18:56"/>
    <x v="1"/>
    <d v="1899-12-30T04:10:23"/>
    <n v="46.061"/>
    <n v="13.42"/>
    <d v="1899-12-30T03:26:00"/>
    <d v="1899-12-30T01:50:48"/>
    <d v="1899-12-30T00:00:00"/>
    <n v="0"/>
    <n v="0"/>
    <n v="0"/>
    <n v="0"/>
    <n v="0"/>
    <n v="0"/>
    <s v="REVISAR"/>
    <s v="Inicio GPS anterior al horario: 00:29:19 antes de las 18:00.; Fin GPS anticipado: 02:18:56 antes de las 00:00."/>
  </r>
  <r>
    <s v="c28c6adae2a52086"/>
    <s v="23_09_2026_LA_Noct.gpx"/>
    <s v="c28c6adae2a52086a5b43f8adf2f7efb0ab6d21e943556b357652747d7f1966b"/>
    <x v="19"/>
    <x v="0"/>
    <s v="Miércoles"/>
    <x v="13"/>
    <s v="LA"/>
    <x v="1"/>
    <n v="7287"/>
    <s v="23/09/2026 17:41:21"/>
    <s v="18:00"/>
    <d v="1899-12-30T00:18:39"/>
    <x v="2"/>
    <s v="24/09/2026 00:07:53"/>
    <s v="00:00"/>
    <d v="1899-12-30T00:07:53"/>
    <x v="0"/>
    <d v="1899-12-30T06:26:32"/>
    <n v="45.036999999999999"/>
    <n v="10.41"/>
    <d v="1899-12-30T04:19:36"/>
    <d v="1899-12-30T03:13:05"/>
    <d v="1899-12-30T00:00:00"/>
    <n v="0"/>
    <n v="0"/>
    <n v="0"/>
    <n v="0"/>
    <n v="0"/>
    <n v="2"/>
    <s v="REVISAR"/>
    <s v="Inicio GPS anterior al horario: 00:18:39 antes de las 18:00.; Fin GPS dentro de la tolerancia del horario programado.; 2 hueco(s) GPS &gt;= 10 min."/>
  </r>
  <r>
    <s v="d8610283ab31c17b"/>
    <s v="24_09_2026_AO_Diur.gpx"/>
    <s v="d8610283ab31c17b60cf55c57f3fef35c24792cb35cd6303472074d6dc57a9e2"/>
    <x v="20"/>
    <x v="0"/>
    <s v="Jueves"/>
    <x v="0"/>
    <s v="AO"/>
    <x v="0"/>
    <n v="3430"/>
    <s v="24/09/2026 09:11:42"/>
    <s v="08:30"/>
    <d v="1899-12-30T00:41:43"/>
    <x v="0"/>
    <s v="24/09/2026 15:36:24"/>
    <s v="16:30"/>
    <d v="1899-12-30T00:53:36"/>
    <x v="1"/>
    <d v="1899-12-30T06:24:42"/>
    <n v="19.553999999999998"/>
    <n v="18.96"/>
    <d v="1899-12-30T01:01:54"/>
    <d v="1899-12-30T00:34:52"/>
    <d v="1899-12-30T00:00:00"/>
    <n v="0"/>
    <n v="0"/>
    <n v="0"/>
    <n v="0"/>
    <n v="0"/>
    <n v="4"/>
    <s v="INICIO TARDÍO / FIN ANTICIPADO"/>
    <s v="Inicio GPS tardío: 00:41:43 después de las 08:30.; Fin GPS anticipado: 00:53:36 antes de las 16:30.; 4 hueco(s) GPS &gt;= 10 min."/>
  </r>
  <r>
    <s v="80b1d8418c2b1eaa"/>
    <s v="24_09_2026_AR_Diur.gpx"/>
    <s v="80b1d8418c2b1eaab60e02e6a877ea0131fa1acbbaf1244fd97677a34ac1ea83"/>
    <x v="20"/>
    <x v="0"/>
    <s v="Jueves"/>
    <x v="1"/>
    <s v="AR"/>
    <x v="0"/>
    <n v="1795"/>
    <s v="24/09/2026 08:14:20"/>
    <s v="08:30"/>
    <d v="1899-12-30T00:15:40"/>
    <x v="2"/>
    <s v="24/09/2026 16:32:03"/>
    <s v="16:30"/>
    <d v="1899-12-30T00:02:03"/>
    <x v="0"/>
    <d v="1899-12-30T08:17:43"/>
    <n v="29.731000000000002"/>
    <n v="4.18"/>
    <d v="1899-12-30T07:07:08"/>
    <d v="1899-12-30T06:18:47"/>
    <d v="1899-12-30T00:00:00"/>
    <n v="0"/>
    <n v="0"/>
    <n v="0"/>
    <n v="0"/>
    <n v="0"/>
    <n v="4"/>
    <s v="REVISAR"/>
    <s v="Inicio GPS anterior al horario: 00:15:40 antes de las 08:30.; Fin GPS dentro de la tolerancia del horario programado.; 4 hueco(s) GPS &gt;= 10 min."/>
  </r>
  <r>
    <s v="26d8bdaf1d13469e"/>
    <s v="24_09_2026_DR_Diur.gpx"/>
    <s v="26d8bdaf1d13469ee33712c9bfcbfe9c5901905e2a80baf0fe4c1f50012cf2f3"/>
    <x v="20"/>
    <x v="0"/>
    <s v="Jueves"/>
    <x v="8"/>
    <s v="DR"/>
    <x v="0"/>
    <n v="2721"/>
    <s v="24/09/2026 08:27:18"/>
    <s v="08:30"/>
    <d v="1899-12-30T00:02:42"/>
    <x v="1"/>
    <s v="24/09/2026 15:51:15"/>
    <s v="16:30"/>
    <d v="1899-12-30T00:38:45"/>
    <x v="1"/>
    <d v="1899-12-30T07:23:57"/>
    <n v="35.728999999999999"/>
    <n v="5.9"/>
    <d v="1899-12-30T06:03:17"/>
    <d v="1899-12-30T04:39:47"/>
    <d v="1899-12-30T00:00:00"/>
    <n v="0"/>
    <n v="0"/>
    <n v="0"/>
    <n v="0"/>
    <n v="0"/>
    <n v="2"/>
    <s v="INICIO CUMPLE / FIN ANTICIPADO"/>
    <s v="Inicio GPS dentro de la tolerancia del horario programado.; Fin GPS anticipado: 00:38:45 antes de las 16:30.; 2 hueco(s) GPS &gt;= 10 min."/>
  </r>
  <r>
    <s v="92b923405ece402b"/>
    <s v="24_09_2026_HC_Diur.gpx"/>
    <s v="92b923405ece402b75cd59de5c90e486ec87dfad75c78c4f899255e5739248da"/>
    <x v="20"/>
    <x v="0"/>
    <s v="Jueves"/>
    <x v="2"/>
    <s v="HC"/>
    <x v="0"/>
    <n v="2783"/>
    <s v="24/09/2026 09:16:50"/>
    <s v="08:30"/>
    <d v="1899-12-30T00:46:50"/>
    <x v="0"/>
    <s v="24/09/2026 13:34:41"/>
    <s v="16:30"/>
    <d v="1899-12-30T02:55:19"/>
    <x v="1"/>
    <d v="1899-12-30T04:17:51"/>
    <n v="36.811"/>
    <n v="11.08"/>
    <d v="1899-12-30T03:19:22"/>
    <d v="1899-12-30T01:51:42"/>
    <d v="1899-12-30T00:00:00"/>
    <n v="0"/>
    <n v="0"/>
    <n v="0"/>
    <n v="0"/>
    <n v="0"/>
    <n v="1"/>
    <s v="INICIO TARDÍO / FIN ANTICIPADO"/>
    <s v="Inicio GPS tardío: 00:46:50 después de las 08:30.; Fin GPS anticipado: 02:55:19 antes de las 16:30.; 1 hueco(s) GPS &gt;= 10 min."/>
  </r>
  <r>
    <s v="676d50fbccc03774"/>
    <s v="24_09_2026_JA_Diur.gpx"/>
    <s v="676d50fbccc0377475a506b4c473ea57a7024889c5da3b94f8b6202fc5952dfe"/>
    <x v="20"/>
    <x v="0"/>
    <s v="Jueves"/>
    <x v="3"/>
    <s v="JA"/>
    <x v="0"/>
    <n v="1079"/>
    <s v="24/09/2026 08:52:25"/>
    <s v="08:30"/>
    <d v="1899-12-30T00:22:25"/>
    <x v="0"/>
    <s v="24/09/2026 12:37:22"/>
    <s v="16:30"/>
    <d v="1899-12-30T03:52:38"/>
    <x v="1"/>
    <d v="1899-12-30T03:44:57"/>
    <n v="14.132"/>
    <n v="5.49"/>
    <d v="1899-12-30T02:34:22"/>
    <d v="1899-12-30T02:06:45"/>
    <d v="1899-12-30T00:00:00"/>
    <n v="0"/>
    <n v="0"/>
    <n v="0"/>
    <n v="0"/>
    <n v="0"/>
    <n v="0"/>
    <s v="INICIO TARDÍO / FIN ANTICIPADO"/>
    <s v="Inicio GPS tardío: 00:22:25 después de las 08:30.; Fin GPS anticipado: 03:52:38 antes de las 16:30."/>
  </r>
  <r>
    <s v="b4281bc6eb1402cd"/>
    <s v="24_09_2026_JO_Diur.gpx"/>
    <s v="b4281bc6eb1402cd6b1c175a0e75d9bca1eb794b273c036c77cd612468789d15"/>
    <x v="20"/>
    <x v="0"/>
    <s v="Jueves"/>
    <x v="4"/>
    <s v="JO"/>
    <x v="0"/>
    <n v="4391"/>
    <s v="24/09/2026 08:53:59"/>
    <s v="08:30"/>
    <d v="1899-12-30T00:23:59"/>
    <x v="0"/>
    <s v="24/09/2026 16:24:23"/>
    <s v="16:30"/>
    <d v="1899-12-30T00:05:37"/>
    <x v="0"/>
    <d v="1899-12-30T07:30:24"/>
    <n v="28.091000000000001"/>
    <n v="8.52"/>
    <d v="1899-12-30T03:17:54"/>
    <d v="1899-12-30T02:29:31"/>
    <d v="1899-12-30T00:00:00"/>
    <n v="0"/>
    <n v="0"/>
    <n v="0"/>
    <n v="0"/>
    <n v="0"/>
    <n v="14"/>
    <s v="INICIO TARDÍO / FIN CUMPLE"/>
    <s v="Inicio GPS tardío: 00:23:59 después de las 08:30.; Fin GPS dentro de la tolerancia del horario programado.; 14 hueco(s) GPS &gt;= 10 min."/>
  </r>
  <r>
    <s v="9f4f0535ce907d5c"/>
    <s v="24_09_2026_JZ_Diur.gpx"/>
    <s v="9f4f0535ce907d5c87d52ce754bb4b9539a103e71e85d5792a13d7c8617a20d6"/>
    <x v="20"/>
    <x v="0"/>
    <s v="Jueves"/>
    <x v="5"/>
    <s v="JZ"/>
    <x v="0"/>
    <n v="4312"/>
    <s v="24/09/2026 08:33:45"/>
    <s v="08:30"/>
    <d v="1899-12-30T00:03:45"/>
    <x v="1"/>
    <s v="24/09/2026 16:40:46"/>
    <s v="16:30"/>
    <d v="1899-12-30T00:10:46"/>
    <x v="0"/>
    <d v="1899-12-30T08:07:01"/>
    <n v="53.088999999999999"/>
    <n v="9"/>
    <d v="1899-12-30T05:53:55"/>
    <d v="1899-12-30T03:16:39"/>
    <d v="1899-12-30T00:00:00"/>
    <n v="0"/>
    <n v="0"/>
    <n v="0"/>
    <n v="0"/>
    <n v="0"/>
    <n v="1"/>
    <s v="DENTRO DE HORARIO"/>
    <s v="Inicio GPS dentro de la tolerancia del horario programado.; Fin GPS dentro de la tolerancia del horario programado.; 1 hueco(s) GPS &gt;= 10 min."/>
  </r>
  <r>
    <s v="6c891630b524a9ff"/>
    <s v="24_09_2026_SJ_Diur.gpx"/>
    <s v="6c891630b524a9ffafdb948e9cbc7937f36d22b6ca2cbcba2289b40b905b476d"/>
    <x v="20"/>
    <x v="0"/>
    <s v="Jueves"/>
    <x v="6"/>
    <s v="SJ"/>
    <x v="0"/>
    <n v="3465"/>
    <s v="24/09/2026 08:53:57"/>
    <s v="08:30"/>
    <d v="1899-12-30T00:23:57"/>
    <x v="0"/>
    <s v="24/09/2026 15:52:13"/>
    <s v="16:30"/>
    <d v="1899-12-30T00:37:47"/>
    <x v="1"/>
    <d v="1899-12-30T06:58:16"/>
    <n v="45.395000000000003"/>
    <n v="10.93"/>
    <d v="1899-12-30T04:09:06"/>
    <d v="1899-12-30T02:37:05"/>
    <d v="1899-12-30T00:00:00"/>
    <n v="0"/>
    <n v="0"/>
    <n v="0"/>
    <n v="0"/>
    <n v="0"/>
    <n v="1"/>
    <s v="INICIO TARDÍO / FIN ANTICIPADO"/>
    <s v="Inicio GPS tardío: 00:23:57 después de las 08:30.; Fin GPS anticipado: 00:37:47 antes de las 16:30.; 1 hueco(s) GPS &gt;= 10 min."/>
  </r>
  <r>
    <s v="564426f7571d7fb3"/>
    <s v="24_09_2026_YL_Diur.gpx"/>
    <s v="564426f7571d7fb39bec01e73fe74859f78006eae2f3d66e604884dc4b8f07a3"/>
    <x v="20"/>
    <x v="0"/>
    <s v="Jueves"/>
    <x v="7"/>
    <s v="YL"/>
    <x v="0"/>
    <n v="679"/>
    <s v="24/09/2026 08:29:19"/>
    <s v="08:30"/>
    <d v="1899-12-30T00:00:41"/>
    <x v="1"/>
    <s v="24/09/2026 16:35:40"/>
    <s v="16:30"/>
    <d v="1899-12-30T00:05:40"/>
    <x v="0"/>
    <d v="1899-12-30T08:06:21"/>
    <n v="13.8"/>
    <n v="1.9"/>
    <d v="1899-12-30T07:15:55"/>
    <d v="1899-12-30T07:02:05"/>
    <d v="1899-12-30T00:00:00"/>
    <n v="0"/>
    <n v="0"/>
    <n v="0"/>
    <n v="0"/>
    <n v="0"/>
    <n v="1"/>
    <s v="DENTRO DE HORARIO"/>
    <s v="Inicio GPS dentro de la tolerancia del horario programado.; Fin GPS dentro de la tolerancia del horario programado.; 1 hueco(s) GPS &gt;= 10 min."/>
  </r>
  <r>
    <s v="bab305730ba056d1"/>
    <s v="24_09_2026_DV_Noct.gpx"/>
    <s v="bab305730ba056d176d0642f5f7797bef81782d99654b9a7d153eca74bc51454"/>
    <x v="20"/>
    <x v="0"/>
    <s v="Jueves"/>
    <x v="9"/>
    <s v="DV"/>
    <x v="1"/>
    <n v="3161"/>
    <s v="24/09/2026 17:45:06"/>
    <s v="18:00"/>
    <d v="1899-12-30T00:14:54"/>
    <x v="1"/>
    <s v="25/09/2026 00:20:21"/>
    <s v="00:00"/>
    <d v="1899-12-30T00:20:21"/>
    <x v="2"/>
    <d v="1899-12-30T06:35:15"/>
    <n v="63.529000000000003"/>
    <n v="14.36"/>
    <d v="1899-12-30T04:25:25"/>
    <d v="1899-12-30T01:50:45"/>
    <d v="1899-12-30T00:00:00"/>
    <n v="0"/>
    <n v="0"/>
    <n v="0"/>
    <n v="0"/>
    <n v="0"/>
    <n v="0"/>
    <s v="FIN POSTERIOR"/>
    <s v="Inicio GPS dentro de la tolerancia del horario programado.; Fin GPS posterior: 00:20:21 después de las 00:00."/>
  </r>
  <r>
    <s v="517e09ca382f2401"/>
    <s v="24_09_2026_IQ_Noct.gpx"/>
    <s v="517e09ca382f240146f4d160e91a2e77611b8b3c7b2749178d70cd88ebdba105"/>
    <x v="20"/>
    <x v="0"/>
    <s v="Jueves"/>
    <x v="10"/>
    <s v="IQ"/>
    <x v="1"/>
    <n v="1719"/>
    <s v="24/09/2026 16:44:27"/>
    <s v="18:00"/>
    <d v="1899-12-30T01:15:33"/>
    <x v="2"/>
    <s v="24/09/2026 23:53:58"/>
    <s v="00:00"/>
    <d v="1899-12-30T00:06:02"/>
    <x v="0"/>
    <d v="1899-12-30T07:09:31"/>
    <n v="29.850999999999999"/>
    <n v="10.64"/>
    <d v="1899-12-30T02:48:17"/>
    <d v="1899-12-30T01:53:01"/>
    <d v="1899-12-30T00:00:00"/>
    <n v="0"/>
    <n v="0"/>
    <n v="0"/>
    <n v="0"/>
    <n v="0"/>
    <n v="2"/>
    <s v="REVISAR"/>
    <s v="Inicio GPS anterior al horario: 01:15:33 antes de las 18:00.; Fin GPS dentro de la tolerancia del horario programado.; 2 hueco(s) GPS &gt;= 10 min."/>
  </r>
  <r>
    <s v="c91268ef9d9bb5cd"/>
    <s v="24_09_2026_JP_Noct.gpx"/>
    <s v="c91268ef9d9bb5cde23a9219657fe3b734c5e105bab9c46f195b8e269fa1ffd3"/>
    <x v="20"/>
    <x v="0"/>
    <s v="Jueves"/>
    <x v="12"/>
    <s v="JP"/>
    <x v="1"/>
    <n v="2463"/>
    <s v="24/09/2026 17:43:58"/>
    <s v="18:00"/>
    <d v="1899-12-30T00:16:02"/>
    <x v="2"/>
    <s v="24/09/2026 22:51:32"/>
    <s v="00:00"/>
    <d v="1899-12-30T01:08:28"/>
    <x v="1"/>
    <d v="1899-12-30T05:07:34"/>
    <n v="32.11"/>
    <n v="9.9"/>
    <d v="1899-12-30T03:14:38"/>
    <d v="1899-12-30T01:57:11"/>
    <d v="1899-12-30T00:00:00"/>
    <n v="0"/>
    <n v="0"/>
    <n v="0"/>
    <n v="0"/>
    <n v="0"/>
    <n v="0"/>
    <s v="REVISAR"/>
    <s v="Inicio GPS anterior al horario: 00:16:02 antes de las 18:00.; Fin GPS anticipado: 01:08:28 antes de las 00:00."/>
  </r>
  <r>
    <s v="7bc001476223be32"/>
    <s v="24_09_2026_LA_Noct.gpx"/>
    <s v="7bc001476223be32ca2e18bfca848d78c20a463a1f334d53d5ae105117f98a46"/>
    <x v="20"/>
    <x v="0"/>
    <s v="Jueves"/>
    <x v="13"/>
    <s v="LA"/>
    <x v="1"/>
    <n v="4867"/>
    <s v="24/09/2026 17:26:54"/>
    <s v="18:00"/>
    <d v="1899-12-30T00:33:06"/>
    <x v="2"/>
    <s v="25/09/2026 00:05:11"/>
    <s v="00:00"/>
    <d v="1899-12-30T00:05:11"/>
    <x v="0"/>
    <d v="1899-12-30T06:38:17"/>
    <n v="32.299999999999997"/>
    <n v="6.81"/>
    <d v="1899-12-30T04:44:40"/>
    <d v="1899-12-30T03:55:42"/>
    <d v="1899-12-30T00:00:00"/>
    <n v="0"/>
    <n v="0"/>
    <n v="0"/>
    <n v="0"/>
    <n v="0"/>
    <n v="3"/>
    <s v="REVISAR"/>
    <s v="Inicio GPS anterior al horario: 00:33:06 antes de las 18:00.; Fin GPS dentro de la tolerancia del horario programado.; 3 hueco(s) GPS &gt;= 10 min."/>
  </r>
  <r>
    <s v="66823889791403a1"/>
    <s v="25_09_2026_AO_Diur.gpx"/>
    <s v="66823889791403a126d911dc47e1d121fe441ef26c47416174d39d07380224a7"/>
    <x v="21"/>
    <x v="0"/>
    <s v="Viernes"/>
    <x v="0"/>
    <s v="AO"/>
    <x v="0"/>
    <n v="4768"/>
    <s v="25/09/2026 09:17:31"/>
    <s v="08:30"/>
    <d v="1899-12-30T00:47:32"/>
    <x v="0"/>
    <s v="25/09/2026 16:01:29"/>
    <s v="16:00"/>
    <d v="1899-12-30T00:01:30"/>
    <x v="0"/>
    <d v="1899-12-30T06:43:58"/>
    <n v="36.932000000000002"/>
    <n v="16.53"/>
    <d v="1899-12-30T02:14:02"/>
    <d v="1899-12-30T01:14:36"/>
    <d v="1899-12-30T00:00:00"/>
    <n v="0"/>
    <n v="0"/>
    <n v="0"/>
    <n v="0"/>
    <n v="0"/>
    <n v="5"/>
    <s v="INICIO TARDÍO / FIN CUMPLE"/>
    <s v="Inicio GPS tardío: 00:47:32 después de las 08:30.; Fin GPS dentro de la tolerancia del horario programado.; 5 hueco(s) GPS &gt;= 10 min."/>
  </r>
  <r>
    <s v="f003510ff71a767b"/>
    <s v="25_09_2026_AR_Diur.gpx"/>
    <s v="f003510ff71a767bc3ed575332c6e60823f2ef2112d58474ef892ed3cb349b48"/>
    <x v="21"/>
    <x v="0"/>
    <s v="Viernes"/>
    <x v="1"/>
    <s v="AR"/>
    <x v="0"/>
    <n v="6506"/>
    <s v="25/09/2026 08:17:26"/>
    <s v="08:30"/>
    <d v="1899-12-30T00:12:34"/>
    <x v="1"/>
    <s v="25/09/2026 16:03:38"/>
    <s v="16:00"/>
    <d v="1899-12-30T00:03:38"/>
    <x v="0"/>
    <d v="1899-12-30T07:46:12"/>
    <n v="89.007999999999996"/>
    <n v="13.16"/>
    <d v="1899-12-30T06:45:42"/>
    <d v="1899-12-30T03:43:31"/>
    <d v="1899-12-30T00:00:00"/>
    <n v="0"/>
    <n v="0"/>
    <n v="0"/>
    <n v="0"/>
    <n v="0"/>
    <n v="2"/>
    <s v="DENTRO DE HORARIO"/>
    <s v="Inicio GPS dentro de la tolerancia del horario programado.; Fin GPS dentro de la tolerancia del horario programado.; 2 hueco(s) GPS &gt;= 10 min."/>
  </r>
  <r>
    <s v="cec1be82c82d8e62"/>
    <s v="25_09_2026_DR_Diur.gpx"/>
    <s v="cec1be82c82d8e62da311bb07b83e550afd873d4fecd0d016da15ee7afc2b77b"/>
    <x v="21"/>
    <x v="0"/>
    <s v="Viernes"/>
    <x v="8"/>
    <s v="DR"/>
    <x v="0"/>
    <n v="2565"/>
    <s v="25/09/2026 08:40:49"/>
    <s v="08:30"/>
    <d v="1899-12-30T00:10:49"/>
    <x v="1"/>
    <s v="25/09/2026 13:58:26"/>
    <s v="16:00"/>
    <d v="1899-12-30T02:01:34"/>
    <x v="1"/>
    <d v="1899-12-30T05:17:37"/>
    <n v="34.225000000000001"/>
    <n v="11.53"/>
    <d v="1899-12-30T02:58:09"/>
    <d v="1899-12-30T01:36:06"/>
    <d v="1899-12-30T00:00:00"/>
    <n v="0"/>
    <n v="0"/>
    <n v="0"/>
    <n v="0"/>
    <n v="0"/>
    <n v="1"/>
    <s v="INICIO CUMPLE / FIN ANTICIPADO"/>
    <s v="Inicio GPS dentro de la tolerancia del horario programado.; Fin GPS anticipado: 02:01:34 antes de las 16:00.; 1 hueco(s) GPS &gt;= 10 min."/>
  </r>
  <r>
    <s v="dbe485f0783f5711"/>
    <s v="25_09_2026_HC_Diur.gpx"/>
    <s v="dbe485f0783f5711d5aeff872143aa2a4942a8963022affc3f06e544fe8ca4ad"/>
    <x v="21"/>
    <x v="0"/>
    <s v="Viernes"/>
    <x v="2"/>
    <s v="HC"/>
    <x v="0"/>
    <n v="2599"/>
    <s v="25/09/2026 08:29:46"/>
    <s v="08:30"/>
    <d v="1899-12-30T00:00:14"/>
    <x v="1"/>
    <s v="25/09/2026 14:29:25"/>
    <s v="16:00"/>
    <d v="1899-12-30T01:30:35"/>
    <x v="1"/>
    <d v="1899-12-30T05:59:39"/>
    <n v="33.68"/>
    <n v="9.6"/>
    <d v="1899-12-30T03:30:25"/>
    <d v="1899-12-30T02:15:05"/>
    <d v="1899-12-30T00:00:00"/>
    <n v="0"/>
    <n v="0"/>
    <n v="0"/>
    <n v="0"/>
    <n v="0"/>
    <n v="0"/>
    <s v="INICIO CUMPLE / FIN ANTICIPADO"/>
    <s v="Inicio GPS dentro de la tolerancia del horario programado.; Fin GPS anticipado: 01:30:35 antes de las 16:00."/>
  </r>
  <r>
    <s v="667ac675a4f68eaf"/>
    <s v="25_09_2026_JA_Diur.gpx"/>
    <s v="667ac675a4f68eafc3da38fa706169b8e2184f033be2437f1d09db1f7d69088e"/>
    <x v="21"/>
    <x v="0"/>
    <s v="Viernes"/>
    <x v="3"/>
    <s v="JA"/>
    <x v="0"/>
    <n v="1190"/>
    <s v="25/09/2026 08:29:20"/>
    <s v="08:30"/>
    <d v="1899-12-30T00:00:40"/>
    <x v="1"/>
    <s v="25/09/2026 12:54:58"/>
    <s v="16:00"/>
    <d v="1899-12-30T03:05:02"/>
    <x v="1"/>
    <d v="1899-12-30T04:25:38"/>
    <n v="16.114999999999998"/>
    <n v="3.78"/>
    <d v="1899-12-30T04:15:33"/>
    <d v="1899-12-30T03:39:01"/>
    <d v="1899-12-30T00:00:00"/>
    <n v="0"/>
    <n v="0"/>
    <n v="0"/>
    <n v="0"/>
    <n v="0"/>
    <n v="2"/>
    <s v="INICIO CUMPLE / FIN ANTICIPADO"/>
    <s v="Inicio GPS dentro de la tolerancia del horario programado.; Fin GPS anticipado: 03:05:02 antes de las 16:00.; 2 hueco(s) GPS &gt;= 10 min."/>
  </r>
  <r>
    <s v="b010c76cac8409c2"/>
    <s v="25_09_2026_JO_Diur.gpx"/>
    <s v="b010c76cac8409c2a157749e925a74b96d69d911005a380d7266c184438cbdcd"/>
    <x v="21"/>
    <x v="0"/>
    <s v="Viernes"/>
    <x v="4"/>
    <s v="JO"/>
    <x v="0"/>
    <n v="3651"/>
    <s v="25/09/2026 08:30:59"/>
    <s v="08:30"/>
    <d v="1899-12-30T00:00:59"/>
    <x v="1"/>
    <s v="25/09/2026 16:04:35"/>
    <s v="16:00"/>
    <d v="1899-12-30T00:04:35"/>
    <x v="0"/>
    <d v="1899-12-30T07:33:36"/>
    <n v="30.792999999999999"/>
    <n v="17.37"/>
    <d v="1899-12-30T01:46:22"/>
    <d v="1899-12-30T00:56:12"/>
    <d v="1899-12-30T00:00:00"/>
    <n v="0"/>
    <n v="0"/>
    <n v="0"/>
    <n v="0"/>
    <n v="0"/>
    <n v="11"/>
    <s v="DENTRO DE HORARIO"/>
    <s v="Inicio GPS dentro de la tolerancia del horario programado.; Fin GPS dentro de la tolerancia del horario programado.; 11 hueco(s) GPS &gt;= 10 min."/>
  </r>
  <r>
    <s v="4179c4693bca0dbb"/>
    <s v="25_09_2026_JZ_Diur.gpx"/>
    <s v="4179c4693bca0dbb3c70994a99f8c396a7b13745649d5c6657d557357528533b"/>
    <x v="21"/>
    <x v="0"/>
    <s v="Viernes"/>
    <x v="5"/>
    <s v="JZ"/>
    <x v="0"/>
    <n v="3573"/>
    <s v="25/09/2026 08:13:48"/>
    <s v="08:30"/>
    <d v="1899-12-30T00:16:12"/>
    <x v="2"/>
    <s v="25/09/2026 14:39:11"/>
    <s v="16:00"/>
    <d v="1899-12-30T01:20:49"/>
    <x v="1"/>
    <d v="1899-12-30T06:25:23"/>
    <n v="46.692"/>
    <n v="13.09"/>
    <d v="1899-12-30T03:33:58"/>
    <d v="1899-12-30T01:12:34"/>
    <d v="1899-12-30T00:00:00"/>
    <n v="0"/>
    <n v="0"/>
    <n v="0"/>
    <n v="0"/>
    <n v="0"/>
    <n v="0"/>
    <s v="REVISAR"/>
    <s v="Inicio GPS anterior al horario: 00:16:12 antes de las 08:30.; Fin GPS anticipado: 01:20:49 antes de las 16:00."/>
  </r>
  <r>
    <s v="0701bdacf7671d43"/>
    <s v="25_09_2026_SJ_Diur.gpx"/>
    <s v="0701bdacf7671d43bf0f7a3a9f4e7bfa0432ce044dd120ea07efbcf187c6cd18"/>
    <x v="21"/>
    <x v="0"/>
    <s v="Viernes"/>
    <x v="6"/>
    <s v="SJ"/>
    <x v="0"/>
    <n v="2794"/>
    <s v="25/09/2026 08:33:57"/>
    <s v="08:30"/>
    <d v="1899-12-30T00:03:57"/>
    <x v="1"/>
    <s v="25/09/2026 15:27:48"/>
    <s v="16:00"/>
    <d v="1899-12-30T00:32:12"/>
    <x v="1"/>
    <d v="1899-12-30T06:53:51"/>
    <n v="36.914999999999999"/>
    <n v="9.5299999999999994"/>
    <d v="1899-12-30T03:52:30"/>
    <d v="1899-12-30T02:30:28"/>
    <d v="1899-12-30T00:00:00"/>
    <n v="0"/>
    <n v="0"/>
    <n v="0"/>
    <n v="0"/>
    <n v="0"/>
    <n v="0"/>
    <s v="INICIO CUMPLE / FIN ANTICIPADO"/>
    <s v="Inicio GPS dentro de la tolerancia del horario programado.; Fin GPS anticipado: 00:32:12 antes de las 16:00."/>
  </r>
  <r>
    <s v="c322c2c243de6f1e"/>
    <s v="25_09_2026_YL_Diur.gpx"/>
    <s v="c322c2c243de6f1ee20eb3e05fd6f6fedfe6aa9c2d18fa10f21a216c72de0d01"/>
    <x v="21"/>
    <x v="0"/>
    <s v="Viernes"/>
    <x v="7"/>
    <s v="YL"/>
    <x v="0"/>
    <n v="1429"/>
    <s v="25/09/2026 09:22:22"/>
    <s v="08:30"/>
    <d v="1899-12-30T00:52:22"/>
    <x v="0"/>
    <s v="25/09/2026 16:07:40"/>
    <s v="16:00"/>
    <d v="1899-12-30T00:07:40"/>
    <x v="0"/>
    <d v="1899-12-30T06:45:18"/>
    <n v="18.013000000000002"/>
    <n v="4.96"/>
    <d v="1899-12-30T03:37:44"/>
    <d v="1899-12-30T02:45:02"/>
    <d v="1899-12-30T00:00:00"/>
    <n v="0"/>
    <n v="0"/>
    <n v="0"/>
    <n v="0"/>
    <n v="0"/>
    <n v="1"/>
    <s v="INICIO TARDÍO / FIN CUMPLE"/>
    <s v="Inicio GPS tardío: 00:52:22 después de las 08:30.; Fin GPS dentro de la tolerancia del horario programado.; 1 hueco(s) GPS &gt;= 10 min."/>
  </r>
  <r>
    <s v="7d32aa5979d2510b"/>
    <s v="26_09_2026_DR_Diur.gpx"/>
    <s v="7d32aa5979d2510b20610445a2ecdaaec04d4a8bd9c9df4ba25d5854761f537c"/>
    <x v="22"/>
    <x v="0"/>
    <s v="Sábado"/>
    <x v="8"/>
    <s v="DR"/>
    <x v="0"/>
    <n v="3409"/>
    <s v="26/09/2026 09:20:19"/>
    <s v="08:30"/>
    <d v="1899-12-30T00:50:19"/>
    <x v="0"/>
    <s v="26/09/2026 16:27:06"/>
    <s v="16:00"/>
    <d v="1899-12-30T00:27:06"/>
    <x v="2"/>
    <d v="1899-12-30T07:06:47"/>
    <n v="44.567"/>
    <n v="10.47"/>
    <d v="1899-12-30T04:15:21"/>
    <d v="1899-12-30T02:25:47"/>
    <d v="1899-12-30T00:00:00"/>
    <n v="0"/>
    <n v="0"/>
    <n v="0"/>
    <n v="0"/>
    <n v="0"/>
    <n v="1"/>
    <s v="FIN POSTERIOR"/>
    <s v="Inicio GPS tardío: 00:50:19 después de las 08:30.; Fin GPS posterior: 00:27:06 después de las 16:00.; 1 hueco(s) GPS &gt;= 10 min."/>
  </r>
  <r>
    <m/>
    <m/>
    <m/>
    <x v="23"/>
    <x v="1"/>
    <m/>
    <x v="14"/>
    <m/>
    <x v="2"/>
    <m/>
    <m/>
    <m/>
    <m/>
    <x v="4"/>
    <m/>
    <m/>
    <m/>
    <x v="4"/>
    <m/>
    <m/>
    <m/>
    <m/>
    <m/>
    <m/>
    <m/>
    <m/>
    <m/>
    <m/>
    <m/>
    <m/>
    <m/>
    <m/>
  </r>
  <r>
    <m/>
    <m/>
    <m/>
    <x v="23"/>
    <x v="1"/>
    <m/>
    <x v="14"/>
    <m/>
    <x v="2"/>
    <m/>
    <m/>
    <m/>
    <m/>
    <x v="4"/>
    <m/>
    <m/>
    <m/>
    <x v="4"/>
    <m/>
    <m/>
    <m/>
    <m/>
    <m/>
    <m/>
    <m/>
    <m/>
    <m/>
    <m/>
    <m/>
    <m/>
    <m/>
    <m/>
  </r>
  <r>
    <m/>
    <m/>
    <m/>
    <x v="23"/>
    <x v="1"/>
    <m/>
    <x v="14"/>
    <m/>
    <x v="2"/>
    <m/>
    <m/>
    <m/>
    <m/>
    <x v="4"/>
    <m/>
    <m/>
    <m/>
    <x v="4"/>
    <m/>
    <m/>
    <m/>
    <m/>
    <m/>
    <m/>
    <m/>
    <m/>
    <m/>
    <m/>
    <m/>
    <m/>
    <m/>
    <m/>
  </r>
  <r>
    <m/>
    <m/>
    <m/>
    <x v="23"/>
    <x v="1"/>
    <m/>
    <x v="14"/>
    <m/>
    <x v="2"/>
    <m/>
    <m/>
    <m/>
    <m/>
    <x v="4"/>
    <m/>
    <m/>
    <m/>
    <x v="4"/>
    <m/>
    <m/>
    <m/>
    <m/>
    <m/>
    <m/>
    <m/>
    <m/>
    <m/>
    <m/>
    <m/>
    <m/>
    <m/>
    <m/>
  </r>
  <r>
    <m/>
    <m/>
    <m/>
    <x v="23"/>
    <x v="1"/>
    <m/>
    <x v="14"/>
    <m/>
    <x v="2"/>
    <m/>
    <m/>
    <m/>
    <m/>
    <x v="4"/>
    <m/>
    <m/>
    <m/>
    <x v="4"/>
    <m/>
    <m/>
    <m/>
    <m/>
    <m/>
    <m/>
    <m/>
    <m/>
    <m/>
    <m/>
    <m/>
    <m/>
    <m/>
    <m/>
  </r>
  <r>
    <m/>
    <m/>
    <m/>
    <x v="23"/>
    <x v="1"/>
    <m/>
    <x v="14"/>
    <m/>
    <x v="2"/>
    <m/>
    <m/>
    <m/>
    <m/>
    <x v="4"/>
    <m/>
    <m/>
    <m/>
    <x v="4"/>
    <m/>
    <m/>
    <m/>
    <m/>
    <m/>
    <m/>
    <m/>
    <m/>
    <m/>
    <m/>
    <m/>
    <m/>
    <m/>
    <m/>
  </r>
  <r>
    <m/>
    <m/>
    <m/>
    <x v="23"/>
    <x v="1"/>
    <m/>
    <x v="14"/>
    <m/>
    <x v="2"/>
    <m/>
    <m/>
    <m/>
    <m/>
    <x v="4"/>
    <m/>
    <m/>
    <m/>
    <x v="4"/>
    <m/>
    <m/>
    <m/>
    <m/>
    <m/>
    <m/>
    <m/>
    <m/>
    <m/>
    <m/>
    <m/>
    <m/>
    <m/>
    <m/>
  </r>
  <r>
    <m/>
    <m/>
    <m/>
    <x v="23"/>
    <x v="1"/>
    <m/>
    <x v="14"/>
    <m/>
    <x v="2"/>
    <m/>
    <m/>
    <m/>
    <m/>
    <x v="4"/>
    <m/>
    <m/>
    <m/>
    <x v="4"/>
    <m/>
    <m/>
    <m/>
    <m/>
    <m/>
    <m/>
    <m/>
    <m/>
    <m/>
    <m/>
    <m/>
    <m/>
    <m/>
    <m/>
  </r>
  <r>
    <m/>
    <m/>
    <m/>
    <x v="23"/>
    <x v="1"/>
    <m/>
    <x v="14"/>
    <m/>
    <x v="2"/>
    <m/>
    <m/>
    <m/>
    <m/>
    <x v="4"/>
    <m/>
    <m/>
    <m/>
    <x v="4"/>
    <m/>
    <m/>
    <m/>
    <m/>
    <m/>
    <m/>
    <m/>
    <m/>
    <m/>
    <m/>
    <m/>
    <m/>
    <m/>
    <m/>
  </r>
  <r>
    <m/>
    <m/>
    <m/>
    <x v="23"/>
    <x v="1"/>
    <m/>
    <x v="14"/>
    <m/>
    <x v="2"/>
    <m/>
    <m/>
    <m/>
    <m/>
    <x v="4"/>
    <m/>
    <m/>
    <m/>
    <x v="4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66AFF-8B15-4A0E-BE48-1F64EB76CB37}" name="TablaDinámica7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7">
  <location ref="AI107:AJ122" firstHeaderRow="1" firstDataRow="1" firstDataCol="1" rowPageCount="2" colPageCount="1"/>
  <pivotFields count="32">
    <pivotField showAll="0"/>
    <pivotField showAll="0"/>
    <pivotField showAll="0"/>
    <pivotField axis="axisPage" multipleItemSelectionAllowed="1" showAll="0">
      <items count="26">
        <item x="0"/>
        <item x="1"/>
        <item h="1" x="23"/>
        <item x="2"/>
        <item h="1" m="1" x="24"/>
        <item x="3"/>
        <item x="4"/>
        <item x="5"/>
        <item x="6"/>
        <item x="7"/>
        <item x="8"/>
        <item x="9"/>
        <item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axis="axisRow" showAll="0">
      <items count="16">
        <item x="1"/>
        <item x="9"/>
        <item x="8"/>
        <item x="2"/>
        <item x="10"/>
        <item x="6"/>
        <item x="0"/>
        <item x="11"/>
        <item x="3"/>
        <item x="5"/>
        <item x="12"/>
        <item x="4"/>
        <item x="13"/>
        <item x="7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2">
    <pageField fld="3" hier="-1"/>
    <pageField fld="4" hier="-1"/>
  </pageFields>
  <dataFields count="1">
    <dataField name="Cuenta de Turno" fld="8" subtotal="count" baseField="0" baseItem="0"/>
  </dataFields>
  <formats count="10">
    <format dxfId="15">
      <pivotArea outline="0" collapsedLevelsAreSubtotals="1" fieldPosition="0"/>
    </format>
    <format dxfId="14">
      <pivotArea field="6" type="button" dataOnly="0" labelOnly="1" outline="0" axis="axisRow" fieldPosition="0"/>
    </format>
    <format dxfId="13">
      <pivotArea dataOnly="0" labelOnly="1" fieldPosition="0">
        <references count="1">
          <reference field="6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</reference>
        </references>
      </pivotArea>
    </format>
    <format dxfId="12">
      <pivotArea dataOnly="0" labelOnly="1" grandRow="1" outline="0" fieldPosition="0"/>
    </format>
    <format dxfId="11">
      <pivotArea dataOnly="0" labelOnly="1" grandCol="1" outline="0" fieldPosition="0"/>
    </format>
    <format dxfId="10">
      <pivotArea outline="0" collapsedLevelsAreSubtotals="1" fieldPosition="0"/>
    </format>
    <format dxfId="9">
      <pivotArea field="6" type="button" dataOnly="0" labelOnly="1" outline="0" axis="axisRow" fieldPosition="0"/>
    </format>
    <format dxfId="8">
      <pivotArea dataOnly="0" labelOnly="1" fieldPosition="0">
        <references count="1">
          <reference field="6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</reference>
        </references>
      </pivotArea>
    </format>
    <format dxfId="7">
      <pivotArea dataOnly="0" labelOnly="1" grandRow="1" outline="0" fieldPosition="0"/>
    </format>
    <format dxfId="6">
      <pivotArea dataOnly="0" labelOnly="1" grandCol="1" outline="0" fieldPosition="0"/>
    </format>
  </formats>
  <chartFormats count="4">
    <chartFormat chart="4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99BAB-2468-4B54-BA40-E9C7DB4614DE}" name="TablaDiná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A107:D123" firstHeaderRow="1" firstDataRow="2" firstDataCol="1" rowPageCount="2" colPageCount="1"/>
  <pivotFields count="32">
    <pivotField showAll="0"/>
    <pivotField showAll="0"/>
    <pivotField showAll="0"/>
    <pivotField axis="axisPage" multipleItemSelectionAllowed="1" showAll="0">
      <items count="26">
        <item x="0"/>
        <item x="1"/>
        <item h="1" x="23"/>
        <item x="2"/>
        <item h="1" m="1" x="24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axis="axisRow" showAll="0">
      <items count="16">
        <item x="1"/>
        <item x="9"/>
        <item x="8"/>
        <item x="2"/>
        <item x="10"/>
        <item x="6"/>
        <item x="0"/>
        <item x="11"/>
        <item x="3"/>
        <item x="5"/>
        <item x="12"/>
        <item x="4"/>
        <item x="13"/>
        <item x="7"/>
        <item x="14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3">
    <i>
      <x/>
    </i>
    <i>
      <x v="1"/>
    </i>
    <i t="grand">
      <x/>
    </i>
  </colItems>
  <pageFields count="2">
    <pageField fld="3" hier="-1"/>
    <pageField fld="4" hier="-1"/>
  </pageFields>
  <dataFields count="1">
    <dataField name="Suma de Kilómetros" fld="19" baseField="0" baseItem="0"/>
  </dataFields>
  <chartFormats count="6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6" format="2">
      <pivotArea type="data" outline="0" fieldPosition="0">
        <references count="3">
          <reference field="4294967294" count="1" selected="0">
            <x v="0"/>
          </reference>
          <reference field="6" count="1" selected="0">
            <x v="12"/>
          </reference>
          <reference field="8" count="1" selected="0">
            <x v="1"/>
          </reference>
        </references>
      </pivotArea>
    </chartFormat>
    <chartFormat chart="19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9" format="8">
      <pivotArea type="data" outline="0" fieldPosition="0">
        <references count="3">
          <reference field="4294967294" count="1" selected="0">
            <x v="0"/>
          </reference>
          <reference field="6" count="1" selected="0">
            <x v="12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4BF58-179E-4C57-BD89-E6E3367D37B9}" name="TablaDiná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4">
  <location ref="K107:M122" firstHeaderRow="1" firstDataRow="2" firstDataCol="1" rowPageCount="2" colPageCount="1"/>
  <pivotFields count="32">
    <pivotField showAll="0"/>
    <pivotField showAll="0"/>
    <pivotField showAll="0"/>
    <pivotField axis="axisPage" multipleItemSelectionAllowed="1" showAll="0">
      <items count="26">
        <item x="0"/>
        <item x="1"/>
        <item h="1" x="23"/>
        <item x="2"/>
        <item h="1" m="1" x="24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axis="axisRow" showAll="0">
      <items count="16">
        <item x="1"/>
        <item x="9"/>
        <item x="8"/>
        <item x="2"/>
        <item x="10"/>
        <item x="6"/>
        <item x="0"/>
        <item x="11"/>
        <item x="3"/>
        <item x="5"/>
        <item x="12"/>
        <item x="4"/>
        <item x="13"/>
        <item x="7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7">
        <item h="1" x="0"/>
        <item h="1" m="1" x="5"/>
        <item x="1"/>
        <item h="1" x="2"/>
        <item h="1" x="4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 t="grand">
      <x/>
    </i>
  </rowItems>
  <colFields count="1">
    <field x="17"/>
  </colFields>
  <colItems count="2">
    <i>
      <x v="2"/>
    </i>
    <i t="grand">
      <x/>
    </i>
  </colItems>
  <pageFields count="2">
    <pageField fld="3" hier="-1"/>
    <pageField fld="4" hier="-1"/>
  </pageFields>
  <dataFields count="1">
    <dataField name="Cuenta de Estado fin" fld="17" subtotal="count" baseField="0" baseItem="0"/>
  </dataFields>
  <formats count="12">
    <format dxfId="27">
      <pivotArea outline="0" collapsedLevelsAreSubtotals="1" fieldPosition="0"/>
    </format>
    <format dxfId="26">
      <pivotArea field="6" type="button" dataOnly="0" labelOnly="1" outline="0" axis="axisRow" fieldPosition="0"/>
    </format>
    <format dxfId="25">
      <pivotArea dataOnly="0" labelOnly="1" fieldPosition="0">
        <references count="1">
          <reference field="6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</reference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17" count="0"/>
        </references>
      </pivotArea>
    </format>
    <format dxfId="22">
      <pivotArea dataOnly="0" labelOnly="1" grandCol="1" outline="0" fieldPosition="0"/>
    </format>
    <format dxfId="21">
      <pivotArea outline="0" collapsedLevelsAreSubtotals="1" fieldPosition="0"/>
    </format>
    <format dxfId="20">
      <pivotArea field="6" type="button" dataOnly="0" labelOnly="1" outline="0" axis="axisRow" fieldPosition="0"/>
    </format>
    <format dxfId="19">
      <pivotArea dataOnly="0" labelOnly="1" fieldPosition="0">
        <references count="1">
          <reference field="6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</reference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17" count="0"/>
        </references>
      </pivotArea>
    </format>
    <format dxfId="16">
      <pivotArea dataOnly="0" labelOnly="1" grandCol="1" outline="0" fieldPosition="0"/>
    </format>
  </formats>
  <chartFormats count="4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AB259-E577-48AC-B3A0-09F752F5685D}" name="TablaDinámica6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169:B185" firstHeaderRow="1" firstDataRow="1" firstDataCol="1" rowPageCount="2" colPageCount="1"/>
  <pivotFields count="43">
    <pivotField showAll="0"/>
    <pivotField showAll="0"/>
    <pivotField showAll="0"/>
    <pivotField axis="axisPage" multipleItemSelectionAllowed="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23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axis="axisRow" showAll="0">
      <items count="16">
        <item x="1"/>
        <item x="9"/>
        <item x="8"/>
        <item x="2"/>
        <item x="10"/>
        <item x="6"/>
        <item x="0"/>
        <item x="11"/>
        <item x="3"/>
        <item x="5"/>
        <item x="12"/>
        <item x="4"/>
        <item x="13"/>
        <item x="7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53">
        <item x="4"/>
        <item x="6"/>
        <item x="45"/>
        <item x="25"/>
        <item x="7"/>
        <item x="14"/>
        <item x="18"/>
        <item x="49"/>
        <item x="13"/>
        <item x="48"/>
        <item x="65"/>
        <item x="27"/>
        <item x="24"/>
        <item x="11"/>
        <item x="9"/>
        <item x="64"/>
        <item x="60"/>
        <item x="39"/>
        <item x="47"/>
        <item x="69"/>
        <item x="34"/>
        <item x="41"/>
        <item x="55"/>
        <item x="61"/>
        <item x="56"/>
        <item x="38"/>
        <item x="0"/>
        <item x="52"/>
        <item x="57"/>
        <item x="32"/>
        <item x="36"/>
        <item x="44"/>
        <item x="58"/>
        <item x="40"/>
        <item x="10"/>
        <item x="26"/>
        <item x="50"/>
        <item x="15"/>
        <item x="22"/>
        <item x="28"/>
        <item x="2"/>
        <item x="33"/>
        <item x="8"/>
        <item x="17"/>
        <item x="30"/>
        <item x="67"/>
        <item x="1"/>
        <item x="16"/>
        <item x="54"/>
        <item x="53"/>
        <item x="42"/>
        <item x="63"/>
        <item x="5"/>
        <item x="21"/>
        <item x="62"/>
        <item x="31"/>
        <item x="66"/>
        <item x="37"/>
        <item x="19"/>
        <item x="35"/>
        <item x="43"/>
        <item x="12"/>
        <item x="59"/>
        <item x="51"/>
        <item x="3"/>
        <item x="68"/>
        <item x="23"/>
        <item x="29"/>
        <item x="20"/>
        <item x="151"/>
        <item x="70"/>
        <item x="46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2">
    <pageField fld="3" hier="-1"/>
    <pageField fld="4" hier="-1"/>
  </pageFields>
  <dataFields count="1">
    <dataField name="Suma de Sumatoria de tiempo total sin recorrido" fld="38" baseField="6" baseItem="0" numFmtId="21"/>
  </dataFields>
  <formats count="1">
    <format dxfId="28">
      <pivotArea outline="0" collapsedLevelsAreSubtotals="1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30A9A-54B8-43DD-8D11-CC5633B99CDA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6:E22" firstHeaderRow="1" firstDataRow="2" firstDataCol="1" rowPageCount="2" colPageCount="1"/>
  <pivotFields count="32">
    <pivotField showAll="0"/>
    <pivotField showAll="0"/>
    <pivotField showAll="0"/>
    <pivotField axis="axisPage" multipleItemSelectionAllowed="1" showAll="0">
      <items count="26">
        <item x="0"/>
        <item x="1"/>
        <item h="1" x="23"/>
        <item x="2"/>
        <item h="1" m="1" x="24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axis="axisRow" showAll="0">
      <items count="16">
        <item x="1"/>
        <item x="9"/>
        <item x="8"/>
        <item x="2"/>
        <item x="10"/>
        <item x="6"/>
        <item x="0"/>
        <item x="11"/>
        <item x="3"/>
        <item x="5"/>
        <item x="12"/>
        <item x="4"/>
        <item x="13"/>
        <item x="7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2"/>
        <item x="1"/>
        <item x="0"/>
        <item m="1" x="5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pageFields count="2">
    <pageField fld="3" hier="-1"/>
    <pageField fld="4" hier="-1"/>
  </pageFields>
  <dataFields count="1">
    <dataField name="Cuenta de Estado inicio" fld="13" subtotal="count" baseField="6" baseItem="0"/>
  </dataFields>
  <chartFormats count="9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67C1C-2F15-4D2B-A97A-A1B46B6F5B69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">
  <location ref="A57:E73" firstHeaderRow="1" firstDataRow="2" firstDataCol="1" rowPageCount="2" colPageCount="1"/>
  <pivotFields count="32">
    <pivotField showAll="0"/>
    <pivotField showAll="0"/>
    <pivotField showAll="0"/>
    <pivotField axis="axisPage" multipleItemSelectionAllowed="1" showAll="0">
      <items count="26">
        <item x="0"/>
        <item x="1"/>
        <item h="1" x="23"/>
        <item x="2"/>
        <item h="1" m="1" x="24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axis="axisRow" showAll="0">
      <items count="16">
        <item x="1"/>
        <item x="9"/>
        <item x="8"/>
        <item x="2"/>
        <item x="10"/>
        <item x="6"/>
        <item x="0"/>
        <item x="11"/>
        <item x="3"/>
        <item x="5"/>
        <item x="12"/>
        <item x="4"/>
        <item x="13"/>
        <item x="7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0"/>
        <item m="1" x="5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7"/>
  </colFields>
  <colItems count="4">
    <i>
      <x/>
    </i>
    <i>
      <x v="2"/>
    </i>
    <i>
      <x v="3"/>
    </i>
    <i t="grand">
      <x/>
    </i>
  </colItems>
  <pageFields count="2">
    <pageField fld="3" hier="-1"/>
    <pageField fld="4" hier="-1"/>
  </pageFields>
  <dataFields count="1">
    <dataField name="Cuenta de Estado fin" fld="17" subtotal="count" baseField="0" baseItem="0"/>
  </dataFields>
  <chartFormats count="8">
    <chartFormat chart="24" format="1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4" format="1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4" format="1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4" format="1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7" format="2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7" format="2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7" format="2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7" format="2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38F05-C705-4B63-8427-947953AE6907}" name="TablaDinámica5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5">
  <location ref="W107:Y122" firstHeaderRow="1" firstDataRow="2" firstDataCol="1" rowPageCount="2" colPageCount="1"/>
  <pivotFields count="32">
    <pivotField showAll="0"/>
    <pivotField showAll="0"/>
    <pivotField showAll="0"/>
    <pivotField axis="axisPage" multipleItemSelectionAllowed="1" showAll="0">
      <items count="26">
        <item x="0"/>
        <item x="1"/>
        <item h="1" x="23"/>
        <item x="2"/>
        <item h="1" m="1" x="24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axis="axisRow" showAll="0">
      <items count="16">
        <item x="1"/>
        <item x="9"/>
        <item x="8"/>
        <item x="2"/>
        <item x="10"/>
        <item x="6"/>
        <item x="0"/>
        <item x="11"/>
        <item x="3"/>
        <item x="5"/>
        <item x="12"/>
        <item x="4"/>
        <item x="13"/>
        <item x="7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7">
        <item h="1" x="2"/>
        <item h="1" x="1"/>
        <item x="0"/>
        <item h="1" m="1" x="5"/>
        <item h="1" x="4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 t="grand">
      <x/>
    </i>
  </rowItems>
  <colFields count="1">
    <field x="13"/>
  </colFields>
  <colItems count="2">
    <i>
      <x v="2"/>
    </i>
    <i t="grand">
      <x/>
    </i>
  </colItems>
  <pageFields count="2">
    <pageField fld="3" hier="-1"/>
    <pageField fld="4" hier="-1"/>
  </pageFields>
  <dataFields count="1">
    <dataField name="Cuenta de Estado inicio" fld="13" subtotal="count" baseField="0" baseItem="0"/>
  </dataFields>
  <formats count="10">
    <format dxfId="38">
      <pivotArea outline="0" collapsedLevelsAreSubtotals="1" fieldPosition="0"/>
    </format>
    <format dxfId="37">
      <pivotArea field="6" type="button" dataOnly="0" labelOnly="1" outline="0" axis="axisRow" fieldPosition="0"/>
    </format>
    <format dxfId="36">
      <pivotArea dataOnly="0" labelOnly="1" fieldPosition="0">
        <references count="1">
          <reference field="6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</reference>
        </references>
      </pivotArea>
    </format>
    <format dxfId="35">
      <pivotArea dataOnly="0" labelOnly="1" grandRow="1" outline="0" fieldPosition="0"/>
    </format>
    <format dxfId="34">
      <pivotArea dataOnly="0" labelOnly="1" grandCol="1" outline="0" fieldPosition="0"/>
    </format>
    <format dxfId="33">
      <pivotArea outline="0" collapsedLevelsAreSubtotals="1" fieldPosition="0"/>
    </format>
    <format dxfId="32">
      <pivotArea field="6" type="button" dataOnly="0" labelOnly="1" outline="0" axis="axisRow" fieldPosition="0"/>
    </format>
    <format dxfId="31">
      <pivotArea dataOnly="0" labelOnly="1" fieldPosition="0">
        <references count="1">
          <reference field="6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</reference>
        </references>
      </pivotArea>
    </format>
    <format dxfId="30">
      <pivotArea dataOnly="0" labelOnly="1" grandRow="1" outline="0" fieldPosition="0"/>
    </format>
    <format dxfId="29">
      <pivotArea dataOnly="0" labelOnly="1" grandCol="1" outline="0" fieldPosition="0"/>
    </format>
  </formats>
  <chartFormats count="4">
    <chartFormat chart="3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21E28-36B5-4676-BFC5-097A3B63190A}" name="Tabla1" displayName="Tabla1" ref="A1:AF1048562" totalsRowShown="0" headerRowDxfId="72" dataDxfId="71">
  <autoFilter ref="A1:AF1048562" xr:uid="{07721E28-36B5-4676-BFC5-097A3B63190A}"/>
  <tableColumns count="32">
    <tableColumn id="1" xr3:uid="{BFACFB74-E6A6-4648-B0DA-7D6E1FC88A79}" name="ID" dataDxfId="70"/>
    <tableColumn id="2" xr3:uid="{B67B24E0-3585-47FC-A130-8F37C8640BC4}" name="Archivo" dataDxfId="69"/>
    <tableColumn id="3" xr3:uid="{FB279346-C755-48B1-8385-D755BC44DB7E}" name="Hash SHA256" dataDxfId="68"/>
    <tableColumn id="4" xr3:uid="{CF629B59-A100-4AAB-B74C-3B554EAB3BF0}" name="Fecha" dataDxfId="67"/>
    <tableColumn id="5" xr3:uid="{EE06BA6F-C164-4ECD-A655-515F1957578E}" name="Año-Mes" dataDxfId="66"/>
    <tableColumn id="6" xr3:uid="{FD8842D0-7E34-4084-9BAA-A564E135D8FF}" name="Día" dataDxfId="65"/>
    <tableColumn id="7" xr3:uid="{16772661-0D26-4A9C-B574-83DD257F64D2}" name="Técnico" dataDxfId="64"/>
    <tableColumn id="8" xr3:uid="{DC69C448-58B8-4806-B949-BF996984F186}" name="Iniciales" dataDxfId="63"/>
    <tableColumn id="9" xr3:uid="{3962F890-58B4-4EE6-ABA8-850EB1190D27}" name="Turno" dataDxfId="62"/>
    <tableColumn id="10" xr3:uid="{E92FA341-3BD4-4B2B-AC2C-BF72D43C66CC}" name="Puntos GPS" dataDxfId="61"/>
    <tableColumn id="11" xr3:uid="{72021E2E-2F98-4204-8978-705D7AD09594}" name="Inicio Colombia" dataDxfId="60"/>
    <tableColumn id="12" xr3:uid="{54D84601-2999-47A1-A65E-57823F56F2ED}" name="Inicio programado" dataDxfId="59"/>
    <tableColumn id="13" xr3:uid="{640E6A33-50AC-4461-84B0-EB0F59FBE07B}" name="Diferencia inicio" dataDxfId="58"/>
    <tableColumn id="14" xr3:uid="{DDCE6D58-3D24-45B9-861B-84CCB46683A5}" name="Estado inicio" dataDxfId="57"/>
    <tableColumn id="15" xr3:uid="{E1697B5C-5781-44C1-8EDA-6F1ACE3F4029}" name="Fin Colombia" dataDxfId="56"/>
    <tableColumn id="16" xr3:uid="{787745CA-B360-44D9-9446-ECB14730130D}" name="Fin programado" dataDxfId="55"/>
    <tableColumn id="17" xr3:uid="{46398A77-17CC-4A5A-AC54-FC4D4EE9907E}" name="Diferencia fin" dataDxfId="54"/>
    <tableColumn id="18" xr3:uid="{4941E755-E9FD-4193-9F96-E53315DB8EBE}" name="Estado fin" dataDxfId="53"/>
    <tableColumn id="19" xr3:uid="{E263D8E6-044C-4AE9-A18B-8B14B2EAB3DA}" name="Duración" dataDxfId="52"/>
    <tableColumn id="20" xr3:uid="{BB91D378-A483-49A2-A76B-BD54043F6607}" name="Kilómetros" dataDxfId="51"/>
    <tableColumn id="21" xr3:uid="{192BB6F7-4294-4FAF-B104-6552C0F61A57}" name="Velocidad promedio (km/h)" dataDxfId="50"/>
    <tableColumn id="22" xr3:uid="{6F9489E0-14AF-4D91-9AEE-1CE65B9112C6}" name="Tiempo movimiento" dataDxfId="49"/>
    <tableColumn id="23" xr3:uid="{50092D24-4EA6-441E-B7D6-414B951B9F9F}" name="Movimiento lento" dataDxfId="48"/>
    <tableColumn id="24" xr3:uid="{CF339310-E34C-43C1-90CE-9F433AAB70F1}" name="Tiempo permanencias" dataDxfId="47"/>
    <tableColumn id="25" xr3:uid="{6FD925EC-EAEC-45E6-B136-F56F435E59B8}" name="Paradas &gt;=10 min" dataDxfId="46"/>
    <tableColumn id="26" xr3:uid="{52AB8528-3A79-479D-A997-E53B6084B61F}" name="Paradas &gt;=15 min" dataDxfId="45"/>
    <tableColumn id="27" xr3:uid="{1BA0A59E-7816-42F2-B5AB-3B78137E0F49}" name="Paradas &gt;=30 min" dataDxfId="44"/>
    <tableColumn id="28" xr3:uid="{47D5247A-657B-4B5B-9D22-259A6A45A563}" name="Paradas &gt;=40 min" dataDxfId="43"/>
    <tableColumn id="29" xr3:uid="{4B192CBD-58A3-4F70-BE72-992210A8D8A7}" name="Paradas &gt;=60 min" dataDxfId="42"/>
    <tableColumn id="30" xr3:uid="{80E38742-5940-41B4-BC40-12884D5F6DF3}" name="Huecos GPS &gt;=10 min" dataDxfId="41"/>
    <tableColumn id="31" xr3:uid="{A9D280E3-B898-4F0B-AB54-4F5DDCE469DA}" name="Estado recorrido" dataDxfId="40"/>
    <tableColumn id="32" xr3:uid="{2D572601-C46B-4498-95CD-858FD080879D}" name="Observaciones" dataDxfId="3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D307-D016-4C0B-9DB8-45AE0BAD754B}">
  <dimension ref="A3:AJ185"/>
  <sheetViews>
    <sheetView topLeftCell="A234" zoomScale="70" zoomScaleNormal="70" workbookViewId="0">
      <selection activeCell="T172" sqref="T172:T173"/>
    </sheetView>
  </sheetViews>
  <sheetFormatPr baseColWidth="10" defaultRowHeight="15" x14ac:dyDescent="0.25"/>
  <cols>
    <col min="1" max="1" width="34.42578125" bestFit="1" customWidth="1"/>
    <col min="2" max="2" width="29.7109375" bestFit="1" customWidth="1"/>
    <col min="3" max="3" width="20.5703125" bestFit="1" customWidth="1"/>
    <col min="4" max="4" width="23.85546875" bestFit="1" customWidth="1"/>
    <col min="5" max="6" width="16.7109375" bestFit="1" customWidth="1"/>
    <col min="7" max="7" width="10.7109375" bestFit="1" customWidth="1"/>
    <col min="8" max="9" width="10.5703125" bestFit="1" customWidth="1"/>
    <col min="10" max="10" width="9.7109375" bestFit="1" customWidth="1"/>
    <col min="11" max="11" width="38.7109375" bestFit="1" customWidth="1"/>
    <col min="12" max="12" width="29.7109375" bestFit="1" customWidth="1"/>
    <col min="13" max="13" width="18.85546875" bestFit="1" customWidth="1"/>
    <col min="14" max="14" width="21.7109375" customWidth="1"/>
    <col min="15" max="15" width="23.28515625" customWidth="1"/>
    <col min="16" max="16" width="10.5703125" bestFit="1" customWidth="1"/>
    <col min="17" max="18" width="10.140625" bestFit="1" customWidth="1"/>
    <col min="19" max="21" width="10.5703125" bestFit="1" customWidth="1"/>
    <col min="22" max="22" width="9.7109375" bestFit="1" customWidth="1"/>
    <col min="23" max="23" width="38.7109375" bestFit="1" customWidth="1"/>
    <col min="24" max="24" width="29.7109375" bestFit="1" customWidth="1"/>
    <col min="25" max="25" width="18.85546875" bestFit="1" customWidth="1"/>
    <col min="26" max="26" width="10.5703125" bestFit="1" customWidth="1"/>
    <col min="27" max="27" width="10.7109375" bestFit="1" customWidth="1"/>
    <col min="28" max="28" width="10.140625" bestFit="1" customWidth="1"/>
    <col min="29" max="30" width="10.5703125" bestFit="1" customWidth="1"/>
    <col min="31" max="31" width="10.140625" bestFit="1" customWidth="1"/>
    <col min="32" max="32" width="10.5703125" bestFit="1" customWidth="1"/>
    <col min="33" max="34" width="10.140625" bestFit="1" customWidth="1"/>
    <col min="35" max="35" width="38.7109375" bestFit="1" customWidth="1"/>
    <col min="36" max="36" width="23.85546875" bestFit="1" customWidth="1"/>
    <col min="37" max="37" width="15" bestFit="1" customWidth="1"/>
    <col min="38" max="38" width="18.85546875" bestFit="1" customWidth="1"/>
    <col min="39" max="39" width="20.140625" bestFit="1" customWidth="1"/>
    <col min="40" max="40" width="18.85546875" bestFit="1" customWidth="1"/>
    <col min="41" max="41" width="10.5703125" bestFit="1" customWidth="1"/>
    <col min="42" max="42" width="10.140625" bestFit="1" customWidth="1"/>
    <col min="43" max="44" width="10.5703125" bestFit="1" customWidth="1"/>
    <col min="45" max="45" width="16.7109375" bestFit="1" customWidth="1"/>
    <col min="46" max="46" width="16.42578125" bestFit="1" customWidth="1"/>
    <col min="47" max="47" width="16" bestFit="1" customWidth="1"/>
    <col min="48" max="49" width="15.7109375" bestFit="1" customWidth="1"/>
    <col min="50" max="50" width="16.42578125" bestFit="1" customWidth="1"/>
    <col min="51" max="52" width="16" bestFit="1" customWidth="1"/>
    <col min="53" max="55" width="16.42578125" bestFit="1" customWidth="1"/>
    <col min="56" max="56" width="16" bestFit="1" customWidth="1"/>
    <col min="57" max="58" width="16.42578125" bestFit="1" customWidth="1"/>
    <col min="59" max="59" width="16" bestFit="1" customWidth="1"/>
    <col min="60" max="60" width="16.42578125" bestFit="1" customWidth="1"/>
    <col min="61" max="61" width="16" bestFit="1" customWidth="1"/>
    <col min="62" max="66" width="16.42578125" bestFit="1" customWidth="1"/>
    <col min="67" max="67" width="16" bestFit="1" customWidth="1"/>
    <col min="68" max="70" width="16.42578125" bestFit="1" customWidth="1"/>
    <col min="71" max="71" width="17.85546875" bestFit="1" customWidth="1"/>
    <col min="72" max="72" width="14.5703125" bestFit="1" customWidth="1"/>
    <col min="73" max="73" width="16.7109375" bestFit="1" customWidth="1"/>
  </cols>
  <sheetData>
    <row r="3" spans="1:5" x14ac:dyDescent="0.25">
      <c r="A3" s="5" t="s">
        <v>3</v>
      </c>
      <c r="B3" t="s">
        <v>267</v>
      </c>
    </row>
    <row r="4" spans="1:5" x14ac:dyDescent="0.25">
      <c r="A4" s="5" t="s">
        <v>4</v>
      </c>
      <c r="B4" t="s">
        <v>36</v>
      </c>
    </row>
    <row r="6" spans="1:5" x14ac:dyDescent="0.25">
      <c r="A6" s="5" t="s">
        <v>264</v>
      </c>
      <c r="B6" s="5" t="s">
        <v>265</v>
      </c>
    </row>
    <row r="7" spans="1:5" x14ac:dyDescent="0.25">
      <c r="A7" s="5" t="s">
        <v>262</v>
      </c>
      <c r="B7" t="s">
        <v>127</v>
      </c>
      <c r="C7" t="s">
        <v>65</v>
      </c>
      <c r="D7" t="s">
        <v>43</v>
      </c>
      <c r="E7" t="s">
        <v>263</v>
      </c>
    </row>
    <row r="8" spans="1:5" x14ac:dyDescent="0.25">
      <c r="A8" s="6" t="s">
        <v>52</v>
      </c>
      <c r="B8">
        <v>8</v>
      </c>
      <c r="C8">
        <v>4</v>
      </c>
      <c r="D8">
        <v>2</v>
      </c>
      <c r="E8">
        <v>14</v>
      </c>
    </row>
    <row r="9" spans="1:5" x14ac:dyDescent="0.25">
      <c r="A9" s="6" t="s">
        <v>124</v>
      </c>
      <c r="B9">
        <v>10</v>
      </c>
      <c r="C9">
        <v>2</v>
      </c>
      <c r="D9">
        <v>1</v>
      </c>
      <c r="E9">
        <v>13</v>
      </c>
    </row>
    <row r="10" spans="1:5" x14ac:dyDescent="0.25">
      <c r="A10" s="6" t="s">
        <v>113</v>
      </c>
      <c r="B10">
        <v>1</v>
      </c>
      <c r="C10">
        <v>5</v>
      </c>
      <c r="D10">
        <v>9</v>
      </c>
      <c r="E10">
        <v>15</v>
      </c>
    </row>
    <row r="11" spans="1:5" x14ac:dyDescent="0.25">
      <c r="A11" s="6" t="s">
        <v>62</v>
      </c>
      <c r="B11">
        <v>1</v>
      </c>
      <c r="C11">
        <v>11</v>
      </c>
      <c r="D11">
        <v>1</v>
      </c>
      <c r="E11">
        <v>13</v>
      </c>
    </row>
    <row r="12" spans="1:5" x14ac:dyDescent="0.25">
      <c r="A12" s="6" t="s">
        <v>135</v>
      </c>
      <c r="B12">
        <v>7</v>
      </c>
      <c r="C12">
        <v>2</v>
      </c>
      <c r="D12">
        <v>3</v>
      </c>
      <c r="E12">
        <v>12</v>
      </c>
    </row>
    <row r="13" spans="1:5" x14ac:dyDescent="0.25">
      <c r="A13" s="6" t="s">
        <v>97</v>
      </c>
      <c r="C13">
        <v>11</v>
      </c>
      <c r="D13">
        <v>2</v>
      </c>
      <c r="E13">
        <v>13</v>
      </c>
    </row>
    <row r="14" spans="1:5" x14ac:dyDescent="0.25">
      <c r="A14" s="6" t="s">
        <v>38</v>
      </c>
      <c r="B14">
        <v>1</v>
      </c>
      <c r="C14">
        <v>2</v>
      </c>
      <c r="D14">
        <v>10</v>
      </c>
      <c r="E14">
        <v>13</v>
      </c>
    </row>
    <row r="15" spans="1:5" x14ac:dyDescent="0.25">
      <c r="A15" s="6" t="s">
        <v>144</v>
      </c>
      <c r="B15">
        <v>8</v>
      </c>
      <c r="C15">
        <v>1</v>
      </c>
      <c r="D15">
        <v>3</v>
      </c>
      <c r="E15">
        <v>12</v>
      </c>
    </row>
    <row r="16" spans="1:5" x14ac:dyDescent="0.25">
      <c r="A16" s="6" t="s">
        <v>72</v>
      </c>
      <c r="B16">
        <v>3</v>
      </c>
      <c r="C16">
        <v>5</v>
      </c>
      <c r="D16">
        <v>5</v>
      </c>
      <c r="E16">
        <v>13</v>
      </c>
    </row>
    <row r="17" spans="1:5" x14ac:dyDescent="0.25">
      <c r="A17" s="6" t="s">
        <v>89</v>
      </c>
      <c r="B17">
        <v>6</v>
      </c>
      <c r="C17">
        <v>4</v>
      </c>
      <c r="D17">
        <v>4</v>
      </c>
      <c r="E17">
        <v>14</v>
      </c>
    </row>
    <row r="18" spans="1:5" x14ac:dyDescent="0.25">
      <c r="A18" s="6" t="s">
        <v>152</v>
      </c>
      <c r="B18">
        <v>8</v>
      </c>
      <c r="C18">
        <v>2</v>
      </c>
      <c r="D18">
        <v>1</v>
      </c>
      <c r="E18">
        <v>11</v>
      </c>
    </row>
    <row r="19" spans="1:5" x14ac:dyDescent="0.25">
      <c r="A19" s="6" t="s">
        <v>80</v>
      </c>
      <c r="B19">
        <v>1</v>
      </c>
      <c r="C19">
        <v>10</v>
      </c>
      <c r="D19">
        <v>2</v>
      </c>
      <c r="E19">
        <v>13</v>
      </c>
    </row>
    <row r="20" spans="1:5" x14ac:dyDescent="0.25">
      <c r="A20" s="6" t="s">
        <v>160</v>
      </c>
      <c r="B20">
        <v>12</v>
      </c>
      <c r="E20">
        <v>12</v>
      </c>
    </row>
    <row r="21" spans="1:5" x14ac:dyDescent="0.25">
      <c r="A21" s="6" t="s">
        <v>105</v>
      </c>
      <c r="B21">
        <v>1</v>
      </c>
      <c r="C21">
        <v>5</v>
      </c>
      <c r="D21">
        <v>7</v>
      </c>
      <c r="E21">
        <v>13</v>
      </c>
    </row>
    <row r="22" spans="1:5" x14ac:dyDescent="0.25">
      <c r="A22" s="6" t="s">
        <v>263</v>
      </c>
      <c r="B22">
        <v>67</v>
      </c>
      <c r="C22">
        <v>64</v>
      </c>
      <c r="D22">
        <v>50</v>
      </c>
      <c r="E22">
        <v>181</v>
      </c>
    </row>
    <row r="54" spans="1:5" x14ac:dyDescent="0.25">
      <c r="A54" s="5" t="s">
        <v>3</v>
      </c>
      <c r="B54" t="s">
        <v>267</v>
      </c>
    </row>
    <row r="55" spans="1:5" x14ac:dyDescent="0.25">
      <c r="A55" s="5" t="s">
        <v>4</v>
      </c>
      <c r="B55" t="s">
        <v>36</v>
      </c>
    </row>
    <row r="57" spans="1:5" x14ac:dyDescent="0.25">
      <c r="A57" s="5" t="s">
        <v>266</v>
      </c>
      <c r="B57" s="5" t="s">
        <v>265</v>
      </c>
    </row>
    <row r="58" spans="1:5" x14ac:dyDescent="0.25">
      <c r="A58" s="5" t="s">
        <v>262</v>
      </c>
      <c r="B58" t="s">
        <v>46</v>
      </c>
      <c r="C58" t="s">
        <v>56</v>
      </c>
      <c r="D58" t="s">
        <v>129</v>
      </c>
      <c r="E58" t="s">
        <v>263</v>
      </c>
    </row>
    <row r="59" spans="1:5" x14ac:dyDescent="0.25">
      <c r="A59" s="6" t="s">
        <v>52</v>
      </c>
      <c r="B59">
        <v>7</v>
      </c>
      <c r="C59">
        <v>7</v>
      </c>
      <c r="E59">
        <v>14</v>
      </c>
    </row>
    <row r="60" spans="1:5" x14ac:dyDescent="0.25">
      <c r="A60" s="6" t="s">
        <v>124</v>
      </c>
      <c r="B60">
        <v>6</v>
      </c>
      <c r="C60">
        <v>1</v>
      </c>
      <c r="D60">
        <v>6</v>
      </c>
      <c r="E60">
        <v>13</v>
      </c>
    </row>
    <row r="61" spans="1:5" x14ac:dyDescent="0.25">
      <c r="A61" s="6" t="s">
        <v>113</v>
      </c>
      <c r="B61">
        <v>3</v>
      </c>
      <c r="C61">
        <v>9</v>
      </c>
      <c r="D61">
        <v>3</v>
      </c>
      <c r="E61">
        <v>15</v>
      </c>
    </row>
    <row r="62" spans="1:5" x14ac:dyDescent="0.25">
      <c r="A62" s="6" t="s">
        <v>62</v>
      </c>
      <c r="C62">
        <v>13</v>
      </c>
      <c r="E62">
        <v>13</v>
      </c>
    </row>
    <row r="63" spans="1:5" x14ac:dyDescent="0.25">
      <c r="A63" s="6" t="s">
        <v>135</v>
      </c>
      <c r="B63">
        <v>10</v>
      </c>
      <c r="C63">
        <v>2</v>
      </c>
      <c r="E63">
        <v>12</v>
      </c>
    </row>
    <row r="64" spans="1:5" x14ac:dyDescent="0.25">
      <c r="A64" s="6" t="s">
        <v>97</v>
      </c>
      <c r="B64">
        <v>3</v>
      </c>
      <c r="C64">
        <v>9</v>
      </c>
      <c r="D64">
        <v>1</v>
      </c>
      <c r="E64">
        <v>13</v>
      </c>
    </row>
    <row r="65" spans="1:5" x14ac:dyDescent="0.25">
      <c r="A65" s="6" t="s">
        <v>38</v>
      </c>
      <c r="B65">
        <v>7</v>
      </c>
      <c r="C65">
        <v>3</v>
      </c>
      <c r="D65">
        <v>3</v>
      </c>
      <c r="E65">
        <v>13</v>
      </c>
    </row>
    <row r="66" spans="1:5" x14ac:dyDescent="0.25">
      <c r="A66" s="6" t="s">
        <v>144</v>
      </c>
      <c r="B66">
        <v>9</v>
      </c>
      <c r="C66">
        <v>2</v>
      </c>
      <c r="D66">
        <v>1</v>
      </c>
      <c r="E66">
        <v>12</v>
      </c>
    </row>
    <row r="67" spans="1:5" x14ac:dyDescent="0.25">
      <c r="A67" s="6" t="s">
        <v>72</v>
      </c>
      <c r="C67">
        <v>13</v>
      </c>
      <c r="E67">
        <v>13</v>
      </c>
    </row>
    <row r="68" spans="1:5" x14ac:dyDescent="0.25">
      <c r="A68" s="6" t="s">
        <v>89</v>
      </c>
      <c r="B68">
        <v>7</v>
      </c>
      <c r="C68">
        <v>3</v>
      </c>
      <c r="D68">
        <v>4</v>
      </c>
      <c r="E68">
        <v>14</v>
      </c>
    </row>
    <row r="69" spans="1:5" x14ac:dyDescent="0.25">
      <c r="A69" s="6" t="s">
        <v>152</v>
      </c>
      <c r="B69">
        <v>2</v>
      </c>
      <c r="C69">
        <v>9</v>
      </c>
      <c r="E69">
        <v>11</v>
      </c>
    </row>
    <row r="70" spans="1:5" x14ac:dyDescent="0.25">
      <c r="A70" s="6" t="s">
        <v>80</v>
      </c>
      <c r="B70">
        <v>11</v>
      </c>
      <c r="C70">
        <v>1</v>
      </c>
      <c r="D70">
        <v>1</v>
      </c>
      <c r="E70">
        <v>13</v>
      </c>
    </row>
    <row r="71" spans="1:5" x14ac:dyDescent="0.25">
      <c r="A71" s="6" t="s">
        <v>160</v>
      </c>
      <c r="B71">
        <v>10</v>
      </c>
      <c r="D71">
        <v>2</v>
      </c>
      <c r="E71">
        <v>12</v>
      </c>
    </row>
    <row r="72" spans="1:5" x14ac:dyDescent="0.25">
      <c r="A72" s="6" t="s">
        <v>105</v>
      </c>
      <c r="B72">
        <v>6</v>
      </c>
      <c r="C72">
        <v>7</v>
      </c>
      <c r="E72">
        <v>13</v>
      </c>
    </row>
    <row r="73" spans="1:5" x14ac:dyDescent="0.25">
      <c r="A73" s="6" t="s">
        <v>263</v>
      </c>
      <c r="B73">
        <v>81</v>
      </c>
      <c r="C73">
        <v>79</v>
      </c>
      <c r="D73">
        <v>21</v>
      </c>
      <c r="E73">
        <v>181</v>
      </c>
    </row>
    <row r="104" spans="1:36" x14ac:dyDescent="0.25">
      <c r="A104" s="5" t="s">
        <v>3</v>
      </c>
      <c r="B104" t="s">
        <v>267</v>
      </c>
      <c r="K104" s="5" t="s">
        <v>3</v>
      </c>
      <c r="L104" t="s">
        <v>267</v>
      </c>
      <c r="W104" s="5" t="s">
        <v>3</v>
      </c>
      <c r="X104" t="s">
        <v>267</v>
      </c>
      <c r="AI104" s="5" t="s">
        <v>3</v>
      </c>
      <c r="AJ104" t="s">
        <v>267</v>
      </c>
    </row>
    <row r="105" spans="1:36" x14ac:dyDescent="0.25">
      <c r="A105" s="5" t="s">
        <v>4</v>
      </c>
      <c r="B105" t="s">
        <v>36</v>
      </c>
      <c r="K105" s="5" t="s">
        <v>4</v>
      </c>
      <c r="L105" t="s">
        <v>36</v>
      </c>
      <c r="W105" s="5" t="s">
        <v>4</v>
      </c>
      <c r="X105" t="s">
        <v>36</v>
      </c>
      <c r="AI105" s="5" t="s">
        <v>4</v>
      </c>
      <c r="AJ105" t="s">
        <v>36</v>
      </c>
    </row>
    <row r="107" spans="1:36" ht="18" x14ac:dyDescent="0.25">
      <c r="A107" s="5" t="s">
        <v>268</v>
      </c>
      <c r="B107" s="5" t="s">
        <v>265</v>
      </c>
      <c r="K107" s="5" t="s">
        <v>266</v>
      </c>
      <c r="L107" s="5" t="s">
        <v>265</v>
      </c>
      <c r="W107" s="5" t="s">
        <v>264</v>
      </c>
      <c r="X107" s="5" t="s">
        <v>265</v>
      </c>
      <c r="AI107" s="34" t="s">
        <v>262</v>
      </c>
      <c r="AJ107" s="20" t="s">
        <v>1091</v>
      </c>
    </row>
    <row r="108" spans="1:36" ht="18" x14ac:dyDescent="0.25">
      <c r="A108" s="5" t="s">
        <v>262</v>
      </c>
      <c r="B108" t="s">
        <v>40</v>
      </c>
      <c r="C108" t="s">
        <v>115</v>
      </c>
      <c r="D108" t="s">
        <v>263</v>
      </c>
      <c r="K108" s="34" t="s">
        <v>262</v>
      </c>
      <c r="L108" s="20" t="s">
        <v>56</v>
      </c>
      <c r="M108" s="20" t="s">
        <v>263</v>
      </c>
      <c r="N108" s="20"/>
      <c r="O108" s="20"/>
      <c r="P108" s="20"/>
      <c r="W108" s="34" t="s">
        <v>262</v>
      </c>
      <c r="X108" t="s">
        <v>43</v>
      </c>
      <c r="Y108" s="20" t="s">
        <v>263</v>
      </c>
      <c r="AI108" s="35" t="s">
        <v>52</v>
      </c>
      <c r="AJ108" s="20">
        <v>10</v>
      </c>
    </row>
    <row r="109" spans="1:36" ht="18" x14ac:dyDescent="0.25">
      <c r="A109" s="6" t="s">
        <v>52</v>
      </c>
      <c r="B109">
        <v>606.1869999999999</v>
      </c>
      <c r="D109">
        <v>606.1869999999999</v>
      </c>
      <c r="K109" s="35" t="s">
        <v>52</v>
      </c>
      <c r="L109" s="20">
        <v>8</v>
      </c>
      <c r="M109" s="20">
        <v>8</v>
      </c>
      <c r="N109" s="20"/>
      <c r="O109" s="20"/>
      <c r="P109" s="20"/>
      <c r="W109" s="35" t="s">
        <v>52</v>
      </c>
      <c r="X109" s="20">
        <v>3</v>
      </c>
      <c r="Y109" s="20">
        <v>3</v>
      </c>
      <c r="AI109" s="35" t="s">
        <v>124</v>
      </c>
      <c r="AJ109" s="20">
        <v>9</v>
      </c>
    </row>
    <row r="110" spans="1:36" ht="18" x14ac:dyDescent="0.25">
      <c r="A110" s="6" t="s">
        <v>124</v>
      </c>
      <c r="C110">
        <v>629.04100000000005</v>
      </c>
      <c r="D110">
        <v>629.04100000000005</v>
      </c>
      <c r="K110" s="35" t="s">
        <v>124</v>
      </c>
      <c r="L110" s="20">
        <v>2</v>
      </c>
      <c r="M110" s="20">
        <v>2</v>
      </c>
      <c r="N110" s="20"/>
      <c r="O110" s="20"/>
      <c r="P110" s="20"/>
      <c r="W110" s="35" t="s">
        <v>124</v>
      </c>
      <c r="X110" s="20">
        <v>2</v>
      </c>
      <c r="Y110" s="20">
        <v>2</v>
      </c>
      <c r="AI110" s="35" t="s">
        <v>113</v>
      </c>
      <c r="AJ110" s="20">
        <v>11</v>
      </c>
    </row>
    <row r="111" spans="1:36" ht="18" x14ac:dyDescent="0.25">
      <c r="A111" s="6" t="s">
        <v>113</v>
      </c>
      <c r="B111">
        <v>399.06900000000002</v>
      </c>
      <c r="C111">
        <v>165.02199999999999</v>
      </c>
      <c r="D111">
        <v>564.09100000000001</v>
      </c>
      <c r="K111" s="35" t="s">
        <v>113</v>
      </c>
      <c r="L111" s="20">
        <v>14</v>
      </c>
      <c r="M111" s="20">
        <v>14</v>
      </c>
      <c r="N111" s="20"/>
      <c r="O111" s="20"/>
      <c r="P111" s="20"/>
      <c r="W111" s="35" t="s">
        <v>113</v>
      </c>
      <c r="X111" s="20">
        <v>12</v>
      </c>
      <c r="Y111" s="20">
        <v>12</v>
      </c>
      <c r="AI111" s="35" t="s">
        <v>62</v>
      </c>
      <c r="AJ111" s="20">
        <v>9</v>
      </c>
    </row>
    <row r="112" spans="1:36" ht="18" x14ac:dyDescent="0.25">
      <c r="A112" s="6" t="s">
        <v>62</v>
      </c>
      <c r="B112">
        <v>722.3309999999999</v>
      </c>
      <c r="D112">
        <v>722.3309999999999</v>
      </c>
      <c r="K112" s="35" t="s">
        <v>62</v>
      </c>
      <c r="L112" s="20">
        <v>18</v>
      </c>
      <c r="M112" s="20">
        <v>18</v>
      </c>
      <c r="N112" s="20"/>
      <c r="O112" s="20"/>
      <c r="P112" s="20"/>
      <c r="W112" s="35" t="s">
        <v>62</v>
      </c>
      <c r="X112" s="20">
        <v>2</v>
      </c>
      <c r="Y112" s="20">
        <v>2</v>
      </c>
      <c r="AI112" s="35" t="s">
        <v>135</v>
      </c>
      <c r="AJ112" s="20">
        <v>8</v>
      </c>
    </row>
    <row r="113" spans="1:36" ht="18" x14ac:dyDescent="0.25">
      <c r="A113" s="6" t="s">
        <v>135</v>
      </c>
      <c r="C113">
        <v>399.66999999999996</v>
      </c>
      <c r="D113">
        <v>399.66999999999996</v>
      </c>
      <c r="K113" s="35" t="s">
        <v>135</v>
      </c>
      <c r="L113" s="20">
        <v>4</v>
      </c>
      <c r="M113" s="20">
        <v>4</v>
      </c>
      <c r="N113" s="20"/>
      <c r="O113" s="20"/>
      <c r="P113" s="20"/>
      <c r="W113" s="35" t="s">
        <v>135</v>
      </c>
      <c r="X113" s="20">
        <v>3</v>
      </c>
      <c r="Y113" s="20">
        <v>3</v>
      </c>
      <c r="AI113" s="35" t="s">
        <v>97</v>
      </c>
      <c r="AJ113" s="20">
        <v>9</v>
      </c>
    </row>
    <row r="114" spans="1:36" ht="18" x14ac:dyDescent="0.25">
      <c r="A114" s="6" t="s">
        <v>97</v>
      </c>
      <c r="B114">
        <v>469.54300000000001</v>
      </c>
      <c r="D114">
        <v>469.54300000000001</v>
      </c>
      <c r="K114" s="35" t="s">
        <v>97</v>
      </c>
      <c r="L114" s="20">
        <v>14</v>
      </c>
      <c r="M114" s="20">
        <v>14</v>
      </c>
      <c r="N114" s="20"/>
      <c r="O114" s="20"/>
      <c r="P114" s="20"/>
      <c r="W114" s="35" t="s">
        <v>97</v>
      </c>
      <c r="X114" s="20">
        <v>3</v>
      </c>
      <c r="Y114" s="20">
        <v>3</v>
      </c>
      <c r="AI114" s="35" t="s">
        <v>38</v>
      </c>
      <c r="AJ114" s="20">
        <v>9</v>
      </c>
    </row>
    <row r="115" spans="1:36" ht="18" x14ac:dyDescent="0.25">
      <c r="A115" s="6" t="s">
        <v>38</v>
      </c>
      <c r="B115">
        <v>684.553</v>
      </c>
      <c r="D115">
        <v>684.553</v>
      </c>
      <c r="K115" s="35" t="s">
        <v>38</v>
      </c>
      <c r="L115" s="20">
        <v>5</v>
      </c>
      <c r="M115" s="20">
        <v>5</v>
      </c>
      <c r="N115" s="20"/>
      <c r="O115" s="20"/>
      <c r="P115" s="20"/>
      <c r="W115" s="35" t="s">
        <v>38</v>
      </c>
      <c r="X115" s="20">
        <v>15</v>
      </c>
      <c r="Y115" s="20">
        <v>15</v>
      </c>
      <c r="AI115" s="35" t="s">
        <v>144</v>
      </c>
      <c r="AJ115" s="20">
        <v>8</v>
      </c>
    </row>
    <row r="116" spans="1:36" ht="18" x14ac:dyDescent="0.25">
      <c r="A116" s="6" t="s">
        <v>144</v>
      </c>
      <c r="C116">
        <v>919.75</v>
      </c>
      <c r="D116">
        <v>919.75</v>
      </c>
      <c r="K116" s="35" t="s">
        <v>144</v>
      </c>
      <c r="L116" s="20">
        <v>2</v>
      </c>
      <c r="M116" s="20">
        <v>2</v>
      </c>
      <c r="N116" s="20"/>
      <c r="O116" s="20"/>
      <c r="P116" s="20"/>
      <c r="W116" s="35" t="s">
        <v>144</v>
      </c>
      <c r="X116" s="20">
        <v>3</v>
      </c>
      <c r="Y116" s="20">
        <v>3</v>
      </c>
      <c r="AI116" s="35" t="s">
        <v>72</v>
      </c>
      <c r="AJ116" s="20">
        <v>9</v>
      </c>
    </row>
    <row r="117" spans="1:36" ht="18" x14ac:dyDescent="0.25">
      <c r="A117" s="6" t="s">
        <v>72</v>
      </c>
      <c r="B117">
        <v>492.46</v>
      </c>
      <c r="D117">
        <v>492.46</v>
      </c>
      <c r="K117" s="35" t="s">
        <v>72</v>
      </c>
      <c r="L117" s="20">
        <v>18</v>
      </c>
      <c r="M117" s="20">
        <v>18</v>
      </c>
      <c r="N117" s="20"/>
      <c r="O117" s="20"/>
      <c r="P117" s="20"/>
      <c r="W117" s="35" t="s">
        <v>72</v>
      </c>
      <c r="X117" s="20">
        <v>7</v>
      </c>
      <c r="Y117" s="20">
        <v>7</v>
      </c>
      <c r="AI117" s="35" t="s">
        <v>89</v>
      </c>
      <c r="AJ117" s="20">
        <v>9</v>
      </c>
    </row>
    <row r="118" spans="1:36" ht="18" x14ac:dyDescent="0.25">
      <c r="A118" s="6" t="s">
        <v>89</v>
      </c>
      <c r="B118">
        <v>1062.953</v>
      </c>
      <c r="D118">
        <v>1062.953</v>
      </c>
      <c r="K118" s="35" t="s">
        <v>89</v>
      </c>
      <c r="L118" s="20">
        <v>5</v>
      </c>
      <c r="M118" s="20">
        <v>5</v>
      </c>
      <c r="N118" s="20"/>
      <c r="O118" s="20"/>
      <c r="P118" s="20"/>
      <c r="W118" s="35" t="s">
        <v>89</v>
      </c>
      <c r="X118" s="20">
        <v>4</v>
      </c>
      <c r="Y118" s="20">
        <v>4</v>
      </c>
      <c r="AI118" s="35" t="s">
        <v>152</v>
      </c>
      <c r="AJ118" s="20">
        <v>7</v>
      </c>
    </row>
    <row r="119" spans="1:36" ht="18" x14ac:dyDescent="0.25">
      <c r="A119" s="6" t="s">
        <v>152</v>
      </c>
      <c r="C119">
        <v>394.79400000000004</v>
      </c>
      <c r="D119">
        <v>394.79400000000004</v>
      </c>
      <c r="K119" s="35" t="s">
        <v>152</v>
      </c>
      <c r="L119" s="20">
        <v>13</v>
      </c>
      <c r="M119" s="20">
        <v>13</v>
      </c>
      <c r="N119" s="20"/>
      <c r="O119" s="20"/>
      <c r="P119" s="20"/>
      <c r="W119" s="35" t="s">
        <v>152</v>
      </c>
      <c r="X119" s="20">
        <v>1</v>
      </c>
      <c r="Y119" s="20">
        <v>1</v>
      </c>
      <c r="AI119" s="35" t="s">
        <v>80</v>
      </c>
      <c r="AJ119" s="20">
        <v>10</v>
      </c>
    </row>
    <row r="120" spans="1:36" ht="18" x14ac:dyDescent="0.25">
      <c r="A120" s="6" t="s">
        <v>80</v>
      </c>
      <c r="B120">
        <v>522.69000000000005</v>
      </c>
      <c r="C120">
        <v>45.506</v>
      </c>
      <c r="D120">
        <v>568.19600000000003</v>
      </c>
      <c r="K120" s="35" t="s">
        <v>80</v>
      </c>
      <c r="L120" s="20">
        <v>1</v>
      </c>
      <c r="M120" s="20">
        <v>1</v>
      </c>
      <c r="N120" s="20"/>
      <c r="O120" s="20"/>
      <c r="P120" s="20"/>
      <c r="W120" s="35" t="s">
        <v>80</v>
      </c>
      <c r="X120" s="20">
        <v>5</v>
      </c>
      <c r="Y120" s="20">
        <v>5</v>
      </c>
      <c r="AI120" s="6" t="s">
        <v>160</v>
      </c>
      <c r="AJ120" s="20">
        <v>8</v>
      </c>
    </row>
    <row r="121" spans="1:36" ht="18" x14ac:dyDescent="0.25">
      <c r="A121" s="6" t="s">
        <v>160</v>
      </c>
      <c r="C121">
        <v>646.245</v>
      </c>
      <c r="D121">
        <v>646.245</v>
      </c>
      <c r="K121" s="35" t="s">
        <v>105</v>
      </c>
      <c r="L121" s="20">
        <v>7</v>
      </c>
      <c r="M121" s="20">
        <v>7</v>
      </c>
      <c r="N121" s="20"/>
      <c r="O121" s="20"/>
      <c r="P121" s="20"/>
      <c r="W121" s="35" t="s">
        <v>105</v>
      </c>
      <c r="X121" s="20">
        <v>11</v>
      </c>
      <c r="Y121" s="20">
        <v>11</v>
      </c>
      <c r="AI121" s="35" t="s">
        <v>105</v>
      </c>
      <c r="AJ121" s="20">
        <v>9</v>
      </c>
    </row>
    <row r="122" spans="1:36" ht="18" x14ac:dyDescent="0.25">
      <c r="A122" s="6" t="s">
        <v>105</v>
      </c>
      <c r="B122">
        <v>377.77300000000008</v>
      </c>
      <c r="C122">
        <v>46.487000000000002</v>
      </c>
      <c r="D122">
        <v>424.2600000000001</v>
      </c>
      <c r="K122" s="35" t="s">
        <v>263</v>
      </c>
      <c r="L122" s="20">
        <v>111</v>
      </c>
      <c r="M122" s="20">
        <v>111</v>
      </c>
      <c r="N122" s="20"/>
      <c r="O122" s="20"/>
      <c r="P122" s="20"/>
      <c r="W122" s="35" t="s">
        <v>263</v>
      </c>
      <c r="X122" s="20">
        <v>71</v>
      </c>
      <c r="Y122" s="20">
        <v>71</v>
      </c>
      <c r="AI122" s="35" t="s">
        <v>263</v>
      </c>
      <c r="AJ122" s="20">
        <v>125</v>
      </c>
    </row>
    <row r="123" spans="1:36" ht="18" x14ac:dyDescent="0.25">
      <c r="A123" s="6" t="s">
        <v>263</v>
      </c>
      <c r="B123">
        <v>5337.5590000000002</v>
      </c>
      <c r="C123">
        <v>3246.5149999999999</v>
      </c>
      <c r="D123">
        <v>8584.0739999999987</v>
      </c>
      <c r="K123" s="20"/>
      <c r="L123" s="20"/>
      <c r="M123" s="20"/>
      <c r="N123" s="20"/>
      <c r="O123" s="20"/>
      <c r="P123" s="20"/>
    </row>
    <row r="166" spans="1:2" x14ac:dyDescent="0.25">
      <c r="A166" s="5" t="s">
        <v>3</v>
      </c>
      <c r="B166" t="s">
        <v>1088</v>
      </c>
    </row>
    <row r="167" spans="1:2" x14ac:dyDescent="0.25">
      <c r="A167" s="5" t="s">
        <v>4</v>
      </c>
      <c r="B167" t="s">
        <v>1088</v>
      </c>
    </row>
    <row r="169" spans="1:2" x14ac:dyDescent="0.25">
      <c r="A169" s="5" t="s">
        <v>262</v>
      </c>
      <c r="B169" t="s">
        <v>1090</v>
      </c>
    </row>
    <row r="170" spans="1:2" x14ac:dyDescent="0.25">
      <c r="A170" s="6" t="s">
        <v>52</v>
      </c>
      <c r="B170" s="21">
        <v>0.30244212962962957</v>
      </c>
    </row>
    <row r="171" spans="1:2" x14ac:dyDescent="0.25">
      <c r="A171" s="6" t="s">
        <v>124</v>
      </c>
      <c r="B171" s="21">
        <v>0.46855324074074078</v>
      </c>
    </row>
    <row r="172" spans="1:2" x14ac:dyDescent="0.25">
      <c r="A172" s="6" t="s">
        <v>113</v>
      </c>
      <c r="B172" s="21">
        <v>1.5733333333333337</v>
      </c>
    </row>
    <row r="173" spans="1:2" x14ac:dyDescent="0.25">
      <c r="A173" s="6" t="s">
        <v>62</v>
      </c>
      <c r="B173" s="21">
        <v>1.4687152777777779</v>
      </c>
    </row>
    <row r="174" spans="1:2" x14ac:dyDescent="0.25">
      <c r="A174" s="6" t="s">
        <v>135</v>
      </c>
      <c r="B174" s="21">
        <v>0.18077546296296296</v>
      </c>
    </row>
    <row r="175" spans="1:2" x14ac:dyDescent="0.25">
      <c r="A175" s="6" t="s">
        <v>97</v>
      </c>
      <c r="B175" s="21">
        <v>0.55533564814814818</v>
      </c>
    </row>
    <row r="176" spans="1:2" x14ac:dyDescent="0.25">
      <c r="A176" s="6" t="s">
        <v>38</v>
      </c>
      <c r="B176" s="21">
        <v>0.49004629629629637</v>
      </c>
    </row>
    <row r="177" spans="1:2" x14ac:dyDescent="0.25">
      <c r="A177" s="6" t="s">
        <v>144</v>
      </c>
      <c r="B177" s="21">
        <v>0.19089120370370369</v>
      </c>
    </row>
    <row r="178" spans="1:2" x14ac:dyDescent="0.25">
      <c r="A178" s="6" t="s">
        <v>72</v>
      </c>
      <c r="B178" s="21">
        <v>3.0831365740740742</v>
      </c>
    </row>
    <row r="179" spans="1:2" x14ac:dyDescent="0.25">
      <c r="A179" s="6" t="s">
        <v>89</v>
      </c>
      <c r="B179" s="21">
        <v>1.1536689814814813</v>
      </c>
    </row>
    <row r="180" spans="1:2" x14ac:dyDescent="0.25">
      <c r="A180" s="6" t="s">
        <v>152</v>
      </c>
      <c r="B180" s="21">
        <v>0.83086805555555565</v>
      </c>
    </row>
    <row r="181" spans="1:2" x14ac:dyDescent="0.25">
      <c r="A181" s="6" t="s">
        <v>80</v>
      </c>
      <c r="B181" s="21">
        <v>0.13722222222222222</v>
      </c>
    </row>
    <row r="182" spans="1:2" x14ac:dyDescent="0.25">
      <c r="A182" s="6" t="s">
        <v>160</v>
      </c>
      <c r="B182" s="21">
        <v>0</v>
      </c>
    </row>
    <row r="183" spans="1:2" x14ac:dyDescent="0.25">
      <c r="A183" s="6" t="s">
        <v>105</v>
      </c>
      <c r="B183" s="21">
        <v>0.73365740740740737</v>
      </c>
    </row>
    <row r="184" spans="1:2" x14ac:dyDescent="0.25">
      <c r="A184" s="6" t="s">
        <v>1089</v>
      </c>
      <c r="B184" s="21"/>
    </row>
    <row r="185" spans="1:2" x14ac:dyDescent="0.25">
      <c r="A185" s="6" t="s">
        <v>263</v>
      </c>
      <c r="B185" s="21">
        <v>11.168645833333333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opLeftCell="A76" zoomScale="50" zoomScaleNormal="50" zoomScaleSheetLayoutView="87" workbookViewId="0">
      <selection activeCell="A4" sqref="A1:XFD1048576"/>
    </sheetView>
  </sheetViews>
  <sheetFormatPr baseColWidth="10" defaultColWidth="9.140625" defaultRowHeight="15" x14ac:dyDescent="0.25"/>
  <cols>
    <col min="1" max="1" width="34" style="24" customWidth="1"/>
    <col min="2" max="2" width="11" style="24" customWidth="1"/>
    <col min="3" max="16384" width="9.140625" style="24"/>
  </cols>
  <sheetData>
    <row r="1" spans="1:2" ht="92.25" customHeight="1" x14ac:dyDescent="0.25">
      <c r="A1" s="24" t="s">
        <v>203</v>
      </c>
    </row>
    <row r="2" spans="1:2" x14ac:dyDescent="0.25">
      <c r="A2" s="24" t="s">
        <v>204</v>
      </c>
      <c r="B2" s="24" t="s">
        <v>205</v>
      </c>
    </row>
    <row r="4" spans="1:2" x14ac:dyDescent="0.25">
      <c r="A4" s="24" t="s">
        <v>206</v>
      </c>
      <c r="B4" s="24">
        <v>20</v>
      </c>
    </row>
    <row r="5" spans="1:2" x14ac:dyDescent="0.25">
      <c r="A5" s="24" t="s">
        <v>207</v>
      </c>
      <c r="B5" s="24">
        <v>0</v>
      </c>
    </row>
    <row r="6" spans="1:2" x14ac:dyDescent="0.25">
      <c r="A6" s="24" t="s">
        <v>208</v>
      </c>
      <c r="B6" s="24">
        <v>35</v>
      </c>
    </row>
    <row r="8" spans="1:2" x14ac:dyDescent="0.25">
      <c r="A8" s="24" t="s">
        <v>209</v>
      </c>
      <c r="B8" s="24" t="s">
        <v>210</v>
      </c>
    </row>
  </sheetData>
  <pageMargins left="0.75" right="0.75" top="1" bottom="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507"/>
  <sheetViews>
    <sheetView tabSelected="1" zoomScale="80" zoomScaleNormal="80" workbookViewId="0">
      <pane ySplit="1" topLeftCell="A486" activePane="bottomLeft" state="frozen"/>
      <selection pane="bottomLeft" activeCell="AN509" sqref="AN509"/>
    </sheetView>
  </sheetViews>
  <sheetFormatPr baseColWidth="10" defaultColWidth="9.140625" defaultRowHeight="14.25" x14ac:dyDescent="0.25"/>
  <cols>
    <col min="1" max="1" width="20" style="9" customWidth="1"/>
    <col min="2" max="2" width="41.42578125" style="9" customWidth="1"/>
    <col min="3" max="3" width="17" style="9" customWidth="1"/>
    <col min="4" max="4" width="14.7109375" style="9" customWidth="1"/>
    <col min="5" max="5" width="12.140625" style="9" customWidth="1"/>
    <col min="6" max="6" width="11" style="9" customWidth="1"/>
    <col min="7" max="7" width="33.42578125" style="9" customWidth="1"/>
    <col min="8" max="9" width="11" style="9" customWidth="1"/>
    <col min="10" max="10" width="15.140625" style="9" customWidth="1"/>
    <col min="11" max="11" width="24.85546875" style="9" customWidth="1"/>
    <col min="12" max="12" width="21.5703125" style="9" customWidth="1"/>
    <col min="13" max="16" width="24.85546875" style="9" customWidth="1"/>
    <col min="17" max="17" width="24.85546875" style="10" customWidth="1"/>
    <col min="18" max="32" width="24.85546875" style="9" customWidth="1"/>
    <col min="33" max="34" width="24.85546875" style="14" customWidth="1"/>
    <col min="35" max="37" width="24.85546875" style="9" customWidth="1"/>
    <col min="38" max="38" width="24.85546875" style="19" customWidth="1"/>
    <col min="39" max="39" width="24.85546875" style="28" customWidth="1"/>
    <col min="40" max="40" width="27.5703125" style="1" customWidth="1"/>
    <col min="41" max="42" width="9.140625" style="1"/>
    <col min="43" max="49" width="0" style="1" hidden="1" customWidth="1"/>
    <col min="50" max="50" width="9.140625" style="1"/>
    <col min="51" max="54" width="9.140625" style="29"/>
    <col min="55" max="16384" width="9.140625" style="1"/>
  </cols>
  <sheetData>
    <row r="1" spans="1:40" ht="39.950000000000003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560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7" t="s">
        <v>14</v>
      </c>
      <c r="P1" s="7" t="s">
        <v>15</v>
      </c>
      <c r="Q1" s="8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5" t="s">
        <v>614</v>
      </c>
      <c r="AH1" s="13" t="s">
        <v>615</v>
      </c>
      <c r="AI1" s="7" t="s">
        <v>616</v>
      </c>
      <c r="AJ1" s="16" t="s">
        <v>617</v>
      </c>
      <c r="AK1" s="7" t="s">
        <v>618</v>
      </c>
      <c r="AL1" s="22" t="s">
        <v>619</v>
      </c>
      <c r="AM1" s="25" t="s">
        <v>1087</v>
      </c>
      <c r="AN1" s="31" t="s">
        <v>2392</v>
      </c>
    </row>
    <row r="2" spans="1:40" ht="15" x14ac:dyDescent="0.2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9" t="s">
        <v>37</v>
      </c>
      <c r="G2" s="9" t="s">
        <v>38</v>
      </c>
      <c r="H2" s="9" t="s">
        <v>39</v>
      </c>
      <c r="I2" s="9" t="s">
        <v>40</v>
      </c>
      <c r="J2" s="9">
        <v>11197</v>
      </c>
      <c r="K2" s="9" t="s">
        <v>41</v>
      </c>
      <c r="L2" s="9" t="s">
        <v>42</v>
      </c>
      <c r="M2" s="10">
        <v>4.7800011574074083E-2</v>
      </c>
      <c r="N2" s="9" t="s">
        <v>43</v>
      </c>
      <c r="O2" s="9" t="s">
        <v>44</v>
      </c>
      <c r="P2" s="9" t="s">
        <v>45</v>
      </c>
      <c r="Q2" s="10">
        <v>6.9093750000000004E-4</v>
      </c>
      <c r="R2" s="9" t="s">
        <v>46</v>
      </c>
      <c r="S2" s="10">
        <v>0.28484238425925928</v>
      </c>
      <c r="T2" s="9">
        <v>80.8</v>
      </c>
      <c r="U2" s="9">
        <v>30.08</v>
      </c>
      <c r="V2" s="10">
        <v>0.1119234722222222</v>
      </c>
      <c r="W2" s="10">
        <v>5.3006249999999998E-3</v>
      </c>
      <c r="X2" s="10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6</v>
      </c>
      <c r="AE2" s="9" t="s">
        <v>47</v>
      </c>
      <c r="AF2" s="9" t="s">
        <v>48</v>
      </c>
      <c r="AG2" s="14" t="s">
        <v>620</v>
      </c>
      <c r="AH2" s="14">
        <v>6.2049580000000004</v>
      </c>
      <c r="AI2" s="9">
        <v>-75.588588999999999</v>
      </c>
      <c r="AJ2" s="9" t="s">
        <v>621</v>
      </c>
      <c r="AK2" s="9">
        <v>6.2317770000000001</v>
      </c>
      <c r="AL2" s="19">
        <v>-75.597115000000002</v>
      </c>
      <c r="AM2" s="26">
        <f>IF(N2="INICIO TARDÍO",M2,0)+IF(R2="TERMINÓ ANTES",Q2,0)</f>
        <v>4.7800011574074083E-2</v>
      </c>
      <c r="AN2" s="9"/>
    </row>
    <row r="3" spans="1:40" ht="15" x14ac:dyDescent="0.25">
      <c r="A3" s="9" t="s">
        <v>49</v>
      </c>
      <c r="B3" s="9" t="s">
        <v>50</v>
      </c>
      <c r="C3" s="9" t="s">
        <v>51</v>
      </c>
      <c r="D3" s="9" t="s">
        <v>35</v>
      </c>
      <c r="E3" s="9" t="s">
        <v>36</v>
      </c>
      <c r="F3" s="9" t="s">
        <v>37</v>
      </c>
      <c r="G3" s="9" t="s">
        <v>52</v>
      </c>
      <c r="H3" s="9" t="s">
        <v>53</v>
      </c>
      <c r="I3" s="9" t="s">
        <v>40</v>
      </c>
      <c r="J3" s="9">
        <v>3256</v>
      </c>
      <c r="K3" s="9" t="s">
        <v>54</v>
      </c>
      <c r="L3" s="9" t="s">
        <v>42</v>
      </c>
      <c r="M3" s="10">
        <v>6.9976851851851846E-2</v>
      </c>
      <c r="N3" s="9" t="s">
        <v>43</v>
      </c>
      <c r="O3" s="9" t="s">
        <v>55</v>
      </c>
      <c r="P3" s="9" t="s">
        <v>45</v>
      </c>
      <c r="Q3" s="10">
        <v>2.4675925925925931E-2</v>
      </c>
      <c r="R3" s="9" t="s">
        <v>56</v>
      </c>
      <c r="S3" s="10">
        <v>0.23868055555555559</v>
      </c>
      <c r="T3" s="9">
        <v>40.072000000000003</v>
      </c>
      <c r="U3" s="9">
        <v>13.96</v>
      </c>
      <c r="V3" s="10">
        <v>0.11964120370370369</v>
      </c>
      <c r="W3" s="10">
        <v>3.5081018518518518E-2</v>
      </c>
      <c r="X3" s="10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 t="s">
        <v>57</v>
      </c>
      <c r="AF3" s="9" t="s">
        <v>58</v>
      </c>
      <c r="AG3" s="14" t="s">
        <v>622</v>
      </c>
      <c r="AH3" s="14">
        <v>6.2311649999999998</v>
      </c>
      <c r="AI3" s="9">
        <v>-75.601382999999998</v>
      </c>
      <c r="AJ3" s="9" t="s">
        <v>623</v>
      </c>
      <c r="AK3" s="9">
        <v>6.196637</v>
      </c>
      <c r="AL3" s="19">
        <v>-75.594896000000006</v>
      </c>
      <c r="AM3" s="26">
        <f t="shared" ref="AM3:AM66" si="0">IF(N3="INICIO TARDÍO",M3,0)+IF(R3="TERMINÓ ANTES",Q3,0)</f>
        <v>9.465277777777778E-2</v>
      </c>
      <c r="AN3" s="9"/>
    </row>
    <row r="4" spans="1:40" ht="15" x14ac:dyDescent="0.25">
      <c r="A4" s="9" t="s">
        <v>59</v>
      </c>
      <c r="B4" s="9" t="s">
        <v>60</v>
      </c>
      <c r="C4" s="9" t="s">
        <v>61</v>
      </c>
      <c r="D4" s="9" t="s">
        <v>35</v>
      </c>
      <c r="E4" s="9" t="s">
        <v>36</v>
      </c>
      <c r="F4" s="9" t="s">
        <v>37</v>
      </c>
      <c r="G4" s="9" t="s">
        <v>62</v>
      </c>
      <c r="H4" s="9" t="s">
        <v>63</v>
      </c>
      <c r="I4" s="9" t="s">
        <v>40</v>
      </c>
      <c r="J4" s="9">
        <v>5047</v>
      </c>
      <c r="K4" s="9" t="s">
        <v>64</v>
      </c>
      <c r="L4" s="9" t="s">
        <v>42</v>
      </c>
      <c r="M4" s="10">
        <v>4.7453703703703698E-4</v>
      </c>
      <c r="N4" s="9" t="s">
        <v>65</v>
      </c>
      <c r="O4" s="9" t="s">
        <v>66</v>
      </c>
      <c r="P4" s="9" t="s">
        <v>45</v>
      </c>
      <c r="Q4" s="10">
        <v>7.3657407407407408E-2</v>
      </c>
      <c r="R4" s="9" t="s">
        <v>56</v>
      </c>
      <c r="S4" s="10">
        <v>0.26015046296296301</v>
      </c>
      <c r="T4" s="9">
        <v>65.918999999999997</v>
      </c>
      <c r="U4" s="9">
        <v>15.72</v>
      </c>
      <c r="V4" s="10">
        <v>0.1747222222222222</v>
      </c>
      <c r="W4" s="10">
        <v>5.5E-2</v>
      </c>
      <c r="X4" s="10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1</v>
      </c>
      <c r="AE4" s="9" t="s">
        <v>67</v>
      </c>
      <c r="AF4" s="9" t="s">
        <v>68</v>
      </c>
      <c r="AG4" s="14" t="s">
        <v>628</v>
      </c>
      <c r="AH4" s="14">
        <v>6.2251849999999997</v>
      </c>
      <c r="AI4" s="9">
        <v>-75.599536999999998</v>
      </c>
      <c r="AJ4" s="9" t="s">
        <v>629</v>
      </c>
      <c r="AK4" s="9">
        <v>6.2998750000000001</v>
      </c>
      <c r="AL4" s="19">
        <v>-75.579885000000004</v>
      </c>
      <c r="AM4" s="26">
        <f t="shared" si="0"/>
        <v>7.3657407407407408E-2</v>
      </c>
      <c r="AN4" s="9"/>
    </row>
    <row r="5" spans="1:40" ht="15" x14ac:dyDescent="0.25">
      <c r="A5" s="9" t="s">
        <v>69</v>
      </c>
      <c r="B5" s="9" t="s">
        <v>70</v>
      </c>
      <c r="C5" s="9" t="s">
        <v>71</v>
      </c>
      <c r="D5" s="9" t="s">
        <v>35</v>
      </c>
      <c r="E5" s="9" t="s">
        <v>36</v>
      </c>
      <c r="F5" s="9" t="s">
        <v>37</v>
      </c>
      <c r="G5" s="9" t="s">
        <v>72</v>
      </c>
      <c r="H5" s="9" t="s">
        <v>73</v>
      </c>
      <c r="I5" s="9" t="s">
        <v>40</v>
      </c>
      <c r="J5" s="9">
        <v>3227</v>
      </c>
      <c r="K5" s="9" t="s">
        <v>74</v>
      </c>
      <c r="L5" s="9" t="s">
        <v>42</v>
      </c>
      <c r="M5" s="10">
        <v>0.1196875</v>
      </c>
      <c r="N5" s="9" t="s">
        <v>43</v>
      </c>
      <c r="O5" s="9" t="s">
        <v>75</v>
      </c>
      <c r="P5" s="9" t="s">
        <v>45</v>
      </c>
      <c r="Q5" s="10">
        <v>8.9074074074074069E-2</v>
      </c>
      <c r="R5" s="9" t="s">
        <v>56</v>
      </c>
      <c r="S5" s="10">
        <v>0.1245717592592593</v>
      </c>
      <c r="T5" s="9">
        <v>44.070999999999998</v>
      </c>
      <c r="U5" s="9">
        <v>17.73</v>
      </c>
      <c r="V5" s="10">
        <v>0.1035648148148148</v>
      </c>
      <c r="W5" s="10">
        <v>3.3275462962962972E-2</v>
      </c>
      <c r="X5" s="10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 t="s">
        <v>57</v>
      </c>
      <c r="AF5" s="9" t="s">
        <v>76</v>
      </c>
      <c r="AG5" s="14" t="s">
        <v>632</v>
      </c>
      <c r="AH5" s="14">
        <v>6.2250180000000004</v>
      </c>
      <c r="AI5" s="9">
        <v>-75.597339000000005</v>
      </c>
      <c r="AJ5" s="9" t="s">
        <v>633</v>
      </c>
      <c r="AK5" s="9">
        <v>6.2394579999999999</v>
      </c>
      <c r="AL5" s="19">
        <v>-75.561046000000005</v>
      </c>
      <c r="AM5" s="26">
        <f t="shared" si="0"/>
        <v>0.20876157407407409</v>
      </c>
      <c r="AN5" s="9"/>
    </row>
    <row r="6" spans="1:40" ht="15" x14ac:dyDescent="0.25">
      <c r="A6" s="9" t="s">
        <v>77</v>
      </c>
      <c r="B6" s="9" t="s">
        <v>78</v>
      </c>
      <c r="C6" s="9" t="s">
        <v>79</v>
      </c>
      <c r="D6" s="9" t="s">
        <v>35</v>
      </c>
      <c r="E6" s="9" t="s">
        <v>36</v>
      </c>
      <c r="F6" s="9" t="s">
        <v>37</v>
      </c>
      <c r="G6" s="9" t="s">
        <v>80</v>
      </c>
      <c r="H6" s="9" t="s">
        <v>81</v>
      </c>
      <c r="I6" s="9" t="s">
        <v>40</v>
      </c>
      <c r="J6" s="9">
        <v>7518</v>
      </c>
      <c r="K6" s="9" t="s">
        <v>82</v>
      </c>
      <c r="L6" s="9" t="s">
        <v>42</v>
      </c>
      <c r="M6" s="10">
        <v>6.9951620370370367E-3</v>
      </c>
      <c r="N6" s="9" t="s">
        <v>65</v>
      </c>
      <c r="O6" s="9" t="s">
        <v>83</v>
      </c>
      <c r="P6" s="9" t="s">
        <v>45</v>
      </c>
      <c r="Q6" s="10">
        <v>1.070034722222222E-3</v>
      </c>
      <c r="R6" s="9" t="s">
        <v>46</v>
      </c>
      <c r="S6" s="10">
        <v>0.34139853009259258</v>
      </c>
      <c r="T6" s="9">
        <v>51.048999999999999</v>
      </c>
      <c r="U6" s="9">
        <v>22.05</v>
      </c>
      <c r="V6" s="10">
        <v>9.6447118055555572E-2</v>
      </c>
      <c r="W6" s="10">
        <v>4.5614872685185187E-2</v>
      </c>
      <c r="X6" s="10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12</v>
      </c>
      <c r="AE6" s="9" t="s">
        <v>84</v>
      </c>
      <c r="AF6" s="9" t="s">
        <v>85</v>
      </c>
      <c r="AG6" s="14" t="s">
        <v>636</v>
      </c>
      <c r="AH6" s="14">
        <v>6.2256140000000002</v>
      </c>
      <c r="AI6" s="9">
        <v>-75.599107000000004</v>
      </c>
      <c r="AJ6" s="9" t="s">
        <v>637</v>
      </c>
      <c r="AK6" s="9">
        <v>6.2592569999999998</v>
      </c>
      <c r="AL6" s="19">
        <v>-75.620980000000003</v>
      </c>
      <c r="AM6" s="26">
        <f t="shared" si="0"/>
        <v>0</v>
      </c>
      <c r="AN6" s="9"/>
    </row>
    <row r="7" spans="1:40" ht="15" x14ac:dyDescent="0.25">
      <c r="A7" s="9" t="s">
        <v>86</v>
      </c>
      <c r="B7" s="9" t="s">
        <v>87</v>
      </c>
      <c r="C7" s="9" t="s">
        <v>88</v>
      </c>
      <c r="D7" s="9" t="s">
        <v>35</v>
      </c>
      <c r="E7" s="9" t="s">
        <v>36</v>
      </c>
      <c r="F7" s="9" t="s">
        <v>37</v>
      </c>
      <c r="G7" s="9" t="s">
        <v>89</v>
      </c>
      <c r="H7" s="9" t="s">
        <v>90</v>
      </c>
      <c r="I7" s="9" t="s">
        <v>40</v>
      </c>
      <c r="J7" s="9">
        <v>5358</v>
      </c>
      <c r="K7" s="9" t="s">
        <v>91</v>
      </c>
      <c r="L7" s="9" t="s">
        <v>42</v>
      </c>
      <c r="M7" s="10">
        <v>0.12020833333333331</v>
      </c>
      <c r="N7" s="9" t="s">
        <v>43</v>
      </c>
      <c r="O7" s="9" t="s">
        <v>92</v>
      </c>
      <c r="P7" s="9" t="s">
        <v>45</v>
      </c>
      <c r="Q7" s="10">
        <v>4.1087962962962962E-3</v>
      </c>
      <c r="R7" s="9" t="s">
        <v>46</v>
      </c>
      <c r="S7" s="10">
        <v>0.2172337962962963</v>
      </c>
      <c r="T7" s="9">
        <v>70.408000000000001</v>
      </c>
      <c r="U7" s="9">
        <v>14.95</v>
      </c>
      <c r="V7" s="10">
        <v>0.19622685185185179</v>
      </c>
      <c r="W7" s="10">
        <v>4.6956018518518522E-2</v>
      </c>
      <c r="X7" s="10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 t="s">
        <v>47</v>
      </c>
      <c r="AF7" s="9" t="s">
        <v>93</v>
      </c>
      <c r="AG7" s="14" t="s">
        <v>640</v>
      </c>
      <c r="AH7" s="14">
        <v>6.3405149999999999</v>
      </c>
      <c r="AI7" s="9">
        <v>-75.539415000000005</v>
      </c>
      <c r="AJ7" s="9" t="s">
        <v>641</v>
      </c>
      <c r="AK7" s="9">
        <v>6.3087530000000003</v>
      </c>
      <c r="AL7" s="19">
        <v>-75.559876000000003</v>
      </c>
      <c r="AM7" s="26">
        <f t="shared" si="0"/>
        <v>0.12020833333333331</v>
      </c>
      <c r="AN7" s="9"/>
    </row>
    <row r="8" spans="1:40" ht="15" x14ac:dyDescent="0.25">
      <c r="A8" s="9" t="s">
        <v>94</v>
      </c>
      <c r="B8" s="9" t="s">
        <v>95</v>
      </c>
      <c r="C8" s="9" t="s">
        <v>96</v>
      </c>
      <c r="D8" s="9" t="s">
        <v>35</v>
      </c>
      <c r="E8" s="9" t="s">
        <v>36</v>
      </c>
      <c r="F8" s="9" t="s">
        <v>37</v>
      </c>
      <c r="G8" s="9" t="s">
        <v>97</v>
      </c>
      <c r="H8" s="9" t="s">
        <v>98</v>
      </c>
      <c r="I8" s="9" t="s">
        <v>40</v>
      </c>
      <c r="J8" s="9">
        <v>4561</v>
      </c>
      <c r="K8" s="9" t="s">
        <v>99</v>
      </c>
      <c r="L8" s="9" t="s">
        <v>42</v>
      </c>
      <c r="M8" s="10">
        <v>4.6064814814814814E-3</v>
      </c>
      <c r="N8" s="9" t="s">
        <v>65</v>
      </c>
      <c r="O8" s="9" t="s">
        <v>100</v>
      </c>
      <c r="P8" s="9" t="s">
        <v>45</v>
      </c>
      <c r="Q8" s="10">
        <v>1.142361111111111E-2</v>
      </c>
      <c r="R8" s="9" t="s">
        <v>56</v>
      </c>
      <c r="S8" s="10">
        <v>0.31730324074074068</v>
      </c>
      <c r="T8" s="9">
        <v>60.509</v>
      </c>
      <c r="U8" s="9">
        <v>11.47</v>
      </c>
      <c r="V8" s="10">
        <v>0.2198148148148148</v>
      </c>
      <c r="W8" s="10">
        <v>0.118912037037037</v>
      </c>
      <c r="X8" s="10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 t="s">
        <v>67</v>
      </c>
      <c r="AF8" s="9" t="s">
        <v>101</v>
      </c>
      <c r="AG8" s="14" t="s">
        <v>644</v>
      </c>
      <c r="AH8" s="14">
        <v>6.2257040000000003</v>
      </c>
      <c r="AI8" s="9">
        <v>-75.599072000000007</v>
      </c>
      <c r="AJ8" s="9" t="s">
        <v>645</v>
      </c>
      <c r="AK8" s="9">
        <v>6.2948180000000002</v>
      </c>
      <c r="AL8" s="19">
        <v>-75.582283000000004</v>
      </c>
      <c r="AM8" s="26">
        <f t="shared" si="0"/>
        <v>1.142361111111111E-2</v>
      </c>
      <c r="AN8" s="9"/>
    </row>
    <row r="9" spans="1:40" ht="15" x14ac:dyDescent="0.25">
      <c r="A9" s="9" t="s">
        <v>102</v>
      </c>
      <c r="B9" s="9" t="s">
        <v>103</v>
      </c>
      <c r="C9" s="9" t="s">
        <v>104</v>
      </c>
      <c r="D9" s="9" t="s">
        <v>35</v>
      </c>
      <c r="E9" s="9" t="s">
        <v>36</v>
      </c>
      <c r="F9" s="9" t="s">
        <v>37</v>
      </c>
      <c r="G9" s="9" t="s">
        <v>105</v>
      </c>
      <c r="H9" s="9" t="s">
        <v>106</v>
      </c>
      <c r="I9" s="9" t="s">
        <v>40</v>
      </c>
      <c r="J9" s="9">
        <v>2608</v>
      </c>
      <c r="K9" s="9" t="s">
        <v>107</v>
      </c>
      <c r="L9" s="9" t="s">
        <v>42</v>
      </c>
      <c r="M9" s="10">
        <v>1.444444444444444E-2</v>
      </c>
      <c r="N9" s="9" t="s">
        <v>43</v>
      </c>
      <c r="O9" s="9" t="s">
        <v>108</v>
      </c>
      <c r="P9" s="9" t="s">
        <v>45</v>
      </c>
      <c r="Q9" s="10">
        <v>1.038194444444444E-2</v>
      </c>
      <c r="R9" s="9" t="s">
        <v>46</v>
      </c>
      <c r="S9" s="10">
        <v>0.30850694444444438</v>
      </c>
      <c r="T9" s="9">
        <v>36.395000000000003</v>
      </c>
      <c r="U9" s="9">
        <v>8.93</v>
      </c>
      <c r="V9" s="10">
        <v>0.1698611111111111</v>
      </c>
      <c r="W9" s="10">
        <v>0.1043981481481481</v>
      </c>
      <c r="X9" s="10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 t="s">
        <v>47</v>
      </c>
      <c r="AF9" s="9" t="s">
        <v>109</v>
      </c>
      <c r="AG9" s="14" t="s">
        <v>646</v>
      </c>
      <c r="AH9" s="14">
        <v>6.2257230000000003</v>
      </c>
      <c r="AI9" s="9">
        <v>-75.599062000000004</v>
      </c>
      <c r="AJ9" s="9" t="s">
        <v>647</v>
      </c>
      <c r="AK9" s="9">
        <v>6.2255029999999998</v>
      </c>
      <c r="AL9" s="19">
        <v>-75.599205999999995</v>
      </c>
      <c r="AM9" s="26">
        <f t="shared" si="0"/>
        <v>1.444444444444444E-2</v>
      </c>
      <c r="AN9" s="9"/>
    </row>
    <row r="10" spans="1:40" ht="15" x14ac:dyDescent="0.25">
      <c r="A10" s="9" t="s">
        <v>110</v>
      </c>
      <c r="B10" s="9" t="s">
        <v>111</v>
      </c>
      <c r="C10" s="9" t="s">
        <v>112</v>
      </c>
      <c r="D10" s="9" t="s">
        <v>35</v>
      </c>
      <c r="E10" s="9" t="s">
        <v>36</v>
      </c>
      <c r="F10" s="9" t="s">
        <v>37</v>
      </c>
      <c r="G10" s="9" t="s">
        <v>113</v>
      </c>
      <c r="H10" s="9" t="s">
        <v>114</v>
      </c>
      <c r="I10" s="9" t="s">
        <v>115</v>
      </c>
      <c r="J10" s="9">
        <v>1807</v>
      </c>
      <c r="K10" s="9" t="s">
        <v>116</v>
      </c>
      <c r="L10" s="9" t="s">
        <v>117</v>
      </c>
      <c r="M10" s="10">
        <v>2.3819444444444449E-2</v>
      </c>
      <c r="N10" s="9" t="s">
        <v>43</v>
      </c>
      <c r="O10" s="9" t="s">
        <v>118</v>
      </c>
      <c r="P10" s="9" t="s">
        <v>119</v>
      </c>
      <c r="Q10" s="10">
        <v>5.2905092592592587E-2</v>
      </c>
      <c r="R10" s="9" t="s">
        <v>56</v>
      </c>
      <c r="S10" s="10">
        <v>0.17327546296296301</v>
      </c>
      <c r="T10" s="9">
        <v>26.773</v>
      </c>
      <c r="U10" s="9">
        <v>9.08</v>
      </c>
      <c r="V10" s="10">
        <v>0.1228587962962963</v>
      </c>
      <c r="W10" s="10">
        <v>7.7071759259259257E-2</v>
      </c>
      <c r="X10" s="10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 t="s">
        <v>57</v>
      </c>
      <c r="AF10" s="9" t="s">
        <v>120</v>
      </c>
      <c r="AG10" s="14" t="s">
        <v>624</v>
      </c>
      <c r="AH10" s="14">
        <v>6.2378520000000002</v>
      </c>
      <c r="AI10" s="9">
        <v>-75.608054999999993</v>
      </c>
      <c r="AJ10" s="9" t="s">
        <v>625</v>
      </c>
      <c r="AK10" s="9">
        <v>6.2549440000000001</v>
      </c>
      <c r="AL10" s="19">
        <v>-75.613510000000005</v>
      </c>
      <c r="AM10" s="26">
        <f t="shared" si="0"/>
        <v>7.6724537037037036E-2</v>
      </c>
      <c r="AN10" s="9"/>
    </row>
    <row r="11" spans="1:40" ht="15" x14ac:dyDescent="0.25">
      <c r="A11" s="9" t="s">
        <v>121</v>
      </c>
      <c r="B11" s="9" t="s">
        <v>122</v>
      </c>
      <c r="C11" s="9" t="s">
        <v>123</v>
      </c>
      <c r="D11" s="9" t="s">
        <v>35</v>
      </c>
      <c r="E11" s="9" t="s">
        <v>36</v>
      </c>
      <c r="F11" s="9" t="s">
        <v>37</v>
      </c>
      <c r="G11" s="9" t="s">
        <v>124</v>
      </c>
      <c r="H11" s="9" t="s">
        <v>125</v>
      </c>
      <c r="I11" s="9" t="s">
        <v>115</v>
      </c>
      <c r="J11" s="9">
        <v>4693</v>
      </c>
      <c r="K11" s="9" t="s">
        <v>126</v>
      </c>
      <c r="L11" s="9" t="s">
        <v>117</v>
      </c>
      <c r="M11" s="10">
        <v>4.4513888888888888E-2</v>
      </c>
      <c r="N11" s="9" t="s">
        <v>127</v>
      </c>
      <c r="O11" s="9" t="s">
        <v>128</v>
      </c>
      <c r="P11" s="9" t="s">
        <v>119</v>
      </c>
      <c r="Q11" s="10">
        <v>4.4502314814814807E-2</v>
      </c>
      <c r="R11" s="9" t="s">
        <v>129</v>
      </c>
      <c r="S11" s="10">
        <v>0.33901620370370372</v>
      </c>
      <c r="T11" s="9">
        <v>60.158999999999999</v>
      </c>
      <c r="U11" s="9">
        <v>10.029999999999999</v>
      </c>
      <c r="V11" s="10">
        <v>0.24990740740740741</v>
      </c>
      <c r="W11" s="10">
        <v>0.11657407407407409</v>
      </c>
      <c r="X11" s="10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 t="s">
        <v>130</v>
      </c>
      <c r="AF11" s="9" t="s">
        <v>131</v>
      </c>
      <c r="AG11" s="14" t="s">
        <v>626</v>
      </c>
      <c r="AH11" s="14">
        <v>6.2261930000000003</v>
      </c>
      <c r="AI11" s="9">
        <v>-75.599278999999996</v>
      </c>
      <c r="AJ11" s="9" t="s">
        <v>627</v>
      </c>
      <c r="AK11" s="9">
        <v>6.2727040000000001</v>
      </c>
      <c r="AL11" s="19">
        <v>-75.602023000000003</v>
      </c>
      <c r="AM11" s="26">
        <f t="shared" si="0"/>
        <v>0</v>
      </c>
      <c r="AN11" s="9"/>
    </row>
    <row r="12" spans="1:40" ht="15" x14ac:dyDescent="0.25">
      <c r="A12" s="9" t="s">
        <v>132</v>
      </c>
      <c r="B12" s="9" t="s">
        <v>133</v>
      </c>
      <c r="C12" s="9" t="s">
        <v>134</v>
      </c>
      <c r="D12" s="9" t="s">
        <v>35</v>
      </c>
      <c r="E12" s="9" t="s">
        <v>36</v>
      </c>
      <c r="F12" s="9" t="s">
        <v>37</v>
      </c>
      <c r="G12" s="9" t="s">
        <v>135</v>
      </c>
      <c r="H12" s="9" t="s">
        <v>136</v>
      </c>
      <c r="I12" s="9" t="s">
        <v>115</v>
      </c>
      <c r="J12" s="9">
        <v>2378</v>
      </c>
      <c r="K12" s="9" t="s">
        <v>137</v>
      </c>
      <c r="L12" s="9" t="s">
        <v>117</v>
      </c>
      <c r="M12" s="10">
        <v>4.0960648148148149E-2</v>
      </c>
      <c r="N12" s="9" t="s">
        <v>127</v>
      </c>
      <c r="O12" s="9" t="s">
        <v>138</v>
      </c>
      <c r="P12" s="9" t="s">
        <v>119</v>
      </c>
      <c r="Q12" s="10">
        <v>1.851851851851852E-4</v>
      </c>
      <c r="R12" s="9" t="s">
        <v>46</v>
      </c>
      <c r="S12" s="10">
        <v>0.29114583333333333</v>
      </c>
      <c r="T12" s="9">
        <v>45.13</v>
      </c>
      <c r="U12" s="9">
        <v>11.1</v>
      </c>
      <c r="V12" s="10">
        <v>0.16944444444444451</v>
      </c>
      <c r="W12" s="10">
        <v>0.101099537037037</v>
      </c>
      <c r="X12" s="10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5</v>
      </c>
      <c r="AE12" s="9" t="s">
        <v>139</v>
      </c>
      <c r="AF12" s="9" t="s">
        <v>140</v>
      </c>
      <c r="AG12" s="14" t="s">
        <v>630</v>
      </c>
      <c r="AH12" s="14">
        <v>6.2161799999999996</v>
      </c>
      <c r="AI12" s="9">
        <v>-75.600252999999995</v>
      </c>
      <c r="AJ12" s="9" t="s">
        <v>631</v>
      </c>
      <c r="AK12" s="9">
        <v>6.2342769999999996</v>
      </c>
      <c r="AL12" s="19">
        <v>-75.572151000000005</v>
      </c>
      <c r="AM12" s="26">
        <f t="shared" si="0"/>
        <v>0</v>
      </c>
      <c r="AN12" s="9"/>
    </row>
    <row r="13" spans="1:40" ht="15" x14ac:dyDescent="0.25">
      <c r="A13" s="9" t="s">
        <v>141</v>
      </c>
      <c r="B13" s="9" t="s">
        <v>142</v>
      </c>
      <c r="C13" s="9" t="s">
        <v>143</v>
      </c>
      <c r="D13" s="9" t="s">
        <v>35</v>
      </c>
      <c r="E13" s="9" t="s">
        <v>36</v>
      </c>
      <c r="F13" s="9" t="s">
        <v>37</v>
      </c>
      <c r="G13" s="9" t="s">
        <v>144</v>
      </c>
      <c r="H13" s="9" t="s">
        <v>145</v>
      </c>
      <c r="I13" s="9" t="s">
        <v>115</v>
      </c>
      <c r="J13" s="9">
        <v>6795</v>
      </c>
      <c r="K13" s="9" t="s">
        <v>146</v>
      </c>
      <c r="L13" s="9" t="s">
        <v>117</v>
      </c>
      <c r="M13" s="10">
        <v>4.2685185185185187E-2</v>
      </c>
      <c r="N13" s="9" t="s">
        <v>127</v>
      </c>
      <c r="O13" s="9" t="s">
        <v>147</v>
      </c>
      <c r="P13" s="9" t="s">
        <v>119</v>
      </c>
      <c r="Q13" s="10">
        <v>2.6527777777777779E-2</v>
      </c>
      <c r="R13" s="9" t="s">
        <v>56</v>
      </c>
      <c r="S13" s="10">
        <v>0.2661574074074074</v>
      </c>
      <c r="T13" s="9">
        <v>95.019000000000005</v>
      </c>
      <c r="U13" s="9">
        <v>19.63</v>
      </c>
      <c r="V13" s="10">
        <v>0.20173611111111109</v>
      </c>
      <c r="W13" s="10">
        <v>4.7870370370370369E-2</v>
      </c>
      <c r="X13" s="10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 t="s">
        <v>139</v>
      </c>
      <c r="AF13" s="9" t="s">
        <v>148</v>
      </c>
      <c r="AG13" s="14" t="s">
        <v>634</v>
      </c>
      <c r="AH13" s="14">
        <v>6.2267570000000001</v>
      </c>
      <c r="AI13" s="9">
        <v>-75.599271000000002</v>
      </c>
      <c r="AJ13" s="9" t="s">
        <v>635</v>
      </c>
      <c r="AK13" s="9">
        <v>6.3234539999999999</v>
      </c>
      <c r="AL13" s="19">
        <v>-75.687256000000005</v>
      </c>
      <c r="AM13" s="26">
        <f t="shared" si="0"/>
        <v>2.6527777777777779E-2</v>
      </c>
      <c r="AN13" s="9"/>
    </row>
    <row r="14" spans="1:40" ht="15" x14ac:dyDescent="0.25">
      <c r="A14" s="9" t="s">
        <v>149</v>
      </c>
      <c r="B14" s="9" t="s">
        <v>150</v>
      </c>
      <c r="C14" s="9" t="s">
        <v>151</v>
      </c>
      <c r="D14" s="9" t="s">
        <v>35</v>
      </c>
      <c r="E14" s="9" t="s">
        <v>36</v>
      </c>
      <c r="F14" s="9" t="s">
        <v>37</v>
      </c>
      <c r="G14" s="9" t="s">
        <v>152</v>
      </c>
      <c r="H14" s="9" t="s">
        <v>153</v>
      </c>
      <c r="I14" s="9" t="s">
        <v>115</v>
      </c>
      <c r="J14" s="9">
        <v>2821</v>
      </c>
      <c r="K14" s="9" t="s">
        <v>154</v>
      </c>
      <c r="L14" s="9" t="s">
        <v>117</v>
      </c>
      <c r="M14" s="10">
        <v>4.6608796296296287E-2</v>
      </c>
      <c r="N14" s="9" t="s">
        <v>127</v>
      </c>
      <c r="O14" s="9" t="s">
        <v>155</v>
      </c>
      <c r="P14" s="9" t="s">
        <v>119</v>
      </c>
      <c r="Q14" s="10">
        <v>6.4282407407407413E-2</v>
      </c>
      <c r="R14" s="9" t="s">
        <v>56</v>
      </c>
      <c r="S14" s="10">
        <v>0.2323263888888889</v>
      </c>
      <c r="T14" s="9">
        <v>37.137</v>
      </c>
      <c r="U14" s="9">
        <v>9.7899999999999991</v>
      </c>
      <c r="V14" s="10">
        <v>0.15809027777777779</v>
      </c>
      <c r="W14" s="10">
        <v>9.4560185185185192E-2</v>
      </c>
      <c r="X14" s="10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 t="s">
        <v>139</v>
      </c>
      <c r="AF14" s="9" t="s">
        <v>156</v>
      </c>
      <c r="AG14" s="14" t="s">
        <v>638</v>
      </c>
      <c r="AH14" s="14">
        <v>6.2268319999999999</v>
      </c>
      <c r="AI14" s="9">
        <v>-75.599738000000002</v>
      </c>
      <c r="AJ14" s="9" t="s">
        <v>639</v>
      </c>
      <c r="AK14" s="9">
        <v>6.3080499999999997</v>
      </c>
      <c r="AL14" s="19">
        <v>-75.571286999999998</v>
      </c>
      <c r="AM14" s="26">
        <f t="shared" si="0"/>
        <v>6.4282407407407413E-2</v>
      </c>
      <c r="AN14" s="9"/>
    </row>
    <row r="15" spans="1:40" ht="15" x14ac:dyDescent="0.25">
      <c r="A15" s="9" t="s">
        <v>157</v>
      </c>
      <c r="B15" s="9" t="s">
        <v>158</v>
      </c>
      <c r="C15" s="9" t="s">
        <v>159</v>
      </c>
      <c r="D15" s="9" t="s">
        <v>35</v>
      </c>
      <c r="E15" s="9" t="s">
        <v>36</v>
      </c>
      <c r="F15" s="9" t="s">
        <v>37</v>
      </c>
      <c r="G15" s="9" t="s">
        <v>160</v>
      </c>
      <c r="H15" s="9" t="s">
        <v>161</v>
      </c>
      <c r="I15" s="9" t="s">
        <v>115</v>
      </c>
      <c r="J15" s="9">
        <v>12049</v>
      </c>
      <c r="K15" s="9" t="s">
        <v>162</v>
      </c>
      <c r="L15" s="9" t="s">
        <v>117</v>
      </c>
      <c r="M15" s="10">
        <v>4.0003194444444452E-2</v>
      </c>
      <c r="N15" s="9" t="s">
        <v>127</v>
      </c>
      <c r="O15" s="9" t="s">
        <v>163</v>
      </c>
      <c r="P15" s="9" t="s">
        <v>119</v>
      </c>
      <c r="Q15" s="10">
        <v>1.0714432870370371E-2</v>
      </c>
      <c r="R15" s="9" t="s">
        <v>129</v>
      </c>
      <c r="S15" s="10">
        <v>0.30071762731481477</v>
      </c>
      <c r="T15" s="9">
        <v>59.566000000000003</v>
      </c>
      <c r="U15" s="9">
        <v>15.83</v>
      </c>
      <c r="V15" s="10">
        <v>0.1567671990740741</v>
      </c>
      <c r="W15" s="10">
        <v>0.1161869791666667</v>
      </c>
      <c r="X15" s="10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1</v>
      </c>
      <c r="AE15" s="9" t="s">
        <v>130</v>
      </c>
      <c r="AF15" s="9" t="s">
        <v>164</v>
      </c>
      <c r="AG15" s="14" t="s">
        <v>642</v>
      </c>
      <c r="AH15" s="14">
        <v>6.229698</v>
      </c>
      <c r="AI15" s="9">
        <v>-75.596121999999994</v>
      </c>
      <c r="AJ15" s="9" t="s">
        <v>643</v>
      </c>
      <c r="AK15" s="9">
        <v>6.2684920000000002</v>
      </c>
      <c r="AL15" s="19">
        <v>-75.599203000000003</v>
      </c>
      <c r="AM15" s="26">
        <f t="shared" si="0"/>
        <v>0</v>
      </c>
      <c r="AN15" s="9"/>
    </row>
    <row r="16" spans="1:40" ht="15" x14ac:dyDescent="0.25">
      <c r="A16" s="9" t="s">
        <v>165</v>
      </c>
      <c r="B16" s="9" t="s">
        <v>166</v>
      </c>
      <c r="C16" s="9" t="s">
        <v>167</v>
      </c>
      <c r="D16" s="9" t="s">
        <v>168</v>
      </c>
      <c r="E16" s="9" t="s">
        <v>36</v>
      </c>
      <c r="F16" s="9" t="s">
        <v>169</v>
      </c>
      <c r="G16" s="9" t="s">
        <v>38</v>
      </c>
      <c r="H16" s="9" t="s">
        <v>39</v>
      </c>
      <c r="I16" s="9" t="s">
        <v>40</v>
      </c>
      <c r="J16" s="9">
        <v>8617</v>
      </c>
      <c r="K16" s="9" t="s">
        <v>170</v>
      </c>
      <c r="L16" s="9" t="s">
        <v>42</v>
      </c>
      <c r="M16" s="10">
        <v>1.0053090277777781E-2</v>
      </c>
      <c r="N16" s="9" t="s">
        <v>65</v>
      </c>
      <c r="O16" s="9" t="s">
        <v>171</v>
      </c>
      <c r="P16" s="9" t="s">
        <v>45</v>
      </c>
      <c r="Q16" s="10">
        <v>6.6242013888888887E-3</v>
      </c>
      <c r="R16" s="9" t="s">
        <v>46</v>
      </c>
      <c r="S16" s="10">
        <v>0.32990444444444439</v>
      </c>
      <c r="T16" s="9">
        <v>53.473999999999997</v>
      </c>
      <c r="U16" s="9">
        <v>19.57</v>
      </c>
      <c r="V16" s="10">
        <v>0.11386583333333331</v>
      </c>
      <c r="W16" s="10">
        <v>4.8102314814814813E-2</v>
      </c>
      <c r="X16" s="10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6</v>
      </c>
      <c r="AE16" s="9" t="s">
        <v>84</v>
      </c>
      <c r="AF16" s="9" t="s">
        <v>172</v>
      </c>
      <c r="AG16" s="14" t="s">
        <v>648</v>
      </c>
      <c r="AH16" s="14">
        <v>6.2033170000000002</v>
      </c>
      <c r="AI16" s="9">
        <v>-75.600712999999999</v>
      </c>
      <c r="AJ16" s="9" t="s">
        <v>649</v>
      </c>
      <c r="AK16" s="9">
        <v>6.221597</v>
      </c>
      <c r="AL16" s="19">
        <v>-75.59384</v>
      </c>
      <c r="AM16" s="26">
        <f t="shared" si="0"/>
        <v>0</v>
      </c>
      <c r="AN16" s="9"/>
    </row>
    <row r="17" spans="1:40" ht="15" x14ac:dyDescent="0.25">
      <c r="A17" s="9" t="s">
        <v>173</v>
      </c>
      <c r="B17" s="9" t="s">
        <v>174</v>
      </c>
      <c r="C17" s="9" t="s">
        <v>175</v>
      </c>
      <c r="D17" s="9" t="s">
        <v>168</v>
      </c>
      <c r="E17" s="9" t="s">
        <v>36</v>
      </c>
      <c r="F17" s="9" t="s">
        <v>169</v>
      </c>
      <c r="G17" s="9" t="s">
        <v>52</v>
      </c>
      <c r="H17" s="9" t="s">
        <v>53</v>
      </c>
      <c r="I17" s="9" t="s">
        <v>40</v>
      </c>
      <c r="J17" s="9">
        <v>4186</v>
      </c>
      <c r="K17" s="9" t="s">
        <v>176</v>
      </c>
      <c r="L17" s="9" t="s">
        <v>42</v>
      </c>
      <c r="M17" s="10">
        <v>1.52662037037037E-2</v>
      </c>
      <c r="N17" s="9" t="s">
        <v>127</v>
      </c>
      <c r="O17" s="9" t="s">
        <v>177</v>
      </c>
      <c r="P17" s="9" t="s">
        <v>45</v>
      </c>
      <c r="Q17" s="10">
        <v>2.239583333333333E-2</v>
      </c>
      <c r="R17" s="9" t="s">
        <v>56</v>
      </c>
      <c r="S17" s="10">
        <v>0.32620370370370372</v>
      </c>
      <c r="T17" s="9">
        <v>53.058</v>
      </c>
      <c r="U17" s="9">
        <v>9.02</v>
      </c>
      <c r="V17" s="10">
        <v>0.24497685185185189</v>
      </c>
      <c r="W17" s="10">
        <v>0.1429050925925926</v>
      </c>
      <c r="X17" s="10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3</v>
      </c>
      <c r="AE17" s="9" t="s">
        <v>139</v>
      </c>
      <c r="AF17" s="9" t="s">
        <v>178</v>
      </c>
      <c r="AG17" s="14" t="s">
        <v>650</v>
      </c>
      <c r="AH17" s="14">
        <v>6.2254310000000004</v>
      </c>
      <c r="AI17" s="9">
        <v>-75.599253000000004</v>
      </c>
      <c r="AJ17" s="9" t="s">
        <v>651</v>
      </c>
      <c r="AK17" s="9">
        <v>6.2563789999999999</v>
      </c>
      <c r="AL17" s="19">
        <v>-75.616522000000003</v>
      </c>
      <c r="AM17" s="26">
        <f t="shared" si="0"/>
        <v>2.239583333333333E-2</v>
      </c>
      <c r="AN17" s="9"/>
    </row>
    <row r="18" spans="1:40" ht="15" x14ac:dyDescent="0.25">
      <c r="A18" s="9" t="s">
        <v>179</v>
      </c>
      <c r="B18" s="9" t="s">
        <v>180</v>
      </c>
      <c r="C18" s="9" t="s">
        <v>181</v>
      </c>
      <c r="D18" s="9" t="s">
        <v>168</v>
      </c>
      <c r="E18" s="9" t="s">
        <v>36</v>
      </c>
      <c r="F18" s="9" t="s">
        <v>169</v>
      </c>
      <c r="G18" s="9" t="s">
        <v>72</v>
      </c>
      <c r="H18" s="9" t="s">
        <v>73</v>
      </c>
      <c r="I18" s="9" t="s">
        <v>40</v>
      </c>
      <c r="J18" s="9">
        <v>4058</v>
      </c>
      <c r="K18" s="9" t="s">
        <v>182</v>
      </c>
      <c r="L18" s="9" t="s">
        <v>42</v>
      </c>
      <c r="M18" s="10">
        <v>3.518518518518518E-3</v>
      </c>
      <c r="N18" s="9" t="s">
        <v>65</v>
      </c>
      <c r="O18" s="9" t="s">
        <v>183</v>
      </c>
      <c r="P18" s="9" t="s">
        <v>45</v>
      </c>
      <c r="Q18" s="10">
        <v>0.18057870370370371</v>
      </c>
      <c r="R18" s="9" t="s">
        <v>56</v>
      </c>
      <c r="S18" s="10">
        <v>0.1492361111111111</v>
      </c>
      <c r="T18" s="9">
        <v>55.665999999999997</v>
      </c>
      <c r="U18" s="9">
        <v>19.13</v>
      </c>
      <c r="V18" s="10">
        <v>0.12122685185185179</v>
      </c>
      <c r="W18" s="10">
        <v>3.7974537037037043E-2</v>
      </c>
      <c r="X18" s="10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 t="s">
        <v>67</v>
      </c>
      <c r="AF18" s="9" t="s">
        <v>184</v>
      </c>
      <c r="AG18" s="14" t="s">
        <v>658</v>
      </c>
      <c r="AH18" s="14">
        <v>6.2254959999999997</v>
      </c>
      <c r="AI18" s="9">
        <v>-75.599254000000002</v>
      </c>
      <c r="AJ18" s="9" t="s">
        <v>659</v>
      </c>
      <c r="AK18" s="9">
        <v>6.2468139999999996</v>
      </c>
      <c r="AL18" s="19">
        <v>-75.564496000000005</v>
      </c>
      <c r="AM18" s="26">
        <f t="shared" si="0"/>
        <v>0.18057870370370371</v>
      </c>
      <c r="AN18" s="9"/>
    </row>
    <row r="19" spans="1:40" ht="15" x14ac:dyDescent="0.25">
      <c r="A19" s="9" t="s">
        <v>185</v>
      </c>
      <c r="B19" s="9" t="s">
        <v>186</v>
      </c>
      <c r="C19" s="9" t="s">
        <v>187</v>
      </c>
      <c r="D19" s="9" t="s">
        <v>168</v>
      </c>
      <c r="E19" s="9" t="s">
        <v>36</v>
      </c>
      <c r="F19" s="9" t="s">
        <v>169</v>
      </c>
      <c r="G19" s="9" t="s">
        <v>80</v>
      </c>
      <c r="H19" s="9" t="s">
        <v>81</v>
      </c>
      <c r="I19" s="9" t="s">
        <v>40</v>
      </c>
      <c r="J19" s="9">
        <v>7728</v>
      </c>
      <c r="K19" s="9" t="s">
        <v>188</v>
      </c>
      <c r="L19" s="9" t="s">
        <v>42</v>
      </c>
      <c r="M19" s="10">
        <v>4.1732523148148154E-3</v>
      </c>
      <c r="N19" s="9" t="s">
        <v>65</v>
      </c>
      <c r="O19" s="9" t="s">
        <v>189</v>
      </c>
      <c r="P19" s="9" t="s">
        <v>45</v>
      </c>
      <c r="Q19" s="10">
        <v>5.3112268518518526E-4</v>
      </c>
      <c r="R19" s="9" t="s">
        <v>46</v>
      </c>
      <c r="S19" s="10">
        <v>0.32969120370370369</v>
      </c>
      <c r="T19" s="9">
        <v>50.911000000000001</v>
      </c>
      <c r="U19" s="9">
        <v>14.81</v>
      </c>
      <c r="V19" s="10">
        <v>0.14322857638888889</v>
      </c>
      <c r="W19" s="10">
        <v>9.1386087962962964E-2</v>
      </c>
      <c r="X19" s="10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11</v>
      </c>
      <c r="AE19" s="9" t="s">
        <v>84</v>
      </c>
      <c r="AF19" s="9" t="s">
        <v>190</v>
      </c>
      <c r="AG19" s="14" t="s">
        <v>662</v>
      </c>
      <c r="AH19" s="14">
        <v>6.2251799999999999</v>
      </c>
      <c r="AI19" s="9">
        <v>-75.599445000000003</v>
      </c>
      <c r="AJ19" s="9" t="s">
        <v>663</v>
      </c>
      <c r="AK19" s="9">
        <v>6.2592369999999997</v>
      </c>
      <c r="AL19" s="19">
        <v>-75.620937999999995</v>
      </c>
      <c r="AM19" s="26">
        <f t="shared" si="0"/>
        <v>0</v>
      </c>
      <c r="AN19" s="9"/>
    </row>
    <row r="20" spans="1:40" ht="15" x14ac:dyDescent="0.25">
      <c r="A20" s="9" t="s">
        <v>191</v>
      </c>
      <c r="B20" s="9" t="s">
        <v>192</v>
      </c>
      <c r="C20" s="9" t="s">
        <v>193</v>
      </c>
      <c r="D20" s="9" t="s">
        <v>168</v>
      </c>
      <c r="E20" s="9" t="s">
        <v>36</v>
      </c>
      <c r="F20" s="9" t="s">
        <v>169</v>
      </c>
      <c r="G20" s="9" t="s">
        <v>89</v>
      </c>
      <c r="H20" s="9" t="s">
        <v>90</v>
      </c>
      <c r="I20" s="9" t="s">
        <v>40</v>
      </c>
      <c r="J20" s="9">
        <v>8741</v>
      </c>
      <c r="K20" s="9" t="s">
        <v>194</v>
      </c>
      <c r="L20" s="9" t="s">
        <v>42</v>
      </c>
      <c r="M20" s="10">
        <v>1.7673611111111109E-2</v>
      </c>
      <c r="N20" s="9" t="s">
        <v>127</v>
      </c>
      <c r="O20" s="9" t="s">
        <v>195</v>
      </c>
      <c r="P20" s="9" t="s">
        <v>45</v>
      </c>
      <c r="Q20" s="10">
        <v>4.6759259259259263E-3</v>
      </c>
      <c r="R20" s="9" t="s">
        <v>46</v>
      </c>
      <c r="S20" s="10">
        <v>0.3463310185185185</v>
      </c>
      <c r="T20" s="9">
        <v>124.512</v>
      </c>
      <c r="U20" s="9">
        <v>20.32</v>
      </c>
      <c r="V20" s="10">
        <v>0.2553009259259259</v>
      </c>
      <c r="W20" s="10">
        <v>7.3159722222222223E-2</v>
      </c>
      <c r="X20" s="10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 t="s">
        <v>139</v>
      </c>
      <c r="AF20" s="9" t="s">
        <v>196</v>
      </c>
      <c r="AG20" s="14" t="s">
        <v>666</v>
      </c>
      <c r="AH20" s="14">
        <v>6.2264600000000003</v>
      </c>
      <c r="AI20" s="9">
        <v>-75.599228999999994</v>
      </c>
      <c r="AJ20" s="9" t="s">
        <v>667</v>
      </c>
      <c r="AK20" s="9">
        <v>6.3089069999999996</v>
      </c>
      <c r="AL20" s="19">
        <v>-75.559781999999998</v>
      </c>
      <c r="AM20" s="26">
        <f t="shared" si="0"/>
        <v>0</v>
      </c>
      <c r="AN20" s="9"/>
    </row>
    <row r="21" spans="1:40" ht="15" x14ac:dyDescent="0.25">
      <c r="A21" s="9" t="s">
        <v>197</v>
      </c>
      <c r="B21" s="9" t="s">
        <v>198</v>
      </c>
      <c r="C21" s="9" t="s">
        <v>199</v>
      </c>
      <c r="D21" s="9" t="s">
        <v>168</v>
      </c>
      <c r="E21" s="9" t="s">
        <v>36</v>
      </c>
      <c r="F21" s="9" t="s">
        <v>169</v>
      </c>
      <c r="G21" s="9" t="s">
        <v>97</v>
      </c>
      <c r="H21" s="9" t="s">
        <v>98</v>
      </c>
      <c r="I21" s="9" t="s">
        <v>40</v>
      </c>
      <c r="J21" s="9">
        <v>5179</v>
      </c>
      <c r="K21" s="9" t="s">
        <v>200</v>
      </c>
      <c r="L21" s="9" t="s">
        <v>42</v>
      </c>
      <c r="M21" s="10">
        <v>3.0787037037037042E-3</v>
      </c>
      <c r="N21" s="9" t="s">
        <v>65</v>
      </c>
      <c r="O21" s="9" t="s">
        <v>201</v>
      </c>
      <c r="P21" s="9" t="s">
        <v>45</v>
      </c>
      <c r="Q21" s="10">
        <v>1.7384259259259259E-2</v>
      </c>
      <c r="R21" s="9" t="s">
        <v>56</v>
      </c>
      <c r="S21" s="10">
        <v>0.31287037037037041</v>
      </c>
      <c r="T21" s="9">
        <v>68.456999999999994</v>
      </c>
      <c r="U21" s="9">
        <v>14.49</v>
      </c>
      <c r="V21" s="10">
        <v>0.1968634259259259</v>
      </c>
      <c r="W21" s="10">
        <v>9.1157407407407409E-2</v>
      </c>
      <c r="X21" s="10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 t="s">
        <v>67</v>
      </c>
      <c r="AF21" s="9" t="s">
        <v>202</v>
      </c>
      <c r="AG21" s="14" t="s">
        <v>670</v>
      </c>
      <c r="AH21" s="14">
        <v>6.2291800000000004</v>
      </c>
      <c r="AI21" s="9">
        <v>-75.596322000000001</v>
      </c>
      <c r="AJ21" s="9" t="s">
        <v>671</v>
      </c>
      <c r="AK21" s="9">
        <v>6.308344</v>
      </c>
      <c r="AL21" s="19">
        <v>-75.576536000000004</v>
      </c>
      <c r="AM21" s="26">
        <f t="shared" si="0"/>
        <v>1.7384259259259259E-2</v>
      </c>
      <c r="AN21" s="9"/>
    </row>
    <row r="22" spans="1:40" ht="35.1" customHeight="1" x14ac:dyDescent="0.25">
      <c r="A22" s="9">
        <v>0</v>
      </c>
      <c r="B22" s="11" t="s">
        <v>256</v>
      </c>
      <c r="C22" s="11" t="s">
        <v>257</v>
      </c>
      <c r="D22" s="11" t="s">
        <v>168</v>
      </c>
      <c r="E22" s="11" t="s">
        <v>36</v>
      </c>
      <c r="F22" s="9" t="s">
        <v>169</v>
      </c>
      <c r="G22" s="11" t="s">
        <v>62</v>
      </c>
      <c r="H22" s="11" t="s">
        <v>63</v>
      </c>
      <c r="I22" s="11" t="s">
        <v>258</v>
      </c>
      <c r="J22" s="11">
        <v>6624</v>
      </c>
      <c r="K22" s="30">
        <v>46267.353692129633</v>
      </c>
      <c r="L22" s="11" t="s">
        <v>259</v>
      </c>
      <c r="M22" s="10">
        <v>4.7453703703703698E-4</v>
      </c>
      <c r="N22" s="9" t="s">
        <v>65</v>
      </c>
      <c r="O22" s="30">
        <v>46267.613842592589</v>
      </c>
      <c r="P22" s="9" t="s">
        <v>45</v>
      </c>
      <c r="Q22" s="10">
        <v>7.3657407407407408E-2</v>
      </c>
      <c r="R22" s="9" t="s">
        <v>56</v>
      </c>
      <c r="S22" s="10">
        <v>0.26015046296296301</v>
      </c>
      <c r="T22" s="11">
        <v>69.915000000000006</v>
      </c>
      <c r="U22" s="11">
        <v>20.3</v>
      </c>
      <c r="V22" s="10">
        <v>0.1747222222222222</v>
      </c>
      <c r="W22" s="10">
        <v>5.5E-2</v>
      </c>
      <c r="X22" s="10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1</v>
      </c>
      <c r="AE22" s="11" t="s">
        <v>260</v>
      </c>
      <c r="AF22" s="11" t="s">
        <v>261</v>
      </c>
      <c r="AG22" s="14" t="s">
        <v>628</v>
      </c>
      <c r="AH22" s="14">
        <v>6.2251849999999997</v>
      </c>
      <c r="AI22" s="9">
        <v>-75.599536999999998</v>
      </c>
      <c r="AJ22" s="9" t="s">
        <v>629</v>
      </c>
      <c r="AK22" s="9">
        <v>6.2998750000000001</v>
      </c>
      <c r="AL22" s="19">
        <v>-75.579885000000004</v>
      </c>
      <c r="AM22" s="26">
        <f t="shared" si="0"/>
        <v>7.3657407407407408E-2</v>
      </c>
      <c r="AN22" s="9"/>
    </row>
    <row r="23" spans="1:40" ht="15" x14ac:dyDescent="0.25">
      <c r="A23" s="9" t="s">
        <v>269</v>
      </c>
      <c r="B23" s="9" t="s">
        <v>270</v>
      </c>
      <c r="C23" s="9" t="s">
        <v>271</v>
      </c>
      <c r="D23" s="9" t="s">
        <v>168</v>
      </c>
      <c r="E23" s="9" t="s">
        <v>36</v>
      </c>
      <c r="F23" s="9" t="s">
        <v>169</v>
      </c>
      <c r="G23" s="9" t="s">
        <v>105</v>
      </c>
      <c r="H23" s="9" t="s">
        <v>106</v>
      </c>
      <c r="I23" s="9" t="s">
        <v>40</v>
      </c>
      <c r="J23" s="9">
        <v>3111</v>
      </c>
      <c r="K23" s="9" t="s">
        <v>272</v>
      </c>
      <c r="L23" s="9" t="s">
        <v>42</v>
      </c>
      <c r="M23" s="10">
        <v>5.4513888888888893E-3</v>
      </c>
      <c r="N23" s="9" t="s">
        <v>65</v>
      </c>
      <c r="O23" s="9" t="s">
        <v>273</v>
      </c>
      <c r="P23" s="9" t="s">
        <v>45</v>
      </c>
      <c r="Q23" s="10">
        <v>1.5821759259259261E-2</v>
      </c>
      <c r="R23" s="9" t="s">
        <v>56</v>
      </c>
      <c r="S23" s="10">
        <v>0.31206018518518519</v>
      </c>
      <c r="T23" s="9">
        <v>40.978000000000002</v>
      </c>
      <c r="U23" s="9">
        <v>11.74</v>
      </c>
      <c r="V23" s="10">
        <v>0.1454050925925926</v>
      </c>
      <c r="W23" s="10">
        <v>8.3310185185185182E-2</v>
      </c>
      <c r="X23" s="10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 t="s">
        <v>67</v>
      </c>
      <c r="AF23" s="9" t="s">
        <v>274</v>
      </c>
      <c r="AG23" s="14" t="s">
        <v>672</v>
      </c>
      <c r="AH23" s="14">
        <v>6.2311730000000001</v>
      </c>
      <c r="AI23" s="9">
        <v>-75.598545999999999</v>
      </c>
      <c r="AJ23" s="9" t="s">
        <v>673</v>
      </c>
      <c r="AK23" s="9">
        <v>6.225498</v>
      </c>
      <c r="AL23" s="19">
        <v>-75.599266999999998</v>
      </c>
      <c r="AM23" s="26">
        <f t="shared" si="0"/>
        <v>1.5821759259259261E-2</v>
      </c>
      <c r="AN23" s="9"/>
    </row>
    <row r="24" spans="1:40" ht="15" x14ac:dyDescent="0.25">
      <c r="A24" s="9" t="s">
        <v>275</v>
      </c>
      <c r="B24" s="9" t="s">
        <v>276</v>
      </c>
      <c r="C24" s="9" t="s">
        <v>277</v>
      </c>
      <c r="D24" s="9" t="s">
        <v>168</v>
      </c>
      <c r="E24" s="9" t="s">
        <v>36</v>
      </c>
      <c r="F24" s="9" t="s">
        <v>169</v>
      </c>
      <c r="G24" s="9" t="s">
        <v>113</v>
      </c>
      <c r="H24" s="9" t="s">
        <v>114</v>
      </c>
      <c r="I24" s="9" t="s">
        <v>115</v>
      </c>
      <c r="J24" s="9">
        <v>3952</v>
      </c>
      <c r="K24" s="9" t="s">
        <v>278</v>
      </c>
      <c r="L24" s="9" t="s">
        <v>117</v>
      </c>
      <c r="M24" s="10">
        <v>8.2523148148148148E-3</v>
      </c>
      <c r="N24" s="9" t="s">
        <v>65</v>
      </c>
      <c r="O24" s="9" t="s">
        <v>279</v>
      </c>
      <c r="P24" s="9" t="s">
        <v>119</v>
      </c>
      <c r="Q24" s="10">
        <v>7.0451388888888883E-2</v>
      </c>
      <c r="R24" s="9" t="s">
        <v>56</v>
      </c>
      <c r="S24" s="10">
        <v>0.17129629629629631</v>
      </c>
      <c r="T24" s="9">
        <v>61.189</v>
      </c>
      <c r="U24" s="9">
        <v>18.52</v>
      </c>
      <c r="V24" s="10">
        <v>0.13768518518518519</v>
      </c>
      <c r="W24" s="10">
        <v>4.7291666666666669E-2</v>
      </c>
      <c r="X24" s="10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 t="s">
        <v>67</v>
      </c>
      <c r="AF24" s="9" t="s">
        <v>280</v>
      </c>
      <c r="AG24" s="14" t="s">
        <v>652</v>
      </c>
      <c r="AH24" s="14">
        <v>6.1641009999999996</v>
      </c>
      <c r="AI24" s="9">
        <v>-75.615692999999993</v>
      </c>
      <c r="AJ24" s="9" t="s">
        <v>653</v>
      </c>
      <c r="AK24" s="9">
        <v>6.2456750000000003</v>
      </c>
      <c r="AL24" s="19">
        <v>-75.621076000000002</v>
      </c>
      <c r="AM24" s="26">
        <f t="shared" si="0"/>
        <v>7.0451388888888883E-2</v>
      </c>
      <c r="AN24" s="9"/>
    </row>
    <row r="25" spans="1:40" ht="15" x14ac:dyDescent="0.25">
      <c r="A25" s="9" t="s">
        <v>281</v>
      </c>
      <c r="B25" s="9" t="s">
        <v>282</v>
      </c>
      <c r="C25" s="9" t="s">
        <v>283</v>
      </c>
      <c r="D25" s="9" t="s">
        <v>168</v>
      </c>
      <c r="E25" s="9" t="s">
        <v>36</v>
      </c>
      <c r="F25" s="9" t="s">
        <v>169</v>
      </c>
      <c r="G25" s="9" t="s">
        <v>124</v>
      </c>
      <c r="H25" s="9" t="s">
        <v>125</v>
      </c>
      <c r="I25" s="9" t="s">
        <v>115</v>
      </c>
      <c r="J25" s="9">
        <v>4654</v>
      </c>
      <c r="K25" s="9" t="s">
        <v>284</v>
      </c>
      <c r="L25" s="9" t="s">
        <v>117</v>
      </c>
      <c r="M25" s="10">
        <v>2.7430555555555559E-2</v>
      </c>
      <c r="N25" s="9" t="s">
        <v>127</v>
      </c>
      <c r="O25" s="9" t="s">
        <v>285</v>
      </c>
      <c r="P25" s="9" t="s">
        <v>119</v>
      </c>
      <c r="Q25" s="10">
        <v>1.7939814814814811E-2</v>
      </c>
      <c r="R25" s="9" t="s">
        <v>129</v>
      </c>
      <c r="S25" s="10">
        <v>0.29537037037037039</v>
      </c>
      <c r="T25" s="9">
        <v>59.173000000000002</v>
      </c>
      <c r="U25" s="9">
        <v>11.07</v>
      </c>
      <c r="V25" s="10">
        <v>0.22271990740740741</v>
      </c>
      <c r="W25" s="10">
        <v>9.2384259259259263E-2</v>
      </c>
      <c r="X25" s="10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 t="s">
        <v>130</v>
      </c>
      <c r="AF25" s="9" t="s">
        <v>286</v>
      </c>
      <c r="AG25" s="14" t="s">
        <v>654</v>
      </c>
      <c r="AH25" s="14">
        <v>6.2265430000000004</v>
      </c>
      <c r="AI25" s="9">
        <v>-75.599318999999994</v>
      </c>
      <c r="AJ25" s="9" t="s">
        <v>655</v>
      </c>
      <c r="AK25" s="9">
        <v>6.2726360000000003</v>
      </c>
      <c r="AL25" s="19">
        <v>-75.602001999999999</v>
      </c>
      <c r="AM25" s="26">
        <f t="shared" si="0"/>
        <v>0</v>
      </c>
      <c r="AN25" s="9"/>
    </row>
    <row r="26" spans="1:40" ht="15" x14ac:dyDescent="0.25">
      <c r="A26" s="9" t="s">
        <v>287</v>
      </c>
      <c r="B26" s="9" t="s">
        <v>288</v>
      </c>
      <c r="C26" s="9" t="s">
        <v>289</v>
      </c>
      <c r="D26" s="9" t="s">
        <v>168</v>
      </c>
      <c r="E26" s="9" t="s">
        <v>36</v>
      </c>
      <c r="F26" s="9" t="s">
        <v>169</v>
      </c>
      <c r="G26" s="9" t="s">
        <v>135</v>
      </c>
      <c r="H26" s="9" t="s">
        <v>136</v>
      </c>
      <c r="I26" s="9" t="s">
        <v>115</v>
      </c>
      <c r="J26" s="9">
        <v>1814</v>
      </c>
      <c r="K26" s="9" t="s">
        <v>290</v>
      </c>
      <c r="L26" s="9" t="s">
        <v>117</v>
      </c>
      <c r="M26" s="10">
        <v>6.2152777777777779E-3</v>
      </c>
      <c r="N26" s="9" t="s">
        <v>65</v>
      </c>
      <c r="O26" s="9" t="s">
        <v>291</v>
      </c>
      <c r="P26" s="9" t="s">
        <v>119</v>
      </c>
      <c r="Q26" s="10">
        <v>4.0972222222222226E-3</v>
      </c>
      <c r="R26" s="9" t="s">
        <v>46</v>
      </c>
      <c r="S26" s="10">
        <v>0.2396875</v>
      </c>
      <c r="T26" s="9">
        <v>25.899000000000001</v>
      </c>
      <c r="U26" s="9">
        <v>13.01</v>
      </c>
      <c r="V26" s="10">
        <v>8.2928240740740747E-2</v>
      </c>
      <c r="W26" s="10">
        <v>5.4571759259259257E-2</v>
      </c>
      <c r="X26" s="10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3</v>
      </c>
      <c r="AE26" s="9" t="s">
        <v>84</v>
      </c>
      <c r="AF26" s="9" t="s">
        <v>292</v>
      </c>
      <c r="AG26" s="14" t="s">
        <v>656</v>
      </c>
      <c r="AH26" s="14">
        <v>6.2516999999999996</v>
      </c>
      <c r="AI26" s="9">
        <v>-75.620225000000005</v>
      </c>
      <c r="AJ26" s="9" t="s">
        <v>657</v>
      </c>
      <c r="AK26" s="9">
        <v>6.268078</v>
      </c>
      <c r="AL26" s="19">
        <v>-75.591665000000006</v>
      </c>
      <c r="AM26" s="26">
        <f t="shared" si="0"/>
        <v>0</v>
      </c>
      <c r="AN26" s="9"/>
    </row>
    <row r="27" spans="1:40" ht="15" x14ac:dyDescent="0.25">
      <c r="A27" s="9" t="s">
        <v>293</v>
      </c>
      <c r="B27" s="9" t="s">
        <v>294</v>
      </c>
      <c r="C27" s="9" t="s">
        <v>295</v>
      </c>
      <c r="D27" s="9" t="s">
        <v>168</v>
      </c>
      <c r="E27" s="9" t="s">
        <v>36</v>
      </c>
      <c r="F27" s="9" t="s">
        <v>169</v>
      </c>
      <c r="G27" s="9" t="s">
        <v>144</v>
      </c>
      <c r="H27" s="9" t="s">
        <v>145</v>
      </c>
      <c r="I27" s="9" t="s">
        <v>115</v>
      </c>
      <c r="J27" s="9">
        <v>4148</v>
      </c>
      <c r="K27" s="9" t="s">
        <v>296</v>
      </c>
      <c r="L27" s="9" t="s">
        <v>117</v>
      </c>
      <c r="M27" s="10">
        <v>7.8113425925925919E-2</v>
      </c>
      <c r="N27" s="9" t="s">
        <v>43</v>
      </c>
      <c r="O27" s="9" t="s">
        <v>297</v>
      </c>
      <c r="P27" s="9" t="s">
        <v>119</v>
      </c>
      <c r="Q27" s="10">
        <v>1.7233796296296299E-2</v>
      </c>
      <c r="R27" s="9" t="s">
        <v>56</v>
      </c>
      <c r="S27" s="10">
        <v>0.15465277777777781</v>
      </c>
      <c r="T27" s="9">
        <v>55.295000000000002</v>
      </c>
      <c r="U27" s="9">
        <v>18.190000000000001</v>
      </c>
      <c r="V27" s="10">
        <v>0.12664351851851849</v>
      </c>
      <c r="W27" s="10">
        <v>2.8009259259259262E-2</v>
      </c>
      <c r="X27" s="10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 t="s">
        <v>57</v>
      </c>
      <c r="AF27" s="9" t="s">
        <v>298</v>
      </c>
      <c r="AG27" s="14" t="s">
        <v>660</v>
      </c>
      <c r="AH27" s="14">
        <v>6.272634</v>
      </c>
      <c r="AI27" s="9">
        <v>-75.573853</v>
      </c>
      <c r="AJ27" s="9" t="s">
        <v>661</v>
      </c>
      <c r="AK27" s="9">
        <v>6.272805</v>
      </c>
      <c r="AL27" s="19">
        <v>-75.574417999999994</v>
      </c>
      <c r="AM27" s="26">
        <f t="shared" si="0"/>
        <v>9.5347222222222222E-2</v>
      </c>
      <c r="AN27" s="9"/>
    </row>
    <row r="28" spans="1:40" ht="15" x14ac:dyDescent="0.25">
      <c r="A28" s="9" t="s">
        <v>299</v>
      </c>
      <c r="B28" s="9" t="s">
        <v>300</v>
      </c>
      <c r="C28" s="9" t="s">
        <v>301</v>
      </c>
      <c r="D28" s="9" t="s">
        <v>168</v>
      </c>
      <c r="E28" s="9" t="s">
        <v>36</v>
      </c>
      <c r="F28" s="9" t="s">
        <v>169</v>
      </c>
      <c r="G28" s="9" t="s">
        <v>152</v>
      </c>
      <c r="H28" s="9" t="s">
        <v>153</v>
      </c>
      <c r="I28" s="9" t="s">
        <v>115</v>
      </c>
      <c r="J28" s="9">
        <v>1556</v>
      </c>
      <c r="K28" s="9" t="s">
        <v>302</v>
      </c>
      <c r="L28" s="9" t="s">
        <v>117</v>
      </c>
      <c r="M28" s="10">
        <v>3.7534722222222219E-2</v>
      </c>
      <c r="N28" s="9" t="s">
        <v>127</v>
      </c>
      <c r="O28" s="9" t="s">
        <v>303</v>
      </c>
      <c r="P28" s="9" t="s">
        <v>119</v>
      </c>
      <c r="Q28" s="10">
        <v>8.1585648148148143E-2</v>
      </c>
      <c r="R28" s="9" t="s">
        <v>56</v>
      </c>
      <c r="S28" s="10">
        <v>0.20594907407407409</v>
      </c>
      <c r="T28" s="9">
        <v>19.588999999999999</v>
      </c>
      <c r="U28" s="9">
        <v>7.66</v>
      </c>
      <c r="V28" s="10">
        <v>0.10649305555555549</v>
      </c>
      <c r="W28" s="10">
        <v>8.1319444444444444E-2</v>
      </c>
      <c r="X28" s="10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 t="s">
        <v>139</v>
      </c>
      <c r="AF28" s="9" t="s">
        <v>304</v>
      </c>
      <c r="AG28" s="14" t="s">
        <v>664</v>
      </c>
      <c r="AH28" s="14">
        <v>6.2269129999999997</v>
      </c>
      <c r="AI28" s="9">
        <v>-75.599711999999997</v>
      </c>
      <c r="AJ28" s="9" t="s">
        <v>665</v>
      </c>
      <c r="AK28" s="9">
        <v>6.2920199999999999</v>
      </c>
      <c r="AL28" s="19">
        <v>-75.569181999999998</v>
      </c>
      <c r="AM28" s="26">
        <f t="shared" si="0"/>
        <v>8.1585648148148143E-2</v>
      </c>
      <c r="AN28" s="9"/>
    </row>
    <row r="29" spans="1:40" ht="15" x14ac:dyDescent="0.25">
      <c r="A29" s="9" t="s">
        <v>305</v>
      </c>
      <c r="B29" s="9" t="s">
        <v>306</v>
      </c>
      <c r="C29" s="9" t="s">
        <v>307</v>
      </c>
      <c r="D29" s="9" t="s">
        <v>168</v>
      </c>
      <c r="E29" s="9" t="s">
        <v>36</v>
      </c>
      <c r="F29" s="9" t="s">
        <v>169</v>
      </c>
      <c r="G29" s="9" t="s">
        <v>160</v>
      </c>
      <c r="H29" s="9" t="s">
        <v>161</v>
      </c>
      <c r="I29" s="9" t="s">
        <v>115</v>
      </c>
      <c r="J29" s="9">
        <v>12439</v>
      </c>
      <c r="K29" s="9" t="s">
        <v>308</v>
      </c>
      <c r="L29" s="9" t="s">
        <v>117</v>
      </c>
      <c r="M29" s="10">
        <v>1.5827546296296301E-2</v>
      </c>
      <c r="N29" s="9" t="s">
        <v>127</v>
      </c>
      <c r="O29" s="9" t="s">
        <v>309</v>
      </c>
      <c r="P29" s="9" t="s">
        <v>119</v>
      </c>
      <c r="Q29" s="10">
        <v>1.3495370370370369E-2</v>
      </c>
      <c r="R29" s="9" t="s">
        <v>129</v>
      </c>
      <c r="S29" s="10">
        <v>0.27932291666666659</v>
      </c>
      <c r="T29" s="9">
        <v>60.595999999999997</v>
      </c>
      <c r="U29" s="9">
        <v>15.14</v>
      </c>
      <c r="V29" s="10">
        <v>0.16677083333333331</v>
      </c>
      <c r="W29" s="10">
        <v>0.1099305555555556</v>
      </c>
      <c r="X29" s="10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2</v>
      </c>
      <c r="AE29" s="9" t="s">
        <v>130</v>
      </c>
      <c r="AF29" s="9" t="s">
        <v>310</v>
      </c>
      <c r="AG29" s="14" t="s">
        <v>668</v>
      </c>
      <c r="AH29" s="14">
        <v>6.2266430000000001</v>
      </c>
      <c r="AI29" s="9">
        <v>-75.599171999999996</v>
      </c>
      <c r="AJ29" s="9" t="s">
        <v>669</v>
      </c>
      <c r="AK29" s="9">
        <v>6.2684899999999999</v>
      </c>
      <c r="AL29" s="19">
        <v>-75.599357999999995</v>
      </c>
      <c r="AM29" s="26">
        <f t="shared" si="0"/>
        <v>0</v>
      </c>
      <c r="AN29" s="9"/>
    </row>
    <row r="30" spans="1:40" ht="15" x14ac:dyDescent="0.25">
      <c r="A30" s="9" t="s">
        <v>311</v>
      </c>
      <c r="B30" s="9" t="s">
        <v>312</v>
      </c>
      <c r="C30" s="9" t="s">
        <v>313</v>
      </c>
      <c r="D30" s="9" t="s">
        <v>314</v>
      </c>
      <c r="E30" s="9" t="s">
        <v>36</v>
      </c>
      <c r="F30" s="9" t="s">
        <v>315</v>
      </c>
      <c r="G30" s="9" t="s">
        <v>38</v>
      </c>
      <c r="H30" s="9" t="s">
        <v>39</v>
      </c>
      <c r="I30" s="9" t="s">
        <v>40</v>
      </c>
      <c r="J30" s="9">
        <v>7043</v>
      </c>
      <c r="K30" s="9" t="s">
        <v>316</v>
      </c>
      <c r="L30" s="9" t="s">
        <v>42</v>
      </c>
      <c r="M30" s="10">
        <v>1.5865347222222222E-2</v>
      </c>
      <c r="N30" s="9" t="s">
        <v>43</v>
      </c>
      <c r="O30" s="9" t="s">
        <v>317</v>
      </c>
      <c r="P30" s="9" t="s">
        <v>45</v>
      </c>
      <c r="Q30" s="10">
        <v>8.1918518518518512E-3</v>
      </c>
      <c r="R30" s="9" t="s">
        <v>46</v>
      </c>
      <c r="S30" s="10">
        <v>0.32565983796296288</v>
      </c>
      <c r="T30" s="9">
        <v>46.478999999999999</v>
      </c>
      <c r="U30" s="9">
        <v>13.78</v>
      </c>
      <c r="V30" s="10">
        <v>0.1405752662037037</v>
      </c>
      <c r="W30" s="10">
        <v>8.242839120370371E-2</v>
      </c>
      <c r="X30" s="10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5</v>
      </c>
      <c r="AE30" s="9" t="s">
        <v>47</v>
      </c>
      <c r="AF30" s="9" t="s">
        <v>318</v>
      </c>
      <c r="AG30" s="14" t="s">
        <v>674</v>
      </c>
      <c r="AH30" s="14">
        <v>6.2160060000000001</v>
      </c>
      <c r="AI30" s="9">
        <v>-75.597631000000007</v>
      </c>
      <c r="AJ30" s="9" t="s">
        <v>675</v>
      </c>
      <c r="AK30" s="9">
        <v>6.2217310000000001</v>
      </c>
      <c r="AL30" s="19">
        <v>-75.593853999999993</v>
      </c>
      <c r="AM30" s="26">
        <f t="shared" si="0"/>
        <v>1.5865347222222222E-2</v>
      </c>
      <c r="AN30" s="9"/>
    </row>
    <row r="31" spans="1:40" ht="15" x14ac:dyDescent="0.25">
      <c r="A31" s="9" t="s">
        <v>319</v>
      </c>
      <c r="B31" s="9" t="s">
        <v>320</v>
      </c>
      <c r="C31" s="9" t="s">
        <v>321</v>
      </c>
      <c r="D31" s="9" t="s">
        <v>314</v>
      </c>
      <c r="E31" s="9" t="s">
        <v>36</v>
      </c>
      <c r="F31" s="9" t="s">
        <v>315</v>
      </c>
      <c r="G31" s="9" t="s">
        <v>52</v>
      </c>
      <c r="H31" s="9" t="s">
        <v>53</v>
      </c>
      <c r="I31" s="9" t="s">
        <v>40</v>
      </c>
      <c r="J31" s="9">
        <v>3948</v>
      </c>
      <c r="K31" s="9" t="s">
        <v>322</v>
      </c>
      <c r="L31" s="9" t="s">
        <v>42</v>
      </c>
      <c r="M31" s="10">
        <v>8.8425925925925929E-3</v>
      </c>
      <c r="N31" s="9" t="s">
        <v>65</v>
      </c>
      <c r="O31" s="9" t="s">
        <v>323</v>
      </c>
      <c r="P31" s="9" t="s">
        <v>45</v>
      </c>
      <c r="Q31" s="10">
        <v>1.215277777777778E-3</v>
      </c>
      <c r="R31" s="9" t="s">
        <v>46</v>
      </c>
      <c r="S31" s="10">
        <v>0.32570601851851849</v>
      </c>
      <c r="T31" s="9">
        <v>51.637</v>
      </c>
      <c r="U31" s="9">
        <v>8.9600000000000009</v>
      </c>
      <c r="V31" s="10">
        <v>0.2402546296296296</v>
      </c>
      <c r="W31" s="10">
        <v>0.13600694444444439</v>
      </c>
      <c r="X31" s="10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1</v>
      </c>
      <c r="AE31" s="9" t="s">
        <v>84</v>
      </c>
      <c r="AF31" s="9" t="s">
        <v>324</v>
      </c>
      <c r="AG31" s="14" t="s">
        <v>676</v>
      </c>
      <c r="AH31" s="14">
        <v>6.23834</v>
      </c>
      <c r="AI31" s="9">
        <v>-75.602986000000001</v>
      </c>
      <c r="AJ31" s="9" t="s">
        <v>677</v>
      </c>
      <c r="AK31" s="9">
        <v>6.2478249999999997</v>
      </c>
      <c r="AL31" s="19">
        <v>-75.615007000000006</v>
      </c>
      <c r="AM31" s="26">
        <f t="shared" si="0"/>
        <v>0</v>
      </c>
      <c r="AN31" s="9"/>
    </row>
    <row r="32" spans="1:40" ht="15" x14ac:dyDescent="0.25">
      <c r="A32" s="9" t="s">
        <v>325</v>
      </c>
      <c r="B32" s="9" t="s">
        <v>362</v>
      </c>
      <c r="C32" s="9" t="s">
        <v>326</v>
      </c>
      <c r="D32" s="9" t="s">
        <v>314</v>
      </c>
      <c r="E32" s="9" t="s">
        <v>36</v>
      </c>
      <c r="F32" s="9" t="s">
        <v>315</v>
      </c>
      <c r="G32" s="9" t="s">
        <v>72</v>
      </c>
      <c r="H32" s="9" t="s">
        <v>73</v>
      </c>
      <c r="I32" s="9" t="s">
        <v>40</v>
      </c>
      <c r="J32" s="9">
        <v>3751</v>
      </c>
      <c r="K32" s="9" t="s">
        <v>327</v>
      </c>
      <c r="L32" s="9" t="s">
        <v>42</v>
      </c>
      <c r="M32" s="10">
        <v>1.2442129629629629E-2</v>
      </c>
      <c r="N32" s="9" t="s">
        <v>127</v>
      </c>
      <c r="O32" s="9" t="s">
        <v>328</v>
      </c>
      <c r="P32" s="9" t="s">
        <v>45</v>
      </c>
      <c r="Q32" s="10">
        <v>0.15590277777777781</v>
      </c>
      <c r="R32" s="9" t="s">
        <v>56</v>
      </c>
      <c r="S32" s="10">
        <v>0.18987268518518521</v>
      </c>
      <c r="T32" s="9">
        <v>51.040999999999997</v>
      </c>
      <c r="U32" s="9">
        <v>15.56</v>
      </c>
      <c r="V32" s="10">
        <v>0.13665509259259259</v>
      </c>
      <c r="W32" s="10">
        <v>5.46875E-2</v>
      </c>
      <c r="X32" s="10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 t="s">
        <v>139</v>
      </c>
      <c r="AF32" s="9" t="s">
        <v>363</v>
      </c>
      <c r="AG32" s="14" t="s">
        <v>685</v>
      </c>
      <c r="AH32" s="14">
        <v>6.2257069999999999</v>
      </c>
      <c r="AI32" s="9">
        <v>-75.599096000000003</v>
      </c>
      <c r="AJ32" s="9" t="s">
        <v>686</v>
      </c>
      <c r="AK32" s="9">
        <v>6.2432730000000003</v>
      </c>
      <c r="AL32" s="19">
        <v>-75.561981000000003</v>
      </c>
      <c r="AM32" s="26">
        <f t="shared" si="0"/>
        <v>0.15590277777777781</v>
      </c>
      <c r="AN32" s="9"/>
    </row>
    <row r="33" spans="1:40" ht="15" x14ac:dyDescent="0.25">
      <c r="A33" s="9" t="s">
        <v>329</v>
      </c>
      <c r="B33" s="9" t="s">
        <v>330</v>
      </c>
      <c r="C33" s="9" t="s">
        <v>331</v>
      </c>
      <c r="D33" s="9" t="s">
        <v>314</v>
      </c>
      <c r="E33" s="9" t="s">
        <v>36</v>
      </c>
      <c r="F33" s="9" t="s">
        <v>315</v>
      </c>
      <c r="G33" s="9" t="s">
        <v>80</v>
      </c>
      <c r="H33" s="9" t="s">
        <v>81</v>
      </c>
      <c r="I33" s="9" t="s">
        <v>40</v>
      </c>
      <c r="J33" s="9">
        <v>7699</v>
      </c>
      <c r="K33" s="9" t="s">
        <v>332</v>
      </c>
      <c r="L33" s="9" t="s">
        <v>42</v>
      </c>
      <c r="M33" s="10">
        <v>9.8155092592592586E-4</v>
      </c>
      <c r="N33" s="9" t="s">
        <v>65</v>
      </c>
      <c r="O33" s="9" t="s">
        <v>333</v>
      </c>
      <c r="P33" s="9" t="s">
        <v>45</v>
      </c>
      <c r="Q33" s="10">
        <v>6.6976851851851854E-4</v>
      </c>
      <c r="R33" s="9" t="s">
        <v>46</v>
      </c>
      <c r="S33" s="10">
        <v>0.33302155092592589</v>
      </c>
      <c r="T33" s="9">
        <v>51.274999999999999</v>
      </c>
      <c r="U33" s="9">
        <v>37.32</v>
      </c>
      <c r="V33" s="10">
        <v>5.7243599537037088E-2</v>
      </c>
      <c r="W33" s="10">
        <v>4.6760185185185186E-3</v>
      </c>
      <c r="X33" s="10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13</v>
      </c>
      <c r="AE33" s="9" t="s">
        <v>84</v>
      </c>
      <c r="AF33" s="9" t="s">
        <v>334</v>
      </c>
      <c r="AG33" s="14" t="s">
        <v>689</v>
      </c>
      <c r="AH33" s="14">
        <v>6.2330269999999999</v>
      </c>
      <c r="AI33" s="9">
        <v>-75.602300999999997</v>
      </c>
      <c r="AJ33" s="9" t="s">
        <v>690</v>
      </c>
      <c r="AK33" s="9">
        <v>6.2592590000000001</v>
      </c>
      <c r="AL33" s="19">
        <v>-75.620960999999994</v>
      </c>
      <c r="AM33" s="26">
        <f t="shared" si="0"/>
        <v>0</v>
      </c>
      <c r="AN33" s="9"/>
    </row>
    <row r="34" spans="1:40" ht="15" x14ac:dyDescent="0.25">
      <c r="A34" s="9" t="s">
        <v>335</v>
      </c>
      <c r="B34" s="9" t="s">
        <v>336</v>
      </c>
      <c r="C34" s="9" t="s">
        <v>337</v>
      </c>
      <c r="D34" s="9" t="s">
        <v>314</v>
      </c>
      <c r="E34" s="9" t="s">
        <v>36</v>
      </c>
      <c r="F34" s="9" t="s">
        <v>315</v>
      </c>
      <c r="G34" s="9" t="s">
        <v>89</v>
      </c>
      <c r="H34" s="9" t="s">
        <v>90</v>
      </c>
      <c r="I34" s="9" t="s">
        <v>40</v>
      </c>
      <c r="J34" s="9">
        <v>2620</v>
      </c>
      <c r="K34" s="9" t="s">
        <v>338</v>
      </c>
      <c r="L34" s="9" t="s">
        <v>117</v>
      </c>
      <c r="M34" s="10">
        <v>0.1814236111111111</v>
      </c>
      <c r="N34" s="9" t="s">
        <v>127</v>
      </c>
      <c r="O34" s="9" t="s">
        <v>339</v>
      </c>
      <c r="P34" s="9" t="s">
        <v>119</v>
      </c>
      <c r="Q34" s="10">
        <v>0.31496527777777777</v>
      </c>
      <c r="R34" s="9" t="s">
        <v>56</v>
      </c>
      <c r="S34" s="10">
        <v>0.1164583333333333</v>
      </c>
      <c r="T34" s="9">
        <v>33.488</v>
      </c>
      <c r="U34" s="9">
        <v>16.559999999999999</v>
      </c>
      <c r="V34" s="10">
        <v>8.4247685185185189E-2</v>
      </c>
      <c r="W34" s="10">
        <v>2.2916666666666669E-2</v>
      </c>
      <c r="X34" s="10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 t="s">
        <v>139</v>
      </c>
      <c r="AF34" s="9" t="s">
        <v>340</v>
      </c>
      <c r="AG34" s="14" t="s">
        <v>693</v>
      </c>
      <c r="AH34" s="14">
        <v>6.2787610000000003</v>
      </c>
      <c r="AI34" s="9">
        <v>-75.637045999999998</v>
      </c>
      <c r="AJ34" s="9" t="s">
        <v>694</v>
      </c>
      <c r="AK34" s="9">
        <v>6.2532880000000004</v>
      </c>
      <c r="AL34" s="19">
        <v>-75.588837999999996</v>
      </c>
      <c r="AM34" s="26">
        <f t="shared" si="0"/>
        <v>0.31496527777777777</v>
      </c>
      <c r="AN34" s="9"/>
    </row>
    <row r="35" spans="1:40" ht="15" x14ac:dyDescent="0.25">
      <c r="A35" s="9" t="s">
        <v>341</v>
      </c>
      <c r="B35" s="9" t="s">
        <v>342</v>
      </c>
      <c r="C35" s="9" t="s">
        <v>343</v>
      </c>
      <c r="D35" s="9" t="s">
        <v>314</v>
      </c>
      <c r="E35" s="9" t="s">
        <v>36</v>
      </c>
      <c r="F35" s="9" t="s">
        <v>315</v>
      </c>
      <c r="G35" s="9" t="s">
        <v>89</v>
      </c>
      <c r="H35" s="9" t="s">
        <v>90</v>
      </c>
      <c r="I35" s="9" t="s">
        <v>40</v>
      </c>
      <c r="J35" s="9">
        <v>3960</v>
      </c>
      <c r="K35" s="9" t="s">
        <v>344</v>
      </c>
      <c r="L35" s="9" t="s">
        <v>42</v>
      </c>
      <c r="M35" s="10">
        <v>1.1689814814814809E-2</v>
      </c>
      <c r="N35" s="9" t="s">
        <v>127</v>
      </c>
      <c r="O35" s="9" t="s">
        <v>345</v>
      </c>
      <c r="P35" s="9" t="s">
        <v>45</v>
      </c>
      <c r="Q35" s="10">
        <v>0.1219097222222222</v>
      </c>
      <c r="R35" s="9" t="s">
        <v>56</v>
      </c>
      <c r="S35" s="10">
        <v>0.2231134259259259</v>
      </c>
      <c r="T35" s="9">
        <v>49.508000000000003</v>
      </c>
      <c r="U35" s="9">
        <v>12.04</v>
      </c>
      <c r="V35" s="10">
        <v>0.17129629629629631</v>
      </c>
      <c r="W35" s="10">
        <v>5.9641203703703703E-2</v>
      </c>
      <c r="X35" s="10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 t="s">
        <v>139</v>
      </c>
      <c r="AF35" s="9" t="s">
        <v>346</v>
      </c>
      <c r="AG35" s="14" t="s">
        <v>695</v>
      </c>
      <c r="AH35" s="14">
        <v>6.2267510000000001</v>
      </c>
      <c r="AI35" s="9">
        <v>-75.599288999999999</v>
      </c>
      <c r="AJ35" s="9" t="s">
        <v>696</v>
      </c>
      <c r="AK35" s="9">
        <v>6.2787249999999997</v>
      </c>
      <c r="AL35" s="19">
        <v>-75.637084999999999</v>
      </c>
      <c r="AM35" s="26">
        <f t="shared" si="0"/>
        <v>0.1219097222222222</v>
      </c>
      <c r="AN35" s="9"/>
    </row>
    <row r="36" spans="1:40" ht="15" x14ac:dyDescent="0.25">
      <c r="A36" s="9" t="s">
        <v>347</v>
      </c>
      <c r="B36" s="9" t="s">
        <v>348</v>
      </c>
      <c r="C36" s="9" t="s">
        <v>349</v>
      </c>
      <c r="D36" s="9" t="s">
        <v>314</v>
      </c>
      <c r="E36" s="9" t="s">
        <v>36</v>
      </c>
      <c r="F36" s="9" t="s">
        <v>315</v>
      </c>
      <c r="G36" s="9" t="s">
        <v>97</v>
      </c>
      <c r="H36" s="9" t="s">
        <v>98</v>
      </c>
      <c r="I36" s="9" t="s">
        <v>40</v>
      </c>
      <c r="J36" s="9">
        <v>1887</v>
      </c>
      <c r="K36" s="9" t="s">
        <v>350</v>
      </c>
      <c r="L36" s="9" t="s">
        <v>42</v>
      </c>
      <c r="M36" s="10">
        <v>1.8402777777777779E-3</v>
      </c>
      <c r="N36" s="9" t="s">
        <v>65</v>
      </c>
      <c r="O36" s="9" t="s">
        <v>351</v>
      </c>
      <c r="P36" s="9" t="s">
        <v>45</v>
      </c>
      <c r="Q36" s="10">
        <v>6.7824074074074071E-3</v>
      </c>
      <c r="R36" s="9" t="s">
        <v>46</v>
      </c>
      <c r="S36" s="10">
        <v>0.34195601851851848</v>
      </c>
      <c r="T36" s="9">
        <v>24.088999999999999</v>
      </c>
      <c r="U36" s="9">
        <v>5.84</v>
      </c>
      <c r="V36" s="10">
        <v>0.17177083333333329</v>
      </c>
      <c r="W36" s="10">
        <v>0.1338310185185185</v>
      </c>
      <c r="X36" s="10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 t="s">
        <v>84</v>
      </c>
      <c r="AF36" s="9" t="s">
        <v>352</v>
      </c>
      <c r="AG36" s="14" t="s">
        <v>699</v>
      </c>
      <c r="AH36" s="14">
        <v>6.2266120000000003</v>
      </c>
      <c r="AI36" s="9">
        <v>-75.599232999999998</v>
      </c>
      <c r="AJ36" s="9" t="s">
        <v>700</v>
      </c>
      <c r="AK36" s="9">
        <v>6.2573290000000004</v>
      </c>
      <c r="AL36" s="19">
        <v>-75.562562999999997</v>
      </c>
      <c r="AM36" s="26">
        <f t="shared" si="0"/>
        <v>0</v>
      </c>
      <c r="AN36" s="9"/>
    </row>
    <row r="37" spans="1:40" ht="15" x14ac:dyDescent="0.25">
      <c r="A37" s="9" t="s">
        <v>353</v>
      </c>
      <c r="B37" s="9" t="s">
        <v>354</v>
      </c>
      <c r="C37" s="9" t="s">
        <v>355</v>
      </c>
      <c r="D37" s="9" t="s">
        <v>314</v>
      </c>
      <c r="E37" s="9" t="s">
        <v>36</v>
      </c>
      <c r="F37" s="9" t="s">
        <v>315</v>
      </c>
      <c r="G37" s="9" t="s">
        <v>105</v>
      </c>
      <c r="H37" s="9" t="s">
        <v>106</v>
      </c>
      <c r="I37" s="9" t="s">
        <v>40</v>
      </c>
      <c r="J37" s="9">
        <v>2300</v>
      </c>
      <c r="K37" s="9" t="s">
        <v>356</v>
      </c>
      <c r="L37" s="9" t="s">
        <v>42</v>
      </c>
      <c r="M37" s="10">
        <v>7.1087962962962964E-2</v>
      </c>
      <c r="N37" s="9" t="s">
        <v>43</v>
      </c>
      <c r="O37" s="9" t="s">
        <v>357</v>
      </c>
      <c r="P37" s="9" t="s">
        <v>45</v>
      </c>
      <c r="Q37" s="10">
        <v>3.530092592592592E-3</v>
      </c>
      <c r="R37" s="9" t="s">
        <v>46</v>
      </c>
      <c r="S37" s="10">
        <v>0.25871527777777781</v>
      </c>
      <c r="T37" s="9">
        <v>28.867999999999999</v>
      </c>
      <c r="U37" s="9">
        <v>10.38</v>
      </c>
      <c r="V37" s="10">
        <v>0.1158680555555556</v>
      </c>
      <c r="W37" s="10">
        <v>6.7604166666666674E-2</v>
      </c>
      <c r="X37" s="10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 t="s">
        <v>47</v>
      </c>
      <c r="AF37" s="9" t="s">
        <v>358</v>
      </c>
      <c r="AG37" s="14" t="s">
        <v>701</v>
      </c>
      <c r="AH37" s="14">
        <v>6.2256150000000003</v>
      </c>
      <c r="AI37" s="9">
        <v>-75.599114999999998</v>
      </c>
      <c r="AJ37" s="9" t="s">
        <v>702</v>
      </c>
      <c r="AK37" s="9">
        <v>6.2254620000000003</v>
      </c>
      <c r="AL37" s="19">
        <v>-75.599331000000006</v>
      </c>
      <c r="AM37" s="26">
        <f t="shared" si="0"/>
        <v>7.1087962962962964E-2</v>
      </c>
      <c r="AN37" s="9"/>
    </row>
    <row r="38" spans="1:40" ht="30.75" customHeight="1" x14ac:dyDescent="0.25">
      <c r="A38" s="12">
        <v>1</v>
      </c>
      <c r="B38" s="12" t="s">
        <v>359</v>
      </c>
      <c r="C38" s="12" t="s">
        <v>360</v>
      </c>
      <c r="D38" s="9" t="s">
        <v>314</v>
      </c>
      <c r="E38" s="12" t="s">
        <v>36</v>
      </c>
      <c r="F38" s="9" t="s">
        <v>406</v>
      </c>
      <c r="G38" s="12" t="s">
        <v>62</v>
      </c>
      <c r="H38" s="12" t="s">
        <v>63</v>
      </c>
      <c r="I38" s="12" t="s">
        <v>258</v>
      </c>
      <c r="J38" s="12">
        <v>6378</v>
      </c>
      <c r="K38" s="30">
        <v>46268.353692129633</v>
      </c>
      <c r="L38" s="9" t="s">
        <v>42</v>
      </c>
      <c r="M38" s="10">
        <v>4.7453703703703698E-4</v>
      </c>
      <c r="N38" s="9" t="s">
        <v>65</v>
      </c>
      <c r="O38" s="30">
        <v>46268.613842592589</v>
      </c>
      <c r="P38" s="9" t="s">
        <v>45</v>
      </c>
      <c r="Q38" s="10">
        <v>7.3657407407407408E-2</v>
      </c>
      <c r="R38" s="9" t="s">
        <v>56</v>
      </c>
      <c r="S38" s="10">
        <v>0.26015046296296301</v>
      </c>
      <c r="T38" s="11">
        <v>69.915000000000006</v>
      </c>
      <c r="U38" s="12">
        <v>55.058999999999997</v>
      </c>
      <c r="V38" s="10">
        <v>0.1747222222222222</v>
      </c>
      <c r="W38" s="10">
        <v>5.5E-2</v>
      </c>
      <c r="X38" s="10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1</v>
      </c>
      <c r="AE38" s="11" t="s">
        <v>260</v>
      </c>
      <c r="AF38" s="12" t="s">
        <v>361</v>
      </c>
      <c r="AG38" s="14" t="s">
        <v>628</v>
      </c>
      <c r="AH38" s="14">
        <v>6.2251849999999997</v>
      </c>
      <c r="AI38" s="9">
        <v>-75.599536999999998</v>
      </c>
      <c r="AJ38" s="9" t="s">
        <v>629</v>
      </c>
      <c r="AK38" s="9">
        <v>6.2998750000000001</v>
      </c>
      <c r="AL38" s="19">
        <v>-75.579885000000004</v>
      </c>
      <c r="AM38" s="26">
        <f t="shared" si="0"/>
        <v>7.3657407407407408E-2</v>
      </c>
      <c r="AN38" s="9"/>
    </row>
    <row r="39" spans="1:40" ht="15" x14ac:dyDescent="0.25">
      <c r="A39" s="9" t="s">
        <v>364</v>
      </c>
      <c r="B39" s="9" t="s">
        <v>365</v>
      </c>
      <c r="C39" s="9" t="s">
        <v>366</v>
      </c>
      <c r="D39" s="9" t="s">
        <v>314</v>
      </c>
      <c r="E39" s="9" t="s">
        <v>36</v>
      </c>
      <c r="F39" s="9" t="s">
        <v>315</v>
      </c>
      <c r="G39" s="9" t="s">
        <v>113</v>
      </c>
      <c r="H39" s="9" t="s">
        <v>114</v>
      </c>
      <c r="I39" s="9" t="s">
        <v>115</v>
      </c>
      <c r="J39" s="9">
        <v>3274</v>
      </c>
      <c r="K39" s="9" t="s">
        <v>367</v>
      </c>
      <c r="L39" s="9" t="s">
        <v>117</v>
      </c>
      <c r="M39" s="10">
        <v>2.719907407407407E-3</v>
      </c>
      <c r="N39" s="9" t="s">
        <v>65</v>
      </c>
      <c r="O39" s="9" t="s">
        <v>368</v>
      </c>
      <c r="P39" s="9" t="s">
        <v>119</v>
      </c>
      <c r="Q39" s="10">
        <v>9.2708333333333337E-2</v>
      </c>
      <c r="R39" s="9" t="s">
        <v>129</v>
      </c>
      <c r="S39" s="10">
        <v>0.33998842592592587</v>
      </c>
      <c r="T39" s="9">
        <v>51.040999999999997</v>
      </c>
      <c r="U39" s="9">
        <v>7.88</v>
      </c>
      <c r="V39" s="10">
        <v>0.2699537037037037</v>
      </c>
      <c r="W39" s="10">
        <v>0.2018287037037037</v>
      </c>
      <c r="X39" s="10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1</v>
      </c>
      <c r="AE39" s="9" t="s">
        <v>130</v>
      </c>
      <c r="AF39" s="9" t="s">
        <v>369</v>
      </c>
      <c r="AG39" s="14" t="s">
        <v>678</v>
      </c>
      <c r="AH39" s="14">
        <v>6.2228389999999996</v>
      </c>
      <c r="AI39" s="9">
        <v>-75.598386000000005</v>
      </c>
      <c r="AJ39" s="9" t="s">
        <v>679</v>
      </c>
      <c r="AK39" s="9">
        <v>6.215058</v>
      </c>
      <c r="AL39" s="19">
        <v>-75.597426999999996</v>
      </c>
      <c r="AM39" s="26">
        <f t="shared" si="0"/>
        <v>0</v>
      </c>
      <c r="AN39" s="9"/>
    </row>
    <row r="40" spans="1:40" ht="15" x14ac:dyDescent="0.25">
      <c r="A40" s="9" t="s">
        <v>370</v>
      </c>
      <c r="B40" s="9" t="s">
        <v>371</v>
      </c>
      <c r="C40" s="9" t="s">
        <v>372</v>
      </c>
      <c r="D40" s="9" t="s">
        <v>314</v>
      </c>
      <c r="E40" s="9" t="s">
        <v>36</v>
      </c>
      <c r="F40" s="9" t="s">
        <v>315</v>
      </c>
      <c r="G40" s="9" t="s">
        <v>124</v>
      </c>
      <c r="H40" s="9" t="s">
        <v>125</v>
      </c>
      <c r="I40" s="9" t="s">
        <v>115</v>
      </c>
      <c r="J40" s="9">
        <v>593</v>
      </c>
      <c r="K40" s="9" t="s">
        <v>373</v>
      </c>
      <c r="L40" s="9" t="s">
        <v>117</v>
      </c>
      <c r="M40" s="10">
        <v>0.22957175925925929</v>
      </c>
      <c r="N40" s="9" t="s">
        <v>43</v>
      </c>
      <c r="O40" s="9" t="s">
        <v>374</v>
      </c>
      <c r="P40" s="9" t="s">
        <v>119</v>
      </c>
      <c r="Q40" s="10">
        <v>8.1481481481481474E-3</v>
      </c>
      <c r="R40" s="9" t="s">
        <v>46</v>
      </c>
      <c r="S40" s="10">
        <v>2.8576388888888891E-2</v>
      </c>
      <c r="T40" s="9">
        <v>7.2619999999999996</v>
      </c>
      <c r="U40" s="9">
        <v>11.22</v>
      </c>
      <c r="V40" s="10">
        <v>2.6967592592592592E-2</v>
      </c>
      <c r="W40" s="10">
        <v>8.726851851851852E-3</v>
      </c>
      <c r="X40" s="10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 t="s">
        <v>47</v>
      </c>
      <c r="AF40" s="9" t="s">
        <v>375</v>
      </c>
      <c r="AG40" s="14" t="s">
        <v>680</v>
      </c>
      <c r="AH40" s="14">
        <v>6.268446</v>
      </c>
      <c r="AI40" s="9">
        <v>-75.587143999999995</v>
      </c>
      <c r="AJ40" s="9" t="s">
        <v>681</v>
      </c>
      <c r="AK40" s="9">
        <v>6.2726620000000004</v>
      </c>
      <c r="AL40" s="19">
        <v>-75.602045000000004</v>
      </c>
      <c r="AM40" s="26">
        <f t="shared" si="0"/>
        <v>0.22957175925925929</v>
      </c>
      <c r="AN40" s="9"/>
    </row>
    <row r="41" spans="1:40" ht="15" x14ac:dyDescent="0.25">
      <c r="A41" s="9" t="s">
        <v>376</v>
      </c>
      <c r="B41" s="9" t="s">
        <v>377</v>
      </c>
      <c r="C41" s="9" t="s">
        <v>378</v>
      </c>
      <c r="D41" s="9" t="s">
        <v>314</v>
      </c>
      <c r="E41" s="9" t="s">
        <v>36</v>
      </c>
      <c r="F41" s="9" t="s">
        <v>315</v>
      </c>
      <c r="G41" s="9" t="s">
        <v>124</v>
      </c>
      <c r="H41" s="9" t="s">
        <v>125</v>
      </c>
      <c r="I41" s="9" t="s">
        <v>115</v>
      </c>
      <c r="J41" s="9">
        <v>3229</v>
      </c>
      <c r="K41" s="9" t="s">
        <v>379</v>
      </c>
      <c r="L41" s="9" t="s">
        <v>117</v>
      </c>
      <c r="M41" s="10">
        <v>3.8715277777777779E-2</v>
      </c>
      <c r="N41" s="9" t="s">
        <v>127</v>
      </c>
      <c r="O41" s="9" t="s">
        <v>380</v>
      </c>
      <c r="P41" s="9" t="s">
        <v>119</v>
      </c>
      <c r="Q41" s="10">
        <v>2.2361111111111109E-2</v>
      </c>
      <c r="R41" s="9" t="s">
        <v>56</v>
      </c>
      <c r="S41" s="10">
        <v>0.26635416666666673</v>
      </c>
      <c r="T41" s="9">
        <v>40.777000000000001</v>
      </c>
      <c r="U41" s="9">
        <v>9.7799999999999994</v>
      </c>
      <c r="V41" s="10">
        <v>0.1738078703703704</v>
      </c>
      <c r="W41" s="10">
        <v>7.6099537037037035E-2</v>
      </c>
      <c r="X41" s="10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 t="s">
        <v>139</v>
      </c>
      <c r="AF41" s="9" t="s">
        <v>381</v>
      </c>
      <c r="AG41" s="14" t="s">
        <v>682</v>
      </c>
      <c r="AH41" s="14">
        <v>6.2266190000000003</v>
      </c>
      <c r="AI41" s="9">
        <v>-75.599181999999999</v>
      </c>
      <c r="AJ41" s="9" t="s">
        <v>683</v>
      </c>
      <c r="AK41" s="9">
        <v>6.2674899999999996</v>
      </c>
      <c r="AL41" s="19">
        <v>-75.587031999999994</v>
      </c>
      <c r="AM41" s="26">
        <f t="shared" si="0"/>
        <v>2.2361111111111109E-2</v>
      </c>
      <c r="AN41" s="9"/>
    </row>
    <row r="42" spans="1:40" ht="15" x14ac:dyDescent="0.25">
      <c r="A42" s="9" t="s">
        <v>382</v>
      </c>
      <c r="B42" s="9" t="s">
        <v>383</v>
      </c>
      <c r="C42" s="9" t="s">
        <v>384</v>
      </c>
      <c r="D42" s="9" t="s">
        <v>314</v>
      </c>
      <c r="E42" s="9" t="s">
        <v>36</v>
      </c>
      <c r="F42" s="9" t="s">
        <v>315</v>
      </c>
      <c r="G42" s="9" t="s">
        <v>135</v>
      </c>
      <c r="H42" s="9" t="s">
        <v>136</v>
      </c>
      <c r="I42" s="9" t="s">
        <v>115</v>
      </c>
      <c r="J42" s="9">
        <v>962</v>
      </c>
      <c r="K42" s="9" t="s">
        <v>385</v>
      </c>
      <c r="L42" s="9" t="s">
        <v>117</v>
      </c>
      <c r="M42" s="10">
        <v>2.4872685185185189E-2</v>
      </c>
      <c r="N42" s="9" t="s">
        <v>127</v>
      </c>
      <c r="O42" s="9" t="s">
        <v>386</v>
      </c>
      <c r="P42" s="9" t="s">
        <v>119</v>
      </c>
      <c r="Q42" s="10">
        <v>1.232638888888889E-2</v>
      </c>
      <c r="R42" s="9" t="s">
        <v>56</v>
      </c>
      <c r="S42" s="10">
        <v>0.26254629629629628</v>
      </c>
      <c r="T42" s="9">
        <v>25.725999999999999</v>
      </c>
      <c r="U42" s="9">
        <v>17.23</v>
      </c>
      <c r="V42" s="10">
        <v>6.2199074074074073E-2</v>
      </c>
      <c r="W42" s="10">
        <v>3.8796296296296287E-2</v>
      </c>
      <c r="X42" s="10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5</v>
      </c>
      <c r="AE42" s="9" t="s">
        <v>139</v>
      </c>
      <c r="AF42" s="9" t="s">
        <v>387</v>
      </c>
      <c r="AG42" s="14" t="s">
        <v>657</v>
      </c>
      <c r="AH42" s="14">
        <v>6.268078</v>
      </c>
      <c r="AI42" s="9">
        <v>-75.591665000000006</v>
      </c>
      <c r="AJ42" s="9" t="s">
        <v>684</v>
      </c>
      <c r="AK42" s="9">
        <v>6.2670130000000004</v>
      </c>
      <c r="AL42" s="19">
        <v>-75.550280000000001</v>
      </c>
      <c r="AM42" s="26">
        <f t="shared" si="0"/>
        <v>1.232638888888889E-2</v>
      </c>
      <c r="AN42" s="9"/>
    </row>
    <row r="43" spans="1:40" ht="15" x14ac:dyDescent="0.25">
      <c r="A43" s="9" t="s">
        <v>388</v>
      </c>
      <c r="B43" s="9" t="s">
        <v>389</v>
      </c>
      <c r="C43" s="9" t="s">
        <v>390</v>
      </c>
      <c r="D43" s="9" t="s">
        <v>314</v>
      </c>
      <c r="E43" s="9" t="s">
        <v>36</v>
      </c>
      <c r="F43" s="9" t="s">
        <v>315</v>
      </c>
      <c r="G43" s="9" t="s">
        <v>144</v>
      </c>
      <c r="H43" s="9" t="s">
        <v>145</v>
      </c>
      <c r="I43" s="9" t="s">
        <v>115</v>
      </c>
      <c r="J43" s="9">
        <v>6740</v>
      </c>
      <c r="K43" s="9" t="s">
        <v>391</v>
      </c>
      <c r="L43" s="9" t="s">
        <v>117</v>
      </c>
      <c r="M43" s="10">
        <v>4.0787037037037038E-2</v>
      </c>
      <c r="N43" s="9" t="s">
        <v>127</v>
      </c>
      <c r="O43" s="9" t="s">
        <v>392</v>
      </c>
      <c r="P43" s="9" t="s">
        <v>119</v>
      </c>
      <c r="Q43" s="10">
        <v>4.9884259259259257E-3</v>
      </c>
      <c r="R43" s="9" t="s">
        <v>46</v>
      </c>
      <c r="S43" s="10">
        <v>0.29577546296296298</v>
      </c>
      <c r="T43" s="9">
        <v>88.825000000000003</v>
      </c>
      <c r="U43" s="9">
        <v>16.39</v>
      </c>
      <c r="V43" s="10">
        <v>0.22575231481481481</v>
      </c>
      <c r="W43" s="10">
        <v>6.0312499999999998E-2</v>
      </c>
      <c r="X43" s="10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 t="s">
        <v>139</v>
      </c>
      <c r="AF43" s="9" t="s">
        <v>393</v>
      </c>
      <c r="AG43" s="14" t="s">
        <v>687</v>
      </c>
      <c r="AH43" s="14">
        <v>6.2265639999999998</v>
      </c>
      <c r="AI43" s="9">
        <v>-75.599241000000006</v>
      </c>
      <c r="AJ43" s="9" t="s">
        <v>688</v>
      </c>
      <c r="AK43" s="9">
        <v>6.2903789999999997</v>
      </c>
      <c r="AL43" s="19">
        <v>-75.546631000000005</v>
      </c>
      <c r="AM43" s="26">
        <f t="shared" si="0"/>
        <v>0</v>
      </c>
      <c r="AN43" s="9"/>
    </row>
    <row r="44" spans="1:40" ht="15" x14ac:dyDescent="0.25">
      <c r="A44" s="9" t="s">
        <v>394</v>
      </c>
      <c r="B44" s="9" t="s">
        <v>395</v>
      </c>
      <c r="C44" s="9" t="s">
        <v>396</v>
      </c>
      <c r="D44" s="9" t="s">
        <v>314</v>
      </c>
      <c r="E44" s="9" t="s">
        <v>36</v>
      </c>
      <c r="F44" s="9" t="s">
        <v>315</v>
      </c>
      <c r="G44" s="9" t="s">
        <v>152</v>
      </c>
      <c r="H44" s="9" t="s">
        <v>153</v>
      </c>
      <c r="I44" s="9" t="s">
        <v>115</v>
      </c>
      <c r="J44" s="9">
        <v>2238</v>
      </c>
      <c r="K44" s="9" t="s">
        <v>397</v>
      </c>
      <c r="L44" s="9" t="s">
        <v>117</v>
      </c>
      <c r="M44" s="10">
        <v>4.6018518518518521E-2</v>
      </c>
      <c r="N44" s="9" t="s">
        <v>127</v>
      </c>
      <c r="O44" s="9" t="s">
        <v>398</v>
      </c>
      <c r="P44" s="9" t="s">
        <v>119</v>
      </c>
      <c r="Q44" s="10">
        <v>6.9467592592592595E-2</v>
      </c>
      <c r="R44" s="9" t="s">
        <v>56</v>
      </c>
      <c r="S44" s="10">
        <v>0.22655092592592591</v>
      </c>
      <c r="T44" s="9">
        <v>29.141999999999999</v>
      </c>
      <c r="U44" s="9">
        <v>7.43</v>
      </c>
      <c r="V44" s="10">
        <v>0.1635300925925926</v>
      </c>
      <c r="W44" s="10">
        <v>0.11093749999999999</v>
      </c>
      <c r="X44" s="10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 t="s">
        <v>139</v>
      </c>
      <c r="AF44" s="9" t="s">
        <v>399</v>
      </c>
      <c r="AG44" s="14" t="s">
        <v>691</v>
      </c>
      <c r="AH44" s="14">
        <v>6.2270370000000002</v>
      </c>
      <c r="AI44" s="9">
        <v>-75.599748000000005</v>
      </c>
      <c r="AJ44" s="9" t="s">
        <v>692</v>
      </c>
      <c r="AK44" s="9">
        <v>6.2572970000000003</v>
      </c>
      <c r="AL44" s="19">
        <v>-75.555535000000006</v>
      </c>
      <c r="AM44" s="26">
        <f t="shared" si="0"/>
        <v>6.9467592592592595E-2</v>
      </c>
      <c r="AN44" s="9"/>
    </row>
    <row r="45" spans="1:40" ht="15" x14ac:dyDescent="0.25">
      <c r="A45" s="9" t="s">
        <v>400</v>
      </c>
      <c r="B45" s="9" t="s">
        <v>401</v>
      </c>
      <c r="C45" s="9" t="s">
        <v>402</v>
      </c>
      <c r="D45" s="9" t="s">
        <v>314</v>
      </c>
      <c r="E45" s="9" t="s">
        <v>36</v>
      </c>
      <c r="F45" s="9" t="s">
        <v>315</v>
      </c>
      <c r="G45" s="9" t="s">
        <v>160</v>
      </c>
      <c r="H45" s="9" t="s">
        <v>161</v>
      </c>
      <c r="I45" s="9" t="s">
        <v>115</v>
      </c>
      <c r="J45" s="9">
        <v>10166</v>
      </c>
      <c r="K45" s="9" t="s">
        <v>403</v>
      </c>
      <c r="L45" s="9" t="s">
        <v>117</v>
      </c>
      <c r="M45" s="10">
        <v>5.1483993055555552E-2</v>
      </c>
      <c r="N45" s="9" t="s">
        <v>127</v>
      </c>
      <c r="O45" s="9" t="s">
        <v>404</v>
      </c>
      <c r="P45" s="9" t="s">
        <v>119</v>
      </c>
      <c r="Q45" s="10">
        <v>9.1056365740740733E-3</v>
      </c>
      <c r="R45" s="9" t="s">
        <v>46</v>
      </c>
      <c r="S45" s="10">
        <v>0.3105896296296296</v>
      </c>
      <c r="T45" s="9">
        <v>52.485999999999997</v>
      </c>
      <c r="U45" s="9">
        <v>11.53</v>
      </c>
      <c r="V45" s="10">
        <v>0.1897464351851853</v>
      </c>
      <c r="W45" s="10">
        <v>0.15073024305555549</v>
      </c>
      <c r="X45" s="10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4</v>
      </c>
      <c r="AE45" s="9" t="s">
        <v>139</v>
      </c>
      <c r="AF45" s="9" t="s">
        <v>405</v>
      </c>
      <c r="AG45" s="14" t="s">
        <v>697</v>
      </c>
      <c r="AH45" s="14">
        <v>6.2255779999999996</v>
      </c>
      <c r="AI45" s="9">
        <v>-75.599153000000001</v>
      </c>
      <c r="AJ45" s="9" t="s">
        <v>698</v>
      </c>
      <c r="AK45" s="9">
        <v>6.268478</v>
      </c>
      <c r="AL45" s="19">
        <v>-75.599271999999999</v>
      </c>
      <c r="AM45" s="26">
        <f t="shared" si="0"/>
        <v>0</v>
      </c>
      <c r="AN45" s="9"/>
    </row>
    <row r="46" spans="1:40" ht="15" x14ac:dyDescent="0.25">
      <c r="A46" s="9" t="s">
        <v>407</v>
      </c>
      <c r="B46" s="9" t="s">
        <v>408</v>
      </c>
      <c r="C46" s="9" t="s">
        <v>409</v>
      </c>
      <c r="D46" s="9" t="s">
        <v>410</v>
      </c>
      <c r="E46" s="9" t="s">
        <v>36</v>
      </c>
      <c r="F46" s="9" t="s">
        <v>406</v>
      </c>
      <c r="G46" s="9" t="s">
        <v>38</v>
      </c>
      <c r="H46" s="9" t="s">
        <v>39</v>
      </c>
      <c r="I46" s="9" t="s">
        <v>40</v>
      </c>
      <c r="J46" s="9">
        <v>7869</v>
      </c>
      <c r="K46" s="9" t="s">
        <v>411</v>
      </c>
      <c r="L46" s="9" t="s">
        <v>42</v>
      </c>
      <c r="M46" s="10">
        <v>2.7495509259259261E-2</v>
      </c>
      <c r="N46" s="9" t="s">
        <v>127</v>
      </c>
      <c r="O46" s="9" t="s">
        <v>412</v>
      </c>
      <c r="P46" s="9" t="s">
        <v>413</v>
      </c>
      <c r="Q46" s="10">
        <v>4.8457523148148149E-3</v>
      </c>
      <c r="R46" s="9" t="s">
        <v>46</v>
      </c>
      <c r="S46" s="10">
        <v>0.33514975694444438</v>
      </c>
      <c r="T46" s="9">
        <v>41.305999999999997</v>
      </c>
      <c r="U46" s="9">
        <v>11.28</v>
      </c>
      <c r="V46" s="10">
        <v>0.15260756944444459</v>
      </c>
      <c r="W46" s="10">
        <v>0.1034698611111111</v>
      </c>
      <c r="X46" s="10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6</v>
      </c>
      <c r="AE46" s="9" t="s">
        <v>139</v>
      </c>
      <c r="AF46" s="9" t="s">
        <v>414</v>
      </c>
      <c r="AG46" s="14" t="s">
        <v>703</v>
      </c>
      <c r="AH46" s="14">
        <v>6.2254810000000003</v>
      </c>
      <c r="AI46" s="9">
        <v>-75.599737000000005</v>
      </c>
      <c r="AJ46" s="9" t="s">
        <v>704</v>
      </c>
      <c r="AK46" s="9">
        <v>6.2318340000000001</v>
      </c>
      <c r="AL46" s="19">
        <v>-75.597142000000005</v>
      </c>
      <c r="AM46" s="26">
        <f t="shared" si="0"/>
        <v>0</v>
      </c>
      <c r="AN46" s="9"/>
    </row>
    <row r="47" spans="1:40" ht="15" x14ac:dyDescent="0.25">
      <c r="A47" s="9" t="s">
        <v>415</v>
      </c>
      <c r="B47" s="9" t="s">
        <v>416</v>
      </c>
      <c r="C47" s="9" t="s">
        <v>417</v>
      </c>
      <c r="D47" s="9" t="s">
        <v>410</v>
      </c>
      <c r="E47" s="9" t="s">
        <v>36</v>
      </c>
      <c r="F47" s="9" t="s">
        <v>406</v>
      </c>
      <c r="G47" s="9" t="s">
        <v>52</v>
      </c>
      <c r="H47" s="9" t="s">
        <v>53</v>
      </c>
      <c r="I47" s="9" t="s">
        <v>40</v>
      </c>
      <c r="J47" s="9">
        <v>4173</v>
      </c>
      <c r="K47" s="9" t="s">
        <v>418</v>
      </c>
      <c r="L47" s="9" t="s">
        <v>42</v>
      </c>
      <c r="M47" s="10">
        <v>1.1238425925925929E-2</v>
      </c>
      <c r="N47" s="9" t="s">
        <v>127</v>
      </c>
      <c r="O47" s="9" t="s">
        <v>419</v>
      </c>
      <c r="P47" s="9" t="s">
        <v>413</v>
      </c>
      <c r="Q47" s="10">
        <v>2.1377314814814811E-2</v>
      </c>
      <c r="R47" s="9" t="s">
        <v>56</v>
      </c>
      <c r="S47" s="10">
        <v>0.30236111111111108</v>
      </c>
      <c r="T47" s="9">
        <v>52.353999999999999</v>
      </c>
      <c r="U47" s="9">
        <v>8.91</v>
      </c>
      <c r="V47" s="10">
        <v>0.24494212962962961</v>
      </c>
      <c r="W47" s="10">
        <v>0.13738425925925929</v>
      </c>
      <c r="X47" s="10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2</v>
      </c>
      <c r="AE47" s="9" t="s">
        <v>139</v>
      </c>
      <c r="AF47" s="9" t="s">
        <v>420</v>
      </c>
      <c r="AG47" s="14" t="s">
        <v>705</v>
      </c>
      <c r="AH47" s="14">
        <v>6.2315449999999997</v>
      </c>
      <c r="AI47" s="9">
        <v>-75.601985999999997</v>
      </c>
      <c r="AJ47" s="9" t="s">
        <v>706</v>
      </c>
      <c r="AK47" s="9">
        <v>6.2386660000000003</v>
      </c>
      <c r="AL47" s="19">
        <v>-75.607446999999993</v>
      </c>
      <c r="AM47" s="26">
        <f t="shared" si="0"/>
        <v>2.1377314814814811E-2</v>
      </c>
      <c r="AN47" s="9"/>
    </row>
    <row r="48" spans="1:40" ht="15" x14ac:dyDescent="0.25">
      <c r="A48" s="9" t="s">
        <v>421</v>
      </c>
      <c r="B48" s="9" t="s">
        <v>422</v>
      </c>
      <c r="C48" s="9" t="s">
        <v>423</v>
      </c>
      <c r="D48" s="9" t="s">
        <v>410</v>
      </c>
      <c r="E48" s="9" t="s">
        <v>36</v>
      </c>
      <c r="F48" s="9" t="s">
        <v>406</v>
      </c>
      <c r="G48" s="9" t="s">
        <v>62</v>
      </c>
      <c r="H48" s="9" t="s">
        <v>63</v>
      </c>
      <c r="I48" s="9" t="s">
        <v>40</v>
      </c>
      <c r="J48" s="9">
        <v>4051</v>
      </c>
      <c r="K48" s="9" t="s">
        <v>424</v>
      </c>
      <c r="L48" s="9" t="s">
        <v>42</v>
      </c>
      <c r="M48" s="10">
        <v>1.226851851851852E-3</v>
      </c>
      <c r="N48" s="9" t="s">
        <v>65</v>
      </c>
      <c r="O48" s="9" t="s">
        <v>425</v>
      </c>
      <c r="P48" s="9" t="s">
        <v>413</v>
      </c>
      <c r="Q48" s="10">
        <v>7.1886574074074075E-2</v>
      </c>
      <c r="R48" s="9" t="s">
        <v>56</v>
      </c>
      <c r="S48" s="10">
        <v>0.24184027777777781</v>
      </c>
      <c r="T48" s="9">
        <v>51.945</v>
      </c>
      <c r="U48" s="9">
        <v>13.13</v>
      </c>
      <c r="V48" s="10">
        <v>0.1648148148148148</v>
      </c>
      <c r="W48" s="10">
        <v>6.8912037037037036E-2</v>
      </c>
      <c r="X48" s="10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 t="s">
        <v>67</v>
      </c>
      <c r="AF48" s="9" t="s">
        <v>426</v>
      </c>
      <c r="AG48" s="14" t="s">
        <v>711</v>
      </c>
      <c r="AH48" s="14">
        <v>6.2253210000000001</v>
      </c>
      <c r="AI48" s="9">
        <v>-75.599405000000004</v>
      </c>
      <c r="AJ48" s="9" t="s">
        <v>712</v>
      </c>
      <c r="AK48" s="9">
        <v>6.3028529999999998</v>
      </c>
      <c r="AL48" s="19">
        <v>-75.580264</v>
      </c>
      <c r="AM48" s="26">
        <f t="shared" si="0"/>
        <v>7.1886574074074075E-2</v>
      </c>
      <c r="AN48" s="9"/>
    </row>
    <row r="49" spans="1:40" ht="15" x14ac:dyDescent="0.25">
      <c r="A49" s="9" t="s">
        <v>427</v>
      </c>
      <c r="B49" s="9" t="s">
        <v>428</v>
      </c>
      <c r="C49" s="9" t="s">
        <v>429</v>
      </c>
      <c r="D49" s="9" t="s">
        <v>410</v>
      </c>
      <c r="E49" s="9" t="s">
        <v>36</v>
      </c>
      <c r="F49" s="9" t="s">
        <v>406</v>
      </c>
      <c r="G49" s="9" t="s">
        <v>72</v>
      </c>
      <c r="H49" s="9" t="s">
        <v>73</v>
      </c>
      <c r="I49" s="9" t="s">
        <v>40</v>
      </c>
      <c r="J49" s="9">
        <v>2454</v>
      </c>
      <c r="K49" s="9" t="s">
        <v>430</v>
      </c>
      <c r="L49" s="9" t="s">
        <v>42</v>
      </c>
      <c r="M49" s="10">
        <v>9.0416666666666673E-2</v>
      </c>
      <c r="N49" s="9" t="s">
        <v>43</v>
      </c>
      <c r="O49" s="9" t="s">
        <v>431</v>
      </c>
      <c r="P49" s="9" t="s">
        <v>413</v>
      </c>
      <c r="Q49" s="10">
        <v>0.1408796296296296</v>
      </c>
      <c r="R49" s="9" t="s">
        <v>56</v>
      </c>
      <c r="S49" s="10">
        <v>8.1203703703703708E-2</v>
      </c>
      <c r="T49" s="9">
        <v>33.722000000000001</v>
      </c>
      <c r="U49" s="9">
        <v>18.940000000000001</v>
      </c>
      <c r="V49" s="10">
        <v>7.4201388888888886E-2</v>
      </c>
      <c r="W49" s="10">
        <v>2.3043981481481481E-2</v>
      </c>
      <c r="X49" s="10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 t="s">
        <v>57</v>
      </c>
      <c r="AF49" s="9" t="s">
        <v>432</v>
      </c>
      <c r="AG49" s="14" t="s">
        <v>714</v>
      </c>
      <c r="AH49" s="14">
        <v>6.2256900000000002</v>
      </c>
      <c r="AI49" s="9">
        <v>-75.600273000000001</v>
      </c>
      <c r="AJ49" s="9" t="s">
        <v>715</v>
      </c>
      <c r="AK49" s="9">
        <v>6.2378770000000001</v>
      </c>
      <c r="AL49" s="19">
        <v>-75.559747999999999</v>
      </c>
      <c r="AM49" s="26">
        <f t="shared" si="0"/>
        <v>0.23129629629629628</v>
      </c>
      <c r="AN49" s="9"/>
    </row>
    <row r="50" spans="1:40" ht="15" x14ac:dyDescent="0.25">
      <c r="A50" s="9" t="s">
        <v>433</v>
      </c>
      <c r="B50" s="9" t="s">
        <v>434</v>
      </c>
      <c r="C50" s="9" t="s">
        <v>435</v>
      </c>
      <c r="D50" s="9" t="s">
        <v>410</v>
      </c>
      <c r="E50" s="9" t="s">
        <v>36</v>
      </c>
      <c r="F50" s="9" t="s">
        <v>406</v>
      </c>
      <c r="G50" s="9" t="s">
        <v>80</v>
      </c>
      <c r="H50" s="9" t="s">
        <v>81</v>
      </c>
      <c r="I50" s="9" t="s">
        <v>40</v>
      </c>
      <c r="J50" s="9">
        <v>6851</v>
      </c>
      <c r="K50" s="9" t="s">
        <v>436</v>
      </c>
      <c r="L50" s="9" t="s">
        <v>42</v>
      </c>
      <c r="M50" s="10">
        <v>1.2677847222222221E-2</v>
      </c>
      <c r="N50" s="9" t="s">
        <v>127</v>
      </c>
      <c r="O50" s="9" t="s">
        <v>437</v>
      </c>
      <c r="P50" s="9" t="s">
        <v>413</v>
      </c>
      <c r="Q50" s="10">
        <v>1.139039351851852E-3</v>
      </c>
      <c r="R50" s="9" t="s">
        <v>46</v>
      </c>
      <c r="S50" s="10">
        <v>0.32631688657407398</v>
      </c>
      <c r="T50" s="9">
        <v>48.073999999999998</v>
      </c>
      <c r="U50" s="9">
        <v>12.47</v>
      </c>
      <c r="V50" s="10">
        <v>0.1606196064814811</v>
      </c>
      <c r="W50" s="10">
        <v>0.10696203703703699</v>
      </c>
      <c r="X50" s="10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13</v>
      </c>
      <c r="AE50" s="9" t="s">
        <v>139</v>
      </c>
      <c r="AF50" s="9" t="s">
        <v>438</v>
      </c>
      <c r="AG50" s="14" t="s">
        <v>718</v>
      </c>
      <c r="AH50" s="14">
        <v>6.225625</v>
      </c>
      <c r="AI50" s="9">
        <v>-75.599158000000003</v>
      </c>
      <c r="AJ50" s="9" t="s">
        <v>719</v>
      </c>
      <c r="AK50" s="9">
        <v>6.2592379999999999</v>
      </c>
      <c r="AL50" s="19">
        <v>-75.620984000000007</v>
      </c>
      <c r="AM50" s="26">
        <f t="shared" si="0"/>
        <v>0</v>
      </c>
      <c r="AN50" s="9"/>
    </row>
    <row r="51" spans="1:40" ht="15" x14ac:dyDescent="0.25">
      <c r="A51" s="9" t="s">
        <v>439</v>
      </c>
      <c r="B51" s="9" t="s">
        <v>440</v>
      </c>
      <c r="C51" s="9" t="s">
        <v>441</v>
      </c>
      <c r="D51" s="9" t="s">
        <v>410</v>
      </c>
      <c r="E51" s="9" t="s">
        <v>36</v>
      </c>
      <c r="F51" s="9" t="s">
        <v>406</v>
      </c>
      <c r="G51" s="9" t="s">
        <v>97</v>
      </c>
      <c r="H51" s="9" t="s">
        <v>98</v>
      </c>
      <c r="I51" s="9" t="s">
        <v>40</v>
      </c>
      <c r="J51" s="9">
        <v>2339</v>
      </c>
      <c r="K51" s="9" t="s">
        <v>442</v>
      </c>
      <c r="L51" s="9" t="s">
        <v>42</v>
      </c>
      <c r="M51" s="10">
        <v>1.296296296296296E-3</v>
      </c>
      <c r="N51" s="9" t="s">
        <v>65</v>
      </c>
      <c r="O51" s="9" t="s">
        <v>443</v>
      </c>
      <c r="P51" s="9" t="s">
        <v>413</v>
      </c>
      <c r="Q51" s="10">
        <v>8.5335648148148147E-2</v>
      </c>
      <c r="R51" s="9" t="s">
        <v>56</v>
      </c>
      <c r="S51" s="10">
        <v>0.22586805555555561</v>
      </c>
      <c r="T51" s="9">
        <v>31.079000000000001</v>
      </c>
      <c r="U51" s="9">
        <v>8.7100000000000009</v>
      </c>
      <c r="V51" s="10">
        <v>0.1486226851851852</v>
      </c>
      <c r="W51" s="10">
        <v>9.7546296296296298E-2</v>
      </c>
      <c r="X51" s="10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 t="s">
        <v>67</v>
      </c>
      <c r="AF51" s="9" t="s">
        <v>444</v>
      </c>
      <c r="AG51" s="14" t="s">
        <v>724</v>
      </c>
      <c r="AH51" s="14">
        <v>6.2257759999999998</v>
      </c>
      <c r="AI51" s="9">
        <v>-75.599372000000002</v>
      </c>
      <c r="AJ51" s="9" t="s">
        <v>725</v>
      </c>
      <c r="AK51" s="9">
        <v>6.295776</v>
      </c>
      <c r="AL51" s="19">
        <v>-75.575108999999998</v>
      </c>
      <c r="AM51" s="26">
        <f t="shared" si="0"/>
        <v>8.5335648148148147E-2</v>
      </c>
      <c r="AN51" s="9"/>
    </row>
    <row r="52" spans="1:40" ht="15" x14ac:dyDescent="0.25">
      <c r="A52" s="9" t="s">
        <v>445</v>
      </c>
      <c r="B52" s="9" t="s">
        <v>446</v>
      </c>
      <c r="C52" s="9" t="s">
        <v>447</v>
      </c>
      <c r="D52" s="9" t="s">
        <v>410</v>
      </c>
      <c r="E52" s="9" t="s">
        <v>36</v>
      </c>
      <c r="F52" s="9" t="s">
        <v>406</v>
      </c>
      <c r="G52" s="9" t="s">
        <v>105</v>
      </c>
      <c r="H52" s="9" t="s">
        <v>106</v>
      </c>
      <c r="I52" s="9" t="s">
        <v>40</v>
      </c>
      <c r="J52" s="9">
        <v>1557</v>
      </c>
      <c r="K52" s="9" t="s">
        <v>448</v>
      </c>
      <c r="L52" s="9" t="s">
        <v>42</v>
      </c>
      <c r="M52" s="10">
        <v>1.018518518518518E-3</v>
      </c>
      <c r="N52" s="9" t="s">
        <v>65</v>
      </c>
      <c r="O52" s="9" t="s">
        <v>449</v>
      </c>
      <c r="P52" s="9" t="s">
        <v>413</v>
      </c>
      <c r="Q52" s="10">
        <v>0.12884259259259259</v>
      </c>
      <c r="R52" s="9" t="s">
        <v>56</v>
      </c>
      <c r="S52" s="10">
        <v>0.18263888888888891</v>
      </c>
      <c r="T52" s="9">
        <v>20.120999999999999</v>
      </c>
      <c r="U52" s="9">
        <v>7.44</v>
      </c>
      <c r="V52" s="10">
        <v>0.1126157407407407</v>
      </c>
      <c r="W52" s="10">
        <v>7.604166666666666E-2</v>
      </c>
      <c r="X52" s="10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 t="s">
        <v>67</v>
      </c>
      <c r="AF52" s="9" t="s">
        <v>450</v>
      </c>
      <c r="AG52" s="14" t="s">
        <v>726</v>
      </c>
      <c r="AH52" s="14">
        <v>6.2256210000000003</v>
      </c>
      <c r="AI52" s="9">
        <v>-75.599231000000003</v>
      </c>
      <c r="AJ52" s="9" t="s">
        <v>727</v>
      </c>
      <c r="AK52" s="9">
        <v>6.225365</v>
      </c>
      <c r="AL52" s="19">
        <v>-75.599449000000007</v>
      </c>
      <c r="AM52" s="26">
        <f t="shared" si="0"/>
        <v>0.12884259259259259</v>
      </c>
      <c r="AN52" s="9"/>
    </row>
    <row r="53" spans="1:40" ht="15" x14ac:dyDescent="0.25">
      <c r="A53" s="9" t="s">
        <v>451</v>
      </c>
      <c r="B53" s="9" t="s">
        <v>452</v>
      </c>
      <c r="C53" s="9" t="s">
        <v>453</v>
      </c>
      <c r="D53" s="9" t="s">
        <v>454</v>
      </c>
      <c r="E53" s="9" t="s">
        <v>36</v>
      </c>
      <c r="F53" s="9" t="s">
        <v>455</v>
      </c>
      <c r="G53" s="9" t="s">
        <v>52</v>
      </c>
      <c r="H53" s="9" t="s">
        <v>53</v>
      </c>
      <c r="I53" s="9" t="s">
        <v>40</v>
      </c>
      <c r="J53" s="9">
        <v>2747</v>
      </c>
      <c r="K53" s="9" t="s">
        <v>456</v>
      </c>
      <c r="L53" s="9" t="s">
        <v>42</v>
      </c>
      <c r="M53" s="10">
        <v>3.7268518518518519E-3</v>
      </c>
      <c r="N53" s="9" t="s">
        <v>65</v>
      </c>
      <c r="O53" s="9" t="s">
        <v>457</v>
      </c>
      <c r="P53" s="9" t="s">
        <v>413</v>
      </c>
      <c r="Q53" s="10">
        <v>3.9351851851851848E-3</v>
      </c>
      <c r="R53" s="9" t="s">
        <v>46</v>
      </c>
      <c r="S53" s="10">
        <v>0.32016203703703711</v>
      </c>
      <c r="T53" s="9">
        <v>36.771000000000001</v>
      </c>
      <c r="U53" s="9">
        <v>6.61</v>
      </c>
      <c r="V53" s="10">
        <v>0.23193287037037039</v>
      </c>
      <c r="W53" s="10">
        <v>0.16892361111111109</v>
      </c>
      <c r="X53" s="10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1</v>
      </c>
      <c r="AE53" s="9" t="s">
        <v>84</v>
      </c>
      <c r="AF53" s="9" t="s">
        <v>324</v>
      </c>
      <c r="AG53" s="14" t="s">
        <v>728</v>
      </c>
      <c r="AH53" s="14">
        <v>6.2479370000000003</v>
      </c>
      <c r="AI53" s="9">
        <v>-75.615139999999997</v>
      </c>
      <c r="AJ53" s="9" t="s">
        <v>729</v>
      </c>
      <c r="AK53" s="9">
        <v>6.2418899999999997</v>
      </c>
      <c r="AL53" s="19">
        <v>-75.607436000000007</v>
      </c>
      <c r="AM53" s="26">
        <f t="shared" si="0"/>
        <v>0</v>
      </c>
      <c r="AN53" s="9"/>
    </row>
    <row r="54" spans="1:40" ht="15" x14ac:dyDescent="0.25">
      <c r="A54" s="9" t="s">
        <v>458</v>
      </c>
      <c r="B54" s="9" t="s">
        <v>459</v>
      </c>
      <c r="C54" s="9" t="s">
        <v>460</v>
      </c>
      <c r="D54" s="9" t="s">
        <v>454</v>
      </c>
      <c r="E54" s="9" t="s">
        <v>36</v>
      </c>
      <c r="F54" s="9" t="s">
        <v>455</v>
      </c>
      <c r="G54" s="9" t="s">
        <v>113</v>
      </c>
      <c r="H54" s="9" t="s">
        <v>114</v>
      </c>
      <c r="I54" s="9" t="s">
        <v>40</v>
      </c>
      <c r="J54" s="9">
        <v>2654</v>
      </c>
      <c r="K54" s="9" t="s">
        <v>461</v>
      </c>
      <c r="L54" s="9" t="s">
        <v>42</v>
      </c>
      <c r="M54" s="10">
        <v>3.9456018518518522E-2</v>
      </c>
      <c r="N54" s="9" t="s">
        <v>43</v>
      </c>
      <c r="O54" s="9" t="s">
        <v>462</v>
      </c>
      <c r="P54" s="9" t="s">
        <v>413</v>
      </c>
      <c r="Q54" s="10">
        <v>1.069444444444444E-2</v>
      </c>
      <c r="R54" s="9" t="s">
        <v>56</v>
      </c>
      <c r="S54" s="10">
        <v>0.26234953703703712</v>
      </c>
      <c r="T54" s="9">
        <v>34.832000000000001</v>
      </c>
      <c r="U54" s="9">
        <v>8.4700000000000006</v>
      </c>
      <c r="V54" s="10">
        <v>0.17131944444444441</v>
      </c>
      <c r="W54" s="10">
        <v>0.1182986111111111</v>
      </c>
      <c r="X54" s="10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1</v>
      </c>
      <c r="AE54" s="9" t="s">
        <v>57</v>
      </c>
      <c r="AF54" s="9" t="s">
        <v>463</v>
      </c>
      <c r="AG54" s="14" t="s">
        <v>730</v>
      </c>
      <c r="AH54" s="14">
        <v>6.2478480000000003</v>
      </c>
      <c r="AI54" s="9">
        <v>-75.614915999999994</v>
      </c>
      <c r="AJ54" s="9" t="s">
        <v>731</v>
      </c>
      <c r="AK54" s="9">
        <v>6.2748359999999996</v>
      </c>
      <c r="AL54" s="19">
        <v>-75.585510999999997</v>
      </c>
      <c r="AM54" s="26">
        <f t="shared" si="0"/>
        <v>5.0150462962962966E-2</v>
      </c>
      <c r="AN54" s="9"/>
    </row>
    <row r="55" spans="1:40" ht="15" x14ac:dyDescent="0.25">
      <c r="A55" s="9" t="s">
        <v>464</v>
      </c>
      <c r="B55" s="9" t="s">
        <v>465</v>
      </c>
      <c r="C55" s="9" t="s">
        <v>466</v>
      </c>
      <c r="D55" s="9" t="s">
        <v>410</v>
      </c>
      <c r="E55" s="9" t="s">
        <v>36</v>
      </c>
      <c r="F55" s="9" t="s">
        <v>406</v>
      </c>
      <c r="G55" s="9" t="s">
        <v>124</v>
      </c>
      <c r="H55" s="9" t="s">
        <v>125</v>
      </c>
      <c r="I55" s="9" t="s">
        <v>115</v>
      </c>
      <c r="J55" s="9">
        <v>4693</v>
      </c>
      <c r="K55" s="9" t="s">
        <v>467</v>
      </c>
      <c r="L55" s="9" t="s">
        <v>117</v>
      </c>
      <c r="M55" s="10">
        <v>1.136574074074074E-2</v>
      </c>
      <c r="N55" s="9" t="s">
        <v>127</v>
      </c>
      <c r="O55" s="9" t="s">
        <v>468</v>
      </c>
      <c r="P55" s="9" t="s">
        <v>119</v>
      </c>
      <c r="Q55" s="10">
        <v>6.4004629629629628E-3</v>
      </c>
      <c r="R55" s="9" t="s">
        <v>46</v>
      </c>
      <c r="S55" s="10">
        <v>0.26776620370370369</v>
      </c>
      <c r="T55" s="9">
        <v>58.811</v>
      </c>
      <c r="U55" s="9">
        <v>10.26</v>
      </c>
      <c r="V55" s="10">
        <v>0.2387384259259259</v>
      </c>
      <c r="W55" s="10">
        <v>0.10460648148148149</v>
      </c>
      <c r="X55" s="10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 t="s">
        <v>139</v>
      </c>
      <c r="AF55" s="9" t="s">
        <v>469</v>
      </c>
      <c r="AG55" s="14" t="s">
        <v>709</v>
      </c>
      <c r="AH55" s="14">
        <v>6.2727510000000004</v>
      </c>
      <c r="AI55" s="9">
        <v>-75.601884999999996</v>
      </c>
      <c r="AJ55" s="9" t="s">
        <v>710</v>
      </c>
      <c r="AK55" s="9">
        <v>6.2732570000000001</v>
      </c>
      <c r="AL55" s="19">
        <v>-75.602136999999999</v>
      </c>
      <c r="AM55" s="26">
        <f t="shared" si="0"/>
        <v>0</v>
      </c>
      <c r="AN55" s="9"/>
    </row>
    <row r="56" spans="1:40" ht="15" x14ac:dyDescent="0.25">
      <c r="A56" s="9" t="s">
        <v>470</v>
      </c>
      <c r="B56" s="9" t="s">
        <v>471</v>
      </c>
      <c r="C56" s="9" t="s">
        <v>472</v>
      </c>
      <c r="D56" s="9" t="s">
        <v>410</v>
      </c>
      <c r="E56" s="9" t="s">
        <v>36</v>
      </c>
      <c r="F56" s="9" t="s">
        <v>406</v>
      </c>
      <c r="G56" s="9" t="s">
        <v>135</v>
      </c>
      <c r="H56" s="9" t="s">
        <v>136</v>
      </c>
      <c r="I56" s="9" t="s">
        <v>115</v>
      </c>
      <c r="J56" s="9">
        <v>2040</v>
      </c>
      <c r="K56" s="9" t="s">
        <v>473</v>
      </c>
      <c r="L56" s="9" t="s">
        <v>117</v>
      </c>
      <c r="M56" s="10">
        <v>3.412037037037037E-2</v>
      </c>
      <c r="N56" s="9" t="s">
        <v>127</v>
      </c>
      <c r="O56" s="9" t="s">
        <v>474</v>
      </c>
      <c r="P56" s="9" t="s">
        <v>119</v>
      </c>
      <c r="Q56" s="10">
        <v>5.092592592592593E-3</v>
      </c>
      <c r="R56" s="9" t="s">
        <v>46</v>
      </c>
      <c r="S56" s="10">
        <v>0.27902777777777782</v>
      </c>
      <c r="T56" s="9">
        <v>31.716999999999999</v>
      </c>
      <c r="U56" s="9">
        <v>8.7899999999999991</v>
      </c>
      <c r="V56" s="10">
        <v>0.15028935185185191</v>
      </c>
      <c r="W56" s="10">
        <v>0.107337962962963</v>
      </c>
      <c r="X56" s="10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4</v>
      </c>
      <c r="AE56" s="9" t="s">
        <v>139</v>
      </c>
      <c r="AF56" s="9" t="s">
        <v>475</v>
      </c>
      <c r="AG56" s="14" t="s">
        <v>684</v>
      </c>
      <c r="AH56" s="14">
        <v>6.2670130000000004</v>
      </c>
      <c r="AI56" s="9">
        <v>-75.550280000000001</v>
      </c>
      <c r="AJ56" s="9" t="s">
        <v>713</v>
      </c>
      <c r="AK56" s="9">
        <v>6.2677769999999997</v>
      </c>
      <c r="AL56" s="19">
        <v>-75.558897999999999</v>
      </c>
      <c r="AM56" s="26">
        <f t="shared" si="0"/>
        <v>0</v>
      </c>
      <c r="AN56" s="9"/>
    </row>
    <row r="57" spans="1:40" ht="15" x14ac:dyDescent="0.25">
      <c r="A57" s="9" t="s">
        <v>476</v>
      </c>
      <c r="B57" s="9" t="s">
        <v>477</v>
      </c>
      <c r="C57" s="9" t="s">
        <v>478</v>
      </c>
      <c r="D57" s="9" t="s">
        <v>410</v>
      </c>
      <c r="E57" s="9" t="s">
        <v>36</v>
      </c>
      <c r="F57" s="9" t="s">
        <v>406</v>
      </c>
      <c r="G57" s="9" t="s">
        <v>144</v>
      </c>
      <c r="H57" s="9" t="s">
        <v>145</v>
      </c>
      <c r="I57" s="9" t="s">
        <v>115</v>
      </c>
      <c r="J57" s="9">
        <v>6045</v>
      </c>
      <c r="K57" s="9" t="s">
        <v>479</v>
      </c>
      <c r="L57" s="9" t="s">
        <v>117</v>
      </c>
      <c r="M57" s="10">
        <v>1.0995370370370371E-3</v>
      </c>
      <c r="N57" s="9" t="s">
        <v>65</v>
      </c>
      <c r="O57" s="9" t="s">
        <v>480</v>
      </c>
      <c r="P57" s="9" t="s">
        <v>119</v>
      </c>
      <c r="Q57" s="10">
        <v>7.4074074074074077E-3</v>
      </c>
      <c r="R57" s="9" t="s">
        <v>46</v>
      </c>
      <c r="S57" s="10">
        <v>0.25850694444444439</v>
      </c>
      <c r="T57" s="9">
        <v>77.063999999999993</v>
      </c>
      <c r="U57" s="9">
        <v>16.079999999999998</v>
      </c>
      <c r="V57" s="10">
        <v>0.19968749999999999</v>
      </c>
      <c r="W57" s="10">
        <v>3.9618055555555552E-2</v>
      </c>
      <c r="X57" s="10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 t="s">
        <v>84</v>
      </c>
      <c r="AF57" s="9" t="s">
        <v>352</v>
      </c>
      <c r="AG57" s="14" t="s">
        <v>716</v>
      </c>
      <c r="AH57" s="14">
        <v>6.2906209999999998</v>
      </c>
      <c r="AI57" s="9">
        <v>-75.546621999999999</v>
      </c>
      <c r="AJ57" s="9" t="s">
        <v>717</v>
      </c>
      <c r="AK57" s="9">
        <v>6.2904239999999998</v>
      </c>
      <c r="AL57" s="19">
        <v>-75.546570000000003</v>
      </c>
      <c r="AM57" s="26">
        <f t="shared" si="0"/>
        <v>0</v>
      </c>
      <c r="AN57" s="9"/>
    </row>
    <row r="58" spans="1:40" ht="15" x14ac:dyDescent="0.25">
      <c r="A58" s="9" t="s">
        <v>481</v>
      </c>
      <c r="B58" s="9" t="s">
        <v>482</v>
      </c>
      <c r="C58" s="9" t="s">
        <v>483</v>
      </c>
      <c r="D58" s="9" t="s">
        <v>410</v>
      </c>
      <c r="E58" s="9" t="s">
        <v>36</v>
      </c>
      <c r="F58" s="9" t="s">
        <v>406</v>
      </c>
      <c r="G58" s="9" t="s">
        <v>152</v>
      </c>
      <c r="H58" s="9" t="s">
        <v>153</v>
      </c>
      <c r="I58" s="9" t="s">
        <v>115</v>
      </c>
      <c r="J58" s="9">
        <v>4696</v>
      </c>
      <c r="K58" s="9" t="s">
        <v>484</v>
      </c>
      <c r="L58" s="9" t="s">
        <v>117</v>
      </c>
      <c r="M58" s="10">
        <v>5.5555555555555558E-3</v>
      </c>
      <c r="N58" s="9" t="s">
        <v>65</v>
      </c>
      <c r="O58" s="9" t="s">
        <v>485</v>
      </c>
      <c r="P58" s="9" t="s">
        <v>119</v>
      </c>
      <c r="Q58" s="10">
        <v>8.9236111111111113E-3</v>
      </c>
      <c r="R58" s="9" t="s">
        <v>46</v>
      </c>
      <c r="S58" s="10">
        <v>0.24663194444444439</v>
      </c>
      <c r="T58" s="9">
        <v>64.072000000000003</v>
      </c>
      <c r="U58" s="9">
        <v>12.29</v>
      </c>
      <c r="V58" s="10">
        <v>0.21721064814814811</v>
      </c>
      <c r="W58" s="10">
        <v>0.1109606481481481</v>
      </c>
      <c r="X58" s="10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 t="s">
        <v>84</v>
      </c>
      <c r="AF58" s="9" t="s">
        <v>352</v>
      </c>
      <c r="AG58" s="14" t="s">
        <v>720</v>
      </c>
      <c r="AH58" s="14">
        <v>6.2502880000000003</v>
      </c>
      <c r="AI58" s="9">
        <v>-75.552210000000002</v>
      </c>
      <c r="AJ58" s="9" t="s">
        <v>721</v>
      </c>
      <c r="AK58" s="9">
        <v>6.2517820000000004</v>
      </c>
      <c r="AL58" s="19">
        <v>-75.551777999999999</v>
      </c>
      <c r="AM58" s="26">
        <f t="shared" si="0"/>
        <v>0</v>
      </c>
      <c r="AN58" s="9"/>
    </row>
    <row r="59" spans="1:40" ht="15" x14ac:dyDescent="0.25">
      <c r="A59" s="9" t="s">
        <v>486</v>
      </c>
      <c r="B59" s="9" t="s">
        <v>487</v>
      </c>
      <c r="C59" s="9" t="s">
        <v>488</v>
      </c>
      <c r="D59" s="9" t="s">
        <v>410</v>
      </c>
      <c r="E59" s="9" t="s">
        <v>36</v>
      </c>
      <c r="F59" s="9" t="s">
        <v>406</v>
      </c>
      <c r="G59" s="9" t="s">
        <v>160</v>
      </c>
      <c r="H59" s="9" t="s">
        <v>161</v>
      </c>
      <c r="I59" s="9" t="s">
        <v>115</v>
      </c>
      <c r="J59" s="9">
        <v>9697</v>
      </c>
      <c r="K59" s="9" t="s">
        <v>489</v>
      </c>
      <c r="L59" s="9" t="s">
        <v>117</v>
      </c>
      <c r="M59" s="10">
        <v>2.0525196759259259E-2</v>
      </c>
      <c r="N59" s="9" t="s">
        <v>127</v>
      </c>
      <c r="O59" s="9" t="s">
        <v>490</v>
      </c>
      <c r="P59" s="9" t="s">
        <v>119</v>
      </c>
      <c r="Q59" s="10">
        <v>6.1426504629629626E-3</v>
      </c>
      <c r="R59" s="9" t="s">
        <v>46</v>
      </c>
      <c r="S59" s="10">
        <v>0.27666784722222221</v>
      </c>
      <c r="T59" s="9">
        <v>49.506</v>
      </c>
      <c r="U59" s="9">
        <v>13.49</v>
      </c>
      <c r="V59" s="10">
        <v>0.15291145833333339</v>
      </c>
      <c r="W59" s="10">
        <v>0.1123257638888889</v>
      </c>
      <c r="X59" s="10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4</v>
      </c>
      <c r="AE59" s="9" t="s">
        <v>139</v>
      </c>
      <c r="AF59" s="9" t="s">
        <v>491</v>
      </c>
      <c r="AG59" s="14" t="s">
        <v>722</v>
      </c>
      <c r="AH59" s="14">
        <v>6.2684170000000003</v>
      </c>
      <c r="AI59" s="9">
        <v>-75.599547999999999</v>
      </c>
      <c r="AJ59" s="9" t="s">
        <v>723</v>
      </c>
      <c r="AK59" s="9">
        <v>6.2684920000000002</v>
      </c>
      <c r="AL59" s="19">
        <v>-75.599114999999998</v>
      </c>
      <c r="AM59" s="26">
        <f t="shared" si="0"/>
        <v>0</v>
      </c>
      <c r="AN59" s="9"/>
    </row>
    <row r="60" spans="1:40" ht="15" x14ac:dyDescent="0.25">
      <c r="A60" s="9" t="s">
        <v>492</v>
      </c>
      <c r="B60" s="9" t="s">
        <v>493</v>
      </c>
      <c r="C60" s="9" t="s">
        <v>494</v>
      </c>
      <c r="D60" s="9" t="s">
        <v>454</v>
      </c>
      <c r="E60" s="9" t="s">
        <v>36</v>
      </c>
      <c r="F60" s="9" t="s">
        <v>455</v>
      </c>
      <c r="G60" s="9" t="s">
        <v>105</v>
      </c>
      <c r="H60" s="9" t="s">
        <v>106</v>
      </c>
      <c r="I60" s="9" t="s">
        <v>115</v>
      </c>
      <c r="J60" s="9">
        <v>3556</v>
      </c>
      <c r="K60" s="9" t="s">
        <v>495</v>
      </c>
      <c r="L60" s="9" t="s">
        <v>117</v>
      </c>
      <c r="M60" s="10">
        <v>2.2881944444444441E-2</v>
      </c>
      <c r="N60" s="9" t="s">
        <v>127</v>
      </c>
      <c r="O60" s="9" t="s">
        <v>496</v>
      </c>
      <c r="P60" s="9" t="s">
        <v>119</v>
      </c>
      <c r="Q60" s="10">
        <v>5.3125000000000004E-3</v>
      </c>
      <c r="R60" s="9" t="s">
        <v>46</v>
      </c>
      <c r="S60" s="10">
        <v>0.27819444444444452</v>
      </c>
      <c r="T60" s="9">
        <v>46.487000000000002</v>
      </c>
      <c r="U60" s="9">
        <v>9.6300000000000008</v>
      </c>
      <c r="V60" s="10">
        <v>0.20116898148148149</v>
      </c>
      <c r="W60" s="10">
        <v>0.1121064814814815</v>
      </c>
      <c r="X60" s="10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 t="s">
        <v>139</v>
      </c>
      <c r="AF60" s="9" t="s">
        <v>497</v>
      </c>
      <c r="AG60" s="14" t="s">
        <v>732</v>
      </c>
      <c r="AH60" s="14">
        <v>6.2585040000000003</v>
      </c>
      <c r="AI60" s="9">
        <v>-75.616451999999995</v>
      </c>
      <c r="AJ60" s="9" t="s">
        <v>733</v>
      </c>
      <c r="AK60" s="9">
        <v>6.2585139999999999</v>
      </c>
      <c r="AL60" s="19">
        <v>-75.616004000000004</v>
      </c>
      <c r="AM60" s="26">
        <f t="shared" si="0"/>
        <v>0</v>
      </c>
      <c r="AN60" s="9"/>
    </row>
    <row r="61" spans="1:40" ht="15" x14ac:dyDescent="0.25">
      <c r="A61" s="9" t="s">
        <v>498</v>
      </c>
      <c r="B61" s="9" t="s">
        <v>499</v>
      </c>
      <c r="C61" s="9" t="s">
        <v>500</v>
      </c>
      <c r="D61" s="9" t="s">
        <v>410</v>
      </c>
      <c r="E61" s="9" t="s">
        <v>36</v>
      </c>
      <c r="F61" s="9" t="s">
        <v>406</v>
      </c>
      <c r="G61" s="9" t="s">
        <v>113</v>
      </c>
      <c r="H61" s="9" t="s">
        <v>114</v>
      </c>
      <c r="I61" s="9" t="s">
        <v>115</v>
      </c>
      <c r="J61" s="9">
        <v>1805</v>
      </c>
      <c r="K61" s="9" t="s">
        <v>501</v>
      </c>
      <c r="L61" s="9" t="s">
        <v>117</v>
      </c>
      <c r="M61" s="10">
        <v>2.975694444444444E-2</v>
      </c>
      <c r="N61" s="9" t="s">
        <v>43</v>
      </c>
      <c r="O61" s="9" t="s">
        <v>502</v>
      </c>
      <c r="P61" s="9" t="s">
        <v>119</v>
      </c>
      <c r="Q61" s="10">
        <v>4.5057870370370373E-2</v>
      </c>
      <c r="R61" s="9" t="s">
        <v>56</v>
      </c>
      <c r="S61" s="10">
        <v>0.17518518518518519</v>
      </c>
      <c r="T61" s="9">
        <v>26.018999999999998</v>
      </c>
      <c r="U61" s="9">
        <v>8.59</v>
      </c>
      <c r="V61" s="10">
        <v>0.12616898148148151</v>
      </c>
      <c r="W61" s="10">
        <v>8.7847222222222215E-2</v>
      </c>
      <c r="X61" s="10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1</v>
      </c>
      <c r="AE61" s="9" t="s">
        <v>57</v>
      </c>
      <c r="AF61" s="9" t="s">
        <v>503</v>
      </c>
      <c r="AG61" s="14" t="s">
        <v>707</v>
      </c>
      <c r="AH61" s="14">
        <v>6.2477179999999999</v>
      </c>
      <c r="AI61" s="9">
        <v>-75.614855000000006</v>
      </c>
      <c r="AJ61" s="9" t="s">
        <v>708</v>
      </c>
      <c r="AK61" s="9">
        <v>6.2509800000000002</v>
      </c>
      <c r="AL61" s="19">
        <v>-75.605256999999995</v>
      </c>
      <c r="AM61" s="26">
        <f t="shared" si="0"/>
        <v>7.4814814814814806E-2</v>
      </c>
      <c r="AN61" s="9"/>
    </row>
    <row r="62" spans="1:40" ht="15" x14ac:dyDescent="0.25">
      <c r="A62" s="9" t="s">
        <v>504</v>
      </c>
      <c r="B62" s="9" t="s">
        <v>505</v>
      </c>
      <c r="C62" s="9" t="s">
        <v>506</v>
      </c>
      <c r="D62" s="9" t="s">
        <v>507</v>
      </c>
      <c r="E62" s="9" t="s">
        <v>36</v>
      </c>
      <c r="F62" s="9" t="s">
        <v>508</v>
      </c>
      <c r="G62" s="9" t="s">
        <v>38</v>
      </c>
      <c r="H62" s="9" t="s">
        <v>39</v>
      </c>
      <c r="I62" s="9" t="s">
        <v>40</v>
      </c>
      <c r="J62" s="9">
        <v>4138</v>
      </c>
      <c r="K62" s="9" t="s">
        <v>509</v>
      </c>
      <c r="L62" s="9" t="s">
        <v>42</v>
      </c>
      <c r="M62" s="10">
        <v>1.7296712962962962E-2</v>
      </c>
      <c r="N62" s="9" t="s">
        <v>43</v>
      </c>
      <c r="O62" s="9" t="s">
        <v>510</v>
      </c>
      <c r="P62" s="9" t="s">
        <v>45</v>
      </c>
      <c r="Q62" s="10">
        <v>1.642430555555556E-2</v>
      </c>
      <c r="R62" s="9" t="s">
        <v>56</v>
      </c>
      <c r="S62" s="10">
        <v>0.29961231481481482</v>
      </c>
      <c r="T62" s="9">
        <v>31.646000000000001</v>
      </c>
      <c r="U62" s="9">
        <v>17.079999999999998</v>
      </c>
      <c r="V62" s="10">
        <v>7.7180138888888888E-2</v>
      </c>
      <c r="W62" s="10">
        <v>4.4243182870370372E-2</v>
      </c>
      <c r="X62" s="10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4</v>
      </c>
      <c r="AE62" s="9" t="s">
        <v>57</v>
      </c>
      <c r="AF62" s="9" t="s">
        <v>511</v>
      </c>
      <c r="AG62" s="14" t="s">
        <v>734</v>
      </c>
      <c r="AH62" s="14">
        <v>6.225346</v>
      </c>
      <c r="AI62" s="9">
        <v>-75.599774999999994</v>
      </c>
      <c r="AJ62" s="9" t="s">
        <v>735</v>
      </c>
      <c r="AK62" s="9">
        <v>6.2215870000000004</v>
      </c>
      <c r="AL62" s="19">
        <v>-75.593845000000002</v>
      </c>
      <c r="AM62" s="26">
        <f t="shared" si="0"/>
        <v>3.3721018518518525E-2</v>
      </c>
      <c r="AN62" s="9"/>
    </row>
    <row r="63" spans="1:40" ht="15" x14ac:dyDescent="0.25">
      <c r="A63" s="9" t="s">
        <v>512</v>
      </c>
      <c r="B63" s="9" t="s">
        <v>513</v>
      </c>
      <c r="C63" s="9" t="s">
        <v>514</v>
      </c>
      <c r="D63" s="9" t="s">
        <v>507</v>
      </c>
      <c r="E63" s="9" t="s">
        <v>36</v>
      </c>
      <c r="F63" s="9" t="s">
        <v>508</v>
      </c>
      <c r="G63" s="9" t="s">
        <v>52</v>
      </c>
      <c r="H63" s="9" t="s">
        <v>53</v>
      </c>
      <c r="I63" s="9" t="s">
        <v>40</v>
      </c>
      <c r="J63" s="9">
        <v>2338</v>
      </c>
      <c r="K63" s="9" t="s">
        <v>515</v>
      </c>
      <c r="L63" s="9" t="s">
        <v>42</v>
      </c>
      <c r="M63" s="10">
        <v>1.103009259259259E-2</v>
      </c>
      <c r="N63" s="9" t="s">
        <v>127</v>
      </c>
      <c r="O63" s="9" t="s">
        <v>516</v>
      </c>
      <c r="P63" s="9" t="s">
        <v>45</v>
      </c>
      <c r="Q63" s="10">
        <v>4.0509259259259257E-3</v>
      </c>
      <c r="R63" s="9" t="s">
        <v>46</v>
      </c>
      <c r="S63" s="10">
        <v>0.34841435185185188</v>
      </c>
      <c r="T63" s="9">
        <v>28.484000000000002</v>
      </c>
      <c r="U63" s="9">
        <v>5.7</v>
      </c>
      <c r="V63" s="10">
        <v>0.20836805555555549</v>
      </c>
      <c r="W63" s="10">
        <v>0.15581018518518519</v>
      </c>
      <c r="X63" s="10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2</v>
      </c>
      <c r="AE63" s="9" t="s">
        <v>139</v>
      </c>
      <c r="AF63" s="9" t="s">
        <v>517</v>
      </c>
      <c r="AG63" s="14" t="s">
        <v>736</v>
      </c>
      <c r="AH63" s="14">
        <v>6.225333</v>
      </c>
      <c r="AI63" s="9">
        <v>-75.599200999999994</v>
      </c>
      <c r="AJ63" s="9" t="s">
        <v>737</v>
      </c>
      <c r="AK63" s="9">
        <v>6.2477859999999996</v>
      </c>
      <c r="AL63" s="19">
        <v>-75.615042000000003</v>
      </c>
      <c r="AM63" s="26">
        <f t="shared" si="0"/>
        <v>0</v>
      </c>
      <c r="AN63" s="9"/>
    </row>
    <row r="64" spans="1:40" ht="15" x14ac:dyDescent="0.25">
      <c r="A64" s="9" t="s">
        <v>518</v>
      </c>
      <c r="B64" s="9" t="s">
        <v>519</v>
      </c>
      <c r="C64" s="9" t="s">
        <v>520</v>
      </c>
      <c r="D64" s="9" t="s">
        <v>507</v>
      </c>
      <c r="E64" s="9" t="s">
        <v>36</v>
      </c>
      <c r="F64" s="9" t="s">
        <v>508</v>
      </c>
      <c r="G64" s="9" t="s">
        <v>113</v>
      </c>
      <c r="H64" s="9" t="s">
        <v>114</v>
      </c>
      <c r="I64" s="9" t="s">
        <v>40</v>
      </c>
      <c r="J64" s="9">
        <v>1619</v>
      </c>
      <c r="K64" s="9" t="s">
        <v>521</v>
      </c>
      <c r="L64" s="9" t="s">
        <v>42</v>
      </c>
      <c r="M64" s="10">
        <v>5.4166666666666669E-2</v>
      </c>
      <c r="N64" s="9" t="s">
        <v>43</v>
      </c>
      <c r="O64" s="9" t="s">
        <v>522</v>
      </c>
      <c r="P64" s="9" t="s">
        <v>45</v>
      </c>
      <c r="Q64" s="10">
        <v>0.10394675925925929</v>
      </c>
      <c r="R64" s="9" t="s">
        <v>56</v>
      </c>
      <c r="S64" s="10">
        <v>0.17521990740740739</v>
      </c>
      <c r="T64" s="9">
        <v>20.939</v>
      </c>
      <c r="U64" s="9">
        <v>8.64</v>
      </c>
      <c r="V64" s="10">
        <v>0.1009953703703704</v>
      </c>
      <c r="W64" s="10">
        <v>6.4432870370370376E-2</v>
      </c>
      <c r="X64" s="10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 t="s">
        <v>57</v>
      </c>
      <c r="AF64" s="9" t="s">
        <v>523</v>
      </c>
      <c r="AG64" s="14" t="s">
        <v>738</v>
      </c>
      <c r="AH64" s="14">
        <v>6.2252320000000001</v>
      </c>
      <c r="AI64" s="9">
        <v>-75.598584000000002</v>
      </c>
      <c r="AJ64" s="9" t="s">
        <v>739</v>
      </c>
      <c r="AK64" s="9">
        <v>6.2635589999999999</v>
      </c>
      <c r="AL64" s="19">
        <v>-75.597027999999995</v>
      </c>
      <c r="AM64" s="26">
        <f t="shared" si="0"/>
        <v>0.15811342592592598</v>
      </c>
      <c r="AN64" s="9"/>
    </row>
    <row r="65" spans="1:40" ht="15" x14ac:dyDescent="0.25">
      <c r="A65" s="9" t="s">
        <v>524</v>
      </c>
      <c r="B65" s="9" t="s">
        <v>525</v>
      </c>
      <c r="C65" s="9" t="s">
        <v>526</v>
      </c>
      <c r="D65" s="9" t="s">
        <v>507</v>
      </c>
      <c r="E65" s="9" t="s">
        <v>36</v>
      </c>
      <c r="F65" s="9" t="s">
        <v>508</v>
      </c>
      <c r="G65" s="9" t="s">
        <v>62</v>
      </c>
      <c r="H65" s="9" t="s">
        <v>63</v>
      </c>
      <c r="I65" s="9" t="s">
        <v>40</v>
      </c>
      <c r="J65" s="9">
        <v>5104</v>
      </c>
      <c r="K65" s="9" t="s">
        <v>527</v>
      </c>
      <c r="L65" s="9" t="s">
        <v>42</v>
      </c>
      <c r="M65" s="10">
        <v>4.7453703703703698E-4</v>
      </c>
      <c r="N65" s="9" t="s">
        <v>65</v>
      </c>
      <c r="O65" s="9" t="s">
        <v>528</v>
      </c>
      <c r="P65" s="9" t="s">
        <v>45</v>
      </c>
      <c r="Q65" s="10">
        <v>5.078703703703704E-2</v>
      </c>
      <c r="R65" s="9" t="s">
        <v>56</v>
      </c>
      <c r="S65" s="10">
        <v>0.28302083333333328</v>
      </c>
      <c r="T65" s="9">
        <v>65.27</v>
      </c>
      <c r="U65" s="9">
        <v>12.02</v>
      </c>
      <c r="V65" s="10">
        <v>0.22616898148148151</v>
      </c>
      <c r="W65" s="10">
        <v>8.8553240740740738E-2</v>
      </c>
      <c r="X65" s="10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1</v>
      </c>
      <c r="AE65" s="9" t="s">
        <v>67</v>
      </c>
      <c r="AF65" s="9" t="s">
        <v>529</v>
      </c>
      <c r="AG65" s="14" t="s">
        <v>740</v>
      </c>
      <c r="AH65" s="14">
        <v>6.2257230000000003</v>
      </c>
      <c r="AI65" s="9">
        <v>-75.599405000000004</v>
      </c>
      <c r="AJ65" s="9" t="s">
        <v>741</v>
      </c>
      <c r="AK65" s="9">
        <v>6.29678</v>
      </c>
      <c r="AL65" s="19">
        <v>-75.582290999999998</v>
      </c>
      <c r="AM65" s="26">
        <f t="shared" si="0"/>
        <v>5.078703703703704E-2</v>
      </c>
      <c r="AN65" s="9"/>
    </row>
    <row r="66" spans="1:40" ht="15" x14ac:dyDescent="0.25">
      <c r="A66" s="9" t="s">
        <v>530</v>
      </c>
      <c r="B66" s="9" t="s">
        <v>531</v>
      </c>
      <c r="C66" s="9" t="s">
        <v>532</v>
      </c>
      <c r="D66" s="9" t="s">
        <v>507</v>
      </c>
      <c r="E66" s="9" t="s">
        <v>36</v>
      </c>
      <c r="F66" s="9" t="s">
        <v>508</v>
      </c>
      <c r="G66" s="9" t="s">
        <v>72</v>
      </c>
      <c r="H66" s="9" t="s">
        <v>73</v>
      </c>
      <c r="I66" s="9" t="s">
        <v>40</v>
      </c>
      <c r="J66" s="9">
        <v>1601</v>
      </c>
      <c r="K66" s="9" t="s">
        <v>533</v>
      </c>
      <c r="L66" s="9" t="s">
        <v>42</v>
      </c>
      <c r="M66" s="10">
        <v>1.4548611111111109E-2</v>
      </c>
      <c r="N66" s="9" t="s">
        <v>127</v>
      </c>
      <c r="O66" s="9" t="s">
        <v>534</v>
      </c>
      <c r="P66" s="9" t="s">
        <v>45</v>
      </c>
      <c r="Q66" s="10">
        <v>0.13465277777777779</v>
      </c>
      <c r="R66" s="9" t="s">
        <v>56</v>
      </c>
      <c r="S66" s="10">
        <v>0.21322916666666669</v>
      </c>
      <c r="T66" s="9">
        <v>21.873000000000001</v>
      </c>
      <c r="U66" s="9">
        <v>5.07</v>
      </c>
      <c r="V66" s="10">
        <v>0.17961805555555549</v>
      </c>
      <c r="W66" s="10">
        <v>0.1476736111111111</v>
      </c>
      <c r="X66" s="10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1</v>
      </c>
      <c r="AE66" s="9" t="s">
        <v>139</v>
      </c>
      <c r="AF66" s="9" t="s">
        <v>535</v>
      </c>
      <c r="AG66" s="14" t="s">
        <v>742</v>
      </c>
      <c r="AH66" s="14">
        <v>6.2255940000000001</v>
      </c>
      <c r="AI66" s="9">
        <v>-75.599468000000002</v>
      </c>
      <c r="AJ66" s="9" t="s">
        <v>743</v>
      </c>
      <c r="AK66" s="9">
        <v>6.237031</v>
      </c>
      <c r="AL66" s="19">
        <v>-75.558795000000003</v>
      </c>
      <c r="AM66" s="26">
        <f t="shared" si="0"/>
        <v>0.13465277777777779</v>
      </c>
      <c r="AN66" s="9"/>
    </row>
    <row r="67" spans="1:40" ht="15" x14ac:dyDescent="0.25">
      <c r="A67" s="9" t="s">
        <v>536</v>
      </c>
      <c r="B67" s="9" t="s">
        <v>537</v>
      </c>
      <c r="C67" s="9" t="s">
        <v>538</v>
      </c>
      <c r="D67" s="9" t="s">
        <v>507</v>
      </c>
      <c r="E67" s="9" t="s">
        <v>36</v>
      </c>
      <c r="F67" s="9" t="s">
        <v>508</v>
      </c>
      <c r="G67" s="9" t="s">
        <v>80</v>
      </c>
      <c r="H67" s="9" t="s">
        <v>81</v>
      </c>
      <c r="I67" s="9" t="s">
        <v>40</v>
      </c>
      <c r="J67" s="9">
        <v>4176</v>
      </c>
      <c r="K67" s="9" t="s">
        <v>539</v>
      </c>
      <c r="L67" s="9" t="s">
        <v>42</v>
      </c>
      <c r="M67" s="10">
        <v>4.5633506944444437E-2</v>
      </c>
      <c r="N67" s="9" t="s">
        <v>43</v>
      </c>
      <c r="O67" s="9" t="s">
        <v>540</v>
      </c>
      <c r="P67" s="9" t="s">
        <v>45</v>
      </c>
      <c r="Q67" s="10">
        <v>4.262152777777778E-4</v>
      </c>
      <c r="R67" s="9" t="s">
        <v>46</v>
      </c>
      <c r="S67" s="10">
        <v>0.2872736111111111</v>
      </c>
      <c r="T67" s="9">
        <v>18.858000000000001</v>
      </c>
      <c r="U67" s="9">
        <v>16.82</v>
      </c>
      <c r="V67" s="10">
        <v>4.6715856481481501E-2</v>
      </c>
      <c r="W67" s="10">
        <v>3.4714675925925927E-2</v>
      </c>
      <c r="X67" s="10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5</v>
      </c>
      <c r="AE67" s="9" t="s">
        <v>47</v>
      </c>
      <c r="AF67" s="9" t="s">
        <v>541</v>
      </c>
      <c r="AG67" s="14" t="s">
        <v>744</v>
      </c>
      <c r="AH67" s="14">
        <v>6.2253920000000003</v>
      </c>
      <c r="AI67" s="9">
        <v>-75.599262999999993</v>
      </c>
      <c r="AJ67" s="9" t="s">
        <v>745</v>
      </c>
      <c r="AK67" s="9">
        <v>6.2476979999999998</v>
      </c>
      <c r="AL67" s="19">
        <v>-75.551682999999997</v>
      </c>
      <c r="AM67" s="26">
        <f t="shared" ref="AM67:AM130" si="1">IF(N67="INICIO TARDÍO",M67,0)+IF(R67="TERMINÓ ANTES",Q67,0)</f>
        <v>4.5633506944444437E-2</v>
      </c>
      <c r="AN67" s="9"/>
    </row>
    <row r="68" spans="1:40" ht="15" x14ac:dyDescent="0.25">
      <c r="A68" s="9" t="s">
        <v>542</v>
      </c>
      <c r="B68" s="9" t="s">
        <v>543</v>
      </c>
      <c r="C68" s="9" t="s">
        <v>544</v>
      </c>
      <c r="D68" s="9" t="s">
        <v>507</v>
      </c>
      <c r="E68" s="9" t="s">
        <v>36</v>
      </c>
      <c r="F68" s="9" t="s">
        <v>508</v>
      </c>
      <c r="G68" s="9" t="s">
        <v>89</v>
      </c>
      <c r="H68" s="9" t="s">
        <v>90</v>
      </c>
      <c r="I68" s="9" t="s">
        <v>40</v>
      </c>
      <c r="J68" s="9">
        <v>6900</v>
      </c>
      <c r="K68" s="9" t="s">
        <v>545</v>
      </c>
      <c r="L68" s="9" t="s">
        <v>42</v>
      </c>
      <c r="M68" s="10">
        <v>1.510416666666667E-2</v>
      </c>
      <c r="N68" s="9" t="s">
        <v>127</v>
      </c>
      <c r="O68" s="9" t="s">
        <v>546</v>
      </c>
      <c r="P68" s="9" t="s">
        <v>45</v>
      </c>
      <c r="Q68" s="10">
        <v>2.743055555555555E-3</v>
      </c>
      <c r="R68" s="9" t="s">
        <v>46</v>
      </c>
      <c r="S68" s="10">
        <v>0.35118055555555561</v>
      </c>
      <c r="T68" s="9">
        <v>88.251999999999995</v>
      </c>
      <c r="U68" s="9">
        <v>12.64</v>
      </c>
      <c r="V68" s="10">
        <v>0.29096064814814809</v>
      </c>
      <c r="W68" s="10">
        <v>0.10685185185185191</v>
      </c>
      <c r="X68" s="10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 t="s">
        <v>139</v>
      </c>
      <c r="AF68" s="9" t="s">
        <v>547</v>
      </c>
      <c r="AG68" s="14" t="s">
        <v>746</v>
      </c>
      <c r="AH68" s="14">
        <v>6.2266820000000003</v>
      </c>
      <c r="AI68" s="9">
        <v>-75.599277000000001</v>
      </c>
      <c r="AJ68" s="9" t="s">
        <v>747</v>
      </c>
      <c r="AK68" s="9">
        <v>6.3086760000000002</v>
      </c>
      <c r="AL68" s="19">
        <v>-75.559915000000004</v>
      </c>
      <c r="AM68" s="26">
        <f t="shared" si="1"/>
        <v>0</v>
      </c>
      <c r="AN68" s="9"/>
    </row>
    <row r="69" spans="1:40" ht="15" x14ac:dyDescent="0.25">
      <c r="A69" s="9" t="s">
        <v>548</v>
      </c>
      <c r="B69" s="9" t="s">
        <v>549</v>
      </c>
      <c r="C69" s="9" t="s">
        <v>550</v>
      </c>
      <c r="D69" s="9" t="s">
        <v>507</v>
      </c>
      <c r="E69" s="9" t="s">
        <v>36</v>
      </c>
      <c r="F69" s="9" t="s">
        <v>508</v>
      </c>
      <c r="G69" s="9" t="s">
        <v>97</v>
      </c>
      <c r="H69" s="9" t="s">
        <v>98</v>
      </c>
      <c r="I69" s="9" t="s">
        <v>40</v>
      </c>
      <c r="J69" s="9">
        <v>3968</v>
      </c>
      <c r="K69" s="9" t="s">
        <v>551</v>
      </c>
      <c r="L69" s="9" t="s">
        <v>42</v>
      </c>
      <c r="M69" s="10">
        <v>3.4722222222222222E-5</v>
      </c>
      <c r="N69" s="9" t="s">
        <v>65</v>
      </c>
      <c r="O69" s="9" t="s">
        <v>552</v>
      </c>
      <c r="P69" s="9" t="s">
        <v>45</v>
      </c>
      <c r="Q69" s="10">
        <v>3.0567129629629632E-2</v>
      </c>
      <c r="R69" s="9" t="s">
        <v>56</v>
      </c>
      <c r="S69" s="10">
        <v>0.30273148148148149</v>
      </c>
      <c r="T69" s="9">
        <v>52.521999999999998</v>
      </c>
      <c r="U69" s="9">
        <v>12.62</v>
      </c>
      <c r="V69" s="10">
        <v>0.17334490740740741</v>
      </c>
      <c r="W69" s="10">
        <v>9.976851851851852E-2</v>
      </c>
      <c r="X69" s="10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 t="s">
        <v>67</v>
      </c>
      <c r="AF69" s="9" t="s">
        <v>553</v>
      </c>
      <c r="AG69" s="14" t="s">
        <v>748</v>
      </c>
      <c r="AH69" s="14">
        <v>6.2256869999999997</v>
      </c>
      <c r="AI69" s="9">
        <v>-75.599423999999999</v>
      </c>
      <c r="AJ69" s="9" t="s">
        <v>749</v>
      </c>
      <c r="AK69" s="9">
        <v>6.3070500000000003</v>
      </c>
      <c r="AL69" s="19">
        <v>-75.578316000000001</v>
      </c>
      <c r="AM69" s="26">
        <f t="shared" si="1"/>
        <v>3.0567129629629632E-2</v>
      </c>
      <c r="AN69" s="9"/>
    </row>
    <row r="70" spans="1:40" ht="15" x14ac:dyDescent="0.25">
      <c r="A70" s="9" t="s">
        <v>554</v>
      </c>
      <c r="B70" s="9" t="s">
        <v>555</v>
      </c>
      <c r="C70" s="9" t="s">
        <v>556</v>
      </c>
      <c r="D70" s="9" t="s">
        <v>507</v>
      </c>
      <c r="E70" s="9" t="s">
        <v>36</v>
      </c>
      <c r="F70" s="9" t="s">
        <v>508</v>
      </c>
      <c r="G70" s="9" t="s">
        <v>105</v>
      </c>
      <c r="H70" s="9" t="s">
        <v>106</v>
      </c>
      <c r="I70" s="9" t="s">
        <v>40</v>
      </c>
      <c r="J70" s="9">
        <v>3343</v>
      </c>
      <c r="K70" s="9" t="s">
        <v>557</v>
      </c>
      <c r="L70" s="9" t="s">
        <v>42</v>
      </c>
      <c r="M70" s="10">
        <v>4.1493055555555547E-2</v>
      </c>
      <c r="N70" s="9" t="s">
        <v>43</v>
      </c>
      <c r="O70" s="9" t="s">
        <v>558</v>
      </c>
      <c r="P70" s="9" t="s">
        <v>45</v>
      </c>
      <c r="Q70" s="10">
        <v>1.443287037037037E-2</v>
      </c>
      <c r="R70" s="9" t="s">
        <v>56</v>
      </c>
      <c r="S70" s="10">
        <v>0.27740740740740738</v>
      </c>
      <c r="T70" s="9">
        <v>45.014000000000003</v>
      </c>
      <c r="U70" s="9">
        <v>10.79</v>
      </c>
      <c r="V70" s="10">
        <v>0.17377314814814809</v>
      </c>
      <c r="W70" s="10">
        <v>0.1037962962962963</v>
      </c>
      <c r="X70" s="10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 t="s">
        <v>57</v>
      </c>
      <c r="AF70" s="9" t="s">
        <v>559</v>
      </c>
      <c r="AG70" s="14" t="s">
        <v>750</v>
      </c>
      <c r="AH70" s="14">
        <v>6.2255770000000004</v>
      </c>
      <c r="AI70" s="9">
        <v>-75.599168000000006</v>
      </c>
      <c r="AJ70" s="9" t="s">
        <v>751</v>
      </c>
      <c r="AK70" s="9">
        <v>6.2253429999999996</v>
      </c>
      <c r="AL70" s="19">
        <v>-75.599208000000004</v>
      </c>
      <c r="AM70" s="26">
        <f t="shared" si="1"/>
        <v>5.5925925925925921E-2</v>
      </c>
      <c r="AN70" s="9"/>
    </row>
    <row r="71" spans="1:40" ht="15" x14ac:dyDescent="0.25">
      <c r="A71" s="9" t="s">
        <v>561</v>
      </c>
      <c r="B71" s="9" t="s">
        <v>562</v>
      </c>
      <c r="C71" s="9" t="s">
        <v>563</v>
      </c>
      <c r="D71" s="9" t="s">
        <v>564</v>
      </c>
      <c r="E71" s="9" t="s">
        <v>36</v>
      </c>
      <c r="F71" s="9" t="s">
        <v>37</v>
      </c>
      <c r="G71" s="9" t="s">
        <v>38</v>
      </c>
      <c r="H71" s="9" t="s">
        <v>39</v>
      </c>
      <c r="I71" s="9" t="s">
        <v>40</v>
      </c>
      <c r="J71" s="9">
        <v>3838</v>
      </c>
      <c r="K71" s="9" t="s">
        <v>565</v>
      </c>
      <c r="L71" s="9" t="s">
        <v>42</v>
      </c>
      <c r="M71" s="10">
        <v>5.7773379629629624E-3</v>
      </c>
      <c r="N71" s="9" t="s">
        <v>65</v>
      </c>
      <c r="O71" s="9" t="s">
        <v>566</v>
      </c>
      <c r="P71" s="9" t="s">
        <v>45</v>
      </c>
      <c r="Q71" s="10">
        <v>1.543287037037037E-4</v>
      </c>
      <c r="R71" s="9" t="s">
        <v>46</v>
      </c>
      <c r="S71" s="10">
        <v>0.32771032407407408</v>
      </c>
      <c r="T71" s="9">
        <v>28.545000000000002</v>
      </c>
      <c r="U71" s="9">
        <v>12.49</v>
      </c>
      <c r="V71" s="10">
        <v>9.5231527777777936E-2</v>
      </c>
      <c r="W71" s="10">
        <v>6.5383564814814804E-2</v>
      </c>
      <c r="X71" s="10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8</v>
      </c>
      <c r="AE71" s="9" t="s">
        <v>84</v>
      </c>
      <c r="AF71" s="9" t="s">
        <v>567</v>
      </c>
      <c r="AG71" s="14" t="s">
        <v>752</v>
      </c>
      <c r="AH71" s="14">
        <v>6.2217500000000001</v>
      </c>
      <c r="AI71" s="9">
        <v>-75.593790999999996</v>
      </c>
      <c r="AJ71" s="9" t="s">
        <v>753</v>
      </c>
      <c r="AK71" s="9">
        <v>6.2321720000000003</v>
      </c>
      <c r="AL71" s="19">
        <v>-75.597104000000002</v>
      </c>
      <c r="AM71" s="26">
        <f t="shared" si="1"/>
        <v>0</v>
      </c>
      <c r="AN71" s="9"/>
    </row>
    <row r="72" spans="1:40" ht="15" x14ac:dyDescent="0.25">
      <c r="A72" s="9" t="s">
        <v>568</v>
      </c>
      <c r="B72" s="9" t="s">
        <v>569</v>
      </c>
      <c r="C72" s="9" t="s">
        <v>570</v>
      </c>
      <c r="D72" s="9" t="s">
        <v>564</v>
      </c>
      <c r="E72" s="9" t="s">
        <v>36</v>
      </c>
      <c r="F72" s="9" t="s">
        <v>37</v>
      </c>
      <c r="G72" s="9" t="s">
        <v>52</v>
      </c>
      <c r="H72" s="9" t="s">
        <v>53</v>
      </c>
      <c r="I72" s="9" t="s">
        <v>40</v>
      </c>
      <c r="J72" s="9">
        <v>2322</v>
      </c>
      <c r="K72" s="9" t="s">
        <v>571</v>
      </c>
      <c r="L72" s="9" t="s">
        <v>42</v>
      </c>
      <c r="M72" s="10">
        <v>2.239583333333333E-2</v>
      </c>
      <c r="N72" s="9" t="s">
        <v>127</v>
      </c>
      <c r="O72" s="9" t="s">
        <v>572</v>
      </c>
      <c r="P72" s="9" t="s">
        <v>45</v>
      </c>
      <c r="Q72" s="10">
        <v>4.0335648148148148E-2</v>
      </c>
      <c r="R72" s="9" t="s">
        <v>56</v>
      </c>
      <c r="S72" s="10">
        <v>0.31539351851851849</v>
      </c>
      <c r="T72" s="9">
        <v>30.937000000000001</v>
      </c>
      <c r="U72" s="9">
        <v>5.82</v>
      </c>
      <c r="V72" s="10">
        <v>0.22141203703703699</v>
      </c>
      <c r="W72" s="10">
        <v>0.17298611111111109</v>
      </c>
      <c r="X72" s="10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3</v>
      </c>
      <c r="AE72" s="9" t="s">
        <v>139</v>
      </c>
      <c r="AF72" s="9" t="s">
        <v>573</v>
      </c>
      <c r="AG72" s="14" t="s">
        <v>754</v>
      </c>
      <c r="AH72" s="14">
        <v>6.2256450000000001</v>
      </c>
      <c r="AI72" s="9">
        <v>-75.599376000000007</v>
      </c>
      <c r="AJ72" s="9" t="s">
        <v>755</v>
      </c>
      <c r="AK72" s="9">
        <v>6.2517519999999998</v>
      </c>
      <c r="AL72" s="19">
        <v>-75.606869000000003</v>
      </c>
      <c r="AM72" s="26">
        <f t="shared" si="1"/>
        <v>4.0335648148148148E-2</v>
      </c>
      <c r="AN72" s="9"/>
    </row>
    <row r="73" spans="1:40" ht="15" x14ac:dyDescent="0.25">
      <c r="A73" s="9" t="s">
        <v>574</v>
      </c>
      <c r="B73" s="9" t="s">
        <v>575</v>
      </c>
      <c r="C73" s="9" t="s">
        <v>576</v>
      </c>
      <c r="D73" s="9" t="s">
        <v>564</v>
      </c>
      <c r="E73" s="9" t="s">
        <v>36</v>
      </c>
      <c r="F73" s="9" t="s">
        <v>37</v>
      </c>
      <c r="G73" s="9" t="s">
        <v>62</v>
      </c>
      <c r="H73" s="9" t="s">
        <v>63</v>
      </c>
      <c r="I73" s="9" t="s">
        <v>40</v>
      </c>
      <c r="J73" s="9">
        <v>4626</v>
      </c>
      <c r="K73" s="9" t="s">
        <v>577</v>
      </c>
      <c r="L73" s="9" t="s">
        <v>42</v>
      </c>
      <c r="M73" s="10">
        <v>5.6018518518518518E-3</v>
      </c>
      <c r="N73" s="9" t="s">
        <v>65</v>
      </c>
      <c r="O73" s="9" t="s">
        <v>578</v>
      </c>
      <c r="P73" s="9" t="s">
        <v>45</v>
      </c>
      <c r="Q73" s="10">
        <v>0.1113078703703704</v>
      </c>
      <c r="R73" s="9" t="s">
        <v>56</v>
      </c>
      <c r="S73" s="10">
        <v>0.21642361111111111</v>
      </c>
      <c r="T73" s="9">
        <v>64.143000000000001</v>
      </c>
      <c r="U73" s="9">
        <v>18.079999999999998</v>
      </c>
      <c r="V73" s="10">
        <v>0.14780092592592589</v>
      </c>
      <c r="W73" s="10">
        <v>4.8333333333333332E-2</v>
      </c>
      <c r="X73" s="10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 t="s">
        <v>67</v>
      </c>
      <c r="AF73" s="9" t="s">
        <v>579</v>
      </c>
      <c r="AG73" s="14" t="s">
        <v>756</v>
      </c>
      <c r="AH73" s="14">
        <v>6.225651</v>
      </c>
      <c r="AI73" s="9">
        <v>-75.599455000000006</v>
      </c>
      <c r="AJ73" s="9" t="s">
        <v>757</v>
      </c>
      <c r="AK73" s="9">
        <v>6.2588150000000002</v>
      </c>
      <c r="AL73" s="19">
        <v>-75.597380000000001</v>
      </c>
      <c r="AM73" s="26">
        <f t="shared" si="1"/>
        <v>0.1113078703703704</v>
      </c>
      <c r="AN73" s="9"/>
    </row>
    <row r="74" spans="1:40" ht="15" x14ac:dyDescent="0.25">
      <c r="A74" s="9" t="s">
        <v>580</v>
      </c>
      <c r="B74" s="9" t="s">
        <v>581</v>
      </c>
      <c r="C74" s="9" t="s">
        <v>582</v>
      </c>
      <c r="D74" s="9" t="s">
        <v>564</v>
      </c>
      <c r="E74" s="9" t="s">
        <v>36</v>
      </c>
      <c r="F74" s="9" t="s">
        <v>37</v>
      </c>
      <c r="G74" s="9" t="s">
        <v>72</v>
      </c>
      <c r="H74" s="9" t="s">
        <v>73</v>
      </c>
      <c r="I74" s="9" t="s">
        <v>40</v>
      </c>
      <c r="J74" s="9">
        <v>1888</v>
      </c>
      <c r="K74" s="9" t="s">
        <v>583</v>
      </c>
      <c r="L74" s="9" t="s">
        <v>42</v>
      </c>
      <c r="M74" s="10">
        <v>6.6087962962962966E-3</v>
      </c>
      <c r="N74" s="9" t="s">
        <v>65</v>
      </c>
      <c r="O74" s="9" t="s">
        <v>584</v>
      </c>
      <c r="P74" s="9" t="s">
        <v>45</v>
      </c>
      <c r="Q74" s="10">
        <v>0.17048611111111109</v>
      </c>
      <c r="R74" s="9" t="s">
        <v>56</v>
      </c>
      <c r="S74" s="10">
        <v>0.16945601851851849</v>
      </c>
      <c r="T74" s="9">
        <v>25.75</v>
      </c>
      <c r="U74" s="9">
        <v>9</v>
      </c>
      <c r="V74" s="10">
        <v>0.119224537037037</v>
      </c>
      <c r="W74" s="10">
        <v>8.1770833333333334E-2</v>
      </c>
      <c r="X74" s="10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2</v>
      </c>
      <c r="AE74" s="9" t="s">
        <v>67</v>
      </c>
      <c r="AF74" s="9" t="s">
        <v>585</v>
      </c>
      <c r="AG74" s="14" t="s">
        <v>758</v>
      </c>
      <c r="AH74" s="14">
        <v>6.2257400000000001</v>
      </c>
      <c r="AI74" s="9">
        <v>-75.599144999999993</v>
      </c>
      <c r="AJ74" s="9" t="s">
        <v>759</v>
      </c>
      <c r="AK74" s="9">
        <v>6.2465330000000003</v>
      </c>
      <c r="AL74" s="19">
        <v>-75.568451999999994</v>
      </c>
      <c r="AM74" s="26">
        <f t="shared" si="1"/>
        <v>0.17048611111111109</v>
      </c>
      <c r="AN74" s="9"/>
    </row>
    <row r="75" spans="1:40" ht="15" x14ac:dyDescent="0.25">
      <c r="A75" s="9" t="s">
        <v>586</v>
      </c>
      <c r="B75" s="9" t="s">
        <v>587</v>
      </c>
      <c r="C75" s="9" t="s">
        <v>588</v>
      </c>
      <c r="D75" s="9" t="s">
        <v>564</v>
      </c>
      <c r="E75" s="9" t="s">
        <v>36</v>
      </c>
      <c r="F75" s="9" t="s">
        <v>37</v>
      </c>
      <c r="G75" s="9" t="s">
        <v>80</v>
      </c>
      <c r="H75" s="9" t="s">
        <v>81</v>
      </c>
      <c r="I75" s="9" t="s">
        <v>40</v>
      </c>
      <c r="J75" s="9">
        <v>6764</v>
      </c>
      <c r="K75" s="9" t="s">
        <v>589</v>
      </c>
      <c r="L75" s="9" t="s">
        <v>42</v>
      </c>
      <c r="M75" s="10">
        <v>2.1839120370370372E-3</v>
      </c>
      <c r="N75" s="9" t="s">
        <v>65</v>
      </c>
      <c r="O75" s="9" t="s">
        <v>590</v>
      </c>
      <c r="P75" s="9" t="s">
        <v>45</v>
      </c>
      <c r="Q75" s="10">
        <v>9.3734606481481481E-3</v>
      </c>
      <c r="R75" s="9" t="s">
        <v>46</v>
      </c>
      <c r="S75" s="10">
        <v>0.32614378472222222</v>
      </c>
      <c r="T75" s="9">
        <v>45.899000000000001</v>
      </c>
      <c r="U75" s="9">
        <v>22.44</v>
      </c>
      <c r="V75" s="10">
        <v>8.5241932870370241E-2</v>
      </c>
      <c r="W75" s="10">
        <v>3.3560416666666669E-2</v>
      </c>
      <c r="X75" s="10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10</v>
      </c>
      <c r="AE75" s="9" t="s">
        <v>84</v>
      </c>
      <c r="AF75" s="9" t="s">
        <v>591</v>
      </c>
      <c r="AG75" s="14" t="s">
        <v>760</v>
      </c>
      <c r="AH75" s="14">
        <v>6.2255900000000004</v>
      </c>
      <c r="AI75" s="9">
        <v>-75.599134000000006</v>
      </c>
      <c r="AJ75" s="9" t="s">
        <v>761</v>
      </c>
      <c r="AK75" s="9">
        <v>6.2592119999999998</v>
      </c>
      <c r="AL75" s="19">
        <v>-75.620936999999998</v>
      </c>
      <c r="AM75" s="26">
        <f t="shared" si="1"/>
        <v>0</v>
      </c>
      <c r="AN75" s="9"/>
    </row>
    <row r="76" spans="1:40" ht="15" x14ac:dyDescent="0.25">
      <c r="A76" s="9" t="s">
        <v>592</v>
      </c>
      <c r="B76" s="9" t="s">
        <v>593</v>
      </c>
      <c r="C76" s="9" t="s">
        <v>594</v>
      </c>
      <c r="D76" s="9" t="s">
        <v>564</v>
      </c>
      <c r="E76" s="9" t="s">
        <v>36</v>
      </c>
      <c r="F76" s="9" t="s">
        <v>37</v>
      </c>
      <c r="G76" s="9" t="s">
        <v>89</v>
      </c>
      <c r="H76" s="9" t="s">
        <v>90</v>
      </c>
      <c r="I76" s="9" t="s">
        <v>40</v>
      </c>
      <c r="J76" s="9">
        <v>6390</v>
      </c>
      <c r="K76" s="9" t="s">
        <v>595</v>
      </c>
      <c r="L76" s="9" t="s">
        <v>42</v>
      </c>
      <c r="M76" s="10">
        <v>5.8796296296296296E-3</v>
      </c>
      <c r="N76" s="9" t="s">
        <v>65</v>
      </c>
      <c r="O76" s="9" t="s">
        <v>596</v>
      </c>
      <c r="P76" s="9" t="s">
        <v>45</v>
      </c>
      <c r="Q76" s="10">
        <v>1.368055555555556E-2</v>
      </c>
      <c r="R76" s="9" t="s">
        <v>129</v>
      </c>
      <c r="S76" s="10">
        <v>0.35289351851851852</v>
      </c>
      <c r="T76" s="9">
        <v>83.77</v>
      </c>
      <c r="U76" s="9">
        <v>12.59</v>
      </c>
      <c r="V76" s="10">
        <v>0.27726851851851853</v>
      </c>
      <c r="W76" s="10">
        <v>8.6053240740740736E-2</v>
      </c>
      <c r="X76" s="10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1</v>
      </c>
      <c r="AE76" s="9" t="s">
        <v>130</v>
      </c>
      <c r="AF76" s="9" t="s">
        <v>597</v>
      </c>
      <c r="AG76" s="14" t="s">
        <v>762</v>
      </c>
      <c r="AH76" s="14">
        <v>6.2267859999999997</v>
      </c>
      <c r="AI76" s="9">
        <v>-75.599287000000004</v>
      </c>
      <c r="AJ76" s="9" t="s">
        <v>763</v>
      </c>
      <c r="AK76" s="9">
        <v>6.2791969999999999</v>
      </c>
      <c r="AL76" s="19">
        <v>-75.569158000000002</v>
      </c>
      <c r="AM76" s="26">
        <f t="shared" si="1"/>
        <v>0</v>
      </c>
      <c r="AN76" s="9"/>
    </row>
    <row r="77" spans="1:40" ht="15" x14ac:dyDescent="0.25">
      <c r="A77" s="9" t="s">
        <v>598</v>
      </c>
      <c r="B77" s="9" t="s">
        <v>599</v>
      </c>
      <c r="C77" s="9" t="s">
        <v>600</v>
      </c>
      <c r="D77" s="9" t="s">
        <v>564</v>
      </c>
      <c r="E77" s="9" t="s">
        <v>36</v>
      </c>
      <c r="F77" s="9" t="s">
        <v>37</v>
      </c>
      <c r="G77" s="9" t="s">
        <v>97</v>
      </c>
      <c r="H77" s="9" t="s">
        <v>98</v>
      </c>
      <c r="I77" s="9" t="s">
        <v>40</v>
      </c>
      <c r="J77" s="9">
        <v>2193</v>
      </c>
      <c r="K77" s="9" t="s">
        <v>601</v>
      </c>
      <c r="L77" s="9" t="s">
        <v>42</v>
      </c>
      <c r="M77" s="10">
        <v>4.5138888888888892E-4</v>
      </c>
      <c r="N77" s="9" t="s">
        <v>65</v>
      </c>
      <c r="O77" s="9" t="s">
        <v>602</v>
      </c>
      <c r="P77" s="9" t="s">
        <v>45</v>
      </c>
      <c r="Q77" s="10">
        <v>5.2974537037037042E-2</v>
      </c>
      <c r="R77" s="9" t="s">
        <v>56</v>
      </c>
      <c r="S77" s="10">
        <v>0.28081018518518519</v>
      </c>
      <c r="T77" s="9">
        <v>28.241</v>
      </c>
      <c r="U77" s="9">
        <v>6.2</v>
      </c>
      <c r="V77" s="10">
        <v>0.1897685185185185</v>
      </c>
      <c r="W77" s="10">
        <v>0.14140046296296299</v>
      </c>
      <c r="X77" s="10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1</v>
      </c>
      <c r="AE77" s="9" t="s">
        <v>67</v>
      </c>
      <c r="AF77" s="9" t="s">
        <v>603</v>
      </c>
      <c r="AG77" s="14" t="s">
        <v>764</v>
      </c>
      <c r="AH77" s="14">
        <v>6.2257170000000004</v>
      </c>
      <c r="AI77" s="9">
        <v>-75.599404000000007</v>
      </c>
      <c r="AJ77" s="9" t="s">
        <v>765</v>
      </c>
      <c r="AK77" s="9">
        <v>6.3035889999999997</v>
      </c>
      <c r="AL77" s="19">
        <v>-75.574327999999994</v>
      </c>
      <c r="AM77" s="26">
        <f t="shared" si="1"/>
        <v>5.2974537037037042E-2</v>
      </c>
      <c r="AN77" s="9"/>
    </row>
    <row r="78" spans="1:40" ht="15" x14ac:dyDescent="0.25">
      <c r="A78" s="9" t="s">
        <v>604</v>
      </c>
      <c r="B78" s="9" t="s">
        <v>605</v>
      </c>
      <c r="C78" s="9" t="s">
        <v>606</v>
      </c>
      <c r="D78" s="9" t="s">
        <v>564</v>
      </c>
      <c r="E78" s="9" t="s">
        <v>36</v>
      </c>
      <c r="F78" s="9" t="s">
        <v>37</v>
      </c>
      <c r="G78" s="9" t="s">
        <v>105</v>
      </c>
      <c r="H78" s="9" t="s">
        <v>106</v>
      </c>
      <c r="I78" s="9" t="s">
        <v>40</v>
      </c>
      <c r="J78" s="9">
        <v>1986</v>
      </c>
      <c r="K78" s="9" t="s">
        <v>607</v>
      </c>
      <c r="L78" s="9" t="s">
        <v>42</v>
      </c>
      <c r="M78" s="10">
        <v>1.3888888888888889E-3</v>
      </c>
      <c r="N78" s="9" t="s">
        <v>65</v>
      </c>
      <c r="O78" s="9" t="s">
        <v>608</v>
      </c>
      <c r="P78" s="9" t="s">
        <v>45</v>
      </c>
      <c r="Q78" s="10">
        <v>1.1817129629629631E-2</v>
      </c>
      <c r="R78" s="9" t="s">
        <v>56</v>
      </c>
      <c r="S78" s="10">
        <v>0.32290509259259259</v>
      </c>
      <c r="T78" s="9">
        <v>25.768999999999998</v>
      </c>
      <c r="U78" s="9">
        <v>6.75</v>
      </c>
      <c r="V78" s="10">
        <v>0.15908564814814821</v>
      </c>
      <c r="W78" s="10">
        <v>0.11571759259259259</v>
      </c>
      <c r="X78" s="10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 t="s">
        <v>67</v>
      </c>
      <c r="AF78" s="9" t="s">
        <v>609</v>
      </c>
      <c r="AG78" s="14" t="s">
        <v>766</v>
      </c>
      <c r="AH78" s="14">
        <v>6.2255209999999996</v>
      </c>
      <c r="AI78" s="9">
        <v>-75.599044000000006</v>
      </c>
      <c r="AJ78" s="9" t="s">
        <v>767</v>
      </c>
      <c r="AK78" s="9">
        <v>6.2255269999999996</v>
      </c>
      <c r="AL78" s="19">
        <v>-75.599142999999998</v>
      </c>
      <c r="AM78" s="26">
        <f t="shared" si="1"/>
        <v>1.1817129629629631E-2</v>
      </c>
      <c r="AN78" s="9"/>
    </row>
    <row r="79" spans="1:40" ht="15" x14ac:dyDescent="0.25">
      <c r="A79" s="9" t="s">
        <v>610</v>
      </c>
      <c r="B79" s="9" t="s">
        <v>611</v>
      </c>
      <c r="C79" s="9" t="s">
        <v>612</v>
      </c>
      <c r="D79" s="9" t="s">
        <v>564</v>
      </c>
      <c r="E79" s="9" t="s">
        <v>36</v>
      </c>
      <c r="F79" s="9" t="s">
        <v>37</v>
      </c>
      <c r="G79" s="9" t="s">
        <v>113</v>
      </c>
      <c r="H79" s="9" t="s">
        <v>114</v>
      </c>
      <c r="I79" s="9" t="s">
        <v>40</v>
      </c>
      <c r="J79" s="9">
        <v>1619</v>
      </c>
      <c r="K79" s="30">
        <v>46273.354166666664</v>
      </c>
      <c r="L79" s="9" t="s">
        <v>42</v>
      </c>
      <c r="M79" s="10">
        <v>0</v>
      </c>
      <c r="N79" s="9" t="s">
        <v>127</v>
      </c>
      <c r="O79" s="30">
        <v>46273.583553240744</v>
      </c>
      <c r="P79" s="9" t="s">
        <v>45</v>
      </c>
      <c r="Q79" s="10">
        <v>0.10394675925925929</v>
      </c>
      <c r="R79" s="9" t="s">
        <v>56</v>
      </c>
      <c r="S79" s="10">
        <v>0.17521990740740739</v>
      </c>
      <c r="T79" s="9">
        <v>20.939</v>
      </c>
      <c r="U79" s="9">
        <v>8.64</v>
      </c>
      <c r="V79" s="10">
        <v>0.1009953703703704</v>
      </c>
      <c r="W79" s="10">
        <v>6.4432870370370376E-2</v>
      </c>
      <c r="X79" s="10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 t="s">
        <v>139</v>
      </c>
      <c r="AF79" s="9" t="s">
        <v>613</v>
      </c>
      <c r="AG79" s="14" t="s">
        <v>738</v>
      </c>
      <c r="AH79" s="14">
        <v>6.2252320000000001</v>
      </c>
      <c r="AI79" s="9">
        <v>-75.598584000000002</v>
      </c>
      <c r="AJ79" s="9" t="s">
        <v>739</v>
      </c>
      <c r="AK79" s="9">
        <v>6.2635589999999999</v>
      </c>
      <c r="AL79" s="19">
        <v>-75.597027999999995</v>
      </c>
      <c r="AM79" s="26">
        <f t="shared" si="1"/>
        <v>0.10394675925925929</v>
      </c>
      <c r="AN79" s="9" t="s">
        <v>1321</v>
      </c>
    </row>
    <row r="80" spans="1:40" ht="15" x14ac:dyDescent="0.25">
      <c r="A80" s="9" t="s">
        <v>768</v>
      </c>
      <c r="B80" s="9" t="s">
        <v>769</v>
      </c>
      <c r="C80" s="9" t="s">
        <v>770</v>
      </c>
      <c r="D80" s="9" t="s">
        <v>564</v>
      </c>
      <c r="E80" s="9" t="s">
        <v>36</v>
      </c>
      <c r="F80" s="9" t="s">
        <v>37</v>
      </c>
      <c r="G80" s="9" t="s">
        <v>124</v>
      </c>
      <c r="H80" s="9" t="s">
        <v>125</v>
      </c>
      <c r="I80" s="9" t="s">
        <v>115</v>
      </c>
      <c r="J80" s="9">
        <v>3792</v>
      </c>
      <c r="K80" s="9" t="s">
        <v>771</v>
      </c>
      <c r="L80" s="9" t="s">
        <v>117</v>
      </c>
      <c r="M80" s="10">
        <v>5.486111111111111E-2</v>
      </c>
      <c r="N80" s="9" t="s">
        <v>127</v>
      </c>
      <c r="O80" s="9" t="s">
        <v>772</v>
      </c>
      <c r="P80" s="9" t="s">
        <v>119</v>
      </c>
      <c r="Q80" s="10">
        <v>9.4444444444444445E-3</v>
      </c>
      <c r="R80" s="9" t="s">
        <v>46</v>
      </c>
      <c r="S80" s="10">
        <v>0.31430555555555562</v>
      </c>
      <c r="T80" s="9">
        <v>46.256</v>
      </c>
      <c r="U80" s="9">
        <v>9.7899999999999991</v>
      </c>
      <c r="V80" s="10">
        <v>0.19690972222222219</v>
      </c>
      <c r="W80" s="10">
        <v>7.7858796296296301E-2</v>
      </c>
      <c r="X80" s="10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 t="s">
        <v>139</v>
      </c>
      <c r="AF80" s="9" t="s">
        <v>773</v>
      </c>
      <c r="AG80" s="9" t="s">
        <v>774</v>
      </c>
      <c r="AH80" s="9">
        <v>6.2291530000000002</v>
      </c>
      <c r="AI80" s="9">
        <v>-75.601984999999999</v>
      </c>
      <c r="AJ80" s="9" t="s">
        <v>775</v>
      </c>
      <c r="AK80" s="9">
        <v>6.2727120000000003</v>
      </c>
      <c r="AL80" s="19">
        <v>-75.602135000000004</v>
      </c>
      <c r="AM80" s="26">
        <f t="shared" si="1"/>
        <v>0</v>
      </c>
      <c r="AN80" s="9"/>
    </row>
    <row r="81" spans="1:54" ht="15" x14ac:dyDescent="0.25">
      <c r="A81" s="9" t="s">
        <v>776</v>
      </c>
      <c r="B81" s="9" t="s">
        <v>777</v>
      </c>
      <c r="C81" s="9" t="s">
        <v>778</v>
      </c>
      <c r="D81" s="9" t="s">
        <v>564</v>
      </c>
      <c r="E81" s="9" t="s">
        <v>36</v>
      </c>
      <c r="F81" s="9" t="s">
        <v>37</v>
      </c>
      <c r="G81" s="9" t="s">
        <v>135</v>
      </c>
      <c r="H81" s="9" t="s">
        <v>136</v>
      </c>
      <c r="I81" s="9" t="s">
        <v>115</v>
      </c>
      <c r="J81" s="9">
        <v>1478</v>
      </c>
      <c r="K81" s="9" t="s">
        <v>779</v>
      </c>
      <c r="L81" s="9" t="s">
        <v>117</v>
      </c>
      <c r="M81" s="10">
        <v>5.2847222222222219E-2</v>
      </c>
      <c r="N81" s="9" t="s">
        <v>127</v>
      </c>
      <c r="O81" s="9" t="s">
        <v>780</v>
      </c>
      <c r="P81" s="9" t="s">
        <v>119</v>
      </c>
      <c r="Q81" s="10">
        <v>5.9837962962962961E-3</v>
      </c>
      <c r="R81" s="9" t="s">
        <v>46</v>
      </c>
      <c r="S81" s="10">
        <v>0.29686342592592591</v>
      </c>
      <c r="T81" s="9">
        <v>43.536999999999999</v>
      </c>
      <c r="U81" s="9">
        <v>8.2200000000000006</v>
      </c>
      <c r="V81" s="10">
        <v>0.22065972222222219</v>
      </c>
      <c r="W81" s="10">
        <v>0.1898148148148148</v>
      </c>
      <c r="X81" s="10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3</v>
      </c>
      <c r="AE81" s="9" t="s">
        <v>139</v>
      </c>
      <c r="AF81" s="9" t="s">
        <v>781</v>
      </c>
      <c r="AG81" s="9" t="s">
        <v>782</v>
      </c>
      <c r="AH81" s="9">
        <v>6.2848389999999998</v>
      </c>
      <c r="AI81" s="9">
        <v>-75.562652999999997</v>
      </c>
      <c r="AJ81" s="9" t="s">
        <v>783</v>
      </c>
      <c r="AK81" s="9">
        <v>6.2633109999999999</v>
      </c>
      <c r="AL81" s="19">
        <v>-75.556538000000003</v>
      </c>
      <c r="AM81" s="26">
        <f t="shared" si="1"/>
        <v>0</v>
      </c>
      <c r="AN81" s="9"/>
    </row>
    <row r="82" spans="1:54" ht="15" x14ac:dyDescent="0.25">
      <c r="A82" s="9" t="s">
        <v>784</v>
      </c>
      <c r="B82" s="9" t="s">
        <v>785</v>
      </c>
      <c r="C82" s="9" t="s">
        <v>786</v>
      </c>
      <c r="D82" s="9" t="s">
        <v>564</v>
      </c>
      <c r="E82" s="9" t="s">
        <v>36</v>
      </c>
      <c r="F82" s="9" t="s">
        <v>37</v>
      </c>
      <c r="G82" s="9" t="s">
        <v>144</v>
      </c>
      <c r="H82" s="9" t="s">
        <v>145</v>
      </c>
      <c r="I82" s="9" t="s">
        <v>115</v>
      </c>
      <c r="J82" s="9">
        <v>4868</v>
      </c>
      <c r="K82" s="9" t="s">
        <v>787</v>
      </c>
      <c r="L82" s="9" t="s">
        <v>117</v>
      </c>
      <c r="M82" s="10">
        <v>1.351851851851852E-2</v>
      </c>
      <c r="N82" s="9" t="s">
        <v>127</v>
      </c>
      <c r="O82" s="9" t="s">
        <v>788</v>
      </c>
      <c r="P82" s="9" t="s">
        <v>119</v>
      </c>
      <c r="Q82" s="10">
        <v>1.689814814814815E-3</v>
      </c>
      <c r="R82" s="9" t="s">
        <v>46</v>
      </c>
      <c r="S82" s="10">
        <v>0.26520833333333332</v>
      </c>
      <c r="T82" s="9">
        <v>61.854999999999997</v>
      </c>
      <c r="U82" s="9">
        <v>13.3</v>
      </c>
      <c r="V82" s="10">
        <v>0.19378472222222221</v>
      </c>
      <c r="W82" s="10">
        <v>5.4618055555555559E-2</v>
      </c>
      <c r="X82" s="10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 t="s">
        <v>139</v>
      </c>
      <c r="AF82" s="9" t="s">
        <v>789</v>
      </c>
      <c r="AG82" s="9" t="s">
        <v>790</v>
      </c>
      <c r="AH82" s="9">
        <v>6.2269959999999998</v>
      </c>
      <c r="AI82" s="9">
        <v>-75.599277000000001</v>
      </c>
      <c r="AJ82" s="9" t="s">
        <v>791</v>
      </c>
      <c r="AK82" s="9">
        <v>6.2904710000000001</v>
      </c>
      <c r="AL82" s="19">
        <v>-75.546616999999998</v>
      </c>
      <c r="AM82" s="26">
        <f t="shared" si="1"/>
        <v>0</v>
      </c>
      <c r="AN82" s="9"/>
    </row>
    <row r="83" spans="1:54" ht="15" x14ac:dyDescent="0.25">
      <c r="A83" s="9" t="s">
        <v>792</v>
      </c>
      <c r="B83" s="9" t="s">
        <v>793</v>
      </c>
      <c r="C83" s="9" t="s">
        <v>794</v>
      </c>
      <c r="D83" s="9" t="s">
        <v>564</v>
      </c>
      <c r="E83" s="9" t="s">
        <v>36</v>
      </c>
      <c r="F83" s="9" t="s">
        <v>37</v>
      </c>
      <c r="G83" s="9" t="s">
        <v>152</v>
      </c>
      <c r="H83" s="9" t="s">
        <v>153</v>
      </c>
      <c r="I83" s="9" t="s">
        <v>115</v>
      </c>
      <c r="J83" s="9">
        <v>4020</v>
      </c>
      <c r="K83" s="9" t="s">
        <v>795</v>
      </c>
      <c r="L83" s="9" t="s">
        <v>117</v>
      </c>
      <c r="M83" s="10">
        <v>1.380787037037037E-2</v>
      </c>
      <c r="N83" s="9" t="s">
        <v>127</v>
      </c>
      <c r="O83" s="9" t="s">
        <v>796</v>
      </c>
      <c r="P83" s="9" t="s">
        <v>119</v>
      </c>
      <c r="Q83" s="10">
        <v>3.064814814814815E-2</v>
      </c>
      <c r="R83" s="9" t="s">
        <v>56</v>
      </c>
      <c r="S83" s="10">
        <v>0.2331597222222222</v>
      </c>
      <c r="T83" s="9">
        <v>55.811</v>
      </c>
      <c r="U83" s="9">
        <v>13.78</v>
      </c>
      <c r="V83" s="10">
        <v>0.16873842592592589</v>
      </c>
      <c r="W83" s="10">
        <v>7.9861111111111105E-2</v>
      </c>
      <c r="X83" s="10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 t="s">
        <v>139</v>
      </c>
      <c r="AF83" s="9" t="s">
        <v>797</v>
      </c>
      <c r="AG83" s="9" t="s">
        <v>798</v>
      </c>
      <c r="AH83" s="9">
        <v>6.2253429999999996</v>
      </c>
      <c r="AI83" s="9">
        <v>-75.599271999999999</v>
      </c>
      <c r="AJ83" s="9" t="s">
        <v>799</v>
      </c>
      <c r="AK83" s="9">
        <v>6.251735</v>
      </c>
      <c r="AL83" s="19">
        <v>-75.551812999999996</v>
      </c>
      <c r="AM83" s="26">
        <f t="shared" si="1"/>
        <v>3.064814814814815E-2</v>
      </c>
      <c r="AN83" s="9"/>
    </row>
    <row r="84" spans="1:54" ht="15" x14ac:dyDescent="0.25">
      <c r="A84" s="17" t="s">
        <v>800</v>
      </c>
      <c r="B84" s="17" t="s">
        <v>801</v>
      </c>
      <c r="C84" s="17" t="s">
        <v>802</v>
      </c>
      <c r="D84" s="17" t="s">
        <v>564</v>
      </c>
      <c r="E84" s="17" t="s">
        <v>36</v>
      </c>
      <c r="F84" s="17" t="s">
        <v>37</v>
      </c>
      <c r="G84" s="17" t="s">
        <v>160</v>
      </c>
      <c r="H84" s="17" t="s">
        <v>161</v>
      </c>
      <c r="I84" s="17" t="s">
        <v>115</v>
      </c>
      <c r="J84" s="17">
        <v>7480</v>
      </c>
      <c r="K84" s="17" t="s">
        <v>803</v>
      </c>
      <c r="L84" s="17" t="s">
        <v>117</v>
      </c>
      <c r="M84" s="18">
        <v>2.8470277777777771E-2</v>
      </c>
      <c r="N84" s="17" t="s">
        <v>127</v>
      </c>
      <c r="O84" s="17" t="s">
        <v>804</v>
      </c>
      <c r="P84" s="17" t="s">
        <v>119</v>
      </c>
      <c r="Q84" s="18">
        <v>2.7316782407407411E-3</v>
      </c>
      <c r="R84" s="17" t="s">
        <v>46</v>
      </c>
      <c r="S84" s="18">
        <v>0.275738599537037</v>
      </c>
      <c r="T84" s="17">
        <v>39.557000000000002</v>
      </c>
      <c r="U84" s="17">
        <v>8.93</v>
      </c>
      <c r="V84" s="18">
        <v>0.18460640046296301</v>
      </c>
      <c r="W84" s="18">
        <v>0.15835628472222221</v>
      </c>
      <c r="X84" s="18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3</v>
      </c>
      <c r="AE84" s="17" t="s">
        <v>139</v>
      </c>
      <c r="AF84" s="17" t="s">
        <v>805</v>
      </c>
      <c r="AG84" s="17" t="s">
        <v>806</v>
      </c>
      <c r="AH84" s="17">
        <v>6.2266000000000004</v>
      </c>
      <c r="AI84" s="17">
        <v>-75.599172999999993</v>
      </c>
      <c r="AJ84" s="17" t="s">
        <v>807</v>
      </c>
      <c r="AK84" s="17">
        <v>6.2590969999999997</v>
      </c>
      <c r="AL84" s="23">
        <v>-75.587132999999994</v>
      </c>
      <c r="AM84" s="26">
        <f t="shared" si="1"/>
        <v>0</v>
      </c>
      <c r="AN84" s="9"/>
    </row>
    <row r="85" spans="1:54" ht="15" x14ac:dyDescent="0.25">
      <c r="A85" s="9" t="s">
        <v>808</v>
      </c>
      <c r="B85" s="9" t="s">
        <v>809</v>
      </c>
      <c r="C85" s="9" t="s">
        <v>810</v>
      </c>
      <c r="D85" s="9" t="s">
        <v>811</v>
      </c>
      <c r="E85" s="9" t="s">
        <v>36</v>
      </c>
      <c r="F85" s="9" t="s">
        <v>169</v>
      </c>
      <c r="G85" s="9" t="s">
        <v>38</v>
      </c>
      <c r="H85" s="9" t="s">
        <v>39</v>
      </c>
      <c r="I85" s="9" t="s">
        <v>40</v>
      </c>
      <c r="J85" s="9">
        <v>10331</v>
      </c>
      <c r="K85" s="9" t="s">
        <v>812</v>
      </c>
      <c r="L85" s="9" t="s">
        <v>42</v>
      </c>
      <c r="M85" s="10">
        <v>1.8701712962962962E-2</v>
      </c>
      <c r="N85" s="9" t="s">
        <v>43</v>
      </c>
      <c r="O85" s="9" t="s">
        <v>813</v>
      </c>
      <c r="P85" s="9" t="s">
        <v>45</v>
      </c>
      <c r="Q85" s="10">
        <v>8.1835763888888895E-3</v>
      </c>
      <c r="R85" s="9" t="s">
        <v>46</v>
      </c>
      <c r="S85" s="10">
        <v>0.32281519675925918</v>
      </c>
      <c r="T85" s="9">
        <v>96.043999999999997</v>
      </c>
      <c r="U85" s="9">
        <v>26.29</v>
      </c>
      <c r="V85" s="10">
        <v>0.1521998842592597</v>
      </c>
      <c r="W85" s="10">
        <v>4.7225497685185178E-2</v>
      </c>
      <c r="X85" s="10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1</v>
      </c>
      <c r="AE85" s="9" t="s">
        <v>47</v>
      </c>
      <c r="AF85" s="9" t="s">
        <v>814</v>
      </c>
      <c r="AG85" s="9" t="s">
        <v>815</v>
      </c>
      <c r="AH85" s="9">
        <v>6.2217019999999996</v>
      </c>
      <c r="AI85" s="9">
        <v>-75.593802999999994</v>
      </c>
      <c r="AJ85" s="9" t="s">
        <v>816</v>
      </c>
      <c r="AK85" s="9">
        <v>6.239052</v>
      </c>
      <c r="AL85" s="19">
        <v>-75.573688000000004</v>
      </c>
      <c r="AM85" s="26">
        <f t="shared" si="1"/>
        <v>1.8701712962962962E-2</v>
      </c>
      <c r="AN85" s="9"/>
      <c r="AY85" s="1"/>
      <c r="AZ85" s="1"/>
      <c r="BA85" s="1"/>
      <c r="BB85" s="1"/>
    </row>
    <row r="86" spans="1:54" ht="15" x14ac:dyDescent="0.25">
      <c r="A86" s="9" t="s">
        <v>817</v>
      </c>
      <c r="B86" s="9" t="s">
        <v>818</v>
      </c>
      <c r="C86" s="9" t="s">
        <v>819</v>
      </c>
      <c r="D86" s="9" t="s">
        <v>811</v>
      </c>
      <c r="E86" s="9" t="s">
        <v>36</v>
      </c>
      <c r="F86" s="9" t="s">
        <v>169</v>
      </c>
      <c r="G86" s="9" t="s">
        <v>52</v>
      </c>
      <c r="H86" s="9" t="s">
        <v>53</v>
      </c>
      <c r="I86" s="9" t="s">
        <v>40</v>
      </c>
      <c r="J86" s="9">
        <v>2906</v>
      </c>
      <c r="K86" s="9" t="s">
        <v>820</v>
      </c>
      <c r="L86" s="9" t="s">
        <v>42</v>
      </c>
      <c r="M86" s="10">
        <v>1.90625E-2</v>
      </c>
      <c r="N86" s="9" t="s">
        <v>127</v>
      </c>
      <c r="O86" s="9" t="s">
        <v>821</v>
      </c>
      <c r="P86" s="9" t="s">
        <v>45</v>
      </c>
      <c r="Q86" s="10">
        <v>1.7060185185185189E-2</v>
      </c>
      <c r="R86" s="9" t="s">
        <v>56</v>
      </c>
      <c r="S86" s="10">
        <v>0.33533564814814809</v>
      </c>
      <c r="T86" s="9">
        <v>38.857999999999997</v>
      </c>
      <c r="U86" s="9">
        <v>6.95</v>
      </c>
      <c r="V86" s="10">
        <v>0.2330902777777778</v>
      </c>
      <c r="W86" s="10">
        <v>0.17041666666666669</v>
      </c>
      <c r="X86" s="10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1</v>
      </c>
      <c r="AE86" s="9" t="s">
        <v>139</v>
      </c>
      <c r="AF86" s="9" t="s">
        <v>822</v>
      </c>
      <c r="AG86" s="9" t="s">
        <v>823</v>
      </c>
      <c r="AH86" s="9">
        <v>6.2476459999999996</v>
      </c>
      <c r="AI86" s="9">
        <v>-75.614966999999993</v>
      </c>
      <c r="AJ86" s="9" t="s">
        <v>824</v>
      </c>
      <c r="AK86" s="9">
        <v>6.2434399999999997</v>
      </c>
      <c r="AL86" s="19">
        <v>-75.602891999999997</v>
      </c>
      <c r="AM86" s="26">
        <f t="shared" si="1"/>
        <v>1.7060185185185189E-2</v>
      </c>
      <c r="AN86" s="9"/>
      <c r="AY86" s="1"/>
      <c r="AZ86" s="1"/>
      <c r="BA86" s="1"/>
      <c r="BB86" s="1"/>
    </row>
    <row r="87" spans="1:54" ht="15" x14ac:dyDescent="0.25">
      <c r="A87" s="9" t="s">
        <v>825</v>
      </c>
      <c r="B87" s="9" t="s">
        <v>826</v>
      </c>
      <c r="C87" s="9" t="s">
        <v>827</v>
      </c>
      <c r="D87" s="9" t="s">
        <v>811</v>
      </c>
      <c r="E87" s="9" t="s">
        <v>36</v>
      </c>
      <c r="F87" s="9" t="s">
        <v>169</v>
      </c>
      <c r="G87" s="9" t="s">
        <v>113</v>
      </c>
      <c r="H87" s="9" t="s">
        <v>114</v>
      </c>
      <c r="I87" s="9" t="s">
        <v>40</v>
      </c>
      <c r="J87" s="9">
        <v>3496</v>
      </c>
      <c r="K87" s="9" t="s">
        <v>828</v>
      </c>
      <c r="L87" s="9" t="s">
        <v>42</v>
      </c>
      <c r="M87" s="10">
        <v>2.685185185185185E-3</v>
      </c>
      <c r="N87" s="9" t="s">
        <v>65</v>
      </c>
      <c r="O87" s="9" t="s">
        <v>829</v>
      </c>
      <c r="P87" s="9" t="s">
        <v>45</v>
      </c>
      <c r="Q87" s="10">
        <v>1.466435185185185E-2</v>
      </c>
      <c r="R87" s="9" t="s">
        <v>129</v>
      </c>
      <c r="S87" s="10">
        <v>0.35068287037037038</v>
      </c>
      <c r="T87" s="9">
        <v>47.039000000000001</v>
      </c>
      <c r="U87" s="9">
        <v>6.38</v>
      </c>
      <c r="V87" s="10">
        <v>0.3072685185185185</v>
      </c>
      <c r="W87" s="10">
        <v>0.2359259259259259</v>
      </c>
      <c r="X87" s="10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2</v>
      </c>
      <c r="AE87" s="9" t="s">
        <v>130</v>
      </c>
      <c r="AF87" s="9" t="s">
        <v>830</v>
      </c>
      <c r="AG87" s="9" t="s">
        <v>831</v>
      </c>
      <c r="AH87" s="9">
        <v>6.258318</v>
      </c>
      <c r="AI87" s="9">
        <v>-75.597741999999997</v>
      </c>
      <c r="AJ87" s="9" t="s">
        <v>832</v>
      </c>
      <c r="AK87" s="9">
        <v>6.2054049999999998</v>
      </c>
      <c r="AL87" s="19">
        <v>-75.550645000000003</v>
      </c>
      <c r="AM87" s="26">
        <f t="shared" si="1"/>
        <v>0</v>
      </c>
      <c r="AN87" s="9"/>
      <c r="AY87" s="1"/>
      <c r="AZ87" s="1"/>
      <c r="BA87" s="1"/>
      <c r="BB87" s="1"/>
    </row>
    <row r="88" spans="1:54" ht="15" x14ac:dyDescent="0.25">
      <c r="A88" s="9" t="s">
        <v>833</v>
      </c>
      <c r="B88" s="9" t="s">
        <v>834</v>
      </c>
      <c r="C88" s="9" t="s">
        <v>835</v>
      </c>
      <c r="D88" s="9" t="s">
        <v>811</v>
      </c>
      <c r="E88" s="9" t="s">
        <v>36</v>
      </c>
      <c r="F88" s="9" t="s">
        <v>169</v>
      </c>
      <c r="G88" s="9" t="s">
        <v>62</v>
      </c>
      <c r="H88" s="9" t="s">
        <v>63</v>
      </c>
      <c r="I88" s="9" t="s">
        <v>40</v>
      </c>
      <c r="J88" s="9">
        <v>4464</v>
      </c>
      <c r="K88" s="9" t="s">
        <v>836</v>
      </c>
      <c r="L88" s="9" t="s">
        <v>42</v>
      </c>
      <c r="M88" s="10">
        <v>3.9004629629629632E-3</v>
      </c>
      <c r="N88" s="9" t="s">
        <v>65</v>
      </c>
      <c r="O88" s="9" t="s">
        <v>837</v>
      </c>
      <c r="P88" s="9" t="s">
        <v>45</v>
      </c>
      <c r="Q88" s="10">
        <v>6.9988425925925926E-2</v>
      </c>
      <c r="R88" s="9" t="s">
        <v>56</v>
      </c>
      <c r="S88" s="10">
        <v>0.25944444444444442</v>
      </c>
      <c r="T88" s="9">
        <v>57.075000000000003</v>
      </c>
      <c r="U88" s="9">
        <v>13.62</v>
      </c>
      <c r="V88" s="10">
        <v>0.1746412037037037</v>
      </c>
      <c r="W88" s="10">
        <v>5.5092592592592603E-2</v>
      </c>
      <c r="X88" s="10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1</v>
      </c>
      <c r="AE88" s="9" t="s">
        <v>67</v>
      </c>
      <c r="AF88" s="9" t="s">
        <v>838</v>
      </c>
      <c r="AG88" s="9" t="s">
        <v>839</v>
      </c>
      <c r="AH88" s="9">
        <v>6.3100529999999999</v>
      </c>
      <c r="AI88" s="9">
        <v>-75.578040999999999</v>
      </c>
      <c r="AJ88" s="9" t="s">
        <v>840</v>
      </c>
      <c r="AK88" s="9">
        <v>6.3061689999999997</v>
      </c>
      <c r="AL88" s="19">
        <v>-75.573086000000004</v>
      </c>
      <c r="AM88" s="26">
        <f t="shared" si="1"/>
        <v>6.9988425925925926E-2</v>
      </c>
      <c r="AN88" s="9"/>
      <c r="AY88" s="1"/>
      <c r="AZ88" s="1"/>
      <c r="BA88" s="1"/>
      <c r="BB88" s="1"/>
    </row>
    <row r="89" spans="1:54" ht="15" x14ac:dyDescent="0.25">
      <c r="A89" s="9" t="s">
        <v>841</v>
      </c>
      <c r="B89" s="9" t="s">
        <v>842</v>
      </c>
      <c r="C89" s="9" t="s">
        <v>843</v>
      </c>
      <c r="D89" s="9" t="s">
        <v>811</v>
      </c>
      <c r="E89" s="9" t="s">
        <v>36</v>
      </c>
      <c r="F89" s="9" t="s">
        <v>169</v>
      </c>
      <c r="G89" s="9" t="s">
        <v>72</v>
      </c>
      <c r="H89" s="9" t="s">
        <v>73</v>
      </c>
      <c r="I89" s="9" t="s">
        <v>40</v>
      </c>
      <c r="J89" s="9">
        <v>3438</v>
      </c>
      <c r="K89" s="9" t="s">
        <v>844</v>
      </c>
      <c r="L89" s="9" t="s">
        <v>42</v>
      </c>
      <c r="M89" s="10">
        <v>3.4097222222222223E-2</v>
      </c>
      <c r="N89" s="9" t="s">
        <v>43</v>
      </c>
      <c r="O89" s="9" t="s">
        <v>845</v>
      </c>
      <c r="P89" s="9" t="s">
        <v>45</v>
      </c>
      <c r="Q89" s="10">
        <v>0.1536689814814815</v>
      </c>
      <c r="R89" s="9" t="s">
        <v>56</v>
      </c>
      <c r="S89" s="10">
        <v>0.14556712962962959</v>
      </c>
      <c r="T89" s="9">
        <v>47.387999999999998</v>
      </c>
      <c r="U89" s="9">
        <v>15.33</v>
      </c>
      <c r="V89" s="10">
        <v>0.1287615740740741</v>
      </c>
      <c r="W89" s="10">
        <v>6.5787037037037033E-2</v>
      </c>
      <c r="X89" s="10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 t="s">
        <v>57</v>
      </c>
      <c r="AF89" s="9" t="s">
        <v>846</v>
      </c>
      <c r="AG89" s="9" t="s">
        <v>847</v>
      </c>
      <c r="AH89" s="9">
        <v>6.2415830000000003</v>
      </c>
      <c r="AI89" s="9">
        <v>-75.555441999999999</v>
      </c>
      <c r="AJ89" s="9" t="s">
        <v>848</v>
      </c>
      <c r="AK89" s="9">
        <v>6.2369300000000001</v>
      </c>
      <c r="AL89" s="19">
        <v>-75.558775999999995</v>
      </c>
      <c r="AM89" s="26">
        <f t="shared" si="1"/>
        <v>0.18776620370370373</v>
      </c>
      <c r="AN89" s="9"/>
      <c r="AY89" s="1"/>
      <c r="AZ89" s="1"/>
      <c r="BA89" s="1"/>
      <c r="BB89" s="1"/>
    </row>
    <row r="90" spans="1:54" ht="15" x14ac:dyDescent="0.25">
      <c r="A90" s="9" t="s">
        <v>849</v>
      </c>
      <c r="B90" s="9" t="s">
        <v>850</v>
      </c>
      <c r="C90" s="9" t="s">
        <v>851</v>
      </c>
      <c r="D90" s="9" t="s">
        <v>811</v>
      </c>
      <c r="E90" s="9" t="s">
        <v>36</v>
      </c>
      <c r="F90" s="9" t="s">
        <v>169</v>
      </c>
      <c r="G90" s="9" t="s">
        <v>80</v>
      </c>
      <c r="H90" s="9" t="s">
        <v>81</v>
      </c>
      <c r="I90" s="9" t="s">
        <v>40</v>
      </c>
      <c r="J90" s="9">
        <v>6674</v>
      </c>
      <c r="K90" s="9" t="s">
        <v>852</v>
      </c>
      <c r="L90" s="9" t="s">
        <v>42</v>
      </c>
      <c r="M90" s="10">
        <v>4.1909953703703701E-3</v>
      </c>
      <c r="N90" s="9" t="s">
        <v>65</v>
      </c>
      <c r="O90" s="9" t="s">
        <v>853</v>
      </c>
      <c r="P90" s="9" t="s">
        <v>45</v>
      </c>
      <c r="Q90" s="10">
        <v>4.5398611111111117E-3</v>
      </c>
      <c r="R90" s="9" t="s">
        <v>46</v>
      </c>
      <c r="S90" s="10">
        <v>0.32460247685185178</v>
      </c>
      <c r="T90" s="9">
        <v>42.155999999999999</v>
      </c>
      <c r="U90" s="9">
        <v>24.67</v>
      </c>
      <c r="V90" s="10">
        <v>7.1191354166666623E-2</v>
      </c>
      <c r="W90" s="10">
        <v>2.1963368055555561E-2</v>
      </c>
      <c r="X90" s="10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10</v>
      </c>
      <c r="AE90" s="9" t="s">
        <v>84</v>
      </c>
      <c r="AF90" s="9" t="s">
        <v>591</v>
      </c>
      <c r="AG90" s="9" t="s">
        <v>854</v>
      </c>
      <c r="AH90" s="9">
        <v>6.2592470000000002</v>
      </c>
      <c r="AI90" s="9">
        <v>-75.620994999999994</v>
      </c>
      <c r="AJ90" s="9" t="s">
        <v>855</v>
      </c>
      <c r="AK90" s="9">
        <v>6.2474959999999999</v>
      </c>
      <c r="AL90" s="19">
        <v>-75.552143999999998</v>
      </c>
      <c r="AM90" s="26">
        <f t="shared" si="1"/>
        <v>0</v>
      </c>
      <c r="AN90" s="9"/>
      <c r="AY90" s="1"/>
      <c r="AZ90" s="1"/>
      <c r="BA90" s="1"/>
      <c r="BB90" s="1"/>
    </row>
    <row r="91" spans="1:54" ht="15" x14ac:dyDescent="0.25">
      <c r="A91" s="9" t="s">
        <v>856</v>
      </c>
      <c r="B91" s="9" t="s">
        <v>857</v>
      </c>
      <c r="C91" s="9" t="s">
        <v>858</v>
      </c>
      <c r="D91" s="9" t="s">
        <v>811</v>
      </c>
      <c r="E91" s="9" t="s">
        <v>36</v>
      </c>
      <c r="F91" s="9" t="s">
        <v>169</v>
      </c>
      <c r="G91" s="9" t="s">
        <v>89</v>
      </c>
      <c r="H91" s="9" t="s">
        <v>90</v>
      </c>
      <c r="I91" s="9" t="s">
        <v>40</v>
      </c>
      <c r="J91" s="9">
        <v>6609</v>
      </c>
      <c r="K91" s="9" t="s">
        <v>859</v>
      </c>
      <c r="L91" s="9" t="s">
        <v>42</v>
      </c>
      <c r="M91" s="10">
        <v>4.8750000000000002E-2</v>
      </c>
      <c r="N91" s="9" t="s">
        <v>43</v>
      </c>
      <c r="O91" s="9" t="s">
        <v>860</v>
      </c>
      <c r="P91" s="9" t="s">
        <v>45</v>
      </c>
      <c r="Q91" s="10">
        <v>9.3171296296296301E-3</v>
      </c>
      <c r="R91" s="9" t="s">
        <v>46</v>
      </c>
      <c r="S91" s="10">
        <v>0.29390046296296302</v>
      </c>
      <c r="T91" s="9">
        <v>92.83</v>
      </c>
      <c r="U91" s="9">
        <v>16.16</v>
      </c>
      <c r="V91" s="10">
        <v>0.23928240740740739</v>
      </c>
      <c r="W91" s="10">
        <v>8.1539351851851849E-2</v>
      </c>
      <c r="X91" s="10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1</v>
      </c>
      <c r="AE91" s="9" t="s">
        <v>47</v>
      </c>
      <c r="AF91" s="9" t="s">
        <v>861</v>
      </c>
      <c r="AG91" s="9" t="s">
        <v>862</v>
      </c>
      <c r="AH91" s="9">
        <v>6.217206</v>
      </c>
      <c r="AI91" s="9">
        <v>-75.576186000000007</v>
      </c>
      <c r="AJ91" s="9" t="s">
        <v>863</v>
      </c>
      <c r="AK91" s="9">
        <v>6.3036430000000001</v>
      </c>
      <c r="AL91" s="19">
        <v>-75.557889000000003</v>
      </c>
      <c r="AM91" s="26">
        <f t="shared" si="1"/>
        <v>4.8750000000000002E-2</v>
      </c>
      <c r="AN91" s="9"/>
      <c r="AY91" s="1"/>
      <c r="AZ91" s="1"/>
      <c r="BA91" s="1"/>
      <c r="BB91" s="1"/>
    </row>
    <row r="92" spans="1:54" ht="15" x14ac:dyDescent="0.25">
      <c r="A92" s="9" t="s">
        <v>864</v>
      </c>
      <c r="B92" s="9" t="s">
        <v>865</v>
      </c>
      <c r="C92" s="9" t="s">
        <v>866</v>
      </c>
      <c r="D92" s="9" t="s">
        <v>811</v>
      </c>
      <c r="E92" s="9" t="s">
        <v>36</v>
      </c>
      <c r="F92" s="9" t="s">
        <v>169</v>
      </c>
      <c r="G92" s="9" t="s">
        <v>97</v>
      </c>
      <c r="H92" s="9" t="s">
        <v>98</v>
      </c>
      <c r="I92" s="9" t="s">
        <v>40</v>
      </c>
      <c r="J92" s="9">
        <v>2010</v>
      </c>
      <c r="K92" s="9" t="s">
        <v>867</v>
      </c>
      <c r="L92" s="9" t="s">
        <v>42</v>
      </c>
      <c r="M92" s="10">
        <v>2.5462962962962961E-4</v>
      </c>
      <c r="N92" s="9" t="s">
        <v>65</v>
      </c>
      <c r="O92" s="9" t="s">
        <v>868</v>
      </c>
      <c r="P92" s="9" t="s">
        <v>45</v>
      </c>
      <c r="Q92" s="10">
        <v>0.11125</v>
      </c>
      <c r="R92" s="9" t="s">
        <v>56</v>
      </c>
      <c r="S92" s="10">
        <v>0.22233796296296299</v>
      </c>
      <c r="T92" s="9">
        <v>24.972999999999999</v>
      </c>
      <c r="U92" s="9">
        <v>8.4700000000000006</v>
      </c>
      <c r="V92" s="10">
        <v>0.1228009259259259</v>
      </c>
      <c r="W92" s="10">
        <v>6.9918981481481485E-2</v>
      </c>
      <c r="X92" s="10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 t="s">
        <v>67</v>
      </c>
      <c r="AF92" s="9" t="s">
        <v>869</v>
      </c>
      <c r="AG92" s="9" t="s">
        <v>870</v>
      </c>
      <c r="AH92" s="9">
        <v>6.3083960000000001</v>
      </c>
      <c r="AI92" s="9">
        <v>-75.576554000000002</v>
      </c>
      <c r="AJ92" s="9" t="s">
        <v>871</v>
      </c>
      <c r="AK92" s="9">
        <v>6.3069069999999998</v>
      </c>
      <c r="AL92" s="19">
        <v>-75.555556999999993</v>
      </c>
      <c r="AM92" s="26">
        <f t="shared" si="1"/>
        <v>0.11125</v>
      </c>
      <c r="AN92" s="9"/>
      <c r="AY92" s="1"/>
      <c r="AZ92" s="1"/>
      <c r="BA92" s="1"/>
      <c r="BB92" s="1"/>
    </row>
    <row r="93" spans="1:54" ht="15" x14ac:dyDescent="0.25">
      <c r="A93" s="9" t="s">
        <v>872</v>
      </c>
      <c r="B93" s="9" t="s">
        <v>873</v>
      </c>
      <c r="C93" s="9" t="s">
        <v>874</v>
      </c>
      <c r="D93" s="9" t="s">
        <v>811</v>
      </c>
      <c r="E93" s="9" t="s">
        <v>36</v>
      </c>
      <c r="F93" s="9" t="s">
        <v>169</v>
      </c>
      <c r="G93" s="9" t="s">
        <v>105</v>
      </c>
      <c r="H93" s="9" t="s">
        <v>106</v>
      </c>
      <c r="I93" s="9" t="s">
        <v>40</v>
      </c>
      <c r="J93" s="9">
        <v>1636</v>
      </c>
      <c r="K93" s="9" t="s">
        <v>875</v>
      </c>
      <c r="L93" s="9" t="s">
        <v>42</v>
      </c>
      <c r="M93" s="10">
        <v>1.7708333333333329E-2</v>
      </c>
      <c r="N93" s="9" t="s">
        <v>43</v>
      </c>
      <c r="O93" s="9" t="s">
        <v>876</v>
      </c>
      <c r="P93" s="9" t="s">
        <v>45</v>
      </c>
      <c r="Q93" s="10">
        <v>8.0011574074074068E-2</v>
      </c>
      <c r="R93" s="9" t="s">
        <v>56</v>
      </c>
      <c r="S93" s="10">
        <v>0.23561342592592591</v>
      </c>
      <c r="T93" s="9">
        <v>21.09</v>
      </c>
      <c r="U93" s="9">
        <v>10.08</v>
      </c>
      <c r="V93" s="10">
        <v>8.7164351851851854E-2</v>
      </c>
      <c r="W93" s="10">
        <v>5.1898148148148152E-2</v>
      </c>
      <c r="X93" s="10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 t="s">
        <v>57</v>
      </c>
      <c r="AF93" s="9" t="s">
        <v>877</v>
      </c>
      <c r="AG93" s="9" t="s">
        <v>878</v>
      </c>
      <c r="AH93" s="9">
        <v>6.2253720000000001</v>
      </c>
      <c r="AI93" s="9">
        <v>-75.599439000000004</v>
      </c>
      <c r="AJ93" s="9" t="s">
        <v>879</v>
      </c>
      <c r="AK93" s="9">
        <v>6.2254300000000002</v>
      </c>
      <c r="AL93" s="19">
        <v>-75.599134000000006</v>
      </c>
      <c r="AM93" s="26">
        <f t="shared" si="1"/>
        <v>9.7719907407407394E-2</v>
      </c>
      <c r="AN93" s="9"/>
      <c r="AY93" s="1"/>
      <c r="AZ93" s="1"/>
      <c r="BA93" s="1"/>
      <c r="BB93" s="1"/>
    </row>
    <row r="94" spans="1:54" ht="15" x14ac:dyDescent="0.25">
      <c r="A94" s="9" t="s">
        <v>880</v>
      </c>
      <c r="B94" s="9" t="s">
        <v>881</v>
      </c>
      <c r="C94" s="9" t="s">
        <v>882</v>
      </c>
      <c r="D94" s="9" t="s">
        <v>811</v>
      </c>
      <c r="E94" s="9" t="s">
        <v>36</v>
      </c>
      <c r="F94" s="9" t="s">
        <v>169</v>
      </c>
      <c r="G94" s="9" t="s">
        <v>124</v>
      </c>
      <c r="H94" s="9" t="s">
        <v>125</v>
      </c>
      <c r="I94" s="9" t="s">
        <v>115</v>
      </c>
      <c r="J94" s="9">
        <v>3917</v>
      </c>
      <c r="K94" s="9" t="s">
        <v>883</v>
      </c>
      <c r="L94" s="9" t="s">
        <v>117</v>
      </c>
      <c r="M94" s="10">
        <v>1.087962962962963E-2</v>
      </c>
      <c r="N94" s="9" t="s">
        <v>127</v>
      </c>
      <c r="O94" s="9" t="s">
        <v>884</v>
      </c>
      <c r="P94" s="9" t="s">
        <v>119</v>
      </c>
      <c r="Q94" s="10">
        <v>2.8472222222222219E-3</v>
      </c>
      <c r="R94" s="9" t="s">
        <v>46</v>
      </c>
      <c r="S94" s="10">
        <v>0.26372685185185191</v>
      </c>
      <c r="T94" s="9">
        <v>47.945999999999998</v>
      </c>
      <c r="U94" s="9">
        <v>10.35</v>
      </c>
      <c r="V94" s="10">
        <v>0.19305555555555559</v>
      </c>
      <c r="W94" s="10">
        <v>7.1585648148148148E-2</v>
      </c>
      <c r="X94" s="10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 t="s">
        <v>139</v>
      </c>
      <c r="AF94" s="9" t="s">
        <v>885</v>
      </c>
      <c r="AG94" s="9" t="s">
        <v>886</v>
      </c>
      <c r="AH94" s="9">
        <v>6.2724310000000001</v>
      </c>
      <c r="AI94" s="9">
        <v>-75.602117000000007</v>
      </c>
      <c r="AJ94" s="9" t="s">
        <v>887</v>
      </c>
      <c r="AK94" s="9">
        <v>6.2727500000000003</v>
      </c>
      <c r="AL94" s="19">
        <v>-75.602029000000002</v>
      </c>
      <c r="AM94" s="26">
        <f t="shared" si="1"/>
        <v>0</v>
      </c>
      <c r="AN94" s="9"/>
    </row>
    <row r="95" spans="1:54" ht="15" x14ac:dyDescent="0.25">
      <c r="A95" s="9" t="s">
        <v>888</v>
      </c>
      <c r="B95" s="9" t="s">
        <v>889</v>
      </c>
      <c r="C95" s="9" t="s">
        <v>890</v>
      </c>
      <c r="D95" s="9" t="s">
        <v>811</v>
      </c>
      <c r="E95" s="9" t="s">
        <v>36</v>
      </c>
      <c r="F95" s="9" t="s">
        <v>169</v>
      </c>
      <c r="G95" s="9" t="s">
        <v>135</v>
      </c>
      <c r="H95" s="9" t="s">
        <v>136</v>
      </c>
      <c r="I95" s="9" t="s">
        <v>115</v>
      </c>
      <c r="J95" s="9">
        <v>1448</v>
      </c>
      <c r="K95" s="9" t="s">
        <v>891</v>
      </c>
      <c r="L95" s="9" t="s">
        <v>117</v>
      </c>
      <c r="M95" s="10">
        <v>1.1087962962962959E-2</v>
      </c>
      <c r="N95" s="9" t="s">
        <v>127</v>
      </c>
      <c r="O95" s="9" t="s">
        <v>892</v>
      </c>
      <c r="P95" s="9" t="s">
        <v>119</v>
      </c>
      <c r="Q95" s="10">
        <v>6.5393518518518517E-3</v>
      </c>
      <c r="R95" s="9" t="s">
        <v>46</v>
      </c>
      <c r="S95" s="10">
        <v>0.2545486111111111</v>
      </c>
      <c r="T95" s="9">
        <v>36.604999999999997</v>
      </c>
      <c r="U95" s="9">
        <v>15.05</v>
      </c>
      <c r="V95" s="10">
        <v>0.1013310185185185</v>
      </c>
      <c r="W95" s="10">
        <v>7.0358796296296294E-2</v>
      </c>
      <c r="X95" s="10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2</v>
      </c>
      <c r="AE95" s="9" t="s">
        <v>139</v>
      </c>
      <c r="AF95" s="9" t="s">
        <v>893</v>
      </c>
      <c r="AG95" s="9" t="s">
        <v>783</v>
      </c>
      <c r="AH95" s="9">
        <v>6.2633109999999999</v>
      </c>
      <c r="AI95" s="9">
        <v>-75.556538000000003</v>
      </c>
      <c r="AJ95" s="9" t="s">
        <v>894</v>
      </c>
      <c r="AK95" s="9">
        <v>6.261107</v>
      </c>
      <c r="AL95" s="19">
        <v>-75.584666999999996</v>
      </c>
      <c r="AM95" s="26">
        <f t="shared" si="1"/>
        <v>0</v>
      </c>
      <c r="AN95" s="9"/>
    </row>
    <row r="96" spans="1:54" ht="15" x14ac:dyDescent="0.25">
      <c r="A96" s="9" t="s">
        <v>895</v>
      </c>
      <c r="B96" s="9" t="s">
        <v>896</v>
      </c>
      <c r="C96" s="9" t="s">
        <v>897</v>
      </c>
      <c r="D96" s="9" t="s">
        <v>811</v>
      </c>
      <c r="E96" s="9" t="s">
        <v>36</v>
      </c>
      <c r="F96" s="9" t="s">
        <v>169</v>
      </c>
      <c r="G96" s="9" t="s">
        <v>144</v>
      </c>
      <c r="H96" s="9" t="s">
        <v>145</v>
      </c>
      <c r="I96" s="9" t="s">
        <v>115</v>
      </c>
      <c r="J96" s="9">
        <v>4949</v>
      </c>
      <c r="K96" s="9" t="s">
        <v>898</v>
      </c>
      <c r="L96" s="9" t="s">
        <v>117</v>
      </c>
      <c r="M96" s="10">
        <v>4.0659722222222222E-2</v>
      </c>
      <c r="N96" s="9" t="s">
        <v>43</v>
      </c>
      <c r="O96" s="9" t="s">
        <v>899</v>
      </c>
      <c r="P96" s="9" t="s">
        <v>119</v>
      </c>
      <c r="Q96" s="10">
        <v>3.8078703703703699E-3</v>
      </c>
      <c r="R96" s="9" t="s">
        <v>46</v>
      </c>
      <c r="S96" s="10">
        <v>0.21314814814814809</v>
      </c>
      <c r="T96" s="9">
        <v>66.066999999999993</v>
      </c>
      <c r="U96" s="9">
        <v>17.059999999999999</v>
      </c>
      <c r="V96" s="10">
        <v>0.1613310185185185</v>
      </c>
      <c r="W96" s="10">
        <v>3.7002314814814807E-2</v>
      </c>
      <c r="X96" s="10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 t="s">
        <v>47</v>
      </c>
      <c r="AF96" s="9" t="s">
        <v>900</v>
      </c>
      <c r="AG96" s="9" t="s">
        <v>901</v>
      </c>
      <c r="AH96" s="9">
        <v>6.2727060000000003</v>
      </c>
      <c r="AI96" s="9">
        <v>-75.573803999999996</v>
      </c>
      <c r="AJ96" s="9" t="s">
        <v>902</v>
      </c>
      <c r="AK96" s="9">
        <v>6.29061</v>
      </c>
      <c r="AL96" s="19">
        <v>-75.546387999999993</v>
      </c>
      <c r="AM96" s="26">
        <f t="shared" si="1"/>
        <v>4.0659722222222222E-2</v>
      </c>
      <c r="AN96" s="9"/>
    </row>
    <row r="97" spans="1:40" ht="15" x14ac:dyDescent="0.25">
      <c r="A97" s="9" t="s">
        <v>903</v>
      </c>
      <c r="B97" s="9" t="s">
        <v>904</v>
      </c>
      <c r="C97" s="9" t="s">
        <v>905</v>
      </c>
      <c r="D97" s="9" t="s">
        <v>811</v>
      </c>
      <c r="E97" s="9" t="s">
        <v>36</v>
      </c>
      <c r="F97" s="9" t="s">
        <v>169</v>
      </c>
      <c r="G97" s="9" t="s">
        <v>152</v>
      </c>
      <c r="H97" s="9" t="s">
        <v>153</v>
      </c>
      <c r="I97" s="9" t="s">
        <v>115</v>
      </c>
      <c r="J97" s="9">
        <v>1436</v>
      </c>
      <c r="K97" s="9" t="s">
        <v>906</v>
      </c>
      <c r="L97" s="9" t="s">
        <v>117</v>
      </c>
      <c r="M97" s="10">
        <v>1.684027777777778E-2</v>
      </c>
      <c r="N97" s="9" t="s">
        <v>43</v>
      </c>
      <c r="O97" s="9" t="s">
        <v>907</v>
      </c>
      <c r="P97" s="9" t="s">
        <v>119</v>
      </c>
      <c r="Q97" s="10">
        <v>2.509259259259259E-2</v>
      </c>
      <c r="R97" s="9" t="s">
        <v>56</v>
      </c>
      <c r="S97" s="10">
        <v>0.20806712962962959</v>
      </c>
      <c r="T97" s="9">
        <v>18.117999999999999</v>
      </c>
      <c r="U97" s="9">
        <v>6.37</v>
      </c>
      <c r="V97" s="10">
        <v>0.1184375</v>
      </c>
      <c r="W97" s="10">
        <v>8.3819444444444446E-2</v>
      </c>
      <c r="X97" s="10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 t="s">
        <v>57</v>
      </c>
      <c r="AF97" s="9" t="s">
        <v>908</v>
      </c>
      <c r="AG97" s="9" t="s">
        <v>909</v>
      </c>
      <c r="AH97" s="9">
        <v>6.2518079999999996</v>
      </c>
      <c r="AI97" s="9">
        <v>-75.551905000000005</v>
      </c>
      <c r="AJ97" s="9" t="s">
        <v>910</v>
      </c>
      <c r="AK97" s="9">
        <v>6.2517630000000004</v>
      </c>
      <c r="AL97" s="19">
        <v>-75.551749999999998</v>
      </c>
      <c r="AM97" s="26">
        <f t="shared" si="1"/>
        <v>4.193287037037037E-2</v>
      </c>
      <c r="AN97" s="9"/>
    </row>
    <row r="98" spans="1:40" ht="15" x14ac:dyDescent="0.25">
      <c r="A98" s="9" t="s">
        <v>911</v>
      </c>
      <c r="B98" s="9" t="s">
        <v>912</v>
      </c>
      <c r="C98" s="9" t="s">
        <v>913</v>
      </c>
      <c r="D98" s="9" t="s">
        <v>811</v>
      </c>
      <c r="E98" s="9" t="s">
        <v>36</v>
      </c>
      <c r="F98" s="9" t="s">
        <v>169</v>
      </c>
      <c r="G98" s="9" t="s">
        <v>160</v>
      </c>
      <c r="H98" s="9" t="s">
        <v>161</v>
      </c>
      <c r="I98" s="9" t="s">
        <v>115</v>
      </c>
      <c r="J98" s="9">
        <v>10950</v>
      </c>
      <c r="K98" s="9" t="s">
        <v>914</v>
      </c>
      <c r="L98" s="9" t="s">
        <v>117</v>
      </c>
      <c r="M98" s="10">
        <v>2.1409467592592591E-2</v>
      </c>
      <c r="N98" s="9" t="s">
        <v>127</v>
      </c>
      <c r="O98" s="9" t="s">
        <v>915</v>
      </c>
      <c r="P98" s="9" t="s">
        <v>119</v>
      </c>
      <c r="Q98" s="10">
        <v>2.9280902777777782E-3</v>
      </c>
      <c r="R98" s="9" t="s">
        <v>46</v>
      </c>
      <c r="S98" s="10">
        <v>0.27433755787037029</v>
      </c>
      <c r="T98" s="9">
        <v>56.308</v>
      </c>
      <c r="U98" s="9">
        <v>14.4</v>
      </c>
      <c r="V98" s="10">
        <v>0.16292899305555561</v>
      </c>
      <c r="W98" s="10">
        <v>0.1123279398148148</v>
      </c>
      <c r="X98" s="10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2</v>
      </c>
      <c r="AE98" s="9" t="s">
        <v>139</v>
      </c>
      <c r="AF98" s="9" t="s">
        <v>916</v>
      </c>
      <c r="AG98" s="9" t="s">
        <v>917</v>
      </c>
      <c r="AH98" s="9">
        <v>6.2685320000000004</v>
      </c>
      <c r="AI98" s="9">
        <v>-75.597139999999996</v>
      </c>
      <c r="AJ98" s="9" t="s">
        <v>918</v>
      </c>
      <c r="AK98" s="9">
        <v>6.2685719999999998</v>
      </c>
      <c r="AL98" s="19">
        <v>-75.599348000000006</v>
      </c>
      <c r="AM98" s="26">
        <f t="shared" si="1"/>
        <v>0</v>
      </c>
      <c r="AN98" s="9"/>
    </row>
    <row r="99" spans="1:40" ht="15" x14ac:dyDescent="0.25">
      <c r="A99" s="9" t="s">
        <v>925</v>
      </c>
      <c r="B99" s="9" t="s">
        <v>926</v>
      </c>
      <c r="C99" s="9" t="s">
        <v>927</v>
      </c>
      <c r="D99" s="9" t="s">
        <v>928</v>
      </c>
      <c r="E99" s="9" t="s">
        <v>36</v>
      </c>
      <c r="F99" s="9" t="s">
        <v>315</v>
      </c>
      <c r="G99" s="9" t="s">
        <v>38</v>
      </c>
      <c r="H99" s="9" t="s">
        <v>39</v>
      </c>
      <c r="I99" s="9" t="s">
        <v>40</v>
      </c>
      <c r="J99" s="9">
        <v>3372</v>
      </c>
      <c r="K99" s="9" t="s">
        <v>929</v>
      </c>
      <c r="L99" s="9" t="s">
        <v>42</v>
      </c>
      <c r="M99" s="10">
        <v>3.8180555555555558E-2</v>
      </c>
      <c r="N99" s="9" t="s">
        <v>43</v>
      </c>
      <c r="O99" s="9" t="s">
        <v>930</v>
      </c>
      <c r="P99" s="9" t="s">
        <v>45</v>
      </c>
      <c r="Q99" s="10">
        <v>1.103583333333333E-2</v>
      </c>
      <c r="R99" s="9" t="s">
        <v>56</v>
      </c>
      <c r="S99" s="10">
        <v>0.28411694444444452</v>
      </c>
      <c r="T99" s="9">
        <v>33.204999999999998</v>
      </c>
      <c r="U99" s="9">
        <v>7.1</v>
      </c>
      <c r="V99" s="10">
        <v>0.19491045138888891</v>
      </c>
      <c r="W99" s="10">
        <v>0.1525608680555556</v>
      </c>
      <c r="X99" s="10">
        <v>0.1106189351851852</v>
      </c>
      <c r="Y99" s="9">
        <v>1</v>
      </c>
      <c r="Z99" s="9">
        <v>1</v>
      </c>
      <c r="AA99" s="9">
        <v>1</v>
      </c>
      <c r="AB99" s="9">
        <v>1</v>
      </c>
      <c r="AC99" s="9">
        <v>1</v>
      </c>
      <c r="AD99" s="9">
        <v>3</v>
      </c>
      <c r="AE99" s="9" t="s">
        <v>57</v>
      </c>
      <c r="AF99" s="9" t="s">
        <v>931</v>
      </c>
      <c r="AG99" s="9" t="s">
        <v>932</v>
      </c>
      <c r="AH99" s="9">
        <v>6.2252510000000001</v>
      </c>
      <c r="AI99" s="9">
        <v>-75.599789999999999</v>
      </c>
      <c r="AJ99" s="9" t="s">
        <v>933</v>
      </c>
      <c r="AK99" s="9">
        <v>6.221514</v>
      </c>
      <c r="AL99" s="19">
        <v>-75.593841999999995</v>
      </c>
      <c r="AM99" s="26">
        <f t="shared" si="1"/>
        <v>4.9216388888888886E-2</v>
      </c>
      <c r="AN99" s="9"/>
    </row>
    <row r="100" spans="1:40" ht="15" x14ac:dyDescent="0.25">
      <c r="A100" s="9" t="s">
        <v>934</v>
      </c>
      <c r="B100" s="9" t="s">
        <v>935</v>
      </c>
      <c r="C100" s="9" t="s">
        <v>936</v>
      </c>
      <c r="D100" s="9" t="s">
        <v>928</v>
      </c>
      <c r="E100" s="9" t="s">
        <v>36</v>
      </c>
      <c r="F100" s="9" t="s">
        <v>315</v>
      </c>
      <c r="G100" s="9" t="s">
        <v>52</v>
      </c>
      <c r="H100" s="9" t="s">
        <v>53</v>
      </c>
      <c r="I100" s="9" t="s">
        <v>40</v>
      </c>
      <c r="J100" s="9">
        <v>3183</v>
      </c>
      <c r="K100" s="9" t="s">
        <v>937</v>
      </c>
      <c r="L100" s="9" t="s">
        <v>42</v>
      </c>
      <c r="M100" s="10">
        <v>3.5879629629629629E-3</v>
      </c>
      <c r="N100" s="9" t="s">
        <v>65</v>
      </c>
      <c r="O100" s="9" t="s">
        <v>938</v>
      </c>
      <c r="P100" s="9" t="s">
        <v>45</v>
      </c>
      <c r="Q100" s="10">
        <v>1.5393518518518521E-3</v>
      </c>
      <c r="R100" s="9" t="s">
        <v>46</v>
      </c>
      <c r="S100" s="10">
        <v>0.33128472222222222</v>
      </c>
      <c r="T100" s="9">
        <v>45.685000000000002</v>
      </c>
      <c r="U100" s="9">
        <v>7.13</v>
      </c>
      <c r="V100" s="10">
        <v>0.26686342592592588</v>
      </c>
      <c r="W100" s="10">
        <v>0.2033564814814815</v>
      </c>
      <c r="X100" s="10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3</v>
      </c>
      <c r="AE100" s="9" t="s">
        <v>84</v>
      </c>
      <c r="AF100" s="9" t="s">
        <v>292</v>
      </c>
      <c r="AG100" s="9" t="s">
        <v>939</v>
      </c>
      <c r="AH100" s="9">
        <v>6.2256349999999996</v>
      </c>
      <c r="AI100" s="9">
        <v>-75.599376000000007</v>
      </c>
      <c r="AJ100" s="9" t="s">
        <v>940</v>
      </c>
      <c r="AK100" s="9">
        <v>6.2477539999999996</v>
      </c>
      <c r="AL100" s="19">
        <v>-75.615013000000005</v>
      </c>
      <c r="AM100" s="26">
        <f t="shared" si="1"/>
        <v>0</v>
      </c>
      <c r="AN100" s="9"/>
    </row>
    <row r="101" spans="1:40" ht="15" x14ac:dyDescent="0.25">
      <c r="A101" s="9" t="s">
        <v>941</v>
      </c>
      <c r="B101" s="9" t="s">
        <v>942</v>
      </c>
      <c r="C101" s="9" t="s">
        <v>943</v>
      </c>
      <c r="D101" s="9" t="s">
        <v>928</v>
      </c>
      <c r="E101" s="9" t="s">
        <v>36</v>
      </c>
      <c r="F101" s="9" t="s">
        <v>315</v>
      </c>
      <c r="G101" s="9" t="s">
        <v>62</v>
      </c>
      <c r="H101" s="9" t="s">
        <v>63</v>
      </c>
      <c r="I101" s="9" t="s">
        <v>40</v>
      </c>
      <c r="J101" s="9">
        <v>3750</v>
      </c>
      <c r="K101" s="9" t="s">
        <v>944</v>
      </c>
      <c r="L101" s="9" t="s">
        <v>42</v>
      </c>
      <c r="M101" s="10">
        <v>9.6643518518518511E-3</v>
      </c>
      <c r="N101" s="9" t="s">
        <v>65</v>
      </c>
      <c r="O101" s="9" t="s">
        <v>945</v>
      </c>
      <c r="P101" s="9" t="s">
        <v>45</v>
      </c>
      <c r="Q101" s="10">
        <v>5.5173611111111111E-2</v>
      </c>
      <c r="R101" s="9" t="s">
        <v>56</v>
      </c>
      <c r="S101" s="10">
        <v>0.26849537037037041</v>
      </c>
      <c r="T101" s="9">
        <v>50.122999999999998</v>
      </c>
      <c r="U101" s="9">
        <v>10.97</v>
      </c>
      <c r="V101" s="10">
        <v>0.19039351851851849</v>
      </c>
      <c r="W101" s="10">
        <v>9.4606481481481486E-2</v>
      </c>
      <c r="X101" s="10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1</v>
      </c>
      <c r="AE101" s="9" t="s">
        <v>67</v>
      </c>
      <c r="AF101" s="9" t="s">
        <v>946</v>
      </c>
      <c r="AG101" s="9" t="s">
        <v>947</v>
      </c>
      <c r="AH101" s="9">
        <v>6.225778</v>
      </c>
      <c r="AI101" s="9">
        <v>-75.599474999999998</v>
      </c>
      <c r="AJ101" s="9" t="s">
        <v>948</v>
      </c>
      <c r="AK101" s="9">
        <v>6.2990209999999998</v>
      </c>
      <c r="AL101" s="19">
        <v>-75.579161999999997</v>
      </c>
      <c r="AM101" s="26">
        <f t="shared" si="1"/>
        <v>5.5173611111111111E-2</v>
      </c>
      <c r="AN101" s="9"/>
    </row>
    <row r="102" spans="1:40" ht="15" x14ac:dyDescent="0.25">
      <c r="A102" s="9" t="s">
        <v>949</v>
      </c>
      <c r="B102" s="9" t="s">
        <v>950</v>
      </c>
      <c r="C102" s="9" t="s">
        <v>951</v>
      </c>
      <c r="D102" s="9" t="s">
        <v>928</v>
      </c>
      <c r="E102" s="9" t="s">
        <v>36</v>
      </c>
      <c r="F102" s="9" t="s">
        <v>315</v>
      </c>
      <c r="G102" s="9" t="s">
        <v>72</v>
      </c>
      <c r="H102" s="9" t="s">
        <v>73</v>
      </c>
      <c r="I102" s="9" t="s">
        <v>40</v>
      </c>
      <c r="J102" s="9">
        <v>2732</v>
      </c>
      <c r="K102" s="9" t="s">
        <v>952</v>
      </c>
      <c r="L102" s="9" t="s">
        <v>42</v>
      </c>
      <c r="M102" s="10">
        <v>1.6307870370370368E-2</v>
      </c>
      <c r="N102" s="9" t="s">
        <v>43</v>
      </c>
      <c r="O102" s="9" t="s">
        <v>953</v>
      </c>
      <c r="P102" s="9" t="s">
        <v>45</v>
      </c>
      <c r="Q102" s="10">
        <v>0.17123842592592589</v>
      </c>
      <c r="R102" s="9" t="s">
        <v>56</v>
      </c>
      <c r="S102" s="10">
        <v>0.14578703703703699</v>
      </c>
      <c r="T102" s="9">
        <v>37.540999999999997</v>
      </c>
      <c r="U102" s="9">
        <v>13.77</v>
      </c>
      <c r="V102" s="10">
        <v>0.11357638888888889</v>
      </c>
      <c r="W102" s="10">
        <v>6.0150462962962961E-2</v>
      </c>
      <c r="X102" s="10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 t="s">
        <v>57</v>
      </c>
      <c r="AF102" s="9" t="s">
        <v>954</v>
      </c>
      <c r="AG102" s="9" t="s">
        <v>955</v>
      </c>
      <c r="AH102" s="9">
        <v>6.2256520000000002</v>
      </c>
      <c r="AI102" s="9">
        <v>-75.599211999999994</v>
      </c>
      <c r="AJ102" s="9" t="s">
        <v>956</v>
      </c>
      <c r="AK102" s="9">
        <v>6.2370000000000001</v>
      </c>
      <c r="AL102" s="19">
        <v>-75.558790000000002</v>
      </c>
      <c r="AM102" s="26">
        <f t="shared" si="1"/>
        <v>0.18754629629629627</v>
      </c>
      <c r="AN102" s="9"/>
    </row>
    <row r="103" spans="1:40" ht="15" x14ac:dyDescent="0.25">
      <c r="A103" s="9" t="s">
        <v>957</v>
      </c>
      <c r="B103" s="9" t="s">
        <v>958</v>
      </c>
      <c r="C103" s="9" t="s">
        <v>959</v>
      </c>
      <c r="D103" s="9" t="s">
        <v>928</v>
      </c>
      <c r="E103" s="9" t="s">
        <v>36</v>
      </c>
      <c r="F103" s="9" t="s">
        <v>315</v>
      </c>
      <c r="G103" s="9" t="s">
        <v>80</v>
      </c>
      <c r="H103" s="9" t="s">
        <v>81</v>
      </c>
      <c r="I103" s="9" t="s">
        <v>40</v>
      </c>
      <c r="J103" s="9">
        <v>6286</v>
      </c>
      <c r="K103" s="9" t="s">
        <v>960</v>
      </c>
      <c r="L103" s="9" t="s">
        <v>42</v>
      </c>
      <c r="M103" s="10">
        <v>3.6712731481481479E-3</v>
      </c>
      <c r="N103" s="9" t="s">
        <v>65</v>
      </c>
      <c r="O103" s="9" t="s">
        <v>961</v>
      </c>
      <c r="P103" s="9" t="s">
        <v>45</v>
      </c>
      <c r="Q103" s="10">
        <v>2.866016203703704E-2</v>
      </c>
      <c r="R103" s="9" t="s">
        <v>56</v>
      </c>
      <c r="S103" s="10">
        <v>0.30100189814814821</v>
      </c>
      <c r="T103" s="9">
        <v>35.920999999999999</v>
      </c>
      <c r="U103" s="9">
        <v>16.68</v>
      </c>
      <c r="V103" s="10">
        <v>8.9707511574074209E-2</v>
      </c>
      <c r="W103" s="10">
        <v>5.4899837962962973E-2</v>
      </c>
      <c r="X103" s="10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11</v>
      </c>
      <c r="AE103" s="9" t="s">
        <v>67</v>
      </c>
      <c r="AF103" s="9" t="s">
        <v>962</v>
      </c>
      <c r="AG103" s="9" t="s">
        <v>963</v>
      </c>
      <c r="AH103" s="9">
        <v>6.2254079999999998</v>
      </c>
      <c r="AI103" s="9">
        <v>-75.599204</v>
      </c>
      <c r="AJ103" s="9" t="s">
        <v>964</v>
      </c>
      <c r="AK103" s="9">
        <v>6.2774130000000001</v>
      </c>
      <c r="AL103" s="19">
        <v>-75.558407000000003</v>
      </c>
      <c r="AM103" s="26">
        <f t="shared" si="1"/>
        <v>2.866016203703704E-2</v>
      </c>
      <c r="AN103" s="9"/>
    </row>
    <row r="104" spans="1:40" ht="15" x14ac:dyDescent="0.25">
      <c r="A104" s="9" t="s">
        <v>965</v>
      </c>
      <c r="B104" s="9" t="s">
        <v>966</v>
      </c>
      <c r="C104" s="9" t="s">
        <v>967</v>
      </c>
      <c r="D104" s="9" t="s">
        <v>928</v>
      </c>
      <c r="E104" s="9" t="s">
        <v>36</v>
      </c>
      <c r="F104" s="9" t="s">
        <v>315</v>
      </c>
      <c r="G104" s="9" t="s">
        <v>89</v>
      </c>
      <c r="H104" s="9" t="s">
        <v>90</v>
      </c>
      <c r="I104" s="9" t="s">
        <v>40</v>
      </c>
      <c r="J104" s="9">
        <v>7939</v>
      </c>
      <c r="K104" s="9" t="s">
        <v>968</v>
      </c>
      <c r="L104" s="9" t="s">
        <v>42</v>
      </c>
      <c r="M104" s="10">
        <v>2.055555555555556E-2</v>
      </c>
      <c r="N104" s="9" t="s">
        <v>127</v>
      </c>
      <c r="O104" s="9" t="s">
        <v>969</v>
      </c>
      <c r="P104" s="9" t="s">
        <v>45</v>
      </c>
      <c r="Q104" s="10">
        <v>8.4027777777777785E-2</v>
      </c>
      <c r="R104" s="9" t="s">
        <v>129</v>
      </c>
      <c r="S104" s="10">
        <v>0.43791666666666668</v>
      </c>
      <c r="T104" s="9">
        <v>103.40300000000001</v>
      </c>
      <c r="U104" s="9">
        <v>11.85</v>
      </c>
      <c r="V104" s="10">
        <v>0.36366898148148152</v>
      </c>
      <c r="W104" s="10">
        <v>0.1590625</v>
      </c>
      <c r="X104" s="10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 t="s">
        <v>130</v>
      </c>
      <c r="AF104" s="9" t="s">
        <v>970</v>
      </c>
      <c r="AG104" s="9" t="s">
        <v>971</v>
      </c>
      <c r="AH104" s="9">
        <v>6.2260600000000004</v>
      </c>
      <c r="AI104" s="9">
        <v>-75.599687000000003</v>
      </c>
      <c r="AJ104" s="9" t="s">
        <v>972</v>
      </c>
      <c r="AK104" s="9">
        <v>6.3071640000000002</v>
      </c>
      <c r="AL104" s="19">
        <v>-75.558222000000001</v>
      </c>
      <c r="AM104" s="26">
        <f t="shared" si="1"/>
        <v>0</v>
      </c>
      <c r="AN104" s="9"/>
    </row>
    <row r="105" spans="1:40" ht="15" x14ac:dyDescent="0.25">
      <c r="A105" s="9" t="s">
        <v>973</v>
      </c>
      <c r="B105" s="9" t="s">
        <v>974</v>
      </c>
      <c r="C105" s="9" t="s">
        <v>975</v>
      </c>
      <c r="D105" s="9" t="s">
        <v>928</v>
      </c>
      <c r="E105" s="9" t="s">
        <v>36</v>
      </c>
      <c r="F105" s="9" t="s">
        <v>315</v>
      </c>
      <c r="G105" s="9" t="s">
        <v>97</v>
      </c>
      <c r="H105" s="9" t="s">
        <v>98</v>
      </c>
      <c r="I105" s="9" t="s">
        <v>40</v>
      </c>
      <c r="J105" s="9">
        <v>2420</v>
      </c>
      <c r="K105" s="9" t="s">
        <v>976</v>
      </c>
      <c r="L105" s="9" t="s">
        <v>42</v>
      </c>
      <c r="M105" s="10">
        <v>3.645833333333333E-3</v>
      </c>
      <c r="N105" s="9" t="s">
        <v>65</v>
      </c>
      <c r="O105" s="9" t="s">
        <v>977</v>
      </c>
      <c r="P105" s="9" t="s">
        <v>45</v>
      </c>
      <c r="Q105" s="10">
        <v>4.1250000000000002E-2</v>
      </c>
      <c r="R105" s="9" t="s">
        <v>56</v>
      </c>
      <c r="S105" s="10">
        <v>0.28843750000000001</v>
      </c>
      <c r="T105" s="9">
        <v>30.905999999999999</v>
      </c>
      <c r="U105" s="9">
        <v>8.89</v>
      </c>
      <c r="V105" s="10">
        <v>0.14482638888888891</v>
      </c>
      <c r="W105" s="10">
        <v>9.3888888888888883E-2</v>
      </c>
      <c r="X105" s="10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 t="s">
        <v>67</v>
      </c>
      <c r="AF105" s="9" t="s">
        <v>978</v>
      </c>
      <c r="AG105" s="9" t="s">
        <v>979</v>
      </c>
      <c r="AH105" s="9">
        <v>6.2256580000000001</v>
      </c>
      <c r="AI105" s="9">
        <v>-75.599368999999996</v>
      </c>
      <c r="AJ105" s="9" t="s">
        <v>980</v>
      </c>
      <c r="AK105" s="9">
        <v>6.3035839999999999</v>
      </c>
      <c r="AL105" s="19">
        <v>-75.576179999999994</v>
      </c>
      <c r="AM105" s="26">
        <f t="shared" si="1"/>
        <v>4.1250000000000002E-2</v>
      </c>
      <c r="AN105" s="9"/>
    </row>
    <row r="106" spans="1:40" ht="15" x14ac:dyDescent="0.25">
      <c r="A106" s="9" t="s">
        <v>919</v>
      </c>
      <c r="B106" s="9" t="s">
        <v>981</v>
      </c>
      <c r="C106" s="9" t="s">
        <v>920</v>
      </c>
      <c r="D106" s="9" t="s">
        <v>928</v>
      </c>
      <c r="E106" s="9" t="s">
        <v>36</v>
      </c>
      <c r="F106" s="9" t="s">
        <v>315</v>
      </c>
      <c r="G106" s="9" t="s">
        <v>113</v>
      </c>
      <c r="H106" s="9" t="s">
        <v>114</v>
      </c>
      <c r="I106" s="9" t="s">
        <v>40</v>
      </c>
      <c r="J106" s="9">
        <v>4852</v>
      </c>
      <c r="K106" s="9" t="s">
        <v>921</v>
      </c>
      <c r="L106" s="9" t="s">
        <v>42</v>
      </c>
      <c r="M106" s="10">
        <v>1.8761574074074069E-2</v>
      </c>
      <c r="N106" s="9" t="s">
        <v>43</v>
      </c>
      <c r="O106" s="9" t="s">
        <v>922</v>
      </c>
      <c r="P106" s="9" t="s">
        <v>45</v>
      </c>
      <c r="Q106" s="10">
        <v>0.1043634259259259</v>
      </c>
      <c r="R106" s="9" t="s">
        <v>56</v>
      </c>
      <c r="S106" s="10">
        <v>0.2102083333333333</v>
      </c>
      <c r="T106" s="9">
        <v>73.456999999999994</v>
      </c>
      <c r="U106" s="9">
        <v>18.66</v>
      </c>
      <c r="V106" s="10">
        <v>0.16399305555555549</v>
      </c>
      <c r="W106" s="10">
        <v>7.408564814814815E-2</v>
      </c>
      <c r="X106" s="10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1</v>
      </c>
      <c r="AE106" s="9" t="s">
        <v>57</v>
      </c>
      <c r="AF106" s="9" t="s">
        <v>982</v>
      </c>
      <c r="AG106" s="9" t="s">
        <v>923</v>
      </c>
      <c r="AH106" s="9">
        <v>6.2314870000000004</v>
      </c>
      <c r="AI106" s="9">
        <v>-75.593181999999999</v>
      </c>
      <c r="AJ106" s="9" t="s">
        <v>924</v>
      </c>
      <c r="AK106" s="9">
        <v>6.2534739999999998</v>
      </c>
      <c r="AL106" s="19">
        <v>-75.609339000000006</v>
      </c>
      <c r="AM106" s="26">
        <f t="shared" si="1"/>
        <v>0.12312499999999997</v>
      </c>
      <c r="AN106" s="9"/>
    </row>
    <row r="107" spans="1:40" ht="15" x14ac:dyDescent="0.25">
      <c r="A107" s="9" t="s">
        <v>983</v>
      </c>
      <c r="B107" s="9" t="s">
        <v>984</v>
      </c>
      <c r="C107" s="9" t="s">
        <v>985</v>
      </c>
      <c r="D107" s="9" t="s">
        <v>928</v>
      </c>
      <c r="E107" s="9" t="s">
        <v>36</v>
      </c>
      <c r="F107" s="9" t="s">
        <v>315</v>
      </c>
      <c r="G107" s="9" t="s">
        <v>105</v>
      </c>
      <c r="H107" s="9" t="s">
        <v>106</v>
      </c>
      <c r="I107" s="9" t="s">
        <v>40</v>
      </c>
      <c r="J107" s="9">
        <v>430</v>
      </c>
      <c r="K107" s="9" t="s">
        <v>986</v>
      </c>
      <c r="L107" s="9" t="s">
        <v>42</v>
      </c>
      <c r="M107" s="10">
        <v>0.1043981481481481</v>
      </c>
      <c r="N107" s="9" t="s">
        <v>43</v>
      </c>
      <c r="O107" s="9" t="s">
        <v>987</v>
      </c>
      <c r="P107" s="9" t="s">
        <v>45</v>
      </c>
      <c r="Q107" s="10">
        <v>1.290509259259259E-2</v>
      </c>
      <c r="R107" s="9" t="s">
        <v>56</v>
      </c>
      <c r="S107" s="10">
        <v>0.21603009259259259</v>
      </c>
      <c r="T107" s="9">
        <v>8.2119999999999997</v>
      </c>
      <c r="U107" s="9">
        <v>1.71</v>
      </c>
      <c r="V107" s="10">
        <v>0.200625</v>
      </c>
      <c r="W107" s="10">
        <v>0.19122685185185179</v>
      </c>
      <c r="X107" s="10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1</v>
      </c>
      <c r="AE107" s="9" t="s">
        <v>57</v>
      </c>
      <c r="AF107" s="9" t="s">
        <v>988</v>
      </c>
      <c r="AG107" s="9" t="s">
        <v>989</v>
      </c>
      <c r="AH107" s="9">
        <v>6.2256109999999998</v>
      </c>
      <c r="AI107" s="9">
        <v>-75.599046000000001</v>
      </c>
      <c r="AJ107" s="9" t="s">
        <v>990</v>
      </c>
      <c r="AK107" s="9">
        <v>6.225644</v>
      </c>
      <c r="AL107" s="19">
        <v>-75.599170999999998</v>
      </c>
      <c r="AM107" s="26">
        <f t="shared" si="1"/>
        <v>0.11730324074074069</v>
      </c>
      <c r="AN107" s="9"/>
    </row>
    <row r="108" spans="1:40" ht="15" x14ac:dyDescent="0.25">
      <c r="A108" s="9" t="s">
        <v>991</v>
      </c>
      <c r="B108" s="9" t="s">
        <v>992</v>
      </c>
      <c r="C108" s="9" t="s">
        <v>993</v>
      </c>
      <c r="D108" s="9" t="s">
        <v>928</v>
      </c>
      <c r="E108" s="9" t="s">
        <v>36</v>
      </c>
      <c r="F108" s="9" t="s">
        <v>315</v>
      </c>
      <c r="G108" s="9" t="s">
        <v>124</v>
      </c>
      <c r="H108" s="9" t="s">
        <v>125</v>
      </c>
      <c r="I108" s="9" t="s">
        <v>115</v>
      </c>
      <c r="J108" s="9">
        <v>3938</v>
      </c>
      <c r="K108" s="9" t="s">
        <v>994</v>
      </c>
      <c r="L108" s="9" t="s">
        <v>117</v>
      </c>
      <c r="M108" s="10">
        <v>5.5185185185185177E-2</v>
      </c>
      <c r="N108" s="9" t="s">
        <v>127</v>
      </c>
      <c r="O108" s="9" t="s">
        <v>995</v>
      </c>
      <c r="P108" s="9" t="s">
        <v>119</v>
      </c>
      <c r="Q108" s="10">
        <v>8.0092592592592594E-3</v>
      </c>
      <c r="R108" s="9" t="s">
        <v>46</v>
      </c>
      <c r="S108" s="10">
        <v>0.31319444444444439</v>
      </c>
      <c r="T108" s="9">
        <v>47.618000000000002</v>
      </c>
      <c r="U108" s="9">
        <v>10.23</v>
      </c>
      <c r="V108" s="10">
        <v>0.19392361111111109</v>
      </c>
      <c r="W108" s="10">
        <v>7.2847222222222216E-2</v>
      </c>
      <c r="X108" s="10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 t="s">
        <v>139</v>
      </c>
      <c r="AF108" s="9" t="s">
        <v>996</v>
      </c>
      <c r="AG108" s="9" t="s">
        <v>997</v>
      </c>
      <c r="AH108" s="9">
        <v>6.230658</v>
      </c>
      <c r="AI108" s="9">
        <v>-75.601994000000005</v>
      </c>
      <c r="AJ108" s="9" t="s">
        <v>998</v>
      </c>
      <c r="AK108" s="9">
        <v>6.2727430000000002</v>
      </c>
      <c r="AL108" s="19">
        <v>-75.601894000000001</v>
      </c>
      <c r="AM108" s="26">
        <f t="shared" si="1"/>
        <v>0</v>
      </c>
      <c r="AN108" s="9"/>
    </row>
    <row r="109" spans="1:40" ht="15" x14ac:dyDescent="0.25">
      <c r="A109" s="9" t="s">
        <v>999</v>
      </c>
      <c r="B109" s="9" t="s">
        <v>1000</v>
      </c>
      <c r="C109" s="9" t="s">
        <v>1001</v>
      </c>
      <c r="D109" s="9" t="s">
        <v>928</v>
      </c>
      <c r="E109" s="9" t="s">
        <v>36</v>
      </c>
      <c r="F109" s="9" t="s">
        <v>315</v>
      </c>
      <c r="G109" s="9" t="s">
        <v>135</v>
      </c>
      <c r="H109" s="9" t="s">
        <v>136</v>
      </c>
      <c r="I109" s="9" t="s">
        <v>115</v>
      </c>
      <c r="J109" s="9">
        <v>1126</v>
      </c>
      <c r="K109" s="9" t="s">
        <v>1002</v>
      </c>
      <c r="L109" s="9" t="s">
        <v>117</v>
      </c>
      <c r="M109" s="10">
        <v>1.9849537037037041E-2</v>
      </c>
      <c r="N109" s="9" t="s">
        <v>127</v>
      </c>
      <c r="O109" s="9" t="s">
        <v>1003</v>
      </c>
      <c r="P109" s="9" t="s">
        <v>119</v>
      </c>
      <c r="Q109" s="10">
        <v>5.7870370370370367E-4</v>
      </c>
      <c r="R109" s="9" t="s">
        <v>46</v>
      </c>
      <c r="S109" s="10">
        <v>0.27042824074074068</v>
      </c>
      <c r="T109" s="9">
        <v>21.57</v>
      </c>
      <c r="U109" s="9">
        <v>7.21</v>
      </c>
      <c r="V109" s="10">
        <v>0.12468750000000001</v>
      </c>
      <c r="W109" s="10">
        <v>0.102650462962963</v>
      </c>
      <c r="X109" s="10">
        <v>8.4027777777777781E-3</v>
      </c>
      <c r="Y109" s="9">
        <v>1</v>
      </c>
      <c r="Z109" s="9">
        <v>0</v>
      </c>
      <c r="AA109" s="9">
        <v>0</v>
      </c>
      <c r="AB109" s="9">
        <v>0</v>
      </c>
      <c r="AC109" s="9">
        <v>0</v>
      </c>
      <c r="AD109" s="9">
        <v>5</v>
      </c>
      <c r="AE109" s="9" t="s">
        <v>139</v>
      </c>
      <c r="AF109" s="9" t="s">
        <v>1004</v>
      </c>
      <c r="AG109" s="9" t="s">
        <v>1005</v>
      </c>
      <c r="AH109" s="9">
        <v>6.2320650000000004</v>
      </c>
      <c r="AI109" s="9">
        <v>-75.595332999999997</v>
      </c>
      <c r="AJ109" s="9" t="s">
        <v>1006</v>
      </c>
      <c r="AK109" s="9">
        <v>6.2310100000000004</v>
      </c>
      <c r="AL109" s="19">
        <v>-75.544776999999996</v>
      </c>
      <c r="AM109" s="26">
        <f t="shared" si="1"/>
        <v>0</v>
      </c>
      <c r="AN109" s="9"/>
    </row>
    <row r="110" spans="1:40" ht="15" x14ac:dyDescent="0.25">
      <c r="A110" s="9" t="s">
        <v>1007</v>
      </c>
      <c r="B110" s="9" t="s">
        <v>1008</v>
      </c>
      <c r="C110" s="9" t="s">
        <v>1009</v>
      </c>
      <c r="D110" s="9" t="s">
        <v>928</v>
      </c>
      <c r="E110" s="9" t="s">
        <v>36</v>
      </c>
      <c r="F110" s="9" t="s">
        <v>315</v>
      </c>
      <c r="G110" s="9" t="s">
        <v>144</v>
      </c>
      <c r="H110" s="9" t="s">
        <v>145</v>
      </c>
      <c r="I110" s="9" t="s">
        <v>115</v>
      </c>
      <c r="J110" s="9">
        <v>6236</v>
      </c>
      <c r="K110" s="9" t="s">
        <v>1010</v>
      </c>
      <c r="L110" s="9" t="s">
        <v>117</v>
      </c>
      <c r="M110" s="10">
        <v>3.9571759259259258E-2</v>
      </c>
      <c r="N110" s="9" t="s">
        <v>127</v>
      </c>
      <c r="O110" s="9" t="s">
        <v>1011</v>
      </c>
      <c r="P110" s="9" t="s">
        <v>119</v>
      </c>
      <c r="Q110" s="10">
        <v>1.163194444444444E-2</v>
      </c>
      <c r="R110" s="9" t="s">
        <v>129</v>
      </c>
      <c r="S110" s="10">
        <v>0.3012037037037037</v>
      </c>
      <c r="T110" s="9">
        <v>86.531000000000006</v>
      </c>
      <c r="U110" s="9">
        <v>14.38</v>
      </c>
      <c r="V110" s="10">
        <v>0.25078703703703698</v>
      </c>
      <c r="W110" s="10">
        <v>9.4097222222222221E-2</v>
      </c>
      <c r="X110" s="10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 t="s">
        <v>130</v>
      </c>
      <c r="AF110" s="9" t="s">
        <v>1012</v>
      </c>
      <c r="AG110" s="9" t="s">
        <v>1013</v>
      </c>
      <c r="AH110" s="9">
        <v>6.2268330000000001</v>
      </c>
      <c r="AI110" s="9">
        <v>-75.599509999999995</v>
      </c>
      <c r="AJ110" s="9" t="s">
        <v>1014</v>
      </c>
      <c r="AK110" s="9">
        <v>6.2904929999999997</v>
      </c>
      <c r="AL110" s="19">
        <v>-75.546404999999993</v>
      </c>
      <c r="AM110" s="26">
        <f t="shared" si="1"/>
        <v>0</v>
      </c>
      <c r="AN110" s="9"/>
    </row>
    <row r="111" spans="1:40" ht="15" x14ac:dyDescent="0.25">
      <c r="A111" s="9" t="s">
        <v>1015</v>
      </c>
      <c r="B111" s="9" t="s">
        <v>1016</v>
      </c>
      <c r="C111" s="9" t="s">
        <v>1017</v>
      </c>
      <c r="D111" s="9" t="s">
        <v>928</v>
      </c>
      <c r="E111" s="9" t="s">
        <v>36</v>
      </c>
      <c r="F111" s="9" t="s">
        <v>315</v>
      </c>
      <c r="G111" s="9" t="s">
        <v>160</v>
      </c>
      <c r="H111" s="9" t="s">
        <v>161</v>
      </c>
      <c r="I111" s="9" t="s">
        <v>115</v>
      </c>
      <c r="J111" s="9">
        <v>8946</v>
      </c>
      <c r="K111" s="9" t="s">
        <v>1018</v>
      </c>
      <c r="L111" s="9" t="s">
        <v>117</v>
      </c>
      <c r="M111" s="10">
        <v>1.7465439814814809E-2</v>
      </c>
      <c r="N111" s="9" t="s">
        <v>127</v>
      </c>
      <c r="O111" s="9" t="s">
        <v>1019</v>
      </c>
      <c r="P111" s="9" t="s">
        <v>119</v>
      </c>
      <c r="Q111" s="10">
        <v>5.1734143518518518E-3</v>
      </c>
      <c r="R111" s="9" t="s">
        <v>46</v>
      </c>
      <c r="S111" s="10">
        <v>0.27263885416666672</v>
      </c>
      <c r="T111" s="9">
        <v>47.781999999999996</v>
      </c>
      <c r="U111" s="9">
        <v>11.97</v>
      </c>
      <c r="V111" s="10">
        <v>0.16629657407407411</v>
      </c>
      <c r="W111" s="10">
        <v>0.1193634143518518</v>
      </c>
      <c r="X111" s="10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2</v>
      </c>
      <c r="AE111" s="9" t="s">
        <v>139</v>
      </c>
      <c r="AF111" s="9" t="s">
        <v>1020</v>
      </c>
      <c r="AG111" s="9" t="s">
        <v>1021</v>
      </c>
      <c r="AH111" s="9">
        <v>6.2267450000000002</v>
      </c>
      <c r="AI111" s="9">
        <v>-75.599447999999995</v>
      </c>
      <c r="AJ111" s="9" t="s">
        <v>1022</v>
      </c>
      <c r="AK111" s="9">
        <v>6.2685180000000003</v>
      </c>
      <c r="AL111" s="19">
        <v>-75.59948</v>
      </c>
      <c r="AM111" s="26">
        <f t="shared" si="1"/>
        <v>0</v>
      </c>
      <c r="AN111" s="9"/>
    </row>
    <row r="112" spans="1:40" ht="15" x14ac:dyDescent="0.25">
      <c r="A112" s="9" t="s">
        <v>1023</v>
      </c>
      <c r="B112" s="9" t="s">
        <v>1024</v>
      </c>
      <c r="C112" s="9" t="s">
        <v>1025</v>
      </c>
      <c r="D112" s="9" t="s">
        <v>1026</v>
      </c>
      <c r="E112" s="9" t="s">
        <v>36</v>
      </c>
      <c r="F112" s="9" t="s">
        <v>406</v>
      </c>
      <c r="G112" s="9" t="s">
        <v>38</v>
      </c>
      <c r="H112" s="9" t="s">
        <v>39</v>
      </c>
      <c r="I112" s="9" t="s">
        <v>40</v>
      </c>
      <c r="J112" s="9">
        <v>9828</v>
      </c>
      <c r="K112" s="9" t="s">
        <v>1027</v>
      </c>
      <c r="L112" s="9" t="s">
        <v>42</v>
      </c>
      <c r="M112" s="10">
        <v>2.663623842592593E-2</v>
      </c>
      <c r="N112" s="9" t="s">
        <v>43</v>
      </c>
      <c r="O112" s="9" t="s">
        <v>1028</v>
      </c>
      <c r="P112" s="9" t="s">
        <v>413</v>
      </c>
      <c r="Q112" s="10">
        <v>1.5385682870370371E-2</v>
      </c>
      <c r="R112" s="9" t="s">
        <v>129</v>
      </c>
      <c r="S112" s="10">
        <v>0.30124944444444451</v>
      </c>
      <c r="T112" s="9">
        <v>68.373999999999995</v>
      </c>
      <c r="U112" s="9">
        <v>24.96</v>
      </c>
      <c r="V112" s="10">
        <v>0.11415888888888889</v>
      </c>
      <c r="W112" s="10">
        <v>1.796412037037037E-2</v>
      </c>
      <c r="X112" s="10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4</v>
      </c>
      <c r="AE112" s="9" t="s">
        <v>130</v>
      </c>
      <c r="AF112" s="9" t="s">
        <v>1029</v>
      </c>
      <c r="AG112" s="9" t="s">
        <v>1030</v>
      </c>
      <c r="AH112" s="9">
        <v>6.2217669999999998</v>
      </c>
      <c r="AI112" s="9">
        <v>-75.593763999999993</v>
      </c>
      <c r="AJ112" s="9" t="s">
        <v>1031</v>
      </c>
      <c r="AK112" s="9">
        <v>6.2123650000000001</v>
      </c>
      <c r="AL112" s="19">
        <v>-75.569951000000003</v>
      </c>
      <c r="AM112" s="26">
        <f t="shared" si="1"/>
        <v>2.663623842592593E-2</v>
      </c>
      <c r="AN112" s="9"/>
    </row>
    <row r="113" spans="1:40" ht="15" x14ac:dyDescent="0.25">
      <c r="A113" s="9" t="s">
        <v>1032</v>
      </c>
      <c r="B113" s="9" t="s">
        <v>1033</v>
      </c>
      <c r="C113" s="9" t="s">
        <v>1034</v>
      </c>
      <c r="D113" s="9" t="s">
        <v>1026</v>
      </c>
      <c r="E113" s="9" t="s">
        <v>36</v>
      </c>
      <c r="F113" s="9" t="s">
        <v>406</v>
      </c>
      <c r="G113" s="9" t="s">
        <v>52</v>
      </c>
      <c r="H113" s="9" t="s">
        <v>53</v>
      </c>
      <c r="I113" s="9" t="s">
        <v>40</v>
      </c>
      <c r="J113" s="9">
        <v>3486</v>
      </c>
      <c r="K113" s="9" t="s">
        <v>1035</v>
      </c>
      <c r="L113" s="9" t="s">
        <v>42</v>
      </c>
      <c r="M113" s="10">
        <v>1.469907407407407E-3</v>
      </c>
      <c r="N113" s="9" t="s">
        <v>65</v>
      </c>
      <c r="O113" s="9" t="s">
        <v>1036</v>
      </c>
      <c r="P113" s="9" t="s">
        <v>413</v>
      </c>
      <c r="Q113" s="10">
        <v>1.877314814814815E-2</v>
      </c>
      <c r="R113" s="9" t="s">
        <v>56</v>
      </c>
      <c r="S113" s="10">
        <v>0.29519675925925931</v>
      </c>
      <c r="T113" s="9">
        <v>45.167999999999999</v>
      </c>
      <c r="U113" s="9">
        <v>7.47</v>
      </c>
      <c r="V113" s="10">
        <v>0.25178240740740743</v>
      </c>
      <c r="W113" s="10">
        <v>0.16695601851851849</v>
      </c>
      <c r="X113" s="10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2</v>
      </c>
      <c r="AE113" s="9" t="s">
        <v>67</v>
      </c>
      <c r="AF113" s="9" t="s">
        <v>1037</v>
      </c>
      <c r="AG113" s="9" t="s">
        <v>1038</v>
      </c>
      <c r="AH113" s="9">
        <v>6.2256939999999998</v>
      </c>
      <c r="AI113" s="9">
        <v>-75.599417000000003</v>
      </c>
      <c r="AJ113" s="9" t="s">
        <v>1039</v>
      </c>
      <c r="AK113" s="9">
        <v>6.2498519999999997</v>
      </c>
      <c r="AL113" s="19">
        <v>-75.607061000000002</v>
      </c>
      <c r="AM113" s="26">
        <f t="shared" si="1"/>
        <v>1.877314814814815E-2</v>
      </c>
      <c r="AN113" s="9"/>
    </row>
    <row r="114" spans="1:40" ht="15" x14ac:dyDescent="0.25">
      <c r="A114" s="9" t="s">
        <v>1040</v>
      </c>
      <c r="B114" s="9" t="s">
        <v>1041</v>
      </c>
      <c r="C114" s="9" t="s">
        <v>1042</v>
      </c>
      <c r="D114" s="9" t="s">
        <v>1026</v>
      </c>
      <c r="E114" s="9" t="s">
        <v>36</v>
      </c>
      <c r="F114" s="9" t="s">
        <v>406</v>
      </c>
      <c r="G114" s="9" t="s">
        <v>113</v>
      </c>
      <c r="H114" s="9" t="s">
        <v>114</v>
      </c>
      <c r="I114" s="9" t="s">
        <v>40</v>
      </c>
      <c r="J114" s="9">
        <v>2550</v>
      </c>
      <c r="K114" s="9" t="s">
        <v>1043</v>
      </c>
      <c r="L114" s="9" t="s">
        <v>42</v>
      </c>
      <c r="M114" s="10">
        <v>2.3842592592592591E-3</v>
      </c>
      <c r="N114" s="9" t="s">
        <v>65</v>
      </c>
      <c r="O114" s="9" t="s">
        <v>1044</v>
      </c>
      <c r="P114" s="9" t="s">
        <v>413</v>
      </c>
      <c r="Q114" s="10">
        <v>0.12945601851851851</v>
      </c>
      <c r="R114" s="9" t="s">
        <v>56</v>
      </c>
      <c r="S114" s="10">
        <v>0.18065972222222221</v>
      </c>
      <c r="T114" s="9">
        <v>34.093000000000004</v>
      </c>
      <c r="U114" s="9">
        <v>7.86</v>
      </c>
      <c r="V114" s="10">
        <v>0.18065972222222221</v>
      </c>
      <c r="W114" s="10">
        <v>0.1074884259259259</v>
      </c>
      <c r="X114" s="10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1</v>
      </c>
      <c r="AE114" s="9" t="s">
        <v>67</v>
      </c>
      <c r="AF114" s="9" t="s">
        <v>1045</v>
      </c>
      <c r="AG114" s="9" t="s">
        <v>1046</v>
      </c>
      <c r="AH114" s="9">
        <v>6.233676</v>
      </c>
      <c r="AI114" s="9">
        <v>-75.602097000000001</v>
      </c>
      <c r="AJ114" s="9" t="s">
        <v>1047</v>
      </c>
      <c r="AK114" s="9">
        <v>6.2458530000000003</v>
      </c>
      <c r="AL114" s="19">
        <v>-75.583882000000003</v>
      </c>
      <c r="AM114" s="26">
        <f t="shared" si="1"/>
        <v>0.12945601851851851</v>
      </c>
      <c r="AN114" s="9"/>
    </row>
    <row r="115" spans="1:40" ht="15" x14ac:dyDescent="0.25">
      <c r="A115" s="9" t="s">
        <v>1048</v>
      </c>
      <c r="B115" s="9" t="s">
        <v>1049</v>
      </c>
      <c r="C115" s="9" t="s">
        <v>1050</v>
      </c>
      <c r="D115" s="9" t="s">
        <v>1026</v>
      </c>
      <c r="E115" s="9" t="s">
        <v>36</v>
      </c>
      <c r="F115" s="9" t="s">
        <v>406</v>
      </c>
      <c r="G115" s="9" t="s">
        <v>62</v>
      </c>
      <c r="H115" s="9" t="s">
        <v>63</v>
      </c>
      <c r="I115" s="9" t="s">
        <v>40</v>
      </c>
      <c r="J115" s="9">
        <v>2778</v>
      </c>
      <c r="K115" s="9" t="s">
        <v>1051</v>
      </c>
      <c r="L115" s="9" t="s">
        <v>42</v>
      </c>
      <c r="M115" s="10">
        <v>1.643518518518519E-3</v>
      </c>
      <c r="N115" s="9" t="s">
        <v>65</v>
      </c>
      <c r="O115" s="9" t="s">
        <v>1052</v>
      </c>
      <c r="P115" s="9" t="s">
        <v>413</v>
      </c>
      <c r="Q115" s="10">
        <v>9.1701388888888888E-2</v>
      </c>
      <c r="R115" s="9" t="s">
        <v>56</v>
      </c>
      <c r="S115" s="10">
        <v>0.21915509259259261</v>
      </c>
      <c r="T115" s="9">
        <v>36.688000000000002</v>
      </c>
      <c r="U115" s="9">
        <v>10.210000000000001</v>
      </c>
      <c r="V115" s="10">
        <v>0.14975694444444451</v>
      </c>
      <c r="W115" s="10">
        <v>8.7048611111111104E-2</v>
      </c>
      <c r="X115" s="10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 t="s">
        <v>67</v>
      </c>
      <c r="AF115" s="9" t="s">
        <v>1053</v>
      </c>
      <c r="AG115" s="9" t="s">
        <v>1054</v>
      </c>
      <c r="AH115" s="9">
        <v>6.2258250000000004</v>
      </c>
      <c r="AI115" s="9">
        <v>-75.599273999999994</v>
      </c>
      <c r="AJ115" s="9" t="s">
        <v>1055</v>
      </c>
      <c r="AK115" s="9">
        <v>6.291334</v>
      </c>
      <c r="AL115" s="19">
        <v>-75.564667</v>
      </c>
      <c r="AM115" s="26">
        <f t="shared" si="1"/>
        <v>9.1701388888888888E-2</v>
      </c>
      <c r="AN115" s="9"/>
    </row>
    <row r="116" spans="1:40" ht="15" x14ac:dyDescent="0.25">
      <c r="A116" s="9" t="s">
        <v>1056</v>
      </c>
      <c r="B116" s="9" t="s">
        <v>1057</v>
      </c>
      <c r="C116" s="9" t="s">
        <v>1058</v>
      </c>
      <c r="D116" s="9" t="s">
        <v>1026</v>
      </c>
      <c r="E116" s="9" t="s">
        <v>36</v>
      </c>
      <c r="F116" s="9" t="s">
        <v>406</v>
      </c>
      <c r="G116" s="9" t="s">
        <v>72</v>
      </c>
      <c r="H116" s="9" t="s">
        <v>73</v>
      </c>
      <c r="I116" s="9" t="s">
        <v>40</v>
      </c>
      <c r="J116" s="9">
        <v>3026</v>
      </c>
      <c r="K116" s="9" t="s">
        <v>1059</v>
      </c>
      <c r="L116" s="9" t="s">
        <v>42</v>
      </c>
      <c r="M116" s="10">
        <v>3.8310185185185179E-3</v>
      </c>
      <c r="N116" s="9" t="s">
        <v>65</v>
      </c>
      <c r="O116" s="9" t="s">
        <v>1060</v>
      </c>
      <c r="P116" s="9" t="s">
        <v>413</v>
      </c>
      <c r="Q116" s="10">
        <v>0.22291666666666671</v>
      </c>
      <c r="R116" s="9" t="s">
        <v>56</v>
      </c>
      <c r="S116" s="10">
        <v>9.3414351851851846E-2</v>
      </c>
      <c r="T116" s="9">
        <v>41.774999999999999</v>
      </c>
      <c r="U116" s="9">
        <v>19.21</v>
      </c>
      <c r="V116" s="10">
        <v>9.0613425925925931E-2</v>
      </c>
      <c r="W116" s="10">
        <v>2.1805555555555561E-2</v>
      </c>
      <c r="X116" s="10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 t="s">
        <v>67</v>
      </c>
      <c r="AF116" s="9" t="s">
        <v>1061</v>
      </c>
      <c r="AG116" s="9" t="s">
        <v>1062</v>
      </c>
      <c r="AH116" s="9">
        <v>6.2257600000000002</v>
      </c>
      <c r="AI116" s="9">
        <v>-75.599007999999998</v>
      </c>
      <c r="AJ116" s="9" t="s">
        <v>1063</v>
      </c>
      <c r="AK116" s="9">
        <v>6.23719</v>
      </c>
      <c r="AL116" s="19">
        <v>-75.559157999999996</v>
      </c>
      <c r="AM116" s="26">
        <f t="shared" si="1"/>
        <v>0.22291666666666671</v>
      </c>
      <c r="AN116" s="9"/>
    </row>
    <row r="117" spans="1:40" ht="15" x14ac:dyDescent="0.25">
      <c r="A117" s="9" t="s">
        <v>1064</v>
      </c>
      <c r="B117" s="9" t="s">
        <v>1065</v>
      </c>
      <c r="C117" s="9" t="s">
        <v>1066</v>
      </c>
      <c r="D117" s="9" t="s">
        <v>1026</v>
      </c>
      <c r="E117" s="9" t="s">
        <v>36</v>
      </c>
      <c r="F117" s="9" t="s">
        <v>406</v>
      </c>
      <c r="G117" s="9" t="s">
        <v>89</v>
      </c>
      <c r="H117" s="9" t="s">
        <v>90</v>
      </c>
      <c r="I117" s="9" t="s">
        <v>40</v>
      </c>
      <c r="J117" s="9">
        <v>6062</v>
      </c>
      <c r="K117" s="9" t="s">
        <v>1067</v>
      </c>
      <c r="L117" s="9" t="s">
        <v>42</v>
      </c>
      <c r="M117" s="10">
        <v>4.6527777777777774E-3</v>
      </c>
      <c r="N117" s="9" t="s">
        <v>65</v>
      </c>
      <c r="O117" s="9" t="s">
        <v>1068</v>
      </c>
      <c r="P117" s="9" t="s">
        <v>413</v>
      </c>
      <c r="Q117" s="10">
        <v>6.4814814814814813E-3</v>
      </c>
      <c r="R117" s="9" t="s">
        <v>46</v>
      </c>
      <c r="S117" s="10">
        <v>0.31067129629629631</v>
      </c>
      <c r="T117" s="9">
        <v>80.531999999999996</v>
      </c>
      <c r="U117" s="9">
        <v>14.03</v>
      </c>
      <c r="V117" s="10">
        <v>0.23924768518518519</v>
      </c>
      <c r="W117" s="10">
        <v>8.6284722222222221E-2</v>
      </c>
      <c r="X117" s="10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 t="s">
        <v>84</v>
      </c>
      <c r="AF117" s="9" t="s">
        <v>352</v>
      </c>
      <c r="AG117" s="9" t="s">
        <v>1069</v>
      </c>
      <c r="AH117" s="9">
        <v>6.2265819999999996</v>
      </c>
      <c r="AI117" s="9">
        <v>-75.598346000000006</v>
      </c>
      <c r="AJ117" s="9" t="s">
        <v>1070</v>
      </c>
      <c r="AK117" s="9">
        <v>6.232227</v>
      </c>
      <c r="AL117" s="19">
        <v>-75.596295999999995</v>
      </c>
      <c r="AM117" s="26">
        <f t="shared" si="1"/>
        <v>0</v>
      </c>
      <c r="AN117" s="9"/>
    </row>
    <row r="118" spans="1:40" ht="15" x14ac:dyDescent="0.25">
      <c r="A118" s="9" t="s">
        <v>1071</v>
      </c>
      <c r="B118" s="9" t="s">
        <v>1072</v>
      </c>
      <c r="C118" s="9" t="s">
        <v>1073</v>
      </c>
      <c r="D118" s="9" t="s">
        <v>1026</v>
      </c>
      <c r="E118" s="9" t="s">
        <v>36</v>
      </c>
      <c r="F118" s="9" t="s">
        <v>406</v>
      </c>
      <c r="G118" s="9" t="s">
        <v>97</v>
      </c>
      <c r="H118" s="9" t="s">
        <v>98</v>
      </c>
      <c r="I118" s="9" t="s">
        <v>40</v>
      </c>
      <c r="J118" s="9">
        <v>2357</v>
      </c>
      <c r="K118" s="9" t="s">
        <v>1074</v>
      </c>
      <c r="L118" s="9" t="s">
        <v>42</v>
      </c>
      <c r="M118" s="10">
        <v>7.2106481481481483E-3</v>
      </c>
      <c r="N118" s="9" t="s">
        <v>65</v>
      </c>
      <c r="O118" s="9" t="s">
        <v>1075</v>
      </c>
      <c r="P118" s="9" t="s">
        <v>413</v>
      </c>
      <c r="Q118" s="10">
        <v>3.8425925925925932E-3</v>
      </c>
      <c r="R118" s="9" t="s">
        <v>46</v>
      </c>
      <c r="S118" s="10">
        <v>0.30913194444444442</v>
      </c>
      <c r="T118" s="9">
        <v>30.547000000000001</v>
      </c>
      <c r="U118" s="9">
        <v>8.73</v>
      </c>
      <c r="V118" s="10">
        <v>0.14576388888888889</v>
      </c>
      <c r="W118" s="10">
        <v>9.5011574074074068E-2</v>
      </c>
      <c r="X118" s="10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 t="s">
        <v>84</v>
      </c>
      <c r="AF118" s="9" t="s">
        <v>352</v>
      </c>
      <c r="AG118" s="9" t="s">
        <v>1076</v>
      </c>
      <c r="AH118" s="9">
        <v>6.2995099999999997</v>
      </c>
      <c r="AI118" s="9">
        <v>-75.578996000000004</v>
      </c>
      <c r="AJ118" s="9" t="s">
        <v>1077</v>
      </c>
      <c r="AK118" s="9">
        <v>6.2561540000000004</v>
      </c>
      <c r="AL118" s="19">
        <v>-75.562804</v>
      </c>
      <c r="AM118" s="26">
        <f t="shared" si="1"/>
        <v>0</v>
      </c>
      <c r="AN118" s="9"/>
    </row>
    <row r="119" spans="1:40" ht="15" x14ac:dyDescent="0.25">
      <c r="A119" s="9" t="s">
        <v>1078</v>
      </c>
      <c r="B119" s="9" t="s">
        <v>1079</v>
      </c>
      <c r="C119" s="9" t="s">
        <v>1080</v>
      </c>
      <c r="D119" s="9" t="s">
        <v>1081</v>
      </c>
      <c r="E119" s="9" t="s">
        <v>36</v>
      </c>
      <c r="F119" s="9" t="s">
        <v>455</v>
      </c>
      <c r="G119" s="9" t="s">
        <v>113</v>
      </c>
      <c r="H119" s="9" t="s">
        <v>114</v>
      </c>
      <c r="I119" s="9" t="s">
        <v>40</v>
      </c>
      <c r="J119" s="9">
        <v>2047</v>
      </c>
      <c r="K119" s="9" t="s">
        <v>1082</v>
      </c>
      <c r="L119" s="9" t="s">
        <v>42</v>
      </c>
      <c r="M119" s="10">
        <v>3.3206018518518517E-2</v>
      </c>
      <c r="N119" s="9" t="s">
        <v>43</v>
      </c>
      <c r="O119" s="9" t="s">
        <v>1083</v>
      </c>
      <c r="P119" s="9" t="s">
        <v>413</v>
      </c>
      <c r="Q119" s="10">
        <v>3.5879629629629629E-4</v>
      </c>
      <c r="R119" s="9" t="s">
        <v>46</v>
      </c>
      <c r="S119" s="10">
        <v>0.27965277777777781</v>
      </c>
      <c r="T119" s="9">
        <v>25.844999999999999</v>
      </c>
      <c r="U119" s="9">
        <v>5.93</v>
      </c>
      <c r="V119" s="10">
        <v>0.1816203703703704</v>
      </c>
      <c r="W119" s="10">
        <v>0.14849537037037039</v>
      </c>
      <c r="X119" s="10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2</v>
      </c>
      <c r="AE119" s="9" t="s">
        <v>47</v>
      </c>
      <c r="AF119" s="9" t="s">
        <v>1084</v>
      </c>
      <c r="AG119" s="9" t="s">
        <v>1085</v>
      </c>
      <c r="AH119" s="9">
        <v>6.2431239999999999</v>
      </c>
      <c r="AI119" s="9">
        <v>-75.602213000000006</v>
      </c>
      <c r="AJ119" s="9" t="s">
        <v>1086</v>
      </c>
      <c r="AK119" s="9">
        <v>6.247789</v>
      </c>
      <c r="AL119" s="19">
        <v>-75.614941999999999</v>
      </c>
      <c r="AM119" s="26">
        <f t="shared" si="1"/>
        <v>3.3206018518518517E-2</v>
      </c>
      <c r="AN119" s="9"/>
    </row>
    <row r="120" spans="1:40" ht="15" x14ac:dyDescent="0.25">
      <c r="A120" s="9" t="s">
        <v>1098</v>
      </c>
      <c r="B120" s="9" t="s">
        <v>1099</v>
      </c>
      <c r="C120" s="9" t="s">
        <v>1100</v>
      </c>
      <c r="D120" s="9" t="s">
        <v>1026</v>
      </c>
      <c r="E120" s="9" t="s">
        <v>36</v>
      </c>
      <c r="F120" s="9" t="s">
        <v>406</v>
      </c>
      <c r="G120" s="9" t="s">
        <v>124</v>
      </c>
      <c r="H120" s="9" t="s">
        <v>125</v>
      </c>
      <c r="I120" s="9" t="s">
        <v>115</v>
      </c>
      <c r="J120" s="9">
        <v>3050</v>
      </c>
      <c r="K120" s="9" t="s">
        <v>1101</v>
      </c>
      <c r="L120" s="9" t="s">
        <v>117</v>
      </c>
      <c r="M120" s="10">
        <v>9.5138888888888894E-3</v>
      </c>
      <c r="N120" s="9" t="s">
        <v>65</v>
      </c>
      <c r="O120" s="9" t="s">
        <v>1102</v>
      </c>
      <c r="P120" s="9" t="s">
        <v>119</v>
      </c>
      <c r="Q120" s="10">
        <v>4.9386574074074083E-2</v>
      </c>
      <c r="R120" s="9" t="s">
        <v>129</v>
      </c>
      <c r="S120" s="10">
        <v>0.30890046296296297</v>
      </c>
      <c r="T120" s="9">
        <v>36.299999999999997</v>
      </c>
      <c r="U120" s="9">
        <v>8.24</v>
      </c>
      <c r="V120" s="10">
        <v>0.18353009259259259</v>
      </c>
      <c r="W120" s="10">
        <v>8.7268518518518523E-2</v>
      </c>
      <c r="X120" s="10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 t="s">
        <v>130</v>
      </c>
      <c r="AF120" s="9" t="s">
        <v>1103</v>
      </c>
      <c r="AG120" s="9" t="s">
        <v>1104</v>
      </c>
      <c r="AH120" s="9">
        <v>6.2727830000000004</v>
      </c>
      <c r="AI120" s="9">
        <v>-75.601922999999999</v>
      </c>
      <c r="AJ120" s="9" t="s">
        <v>1105</v>
      </c>
      <c r="AK120" s="9">
        <v>6.2734019999999999</v>
      </c>
      <c r="AL120" s="9">
        <v>-75.602096000000003</v>
      </c>
      <c r="AM120" s="26">
        <f t="shared" si="1"/>
        <v>0</v>
      </c>
      <c r="AN120" s="9"/>
    </row>
    <row r="121" spans="1:40" ht="15" x14ac:dyDescent="0.25">
      <c r="A121" s="9" t="s">
        <v>1106</v>
      </c>
      <c r="B121" s="9" t="s">
        <v>1107</v>
      </c>
      <c r="C121" s="9" t="s">
        <v>1108</v>
      </c>
      <c r="D121" s="9" t="s">
        <v>1026</v>
      </c>
      <c r="E121" s="9" t="s">
        <v>36</v>
      </c>
      <c r="F121" s="9" t="s">
        <v>406</v>
      </c>
      <c r="G121" s="9" t="s">
        <v>135</v>
      </c>
      <c r="H121" s="9" t="s">
        <v>136</v>
      </c>
      <c r="I121" s="9" t="s">
        <v>115</v>
      </c>
      <c r="J121" s="9">
        <v>708</v>
      </c>
      <c r="K121" s="9" t="s">
        <v>1109</v>
      </c>
      <c r="L121" s="9" t="s">
        <v>117</v>
      </c>
      <c r="M121" s="10">
        <v>1.4085648148148149E-2</v>
      </c>
      <c r="N121" s="9" t="s">
        <v>43</v>
      </c>
      <c r="O121" s="9" t="s">
        <v>1110</v>
      </c>
      <c r="P121" s="9" t="s">
        <v>119</v>
      </c>
      <c r="Q121" s="10">
        <v>9.2592592592592588E-5</v>
      </c>
      <c r="R121" s="9" t="s">
        <v>46</v>
      </c>
      <c r="S121" s="10">
        <v>0.23600694444444439</v>
      </c>
      <c r="T121" s="9">
        <v>44.496000000000002</v>
      </c>
      <c r="U121" s="9">
        <v>11.94</v>
      </c>
      <c r="V121" s="10">
        <v>0.1552662037037037</v>
      </c>
      <c r="W121" s="10">
        <v>0.12865740740740739</v>
      </c>
      <c r="X121" s="10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4</v>
      </c>
      <c r="AE121" s="9" t="s">
        <v>47</v>
      </c>
      <c r="AF121" s="9" t="s">
        <v>1111</v>
      </c>
      <c r="AG121" s="9" t="s">
        <v>1006</v>
      </c>
      <c r="AH121" s="9">
        <v>6.2310100000000004</v>
      </c>
      <c r="AI121" s="9">
        <v>-75.544776999999996</v>
      </c>
      <c r="AJ121" s="9" t="s">
        <v>1112</v>
      </c>
      <c r="AK121" s="9">
        <v>6.2452800000000002</v>
      </c>
      <c r="AL121" s="9">
        <v>-75.573187000000004</v>
      </c>
      <c r="AM121" s="26">
        <f t="shared" si="1"/>
        <v>1.4085648148148149E-2</v>
      </c>
      <c r="AN121" s="9"/>
    </row>
    <row r="122" spans="1:40" ht="15" x14ac:dyDescent="0.25">
      <c r="A122" s="9" t="s">
        <v>1113</v>
      </c>
      <c r="B122" s="9" t="s">
        <v>1114</v>
      </c>
      <c r="C122" s="9" t="s">
        <v>1115</v>
      </c>
      <c r="D122" s="9" t="s">
        <v>1026</v>
      </c>
      <c r="E122" s="9" t="s">
        <v>36</v>
      </c>
      <c r="F122" s="9" t="s">
        <v>406</v>
      </c>
      <c r="G122" s="9" t="s">
        <v>144</v>
      </c>
      <c r="H122" s="9" t="s">
        <v>145</v>
      </c>
      <c r="I122" s="9" t="s">
        <v>115</v>
      </c>
      <c r="J122" s="9">
        <v>7487</v>
      </c>
      <c r="K122" s="9" t="s">
        <v>1116</v>
      </c>
      <c r="L122" s="9" t="s">
        <v>117</v>
      </c>
      <c r="M122" s="10">
        <v>4.5578703703703698E-2</v>
      </c>
      <c r="N122" s="9" t="s">
        <v>127</v>
      </c>
      <c r="O122" s="9" t="s">
        <v>1117</v>
      </c>
      <c r="P122" s="9" t="s">
        <v>119</v>
      </c>
      <c r="Q122" s="10">
        <v>4.2476851851851851E-3</v>
      </c>
      <c r="R122" s="9" t="s">
        <v>46</v>
      </c>
      <c r="S122" s="10">
        <v>0.29982638888888891</v>
      </c>
      <c r="T122" s="9">
        <v>105.99299999999999</v>
      </c>
      <c r="U122" s="9">
        <v>17.809999999999999</v>
      </c>
      <c r="V122" s="10">
        <v>0.24800925925925929</v>
      </c>
      <c r="W122" s="10">
        <v>7.3263888888888892E-2</v>
      </c>
      <c r="X122" s="10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 t="s">
        <v>139</v>
      </c>
      <c r="AF122" s="9" t="s">
        <v>1118</v>
      </c>
      <c r="AG122" s="9" t="s">
        <v>1119</v>
      </c>
      <c r="AH122" s="9">
        <v>6.2904799999999996</v>
      </c>
      <c r="AI122" s="9">
        <v>-75.546561999999994</v>
      </c>
      <c r="AJ122" s="9" t="s">
        <v>1120</v>
      </c>
      <c r="AK122" s="9">
        <v>6.2904520000000002</v>
      </c>
      <c r="AL122" s="9">
        <v>-75.546645999999996</v>
      </c>
      <c r="AM122" s="26">
        <f t="shared" si="1"/>
        <v>0</v>
      </c>
      <c r="AN122" s="9"/>
    </row>
    <row r="123" spans="1:40" ht="15" x14ac:dyDescent="0.25">
      <c r="A123" s="9" t="s">
        <v>1121</v>
      </c>
      <c r="B123" s="9" t="s">
        <v>1122</v>
      </c>
      <c r="C123" s="9" t="s">
        <v>1123</v>
      </c>
      <c r="D123" s="9" t="s">
        <v>1026</v>
      </c>
      <c r="E123" s="9" t="s">
        <v>36</v>
      </c>
      <c r="F123" s="9" t="s">
        <v>406</v>
      </c>
      <c r="G123" s="9" t="s">
        <v>80</v>
      </c>
      <c r="H123" s="9" t="s">
        <v>81</v>
      </c>
      <c r="I123" s="9" t="s">
        <v>40</v>
      </c>
      <c r="J123" s="9">
        <v>5705</v>
      </c>
      <c r="K123" s="9" t="s">
        <v>1124</v>
      </c>
      <c r="L123" s="9" t="s">
        <v>42</v>
      </c>
      <c r="M123" s="10">
        <v>8.9244791666666674E-3</v>
      </c>
      <c r="N123" s="9" t="s">
        <v>65</v>
      </c>
      <c r="O123" s="9" t="s">
        <v>1125</v>
      </c>
      <c r="P123" s="9" t="s">
        <v>413</v>
      </c>
      <c r="Q123" s="10">
        <v>4.8944444444444437E-4</v>
      </c>
      <c r="R123" s="9" t="s">
        <v>46</v>
      </c>
      <c r="S123" s="10">
        <v>0.30406496527777782</v>
      </c>
      <c r="T123" s="9">
        <v>40.686</v>
      </c>
      <c r="U123" s="9">
        <v>14.51</v>
      </c>
      <c r="V123" s="10">
        <v>0.1168104861111111</v>
      </c>
      <c r="W123" s="10">
        <v>7.0316157407407404E-2</v>
      </c>
      <c r="X123" s="10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11</v>
      </c>
      <c r="AE123" s="9" t="s">
        <v>84</v>
      </c>
      <c r="AF123" s="9" t="s">
        <v>190</v>
      </c>
      <c r="AG123" s="9" t="s">
        <v>1126</v>
      </c>
      <c r="AH123" s="9">
        <v>6.2256530000000003</v>
      </c>
      <c r="AI123" s="9">
        <v>-75.599463</v>
      </c>
      <c r="AJ123" s="9" t="s">
        <v>1127</v>
      </c>
      <c r="AK123" s="9">
        <v>6.2592160000000003</v>
      </c>
      <c r="AL123" s="9">
        <v>-75.620954999999995</v>
      </c>
      <c r="AM123" s="26">
        <f t="shared" si="1"/>
        <v>0</v>
      </c>
      <c r="AN123" s="9"/>
    </row>
    <row r="124" spans="1:40" ht="15" x14ac:dyDescent="0.25">
      <c r="A124" s="9" t="s">
        <v>1128</v>
      </c>
      <c r="B124" s="9" t="s">
        <v>1129</v>
      </c>
      <c r="C124" s="9" t="s">
        <v>1130</v>
      </c>
      <c r="D124" s="9" t="s">
        <v>1026</v>
      </c>
      <c r="E124" s="9" t="s">
        <v>36</v>
      </c>
      <c r="F124" s="9" t="s">
        <v>406</v>
      </c>
      <c r="G124" s="9" t="s">
        <v>152</v>
      </c>
      <c r="H124" s="9" t="s">
        <v>153</v>
      </c>
      <c r="I124" s="9" t="s">
        <v>115</v>
      </c>
      <c r="J124" s="9">
        <v>3174</v>
      </c>
      <c r="K124" s="9" t="s">
        <v>1131</v>
      </c>
      <c r="L124" s="9" t="s">
        <v>117</v>
      </c>
      <c r="M124" s="10">
        <v>4.5138888888888892E-4</v>
      </c>
      <c r="N124" s="9" t="s">
        <v>65</v>
      </c>
      <c r="O124" s="9" t="s">
        <v>1132</v>
      </c>
      <c r="P124" s="9" t="s">
        <v>119</v>
      </c>
      <c r="Q124" s="10">
        <v>5.5173611111111111E-2</v>
      </c>
      <c r="R124" s="9" t="s">
        <v>56</v>
      </c>
      <c r="S124" s="10">
        <v>0.1952777777777778</v>
      </c>
      <c r="T124" s="9">
        <v>43.072000000000003</v>
      </c>
      <c r="U124" s="9">
        <v>10.3</v>
      </c>
      <c r="V124" s="10">
        <v>0.17427083333333329</v>
      </c>
      <c r="W124" s="10">
        <v>9.7361111111111107E-2</v>
      </c>
      <c r="X124" s="10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 t="s">
        <v>67</v>
      </c>
      <c r="AF124" s="9" t="s">
        <v>1133</v>
      </c>
      <c r="AG124" s="9" t="s">
        <v>1134</v>
      </c>
      <c r="AH124" s="9">
        <v>6.2517699999999996</v>
      </c>
      <c r="AI124" s="9">
        <v>-75.552062000000006</v>
      </c>
      <c r="AJ124" s="9" t="s">
        <v>1135</v>
      </c>
      <c r="AK124" s="9">
        <v>6.251843</v>
      </c>
      <c r="AL124" s="9">
        <v>-75.551862</v>
      </c>
      <c r="AM124" s="26">
        <f t="shared" si="1"/>
        <v>5.5173611111111111E-2</v>
      </c>
      <c r="AN124" s="9"/>
    </row>
    <row r="125" spans="1:40" ht="15" x14ac:dyDescent="0.25">
      <c r="A125" s="9" t="s">
        <v>1136</v>
      </c>
      <c r="B125" s="9" t="s">
        <v>1137</v>
      </c>
      <c r="C125" s="9" t="s">
        <v>1138</v>
      </c>
      <c r="D125" s="9" t="s">
        <v>1081</v>
      </c>
      <c r="E125" s="9" t="s">
        <v>36</v>
      </c>
      <c r="F125" s="9" t="s">
        <v>455</v>
      </c>
      <c r="G125" s="9" t="s">
        <v>80</v>
      </c>
      <c r="H125" s="9" t="s">
        <v>81</v>
      </c>
      <c r="I125" s="9" t="s">
        <v>115</v>
      </c>
      <c r="J125" s="9">
        <v>7819</v>
      </c>
      <c r="K125" s="9" t="s">
        <v>1139</v>
      </c>
      <c r="L125" s="9" t="s">
        <v>117</v>
      </c>
      <c r="M125" s="10">
        <v>3.2639004629629628E-3</v>
      </c>
      <c r="N125" s="9" t="s">
        <v>65</v>
      </c>
      <c r="O125" s="9" t="s">
        <v>1140</v>
      </c>
      <c r="P125" s="9" t="s">
        <v>119</v>
      </c>
      <c r="Q125" s="10">
        <v>4.4255208333333334E-3</v>
      </c>
      <c r="R125" s="9" t="s">
        <v>46</v>
      </c>
      <c r="S125" s="10">
        <v>0.25116162037037038</v>
      </c>
      <c r="T125" s="9">
        <v>45.506</v>
      </c>
      <c r="U125" s="9">
        <v>18.010000000000002</v>
      </c>
      <c r="V125" s="10">
        <v>0.1052747685185185</v>
      </c>
      <c r="W125" s="10">
        <v>4.7207407407407413E-2</v>
      </c>
      <c r="X125" s="10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6</v>
      </c>
      <c r="AE125" s="9" t="s">
        <v>84</v>
      </c>
      <c r="AF125" s="9" t="s">
        <v>1141</v>
      </c>
      <c r="AG125" s="9" t="s">
        <v>1142</v>
      </c>
      <c r="AH125" s="9">
        <v>6.2542499999999999</v>
      </c>
      <c r="AI125" s="9">
        <v>-75.615746999999999</v>
      </c>
      <c r="AJ125" s="9" t="s">
        <v>1143</v>
      </c>
      <c r="AK125" s="9">
        <v>6.2551119999999996</v>
      </c>
      <c r="AL125" s="9">
        <v>-75.619004000000004</v>
      </c>
      <c r="AM125" s="26">
        <f t="shared" si="1"/>
        <v>0</v>
      </c>
      <c r="AN125" s="9"/>
    </row>
    <row r="126" spans="1:40" ht="15" x14ac:dyDescent="0.25">
      <c r="A126" s="9" t="s">
        <v>1092</v>
      </c>
      <c r="B126" s="9" t="s">
        <v>1144</v>
      </c>
      <c r="C126" s="9" t="s">
        <v>1093</v>
      </c>
      <c r="D126" s="9" t="s">
        <v>1026</v>
      </c>
      <c r="E126" s="9" t="s">
        <v>36</v>
      </c>
      <c r="F126" s="9" t="s">
        <v>406</v>
      </c>
      <c r="G126" s="9" t="s">
        <v>160</v>
      </c>
      <c r="H126" s="9" t="s">
        <v>161</v>
      </c>
      <c r="I126" s="9" t="s">
        <v>115</v>
      </c>
      <c r="J126" s="9">
        <v>11960</v>
      </c>
      <c r="K126" s="9" t="s">
        <v>1094</v>
      </c>
      <c r="L126" s="9" t="s">
        <v>117</v>
      </c>
      <c r="M126" s="10">
        <v>3.3919722222222233E-2</v>
      </c>
      <c r="N126" s="9" t="s">
        <v>127</v>
      </c>
      <c r="O126" s="9" t="s">
        <v>1095</v>
      </c>
      <c r="P126" s="9" t="s">
        <v>119</v>
      </c>
      <c r="Q126" s="10">
        <v>1.9248958333333329E-3</v>
      </c>
      <c r="R126" s="9" t="s">
        <v>46</v>
      </c>
      <c r="S126" s="10">
        <v>0.2819948263888889</v>
      </c>
      <c r="T126" s="9">
        <v>66.061999999999998</v>
      </c>
      <c r="U126" s="9">
        <v>15.35</v>
      </c>
      <c r="V126" s="10">
        <v>0.17927137731481491</v>
      </c>
      <c r="W126" s="10">
        <v>0.1095135995370371</v>
      </c>
      <c r="X126" s="10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3</v>
      </c>
      <c r="AE126" s="9" t="s">
        <v>139</v>
      </c>
      <c r="AF126" s="9" t="s">
        <v>1145</v>
      </c>
      <c r="AG126" s="9" t="s">
        <v>1096</v>
      </c>
      <c r="AH126" s="9">
        <v>6.2684600000000001</v>
      </c>
      <c r="AI126" s="9">
        <v>-75.598605000000006</v>
      </c>
      <c r="AJ126" s="9" t="s">
        <v>1097</v>
      </c>
      <c r="AK126" s="9">
        <v>6.2615119999999997</v>
      </c>
      <c r="AL126" s="9">
        <v>-75.592320000000001</v>
      </c>
      <c r="AM126" s="26">
        <f t="shared" si="1"/>
        <v>0</v>
      </c>
      <c r="AN126" s="9"/>
    </row>
    <row r="127" spans="1:40" ht="15" x14ac:dyDescent="0.25">
      <c r="A127" s="9" t="s">
        <v>1146</v>
      </c>
      <c r="B127" s="9" t="s">
        <v>1147</v>
      </c>
      <c r="C127" s="9" t="s">
        <v>1148</v>
      </c>
      <c r="D127" s="9" t="s">
        <v>1149</v>
      </c>
      <c r="E127" s="9" t="s">
        <v>36</v>
      </c>
      <c r="F127" s="9" t="s">
        <v>508</v>
      </c>
      <c r="G127" s="9" t="s">
        <v>38</v>
      </c>
      <c r="H127" s="9" t="s">
        <v>39</v>
      </c>
      <c r="I127" s="9" t="s">
        <v>40</v>
      </c>
      <c r="J127" s="9">
        <v>9328</v>
      </c>
      <c r="K127" s="9" t="s">
        <v>1150</v>
      </c>
      <c r="L127" s="9" t="s">
        <v>42</v>
      </c>
      <c r="M127" s="10">
        <v>1.38003587962963E-2</v>
      </c>
      <c r="N127" s="9" t="s">
        <v>43</v>
      </c>
      <c r="O127" s="9" t="s">
        <v>1151</v>
      </c>
      <c r="P127" s="9" t="s">
        <v>45</v>
      </c>
      <c r="Q127" s="10">
        <v>2.0625289351851851E-2</v>
      </c>
      <c r="R127" s="9" t="s">
        <v>129</v>
      </c>
      <c r="S127" s="10">
        <v>0.34015826388888892</v>
      </c>
      <c r="T127" s="9">
        <v>79.951999999999998</v>
      </c>
      <c r="U127" s="9">
        <v>20.77</v>
      </c>
      <c r="V127" s="10">
        <v>0.1604153009259259</v>
      </c>
      <c r="W127" s="10">
        <v>4.9661597222222222E-2</v>
      </c>
      <c r="X127" s="10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5</v>
      </c>
      <c r="AE127" s="9" t="s">
        <v>130</v>
      </c>
      <c r="AF127" s="9" t="s">
        <v>1152</v>
      </c>
      <c r="AG127" s="9" t="s">
        <v>1153</v>
      </c>
      <c r="AH127" s="9">
        <v>6.225295</v>
      </c>
      <c r="AI127" s="9">
        <v>-75.599788000000004</v>
      </c>
      <c r="AJ127" s="9" t="s">
        <v>1154</v>
      </c>
      <c r="AK127" s="9">
        <v>6.2217440000000002</v>
      </c>
      <c r="AL127" s="9">
        <v>-75.593836999999994</v>
      </c>
      <c r="AM127" s="26">
        <f t="shared" si="1"/>
        <v>1.38003587962963E-2</v>
      </c>
      <c r="AN127" s="9"/>
    </row>
    <row r="128" spans="1:40" ht="15" x14ac:dyDescent="0.25">
      <c r="A128" s="9" t="s">
        <v>1155</v>
      </c>
      <c r="B128" s="9" t="s">
        <v>1156</v>
      </c>
      <c r="C128" s="9" t="s">
        <v>1157</v>
      </c>
      <c r="D128" s="9" t="s">
        <v>1149</v>
      </c>
      <c r="E128" s="9" t="s">
        <v>36</v>
      </c>
      <c r="F128" s="9" t="s">
        <v>508</v>
      </c>
      <c r="G128" s="9" t="s">
        <v>52</v>
      </c>
      <c r="H128" s="9" t="s">
        <v>53</v>
      </c>
      <c r="I128" s="9" t="s">
        <v>40</v>
      </c>
      <c r="J128" s="9">
        <v>3877</v>
      </c>
      <c r="K128" s="9" t="s">
        <v>1158</v>
      </c>
      <c r="L128" s="9" t="s">
        <v>42</v>
      </c>
      <c r="M128" s="10">
        <v>1.1446759259259261E-2</v>
      </c>
      <c r="N128" s="9" t="s">
        <v>127</v>
      </c>
      <c r="O128" s="9" t="s">
        <v>1159</v>
      </c>
      <c r="P128" s="9" t="s">
        <v>45</v>
      </c>
      <c r="Q128" s="10">
        <v>2.0370370370370369E-2</v>
      </c>
      <c r="R128" s="9" t="s">
        <v>56</v>
      </c>
      <c r="S128" s="10">
        <v>0.3244097222222222</v>
      </c>
      <c r="T128" s="9">
        <v>46.598999999999997</v>
      </c>
      <c r="U128" s="9">
        <v>7.59</v>
      </c>
      <c r="V128" s="10">
        <v>0.2557638888888889</v>
      </c>
      <c r="W128" s="10">
        <v>0.12997685185185179</v>
      </c>
      <c r="X128" s="10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2</v>
      </c>
      <c r="AE128" s="9" t="s">
        <v>139</v>
      </c>
      <c r="AF128" s="9" t="s">
        <v>1160</v>
      </c>
      <c r="AG128" s="9" t="s">
        <v>1161</v>
      </c>
      <c r="AH128" s="9">
        <v>6.2257540000000002</v>
      </c>
      <c r="AI128" s="9">
        <v>-75.599475999999996</v>
      </c>
      <c r="AJ128" s="9" t="s">
        <v>1162</v>
      </c>
      <c r="AK128" s="9">
        <v>6.2502360000000001</v>
      </c>
      <c r="AL128" s="9">
        <v>-75.604742000000002</v>
      </c>
      <c r="AM128" s="26">
        <f t="shared" si="1"/>
        <v>2.0370370370370369E-2</v>
      </c>
      <c r="AN128" s="9"/>
    </row>
    <row r="129" spans="1:54" ht="15" x14ac:dyDescent="0.25">
      <c r="A129" s="9" t="s">
        <v>1163</v>
      </c>
      <c r="B129" s="9" t="s">
        <v>1164</v>
      </c>
      <c r="C129" s="9" t="s">
        <v>1165</v>
      </c>
      <c r="D129" s="9" t="s">
        <v>1149</v>
      </c>
      <c r="E129" s="9" t="s">
        <v>36</v>
      </c>
      <c r="F129" s="9" t="s">
        <v>508</v>
      </c>
      <c r="G129" s="9" t="s">
        <v>113</v>
      </c>
      <c r="H129" s="9" t="s">
        <v>114</v>
      </c>
      <c r="I129" s="9" t="s">
        <v>40</v>
      </c>
      <c r="J129" s="9">
        <v>3951</v>
      </c>
      <c r="K129" s="9" t="s">
        <v>1166</v>
      </c>
      <c r="L129" s="9" t="s">
        <v>42</v>
      </c>
      <c r="M129" s="10">
        <v>2.4548611111111111E-2</v>
      </c>
      <c r="N129" s="9" t="s">
        <v>43</v>
      </c>
      <c r="O129" s="9" t="s">
        <v>1167</v>
      </c>
      <c r="P129" s="9" t="s">
        <v>45</v>
      </c>
      <c r="Q129" s="10">
        <v>3.5057870370370371E-2</v>
      </c>
      <c r="R129" s="9" t="s">
        <v>56</v>
      </c>
      <c r="S129" s="10">
        <v>0.27372685185185192</v>
      </c>
      <c r="T129" s="9">
        <v>53.475999999999999</v>
      </c>
      <c r="U129" s="9">
        <v>9.44</v>
      </c>
      <c r="V129" s="10">
        <v>0.23591435185185189</v>
      </c>
      <c r="W129" s="10">
        <v>0.15008101851851849</v>
      </c>
      <c r="X129" s="10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2</v>
      </c>
      <c r="AE129" s="9" t="s">
        <v>57</v>
      </c>
      <c r="AF129" s="9" t="s">
        <v>1168</v>
      </c>
      <c r="AG129" s="9" t="s">
        <v>1169</v>
      </c>
      <c r="AH129" s="9">
        <v>6.2375030000000002</v>
      </c>
      <c r="AI129" s="9">
        <v>-75.606639999999999</v>
      </c>
      <c r="AJ129" s="9" t="s">
        <v>1170</v>
      </c>
      <c r="AK129" s="9">
        <v>6.2630569999999999</v>
      </c>
      <c r="AL129" s="9">
        <v>-75.595337000000001</v>
      </c>
      <c r="AM129" s="26">
        <f t="shared" si="1"/>
        <v>5.9606481481481483E-2</v>
      </c>
      <c r="AN129" s="9"/>
    </row>
    <row r="130" spans="1:54" ht="15" x14ac:dyDescent="0.25">
      <c r="A130" s="9" t="s">
        <v>1171</v>
      </c>
      <c r="B130" s="9" t="s">
        <v>1172</v>
      </c>
      <c r="C130" s="9" t="s">
        <v>1173</v>
      </c>
      <c r="D130" s="9" t="s">
        <v>1149</v>
      </c>
      <c r="E130" s="9" t="s">
        <v>36</v>
      </c>
      <c r="F130" s="9" t="s">
        <v>508</v>
      </c>
      <c r="G130" s="9" t="s">
        <v>62</v>
      </c>
      <c r="H130" s="9" t="s">
        <v>63</v>
      </c>
      <c r="I130" s="9" t="s">
        <v>40</v>
      </c>
      <c r="J130" s="9">
        <v>4211</v>
      </c>
      <c r="K130" s="9" t="s">
        <v>1174</v>
      </c>
      <c r="L130" s="9" t="s">
        <v>42</v>
      </c>
      <c r="M130" s="10">
        <v>9.1319444444444443E-3</v>
      </c>
      <c r="N130" s="9" t="s">
        <v>65</v>
      </c>
      <c r="O130" s="9" t="s">
        <v>1175</v>
      </c>
      <c r="P130" s="9" t="s">
        <v>45</v>
      </c>
      <c r="Q130" s="10">
        <v>0.1008680555555556</v>
      </c>
      <c r="R130" s="9" t="s">
        <v>56</v>
      </c>
      <c r="S130" s="10">
        <v>0.24159722222222221</v>
      </c>
      <c r="T130" s="9">
        <v>56.030999999999999</v>
      </c>
      <c r="U130" s="9">
        <v>17.48</v>
      </c>
      <c r="V130" s="10">
        <v>0.13358796296296299</v>
      </c>
      <c r="W130" s="10">
        <v>4.0011574074074067E-2</v>
      </c>
      <c r="X130" s="10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 t="s">
        <v>67</v>
      </c>
      <c r="AF130" s="9" t="s">
        <v>1176</v>
      </c>
      <c r="AG130" s="9" t="s">
        <v>1177</v>
      </c>
      <c r="AH130" s="9">
        <v>6.2256830000000001</v>
      </c>
      <c r="AI130" s="9">
        <v>-75.599395999999999</v>
      </c>
      <c r="AJ130" s="9" t="s">
        <v>1178</v>
      </c>
      <c r="AK130" s="9">
        <v>6.274832</v>
      </c>
      <c r="AL130" s="9">
        <v>-75.579003999999998</v>
      </c>
      <c r="AM130" s="26">
        <f t="shared" si="1"/>
        <v>0.1008680555555556</v>
      </c>
      <c r="AN130" s="9"/>
    </row>
    <row r="131" spans="1:54" ht="15" x14ac:dyDescent="0.25">
      <c r="A131" s="9" t="s">
        <v>1179</v>
      </c>
      <c r="B131" s="9" t="s">
        <v>1180</v>
      </c>
      <c r="C131" s="9" t="s">
        <v>1181</v>
      </c>
      <c r="D131" s="9" t="s">
        <v>1149</v>
      </c>
      <c r="E131" s="9" t="s">
        <v>36</v>
      </c>
      <c r="F131" s="9" t="s">
        <v>508</v>
      </c>
      <c r="G131" s="9" t="s">
        <v>89</v>
      </c>
      <c r="H131" s="9" t="s">
        <v>90</v>
      </c>
      <c r="I131" s="9" t="s">
        <v>40</v>
      </c>
      <c r="J131" s="9">
        <v>6651</v>
      </c>
      <c r="K131" s="9" t="s">
        <v>1182</v>
      </c>
      <c r="L131" s="9" t="s">
        <v>42</v>
      </c>
      <c r="M131" s="10">
        <v>3.49537037037037E-3</v>
      </c>
      <c r="N131" s="9" t="s">
        <v>65</v>
      </c>
      <c r="O131" s="9" t="s">
        <v>1183</v>
      </c>
      <c r="P131" s="9" t="s">
        <v>45</v>
      </c>
      <c r="Q131" s="10">
        <v>1.782407407407407E-3</v>
      </c>
      <c r="R131" s="9" t="s">
        <v>46</v>
      </c>
      <c r="S131" s="10">
        <v>0.33162037037037029</v>
      </c>
      <c r="T131" s="9">
        <v>88.263999999999996</v>
      </c>
      <c r="U131" s="9">
        <v>15.29</v>
      </c>
      <c r="V131" s="10">
        <v>0.24059027777777781</v>
      </c>
      <c r="W131" s="10">
        <v>8.9270833333333327E-2</v>
      </c>
      <c r="X131" s="10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 t="s">
        <v>84</v>
      </c>
      <c r="AF131" s="9" t="s">
        <v>352</v>
      </c>
      <c r="AG131" s="9" t="s">
        <v>1184</v>
      </c>
      <c r="AH131" s="9">
        <v>6.2267570000000001</v>
      </c>
      <c r="AI131" s="9">
        <v>-75.599795</v>
      </c>
      <c r="AJ131" s="9" t="s">
        <v>1185</v>
      </c>
      <c r="AK131" s="9">
        <v>6.2793390000000002</v>
      </c>
      <c r="AL131" s="9">
        <v>-75.569377000000003</v>
      </c>
      <c r="AM131" s="26">
        <f t="shared" ref="AM131:AM194" si="2">IF(N131="INICIO TARDÍO",M131,0)+IF(R131="TERMINÓ ANTES",Q131,0)</f>
        <v>0</v>
      </c>
      <c r="AN131" s="9"/>
    </row>
    <row r="132" spans="1:54" ht="15" x14ac:dyDescent="0.25">
      <c r="A132" s="9" t="s">
        <v>1186</v>
      </c>
      <c r="B132" s="9" t="s">
        <v>1187</v>
      </c>
      <c r="C132" s="9" t="s">
        <v>1188</v>
      </c>
      <c r="D132" s="9" t="s">
        <v>1149</v>
      </c>
      <c r="E132" s="9" t="s">
        <v>36</v>
      </c>
      <c r="F132" s="9" t="s">
        <v>508</v>
      </c>
      <c r="G132" s="9" t="s">
        <v>97</v>
      </c>
      <c r="H132" s="9" t="s">
        <v>98</v>
      </c>
      <c r="I132" s="9" t="s">
        <v>40</v>
      </c>
      <c r="J132" s="9">
        <v>2421</v>
      </c>
      <c r="K132" s="9" t="s">
        <v>1189</v>
      </c>
      <c r="L132" s="9" t="s">
        <v>42</v>
      </c>
      <c r="M132" s="10">
        <v>1.5069444444444441E-2</v>
      </c>
      <c r="N132" s="9" t="s">
        <v>43</v>
      </c>
      <c r="O132" s="9" t="s">
        <v>1190</v>
      </c>
      <c r="P132" s="9" t="s">
        <v>45</v>
      </c>
      <c r="Q132" s="10">
        <v>1.451388888888889E-2</v>
      </c>
      <c r="R132" s="9" t="s">
        <v>56</v>
      </c>
      <c r="S132" s="10">
        <v>0.30375000000000002</v>
      </c>
      <c r="T132" s="9">
        <v>31.95</v>
      </c>
      <c r="U132" s="9">
        <v>7.64</v>
      </c>
      <c r="V132" s="10">
        <v>0.17416666666666669</v>
      </c>
      <c r="W132" s="10">
        <v>0.12329861111111109</v>
      </c>
      <c r="X132" s="10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 t="s">
        <v>57</v>
      </c>
      <c r="AF132" s="9" t="s">
        <v>1191</v>
      </c>
      <c r="AG132" s="9" t="s">
        <v>1192</v>
      </c>
      <c r="AH132" s="9">
        <v>6.2251849999999997</v>
      </c>
      <c r="AI132" s="9">
        <v>-75.599487999999994</v>
      </c>
      <c r="AJ132" s="9" t="s">
        <v>1193</v>
      </c>
      <c r="AK132" s="9">
        <v>6.3049689999999998</v>
      </c>
      <c r="AL132" s="9">
        <v>-75.581789000000001</v>
      </c>
      <c r="AM132" s="26">
        <f t="shared" si="2"/>
        <v>2.958333333333333E-2</v>
      </c>
      <c r="AN132" s="9"/>
    </row>
    <row r="133" spans="1:54" ht="15" x14ac:dyDescent="0.25">
      <c r="A133" s="9" t="s">
        <v>1194</v>
      </c>
      <c r="B133" s="9" t="s">
        <v>1195</v>
      </c>
      <c r="C133" s="9" t="s">
        <v>1196</v>
      </c>
      <c r="D133" s="9" t="s">
        <v>1149</v>
      </c>
      <c r="E133" s="9" t="s">
        <v>36</v>
      </c>
      <c r="F133" s="9" t="s">
        <v>508</v>
      </c>
      <c r="G133" s="9" t="s">
        <v>105</v>
      </c>
      <c r="H133" s="9" t="s">
        <v>106</v>
      </c>
      <c r="I133" s="9" t="s">
        <v>40</v>
      </c>
      <c r="J133" s="9">
        <v>3076</v>
      </c>
      <c r="K133" s="9" t="s">
        <v>1197</v>
      </c>
      <c r="L133" s="9" t="s">
        <v>42</v>
      </c>
      <c r="M133" s="10">
        <v>1.2939814814814821E-2</v>
      </c>
      <c r="N133" s="9" t="s">
        <v>43</v>
      </c>
      <c r="O133" s="9" t="s">
        <v>1198</v>
      </c>
      <c r="P133" s="9" t="s">
        <v>45</v>
      </c>
      <c r="Q133" s="10">
        <v>2.743055555555555E-3</v>
      </c>
      <c r="R133" s="9" t="s">
        <v>46</v>
      </c>
      <c r="S133" s="10">
        <v>0.32313657407407409</v>
      </c>
      <c r="T133" s="9">
        <v>39.648000000000003</v>
      </c>
      <c r="U133" s="9">
        <v>14.43</v>
      </c>
      <c r="V133" s="10">
        <v>0.11446759259259261</v>
      </c>
      <c r="W133" s="10">
        <v>5.6747685185185193E-2</v>
      </c>
      <c r="X133" s="10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 t="s">
        <v>47</v>
      </c>
      <c r="AF133" s="9" t="s">
        <v>1199</v>
      </c>
      <c r="AG133" s="9" t="s">
        <v>1200</v>
      </c>
      <c r="AH133" s="9">
        <v>6.2256239999999998</v>
      </c>
      <c r="AI133" s="9">
        <v>-75.599592000000001</v>
      </c>
      <c r="AJ133" s="9" t="s">
        <v>1201</v>
      </c>
      <c r="AK133" s="9">
        <v>6.2586849999999998</v>
      </c>
      <c r="AL133" s="9">
        <v>-75.616231999999997</v>
      </c>
      <c r="AM133" s="26">
        <f t="shared" si="2"/>
        <v>1.2939814814814821E-2</v>
      </c>
      <c r="AN133" s="9"/>
    </row>
    <row r="134" spans="1:54" ht="15" x14ac:dyDescent="0.25">
      <c r="A134" s="9" t="s">
        <v>1202</v>
      </c>
      <c r="B134" s="9" t="s">
        <v>1203</v>
      </c>
      <c r="C134" s="9" t="s">
        <v>1204</v>
      </c>
      <c r="D134" s="9" t="s">
        <v>1149</v>
      </c>
      <c r="E134" s="9" t="s">
        <v>36</v>
      </c>
      <c r="F134" s="9" t="s">
        <v>508</v>
      </c>
      <c r="G134" s="9" t="s">
        <v>72</v>
      </c>
      <c r="H134" s="9" t="s">
        <v>73</v>
      </c>
      <c r="I134" s="9" t="s">
        <v>40</v>
      </c>
      <c r="J134" s="9">
        <v>3218</v>
      </c>
      <c r="K134" s="9" t="s">
        <v>1205</v>
      </c>
      <c r="L134" s="9" t="s">
        <v>42</v>
      </c>
      <c r="M134" s="10">
        <v>9.1550925925925931E-3</v>
      </c>
      <c r="N134" s="9" t="s">
        <v>65</v>
      </c>
      <c r="O134" s="9" t="s">
        <v>1206</v>
      </c>
      <c r="P134" s="9" t="s">
        <v>45</v>
      </c>
      <c r="Q134" s="10">
        <v>0.14796296296296299</v>
      </c>
      <c r="R134" s="9" t="s">
        <v>56</v>
      </c>
      <c r="S134" s="10">
        <v>0.194525462962963</v>
      </c>
      <c r="T134" s="9">
        <v>44.1</v>
      </c>
      <c r="U134" s="9">
        <v>9.65</v>
      </c>
      <c r="V134" s="10">
        <v>0.19032407407407409</v>
      </c>
      <c r="W134" s="10">
        <v>0.1166203703703704</v>
      </c>
      <c r="X134" s="10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1</v>
      </c>
      <c r="AE134" s="9" t="s">
        <v>67</v>
      </c>
      <c r="AF134" s="9" t="s">
        <v>1207</v>
      </c>
      <c r="AG134" s="9" t="s">
        <v>1208</v>
      </c>
      <c r="AH134" s="9">
        <v>6.2257300000000004</v>
      </c>
      <c r="AI134" s="9">
        <v>-75.599395999999999</v>
      </c>
      <c r="AJ134" s="9" t="s">
        <v>1209</v>
      </c>
      <c r="AK134" s="9">
        <v>6.2370660000000004</v>
      </c>
      <c r="AL134" s="9">
        <v>-75.558841999999999</v>
      </c>
      <c r="AM134" s="26">
        <f t="shared" si="2"/>
        <v>0.14796296296296299</v>
      </c>
      <c r="AN134" s="9"/>
    </row>
    <row r="135" spans="1:54" ht="15" x14ac:dyDescent="0.25">
      <c r="A135" s="9" t="s">
        <v>1210</v>
      </c>
      <c r="B135" s="9" t="s">
        <v>1211</v>
      </c>
      <c r="C135" s="9" t="s">
        <v>1212</v>
      </c>
      <c r="D135" s="9" t="s">
        <v>1149</v>
      </c>
      <c r="E135" s="9" t="s">
        <v>36</v>
      </c>
      <c r="F135" s="9" t="s">
        <v>508</v>
      </c>
      <c r="G135" s="9" t="s">
        <v>124</v>
      </c>
      <c r="H135" s="9" t="s">
        <v>125</v>
      </c>
      <c r="I135" s="9" t="s">
        <v>115</v>
      </c>
      <c r="J135" s="9">
        <v>5430</v>
      </c>
      <c r="K135" s="9" t="s">
        <v>1213</v>
      </c>
      <c r="L135" s="9" t="s">
        <v>117</v>
      </c>
      <c r="M135" s="10">
        <v>3.8252314814814822E-2</v>
      </c>
      <c r="N135" s="9" t="s">
        <v>127</v>
      </c>
      <c r="O135" s="9" t="s">
        <v>1214</v>
      </c>
      <c r="P135" s="9" t="s">
        <v>119</v>
      </c>
      <c r="Q135" s="10">
        <v>1.7337962962962961E-2</v>
      </c>
      <c r="R135" s="9" t="s">
        <v>129</v>
      </c>
      <c r="S135" s="10">
        <v>0.30559027777777781</v>
      </c>
      <c r="T135" s="9">
        <v>69.721000000000004</v>
      </c>
      <c r="U135" s="9">
        <v>13.26</v>
      </c>
      <c r="V135" s="10">
        <v>0.21903935185185189</v>
      </c>
      <c r="W135" s="10">
        <v>6.699074074074074E-2</v>
      </c>
      <c r="X135" s="10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 t="s">
        <v>130</v>
      </c>
      <c r="AF135" s="9" t="s">
        <v>1215</v>
      </c>
      <c r="AG135" s="9" t="s">
        <v>1216</v>
      </c>
      <c r="AH135" s="9">
        <v>6.2267809999999999</v>
      </c>
      <c r="AI135" s="9">
        <v>-75.599305999999999</v>
      </c>
      <c r="AJ135" s="9" t="s">
        <v>1217</v>
      </c>
      <c r="AK135" s="9">
        <v>6.2726870000000003</v>
      </c>
      <c r="AL135" s="9">
        <v>-75.602014999999994</v>
      </c>
      <c r="AM135" s="26">
        <f t="shared" si="2"/>
        <v>0</v>
      </c>
      <c r="AN135" s="9"/>
    </row>
    <row r="136" spans="1:54" ht="15" x14ac:dyDescent="0.25">
      <c r="A136" s="9" t="s">
        <v>1218</v>
      </c>
      <c r="B136" s="9" t="s">
        <v>1219</v>
      </c>
      <c r="C136" s="9" t="s">
        <v>1220</v>
      </c>
      <c r="D136" s="9" t="s">
        <v>1149</v>
      </c>
      <c r="E136" s="9" t="s">
        <v>36</v>
      </c>
      <c r="F136" s="9" t="s">
        <v>508</v>
      </c>
      <c r="G136" s="9" t="s">
        <v>135</v>
      </c>
      <c r="H136" s="9" t="s">
        <v>136</v>
      </c>
      <c r="I136" s="9" t="s">
        <v>115</v>
      </c>
      <c r="J136" s="9">
        <v>1837</v>
      </c>
      <c r="K136" s="9" t="s">
        <v>1221</v>
      </c>
      <c r="L136" s="9" t="s">
        <v>117</v>
      </c>
      <c r="M136" s="10">
        <v>1.450231481481482E-2</v>
      </c>
      <c r="N136" s="9" t="s">
        <v>43</v>
      </c>
      <c r="O136" s="9" t="s">
        <v>1222</v>
      </c>
      <c r="P136" s="9" t="s">
        <v>119</v>
      </c>
      <c r="Q136" s="10">
        <v>2.3495370370370371E-3</v>
      </c>
      <c r="R136" s="9" t="s">
        <v>46</v>
      </c>
      <c r="S136" s="10">
        <v>0.23784722222222221</v>
      </c>
      <c r="T136" s="9">
        <v>23.887</v>
      </c>
      <c r="U136" s="9">
        <v>7.22</v>
      </c>
      <c r="V136" s="10">
        <v>0.13778935185185179</v>
      </c>
      <c r="W136" s="10">
        <v>9.4456018518518522E-2</v>
      </c>
      <c r="X136" s="10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1</v>
      </c>
      <c r="AE136" s="9" t="s">
        <v>47</v>
      </c>
      <c r="AF136" s="9" t="s">
        <v>1223</v>
      </c>
      <c r="AG136" s="9" t="s">
        <v>1224</v>
      </c>
      <c r="AH136" s="9">
        <v>6.2759520000000002</v>
      </c>
      <c r="AI136" s="9">
        <v>-75.554822999999999</v>
      </c>
      <c r="AJ136" s="9" t="s">
        <v>1225</v>
      </c>
      <c r="AK136" s="9">
        <v>6.2745030000000002</v>
      </c>
      <c r="AL136" s="9">
        <v>-75.540476999999996</v>
      </c>
      <c r="AM136" s="26">
        <f t="shared" si="2"/>
        <v>1.450231481481482E-2</v>
      </c>
      <c r="AN136" s="9"/>
    </row>
    <row r="137" spans="1:54" ht="15" x14ac:dyDescent="0.25">
      <c r="A137" s="9" t="s">
        <v>1226</v>
      </c>
      <c r="B137" s="9" t="s">
        <v>1227</v>
      </c>
      <c r="C137" s="9" t="s">
        <v>1228</v>
      </c>
      <c r="D137" s="9" t="s">
        <v>1149</v>
      </c>
      <c r="E137" s="9" t="s">
        <v>36</v>
      </c>
      <c r="F137" s="9" t="s">
        <v>508</v>
      </c>
      <c r="G137" s="9" t="s">
        <v>144</v>
      </c>
      <c r="H137" s="9" t="s">
        <v>145</v>
      </c>
      <c r="I137" s="9" t="s">
        <v>115</v>
      </c>
      <c r="J137" s="9">
        <v>4827</v>
      </c>
      <c r="K137" s="9" t="s">
        <v>1229</v>
      </c>
      <c r="L137" s="9" t="s">
        <v>117</v>
      </c>
      <c r="M137" s="10">
        <v>1.252314814814815E-2</v>
      </c>
      <c r="N137" s="9" t="s">
        <v>127</v>
      </c>
      <c r="O137" s="9" t="s">
        <v>1230</v>
      </c>
      <c r="P137" s="9" t="s">
        <v>119</v>
      </c>
      <c r="Q137" s="10">
        <v>2.754629629629629E-3</v>
      </c>
      <c r="R137" s="9" t="s">
        <v>46</v>
      </c>
      <c r="S137" s="10">
        <v>0.26527777777777778</v>
      </c>
      <c r="T137" s="9">
        <v>62.723999999999997</v>
      </c>
      <c r="U137" s="9">
        <v>13.39</v>
      </c>
      <c r="V137" s="10">
        <v>0.19525462962962961</v>
      </c>
      <c r="W137" s="10">
        <v>6.6805555555555562E-2</v>
      </c>
      <c r="X137" s="10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 t="s">
        <v>139</v>
      </c>
      <c r="AF137" s="9" t="s">
        <v>1231</v>
      </c>
      <c r="AG137" s="9" t="s">
        <v>1232</v>
      </c>
      <c r="AH137" s="9">
        <v>6.2265389999999998</v>
      </c>
      <c r="AI137" s="9">
        <v>-75.599269000000007</v>
      </c>
      <c r="AJ137" s="9" t="s">
        <v>1233</v>
      </c>
      <c r="AK137" s="9">
        <v>6.2903820000000001</v>
      </c>
      <c r="AL137" s="9">
        <v>-75.546633</v>
      </c>
      <c r="AM137" s="26">
        <f t="shared" si="2"/>
        <v>0</v>
      </c>
      <c r="AN137" s="9"/>
    </row>
    <row r="138" spans="1:54" ht="15" x14ac:dyDescent="0.25">
      <c r="A138" s="9" t="s">
        <v>1234</v>
      </c>
      <c r="B138" s="9" t="s">
        <v>1235</v>
      </c>
      <c r="C138" s="9" t="s">
        <v>1236</v>
      </c>
      <c r="D138" s="9" t="s">
        <v>1149</v>
      </c>
      <c r="E138" s="9" t="s">
        <v>36</v>
      </c>
      <c r="F138" s="9" t="s">
        <v>508</v>
      </c>
      <c r="G138" s="9" t="s">
        <v>152</v>
      </c>
      <c r="H138" s="9" t="s">
        <v>153</v>
      </c>
      <c r="I138" s="9" t="s">
        <v>115</v>
      </c>
      <c r="J138" s="9">
        <v>3810</v>
      </c>
      <c r="K138" s="9" t="s">
        <v>1237</v>
      </c>
      <c r="L138" s="9" t="s">
        <v>117</v>
      </c>
      <c r="M138" s="10">
        <v>3.5937499999999997E-2</v>
      </c>
      <c r="N138" s="9" t="s">
        <v>127</v>
      </c>
      <c r="O138" s="9" t="s">
        <v>1238</v>
      </c>
      <c r="P138" s="9" t="s">
        <v>119</v>
      </c>
      <c r="Q138" s="10">
        <v>2.6168981481481481E-2</v>
      </c>
      <c r="R138" s="9" t="s">
        <v>56</v>
      </c>
      <c r="S138" s="10">
        <v>0.25976851851851851</v>
      </c>
      <c r="T138" s="9">
        <v>51.901000000000003</v>
      </c>
      <c r="U138" s="9">
        <v>10.99</v>
      </c>
      <c r="V138" s="10">
        <v>0.19674768518518521</v>
      </c>
      <c r="W138" s="10">
        <v>0.1295833333333333</v>
      </c>
      <c r="X138" s="10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 t="s">
        <v>139</v>
      </c>
      <c r="AF138" s="9" t="s">
        <v>1239</v>
      </c>
      <c r="AG138" s="9" t="s">
        <v>1240</v>
      </c>
      <c r="AH138" s="9">
        <v>6.2270120000000002</v>
      </c>
      <c r="AI138" s="9">
        <v>-75.599711999999997</v>
      </c>
      <c r="AJ138" s="9" t="s">
        <v>1241</v>
      </c>
      <c r="AK138" s="9">
        <v>6.2483149999999998</v>
      </c>
      <c r="AL138" s="9">
        <v>-75.55735</v>
      </c>
      <c r="AM138" s="26">
        <f t="shared" si="2"/>
        <v>2.6168981481481481E-2</v>
      </c>
      <c r="AN138" s="9"/>
    </row>
    <row r="139" spans="1:54" ht="15" x14ac:dyDescent="0.25">
      <c r="A139" s="17" t="s">
        <v>1242</v>
      </c>
      <c r="B139" s="17" t="s">
        <v>1243</v>
      </c>
      <c r="C139" s="17" t="s">
        <v>1244</v>
      </c>
      <c r="D139" s="17" t="s">
        <v>1149</v>
      </c>
      <c r="E139" s="17" t="s">
        <v>36</v>
      </c>
      <c r="F139" s="17" t="s">
        <v>508</v>
      </c>
      <c r="G139" s="17" t="s">
        <v>160</v>
      </c>
      <c r="H139" s="17" t="s">
        <v>161</v>
      </c>
      <c r="I139" s="17" t="s">
        <v>115</v>
      </c>
      <c r="J139" s="17">
        <v>10473</v>
      </c>
      <c r="K139" s="17" t="s">
        <v>1245</v>
      </c>
      <c r="L139" s="17" t="s">
        <v>117</v>
      </c>
      <c r="M139" s="18">
        <v>3.6535509259259261E-2</v>
      </c>
      <c r="N139" s="17" t="s">
        <v>127</v>
      </c>
      <c r="O139" s="17" t="s">
        <v>1246</v>
      </c>
      <c r="P139" s="17" t="s">
        <v>119</v>
      </c>
      <c r="Q139" s="18">
        <v>3.0054282407407399E-3</v>
      </c>
      <c r="R139" s="17" t="s">
        <v>46</v>
      </c>
      <c r="S139" s="18">
        <v>0.28353008101851851</v>
      </c>
      <c r="T139" s="17">
        <v>49.595999999999997</v>
      </c>
      <c r="U139" s="17">
        <v>12.02</v>
      </c>
      <c r="V139" s="18">
        <v>0.17198241898148159</v>
      </c>
      <c r="W139" s="18">
        <v>0.1301282175925926</v>
      </c>
      <c r="X139" s="18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1</v>
      </c>
      <c r="AE139" s="17" t="s">
        <v>139</v>
      </c>
      <c r="AF139" s="17" t="s">
        <v>1247</v>
      </c>
      <c r="AG139" s="17" t="s">
        <v>1248</v>
      </c>
      <c r="AH139" s="17">
        <v>6.2267029999999997</v>
      </c>
      <c r="AI139" s="17">
        <v>-75.599232000000001</v>
      </c>
      <c r="AJ139" s="17" t="s">
        <v>1249</v>
      </c>
      <c r="AK139" s="17">
        <v>6.2537599999999998</v>
      </c>
      <c r="AL139" s="17">
        <v>-75.576220000000006</v>
      </c>
      <c r="AM139" s="27">
        <f t="shared" si="2"/>
        <v>0</v>
      </c>
      <c r="AN139" s="9"/>
    </row>
    <row r="140" spans="1:54" ht="15" x14ac:dyDescent="0.25">
      <c r="A140" s="9" t="s">
        <v>1250</v>
      </c>
      <c r="B140" s="9" t="s">
        <v>1251</v>
      </c>
      <c r="C140" s="9" t="s">
        <v>1252</v>
      </c>
      <c r="D140" s="9" t="s">
        <v>1253</v>
      </c>
      <c r="E140" s="9" t="s">
        <v>36</v>
      </c>
      <c r="F140" s="9" t="s">
        <v>37</v>
      </c>
      <c r="G140" s="9" t="s">
        <v>38</v>
      </c>
      <c r="H140" s="9" t="s">
        <v>39</v>
      </c>
      <c r="I140" s="9" t="s">
        <v>40</v>
      </c>
      <c r="J140" s="9">
        <v>6378</v>
      </c>
      <c r="K140" s="9" t="s">
        <v>1254</v>
      </c>
      <c r="L140" s="9" t="s">
        <v>42</v>
      </c>
      <c r="M140" s="10">
        <v>1.108123842592592E-2</v>
      </c>
      <c r="N140" s="9" t="s">
        <v>43</v>
      </c>
      <c r="O140" s="9" t="s">
        <v>1255</v>
      </c>
      <c r="P140" s="9" t="s">
        <v>45</v>
      </c>
      <c r="Q140" s="10">
        <v>6.9324884259259261E-3</v>
      </c>
      <c r="R140" s="9" t="s">
        <v>46</v>
      </c>
      <c r="S140" s="10">
        <v>0.32918458333333328</v>
      </c>
      <c r="T140" s="9">
        <v>52.210999999999999</v>
      </c>
      <c r="U140" s="9">
        <v>21.96</v>
      </c>
      <c r="V140" s="10">
        <v>9.9085358796296319E-2</v>
      </c>
      <c r="W140" s="10">
        <v>4.0031712962962963E-2</v>
      </c>
      <c r="X140" s="10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5</v>
      </c>
      <c r="AE140" s="9" t="s">
        <v>47</v>
      </c>
      <c r="AF140" s="9" t="s">
        <v>1256</v>
      </c>
      <c r="AG140" s="9" t="s">
        <v>1257</v>
      </c>
      <c r="AH140" s="9">
        <v>6.2252169999999998</v>
      </c>
      <c r="AI140" s="9">
        <v>-75.599784</v>
      </c>
      <c r="AJ140" s="9" t="s">
        <v>1258</v>
      </c>
      <c r="AK140" s="9">
        <v>6.232094</v>
      </c>
      <c r="AL140" s="9">
        <v>-75.602227999999997</v>
      </c>
      <c r="AM140" s="26">
        <f t="shared" si="2"/>
        <v>1.108123842592592E-2</v>
      </c>
      <c r="AN140" s="9"/>
      <c r="AY140" s="1"/>
      <c r="AZ140" s="1"/>
      <c r="BA140" s="1"/>
      <c r="BB140" s="1"/>
    </row>
    <row r="141" spans="1:54" ht="15" x14ac:dyDescent="0.25">
      <c r="A141" s="9" t="s">
        <v>1259</v>
      </c>
      <c r="B141" s="9" t="s">
        <v>1260</v>
      </c>
      <c r="C141" s="9" t="s">
        <v>1261</v>
      </c>
      <c r="D141" s="9" t="s">
        <v>1253</v>
      </c>
      <c r="E141" s="9" t="s">
        <v>36</v>
      </c>
      <c r="F141" s="9" t="s">
        <v>37</v>
      </c>
      <c r="G141" s="9" t="s">
        <v>52</v>
      </c>
      <c r="H141" s="9" t="s">
        <v>53</v>
      </c>
      <c r="I141" s="9" t="s">
        <v>40</v>
      </c>
      <c r="J141" s="9">
        <v>3906</v>
      </c>
      <c r="K141" s="9" t="s">
        <v>1262</v>
      </c>
      <c r="L141" s="9" t="s">
        <v>42</v>
      </c>
      <c r="M141" s="10">
        <v>1.950231481481482E-2</v>
      </c>
      <c r="N141" s="9" t="s">
        <v>127</v>
      </c>
      <c r="O141" s="9" t="s">
        <v>1263</v>
      </c>
      <c r="P141" s="9" t="s">
        <v>45</v>
      </c>
      <c r="Q141" s="10">
        <v>1.4930555555555561E-3</v>
      </c>
      <c r="R141" s="9" t="s">
        <v>46</v>
      </c>
      <c r="S141" s="10">
        <v>0.35432870370370367</v>
      </c>
      <c r="T141" s="9">
        <v>55.177</v>
      </c>
      <c r="U141" s="9">
        <v>9.5500000000000007</v>
      </c>
      <c r="V141" s="10">
        <v>0.2408564814814815</v>
      </c>
      <c r="W141" s="10">
        <v>0.13843749999999999</v>
      </c>
      <c r="X141" s="10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7</v>
      </c>
      <c r="AE141" s="9" t="s">
        <v>139</v>
      </c>
      <c r="AF141" s="9" t="s">
        <v>1264</v>
      </c>
      <c r="AG141" s="9" t="s">
        <v>1265</v>
      </c>
      <c r="AH141" s="9">
        <v>6.2256729999999996</v>
      </c>
      <c r="AI141" s="9">
        <v>-75.599416000000005</v>
      </c>
      <c r="AJ141" s="9" t="s">
        <v>1266</v>
      </c>
      <c r="AK141" s="9">
        <v>6.2476240000000001</v>
      </c>
      <c r="AL141" s="9">
        <v>-75.614924000000002</v>
      </c>
      <c r="AM141" s="26">
        <f t="shared" si="2"/>
        <v>0</v>
      </c>
      <c r="AN141" s="9"/>
      <c r="AY141" s="1"/>
      <c r="AZ141" s="1"/>
      <c r="BA141" s="1"/>
      <c r="BB141" s="1"/>
    </row>
    <row r="142" spans="1:54" ht="15" x14ac:dyDescent="0.25">
      <c r="A142" s="9" t="s">
        <v>1267</v>
      </c>
      <c r="B142" s="9" t="s">
        <v>1268</v>
      </c>
      <c r="C142" s="9" t="s">
        <v>1269</v>
      </c>
      <c r="D142" s="9" t="s">
        <v>1253</v>
      </c>
      <c r="E142" s="9" t="s">
        <v>36</v>
      </c>
      <c r="F142" s="9" t="s">
        <v>37</v>
      </c>
      <c r="G142" s="9" t="s">
        <v>113</v>
      </c>
      <c r="H142" s="9" t="s">
        <v>114</v>
      </c>
      <c r="I142" s="9" t="s">
        <v>40</v>
      </c>
      <c r="J142" s="9">
        <v>2317</v>
      </c>
      <c r="K142" s="9" t="s">
        <v>1270</v>
      </c>
      <c r="L142" s="9" t="s">
        <v>42</v>
      </c>
      <c r="M142" s="10">
        <v>2.2893518518518521E-2</v>
      </c>
      <c r="N142" s="9" t="s">
        <v>43</v>
      </c>
      <c r="O142" s="9" t="s">
        <v>1271</v>
      </c>
      <c r="P142" s="9" t="s">
        <v>45</v>
      </c>
      <c r="Q142" s="10">
        <v>7.1759259259259259E-3</v>
      </c>
      <c r="R142" s="9" t="s">
        <v>46</v>
      </c>
      <c r="S142" s="10">
        <v>0.30326388888888889</v>
      </c>
      <c r="T142" s="9">
        <v>29.96</v>
      </c>
      <c r="U142" s="9">
        <v>5.32</v>
      </c>
      <c r="V142" s="10">
        <v>0.2346412037037037</v>
      </c>
      <c r="W142" s="10">
        <v>0.17834490740740741</v>
      </c>
      <c r="X142" s="10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1</v>
      </c>
      <c r="AE142" s="9" t="s">
        <v>47</v>
      </c>
      <c r="AF142" s="9" t="s">
        <v>1272</v>
      </c>
      <c r="AG142" s="9" t="s">
        <v>1273</v>
      </c>
      <c r="AH142" s="9">
        <v>6.2592109999999996</v>
      </c>
      <c r="AI142" s="9">
        <v>-75.597568999999993</v>
      </c>
      <c r="AJ142" s="9" t="s">
        <v>1274</v>
      </c>
      <c r="AK142" s="9">
        <v>6.2441329999999997</v>
      </c>
      <c r="AL142" s="9">
        <v>-75.612316000000007</v>
      </c>
      <c r="AM142" s="27">
        <f t="shared" si="2"/>
        <v>2.2893518518518521E-2</v>
      </c>
      <c r="AN142" s="9"/>
      <c r="AY142" s="1"/>
      <c r="AZ142" s="1"/>
      <c r="BA142" s="1"/>
      <c r="BB142" s="1"/>
    </row>
    <row r="143" spans="1:54" ht="15" x14ac:dyDescent="0.25">
      <c r="A143" s="9" t="s">
        <v>1275</v>
      </c>
      <c r="B143" s="9" t="s">
        <v>1276</v>
      </c>
      <c r="C143" s="9" t="s">
        <v>1277</v>
      </c>
      <c r="D143" s="9" t="s">
        <v>1253</v>
      </c>
      <c r="E143" s="9" t="s">
        <v>36</v>
      </c>
      <c r="F143" s="9" t="s">
        <v>37</v>
      </c>
      <c r="G143" s="9" t="s">
        <v>62</v>
      </c>
      <c r="H143" s="9" t="s">
        <v>63</v>
      </c>
      <c r="I143" s="9" t="s">
        <v>40</v>
      </c>
      <c r="J143" s="9">
        <v>3558</v>
      </c>
      <c r="K143" s="9" t="s">
        <v>1278</v>
      </c>
      <c r="L143" s="9" t="s">
        <v>42</v>
      </c>
      <c r="M143" s="10">
        <v>1.0555555555555559E-2</v>
      </c>
      <c r="N143" s="9" t="s">
        <v>127</v>
      </c>
      <c r="O143" s="9" t="s">
        <v>1279</v>
      </c>
      <c r="P143" s="9" t="s">
        <v>45</v>
      </c>
      <c r="Q143" s="10">
        <v>9.3368055555555551E-2</v>
      </c>
      <c r="R143" s="9" t="s">
        <v>56</v>
      </c>
      <c r="S143" s="10">
        <v>0.25052083333333341</v>
      </c>
      <c r="T143" s="9">
        <v>45.686</v>
      </c>
      <c r="U143" s="9">
        <v>13.47</v>
      </c>
      <c r="V143" s="10">
        <v>0.14128472222222219</v>
      </c>
      <c r="W143" s="10">
        <v>5.6701388888888891E-2</v>
      </c>
      <c r="X143" s="10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 t="s">
        <v>139</v>
      </c>
      <c r="AF143" s="9" t="s">
        <v>1280</v>
      </c>
      <c r="AG143" s="9" t="s">
        <v>1281</v>
      </c>
      <c r="AH143" s="9">
        <v>6.2258820000000004</v>
      </c>
      <c r="AI143" s="9">
        <v>-75.599431999999993</v>
      </c>
      <c r="AJ143" s="9" t="s">
        <v>1282</v>
      </c>
      <c r="AK143" s="9">
        <v>6.2714299999999996</v>
      </c>
      <c r="AL143" s="9">
        <v>-75.586136999999994</v>
      </c>
      <c r="AM143" s="26">
        <f t="shared" si="2"/>
        <v>9.3368055555555551E-2</v>
      </c>
      <c r="AN143" s="9"/>
      <c r="AY143" s="1"/>
      <c r="AZ143" s="1"/>
      <c r="BA143" s="1"/>
      <c r="BB143" s="1"/>
    </row>
    <row r="144" spans="1:54" ht="15" x14ac:dyDescent="0.25">
      <c r="A144" s="9" t="s">
        <v>1283</v>
      </c>
      <c r="B144" s="9" t="s">
        <v>1284</v>
      </c>
      <c r="C144" s="9" t="s">
        <v>1285</v>
      </c>
      <c r="D144" s="9" t="s">
        <v>1253</v>
      </c>
      <c r="E144" s="9" t="s">
        <v>36</v>
      </c>
      <c r="F144" s="9" t="s">
        <v>37</v>
      </c>
      <c r="G144" s="9" t="s">
        <v>72</v>
      </c>
      <c r="H144" s="9" t="s">
        <v>73</v>
      </c>
      <c r="I144" s="9" t="s">
        <v>40</v>
      </c>
      <c r="J144" s="9">
        <v>3204</v>
      </c>
      <c r="K144" s="9" t="s">
        <v>1286</v>
      </c>
      <c r="L144" s="9" t="s">
        <v>42</v>
      </c>
      <c r="M144" s="10">
        <v>1.508101851851852E-2</v>
      </c>
      <c r="N144" s="9" t="s">
        <v>127</v>
      </c>
      <c r="O144" s="9" t="s">
        <v>1287</v>
      </c>
      <c r="P144" s="9" t="s">
        <v>45</v>
      </c>
      <c r="Q144" s="10">
        <v>0.20623842592592589</v>
      </c>
      <c r="R144" s="9" t="s">
        <v>56</v>
      </c>
      <c r="S144" s="10">
        <v>0.1421759259259259</v>
      </c>
      <c r="T144" s="9">
        <v>43.651000000000003</v>
      </c>
      <c r="U144" s="9">
        <v>16.54</v>
      </c>
      <c r="V144" s="10">
        <v>0.1099652777777778</v>
      </c>
      <c r="W144" s="10">
        <v>5.4201388888888889E-2</v>
      </c>
      <c r="X144" s="10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 t="s">
        <v>139</v>
      </c>
      <c r="AF144" s="9" t="s">
        <v>1288</v>
      </c>
      <c r="AG144" s="9" t="s">
        <v>1289</v>
      </c>
      <c r="AH144" s="9">
        <v>6.2256309999999999</v>
      </c>
      <c r="AI144" s="9">
        <v>-75.599101000000005</v>
      </c>
      <c r="AJ144" s="9" t="s">
        <v>1290</v>
      </c>
      <c r="AK144" s="9">
        <v>6.2427619999999999</v>
      </c>
      <c r="AL144" s="9">
        <v>-75.565274000000002</v>
      </c>
      <c r="AM144" s="26">
        <f t="shared" si="2"/>
        <v>0.20623842592592589</v>
      </c>
      <c r="AN144" s="9"/>
      <c r="AY144" s="1"/>
      <c r="AZ144" s="1"/>
      <c r="BA144" s="1"/>
      <c r="BB144" s="1"/>
    </row>
    <row r="145" spans="1:54" ht="15" x14ac:dyDescent="0.25">
      <c r="A145" s="9" t="s">
        <v>1291</v>
      </c>
      <c r="B145" s="9" t="s">
        <v>1292</v>
      </c>
      <c r="C145" s="9" t="s">
        <v>1293</v>
      </c>
      <c r="D145" s="9" t="s">
        <v>1253</v>
      </c>
      <c r="E145" s="9" t="s">
        <v>36</v>
      </c>
      <c r="F145" s="9" t="s">
        <v>37</v>
      </c>
      <c r="G145" s="9" t="s">
        <v>80</v>
      </c>
      <c r="H145" s="9" t="s">
        <v>81</v>
      </c>
      <c r="I145" s="9" t="s">
        <v>40</v>
      </c>
      <c r="J145" s="9">
        <v>7445</v>
      </c>
      <c r="K145" s="9" t="s">
        <v>1294</v>
      </c>
      <c r="L145" s="9" t="s">
        <v>42</v>
      </c>
      <c r="M145" s="10">
        <v>4.2107523148148147E-3</v>
      </c>
      <c r="N145" s="9" t="s">
        <v>65</v>
      </c>
      <c r="O145" s="9" t="s">
        <v>1295</v>
      </c>
      <c r="P145" s="9" t="s">
        <v>45</v>
      </c>
      <c r="Q145" s="10">
        <v>3.017939814814815E-4</v>
      </c>
      <c r="R145" s="9" t="s">
        <v>46</v>
      </c>
      <c r="S145" s="10">
        <v>0.33724229166666669</v>
      </c>
      <c r="T145" s="9">
        <v>48.784999999999997</v>
      </c>
      <c r="U145" s="9">
        <v>31.72</v>
      </c>
      <c r="V145" s="10">
        <v>6.4087465277777839E-2</v>
      </c>
      <c r="W145" s="10">
        <v>5.5326273148148149E-3</v>
      </c>
      <c r="X145" s="10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11</v>
      </c>
      <c r="AE145" s="9" t="s">
        <v>84</v>
      </c>
      <c r="AF145" s="9" t="s">
        <v>190</v>
      </c>
      <c r="AG145" s="9" t="s">
        <v>1296</v>
      </c>
      <c r="AH145" s="9">
        <v>6.2256539999999996</v>
      </c>
      <c r="AI145" s="9">
        <v>-75.599407999999997</v>
      </c>
      <c r="AJ145" s="9" t="s">
        <v>1297</v>
      </c>
      <c r="AK145" s="9">
        <v>6.2592400000000001</v>
      </c>
      <c r="AL145" s="9">
        <v>-75.620921999999993</v>
      </c>
      <c r="AM145" s="26">
        <f t="shared" si="2"/>
        <v>0</v>
      </c>
      <c r="AN145" s="9"/>
      <c r="AY145" s="1"/>
      <c r="AZ145" s="1"/>
      <c r="BA145" s="1"/>
      <c r="BB145" s="1"/>
    </row>
    <row r="146" spans="1:54" ht="15" x14ac:dyDescent="0.25">
      <c r="A146" s="9" t="s">
        <v>1298</v>
      </c>
      <c r="B146" s="9" t="s">
        <v>1299</v>
      </c>
      <c r="C146" s="9" t="s">
        <v>1300</v>
      </c>
      <c r="D146" s="9" t="s">
        <v>1253</v>
      </c>
      <c r="E146" s="9" t="s">
        <v>36</v>
      </c>
      <c r="F146" s="9" t="s">
        <v>37</v>
      </c>
      <c r="G146" s="9" t="s">
        <v>89</v>
      </c>
      <c r="H146" s="9" t="s">
        <v>90</v>
      </c>
      <c r="I146" s="9" t="s">
        <v>40</v>
      </c>
      <c r="J146" s="9">
        <v>7142</v>
      </c>
      <c r="K146" s="9" t="s">
        <v>1301</v>
      </c>
      <c r="L146" s="9" t="s">
        <v>42</v>
      </c>
      <c r="M146" s="10">
        <v>1.306712962962963E-2</v>
      </c>
      <c r="N146" s="9" t="s">
        <v>127</v>
      </c>
      <c r="O146" s="9" t="s">
        <v>1302</v>
      </c>
      <c r="P146" s="9" t="s">
        <v>45</v>
      </c>
      <c r="Q146" s="10">
        <v>1.4826388888888891E-2</v>
      </c>
      <c r="R146" s="9" t="s">
        <v>129</v>
      </c>
      <c r="S146" s="10">
        <v>0.36122685185185183</v>
      </c>
      <c r="T146" s="9">
        <v>95.906000000000006</v>
      </c>
      <c r="U146" s="9">
        <v>16.04</v>
      </c>
      <c r="V146" s="10">
        <v>0.24918981481481481</v>
      </c>
      <c r="W146" s="10">
        <v>8.6898148148148155E-2</v>
      </c>
      <c r="X146" s="10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 t="s">
        <v>130</v>
      </c>
      <c r="AF146" s="9" t="s">
        <v>1303</v>
      </c>
      <c r="AG146" s="9" t="s">
        <v>1304</v>
      </c>
      <c r="AH146" s="9">
        <v>6.2267169999999998</v>
      </c>
      <c r="AI146" s="9">
        <v>-75.599193</v>
      </c>
      <c r="AJ146" s="9" t="s">
        <v>1305</v>
      </c>
      <c r="AK146" s="9">
        <v>6.2796190000000003</v>
      </c>
      <c r="AL146" s="9">
        <v>-75.572063</v>
      </c>
      <c r="AM146" s="26">
        <f t="shared" si="2"/>
        <v>0</v>
      </c>
      <c r="AN146" s="9"/>
      <c r="AY146" s="1"/>
      <c r="AZ146" s="1"/>
      <c r="BA146" s="1"/>
      <c r="BB146" s="1"/>
    </row>
    <row r="147" spans="1:54" ht="15" x14ac:dyDescent="0.25">
      <c r="A147" s="9" t="s">
        <v>1306</v>
      </c>
      <c r="B147" s="9" t="s">
        <v>1307</v>
      </c>
      <c r="C147" s="9" t="s">
        <v>1308</v>
      </c>
      <c r="D147" s="9" t="s">
        <v>1253</v>
      </c>
      <c r="E147" s="9" t="s">
        <v>36</v>
      </c>
      <c r="F147" s="9" t="s">
        <v>37</v>
      </c>
      <c r="G147" s="9" t="s">
        <v>97</v>
      </c>
      <c r="H147" s="9" t="s">
        <v>98</v>
      </c>
      <c r="I147" s="9" t="s">
        <v>40</v>
      </c>
      <c r="J147" s="9">
        <v>2650</v>
      </c>
      <c r="K147" s="9" t="s">
        <v>1309</v>
      </c>
      <c r="L147" s="9" t="s">
        <v>42</v>
      </c>
      <c r="M147" s="10">
        <v>2.2337962962962958E-3</v>
      </c>
      <c r="N147" s="9" t="s">
        <v>65</v>
      </c>
      <c r="O147" s="9" t="s">
        <v>1310</v>
      </c>
      <c r="P147" s="9" t="s">
        <v>45</v>
      </c>
      <c r="Q147" s="10">
        <v>1.7164351851851851E-2</v>
      </c>
      <c r="R147" s="9" t="s">
        <v>129</v>
      </c>
      <c r="S147" s="10">
        <v>0.34826388888888887</v>
      </c>
      <c r="T147" s="9">
        <v>34.738</v>
      </c>
      <c r="U147" s="9">
        <v>6.64</v>
      </c>
      <c r="V147" s="10">
        <v>0.21812500000000001</v>
      </c>
      <c r="W147" s="10">
        <v>0.16465277777777779</v>
      </c>
      <c r="X147" s="10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1</v>
      </c>
      <c r="AE147" s="9" t="s">
        <v>130</v>
      </c>
      <c r="AF147" s="9" t="s">
        <v>1311</v>
      </c>
      <c r="AG147" s="9" t="s">
        <v>1312</v>
      </c>
      <c r="AH147" s="9">
        <v>6.2256239999999998</v>
      </c>
      <c r="AI147" s="9">
        <v>-75.599385999999996</v>
      </c>
      <c r="AJ147" s="9" t="s">
        <v>1313</v>
      </c>
      <c r="AK147" s="9">
        <v>6.2654759999999996</v>
      </c>
      <c r="AL147" s="9">
        <v>-75.574816999999996</v>
      </c>
      <c r="AM147" s="26">
        <f t="shared" si="2"/>
        <v>0</v>
      </c>
      <c r="AN147" s="9"/>
      <c r="AY147" s="1"/>
      <c r="AZ147" s="1"/>
      <c r="BA147" s="1"/>
      <c r="BB147" s="1"/>
    </row>
    <row r="148" spans="1:54" ht="15" x14ac:dyDescent="0.25">
      <c r="A148" s="9" t="s">
        <v>1314</v>
      </c>
      <c r="B148" s="9" t="s">
        <v>1315</v>
      </c>
      <c r="C148" s="9" t="s">
        <v>1316</v>
      </c>
      <c r="D148" s="9" t="s">
        <v>1253</v>
      </c>
      <c r="E148" s="9" t="s">
        <v>36</v>
      </c>
      <c r="F148" s="9" t="s">
        <v>37</v>
      </c>
      <c r="G148" s="9" t="s">
        <v>105</v>
      </c>
      <c r="H148" s="9" t="s">
        <v>106</v>
      </c>
      <c r="I148" s="9" t="s">
        <v>40</v>
      </c>
      <c r="J148" s="9">
        <v>4660</v>
      </c>
      <c r="K148" s="9" t="s">
        <v>1317</v>
      </c>
      <c r="L148" s="9" t="s">
        <v>42</v>
      </c>
      <c r="M148" s="10">
        <v>6.1921296296296299E-3</v>
      </c>
      <c r="N148" s="9" t="s">
        <v>65</v>
      </c>
      <c r="O148" s="9" t="s">
        <v>1318</v>
      </c>
      <c r="P148" s="9" t="s">
        <v>45</v>
      </c>
      <c r="Q148" s="10">
        <v>2.685185185185185E-3</v>
      </c>
      <c r="R148" s="9" t="s">
        <v>46</v>
      </c>
      <c r="S148" s="10">
        <v>0.33684027777777781</v>
      </c>
      <c r="T148" s="9">
        <v>71.48</v>
      </c>
      <c r="U148" s="9">
        <v>15.81</v>
      </c>
      <c r="V148" s="10">
        <v>0.18839120370370371</v>
      </c>
      <c r="W148" s="10">
        <v>9.3587962962962956E-2</v>
      </c>
      <c r="X148" s="10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 t="s">
        <v>84</v>
      </c>
      <c r="AF148" s="9" t="s">
        <v>352</v>
      </c>
      <c r="AG148" s="9" t="s">
        <v>1319</v>
      </c>
      <c r="AH148" s="9">
        <v>6.2254269999999998</v>
      </c>
      <c r="AI148" s="9">
        <v>-75.599320000000006</v>
      </c>
      <c r="AJ148" s="9" t="s">
        <v>1320</v>
      </c>
      <c r="AK148" s="9">
        <v>6.2584350000000004</v>
      </c>
      <c r="AL148" s="9">
        <v>-75.615871999999996</v>
      </c>
      <c r="AM148" s="26">
        <f t="shared" si="2"/>
        <v>0</v>
      </c>
      <c r="AN148" s="9"/>
      <c r="AY148" s="1"/>
      <c r="AZ148" s="1"/>
      <c r="BA148" s="1"/>
      <c r="BB148" s="1"/>
    </row>
    <row r="149" spans="1:54" ht="15" x14ac:dyDescent="0.25">
      <c r="A149" s="9" t="s">
        <v>1322</v>
      </c>
      <c r="B149" s="9" t="s">
        <v>1323</v>
      </c>
      <c r="C149" s="9" t="s">
        <v>1324</v>
      </c>
      <c r="D149" s="9" t="s">
        <v>1253</v>
      </c>
      <c r="E149" s="9" t="s">
        <v>36</v>
      </c>
      <c r="F149" s="9" t="s">
        <v>37</v>
      </c>
      <c r="G149" s="9" t="s">
        <v>124</v>
      </c>
      <c r="H149" s="9" t="s">
        <v>125</v>
      </c>
      <c r="I149" s="9" t="s">
        <v>115</v>
      </c>
      <c r="J149" s="9">
        <v>3732</v>
      </c>
      <c r="K149" s="9" t="s">
        <v>1325</v>
      </c>
      <c r="L149" s="9" t="s">
        <v>117</v>
      </c>
      <c r="M149" s="10">
        <v>3.7210648148148152E-2</v>
      </c>
      <c r="N149" s="9" t="s">
        <v>127</v>
      </c>
      <c r="O149" s="9" t="s">
        <v>1326</v>
      </c>
      <c r="P149" s="9" t="s">
        <v>119</v>
      </c>
      <c r="Q149" s="10">
        <v>1.202546296296296E-2</v>
      </c>
      <c r="R149" s="9" t="s">
        <v>129</v>
      </c>
      <c r="S149" s="10">
        <v>0.29923611111111109</v>
      </c>
      <c r="T149" s="9">
        <v>47.478000000000002</v>
      </c>
      <c r="U149" s="9">
        <v>10.15</v>
      </c>
      <c r="V149" s="10">
        <v>0.19494212962962959</v>
      </c>
      <c r="W149" s="10">
        <v>9.6724537037037039E-2</v>
      </c>
      <c r="X149" s="10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 t="s">
        <v>130</v>
      </c>
      <c r="AF149" s="9" t="s">
        <v>1327</v>
      </c>
      <c r="AG149" s="9" t="s">
        <v>1328</v>
      </c>
      <c r="AH149" s="9">
        <v>6.2262570000000004</v>
      </c>
      <c r="AI149" s="9">
        <v>-75.59845</v>
      </c>
      <c r="AJ149" s="9" t="s">
        <v>1329</v>
      </c>
      <c r="AK149" s="9">
        <v>6.2728149999999996</v>
      </c>
      <c r="AL149" s="9">
        <v>-75.601960000000005</v>
      </c>
      <c r="AM149" s="26">
        <f t="shared" si="2"/>
        <v>0</v>
      </c>
      <c r="AN149" s="9"/>
    </row>
    <row r="150" spans="1:54" ht="15" x14ac:dyDescent="0.25">
      <c r="A150" s="9" t="s">
        <v>1330</v>
      </c>
      <c r="B150" s="9" t="s">
        <v>1331</v>
      </c>
      <c r="C150" s="9" t="s">
        <v>1332</v>
      </c>
      <c r="D150" s="9" t="s">
        <v>1253</v>
      </c>
      <c r="E150" s="9" t="s">
        <v>36</v>
      </c>
      <c r="F150" s="9" t="s">
        <v>37</v>
      </c>
      <c r="G150" s="9" t="s">
        <v>135</v>
      </c>
      <c r="H150" s="9" t="s">
        <v>136</v>
      </c>
      <c r="I150" s="9" t="s">
        <v>115</v>
      </c>
      <c r="J150" s="9">
        <v>348</v>
      </c>
      <c r="K150" s="9" t="s">
        <v>1333</v>
      </c>
      <c r="L150" s="9" t="s">
        <v>117</v>
      </c>
      <c r="M150" s="10">
        <v>9.600694444444445E-2</v>
      </c>
      <c r="N150" s="9" t="s">
        <v>43</v>
      </c>
      <c r="O150" s="9" t="s">
        <v>1334</v>
      </c>
      <c r="P150" s="9" t="s">
        <v>119</v>
      </c>
      <c r="Q150" s="10">
        <v>3.1250000000000001E-4</v>
      </c>
      <c r="R150" s="9" t="s">
        <v>46</v>
      </c>
      <c r="S150" s="10">
        <v>0.15430555555555561</v>
      </c>
      <c r="T150" s="9">
        <v>5.0149999999999997</v>
      </c>
      <c r="U150" s="9">
        <v>2.77</v>
      </c>
      <c r="V150" s="10">
        <v>7.542824074074074E-2</v>
      </c>
      <c r="W150" s="10">
        <v>7.0115740740740742E-2</v>
      </c>
      <c r="X150" s="10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1</v>
      </c>
      <c r="AE150" s="9" t="s">
        <v>47</v>
      </c>
      <c r="AF150" s="9" t="s">
        <v>1335</v>
      </c>
      <c r="AG150" s="9" t="s">
        <v>1336</v>
      </c>
      <c r="AH150" s="9">
        <v>6.2741470000000001</v>
      </c>
      <c r="AI150" s="9">
        <v>-75.559567000000001</v>
      </c>
      <c r="AJ150" s="9" t="s">
        <v>1337</v>
      </c>
      <c r="AK150" s="9">
        <v>6.2632539999999999</v>
      </c>
      <c r="AL150" s="9">
        <v>-75.556406999999993</v>
      </c>
      <c r="AM150" s="26">
        <f t="shared" si="2"/>
        <v>9.600694444444445E-2</v>
      </c>
      <c r="AN150" s="9"/>
    </row>
    <row r="151" spans="1:54" ht="15" x14ac:dyDescent="0.25">
      <c r="A151" s="9" t="s">
        <v>1338</v>
      </c>
      <c r="B151" s="9" t="s">
        <v>1339</v>
      </c>
      <c r="C151" s="9" t="s">
        <v>1340</v>
      </c>
      <c r="D151" s="9" t="s">
        <v>1253</v>
      </c>
      <c r="E151" s="9" t="s">
        <v>36</v>
      </c>
      <c r="F151" s="9" t="s">
        <v>37</v>
      </c>
      <c r="G151" s="9" t="s">
        <v>144</v>
      </c>
      <c r="H151" s="9" t="s">
        <v>145</v>
      </c>
      <c r="I151" s="9" t="s">
        <v>115</v>
      </c>
      <c r="J151" s="9">
        <v>4981</v>
      </c>
      <c r="K151" s="9" t="s">
        <v>1341</v>
      </c>
      <c r="L151" s="9" t="s">
        <v>117</v>
      </c>
      <c r="M151" s="10">
        <v>2.4872685185185189E-2</v>
      </c>
      <c r="N151" s="9" t="s">
        <v>127</v>
      </c>
      <c r="O151" s="9" t="s">
        <v>1342</v>
      </c>
      <c r="P151" s="9" t="s">
        <v>119</v>
      </c>
      <c r="Q151" s="10">
        <v>7.0601851851851847E-4</v>
      </c>
      <c r="R151" s="9" t="s">
        <v>46</v>
      </c>
      <c r="S151" s="10">
        <v>0.27557870370370369</v>
      </c>
      <c r="T151" s="9">
        <v>66.094999999999999</v>
      </c>
      <c r="U151" s="9">
        <v>13.13</v>
      </c>
      <c r="V151" s="10">
        <v>0.20975694444444451</v>
      </c>
      <c r="W151" s="10">
        <v>8.5127314814814808E-2</v>
      </c>
      <c r="X151" s="10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 t="s">
        <v>139</v>
      </c>
      <c r="AF151" s="9" t="s">
        <v>1343</v>
      </c>
      <c r="AG151" s="9" t="s">
        <v>1344</v>
      </c>
      <c r="AH151" s="9">
        <v>6.225314</v>
      </c>
      <c r="AI151" s="9">
        <v>-75.599262999999993</v>
      </c>
      <c r="AJ151" s="9" t="s">
        <v>1345</v>
      </c>
      <c r="AK151" s="9">
        <v>6.2904030000000004</v>
      </c>
      <c r="AL151" s="9">
        <v>-75.546654000000004</v>
      </c>
      <c r="AM151" s="26">
        <f t="shared" si="2"/>
        <v>0</v>
      </c>
      <c r="AN151" s="9"/>
    </row>
    <row r="152" spans="1:54" ht="15" x14ac:dyDescent="0.25">
      <c r="A152" s="9" t="s">
        <v>1346</v>
      </c>
      <c r="B152" s="9" t="s">
        <v>1347</v>
      </c>
      <c r="C152" s="9" t="s">
        <v>1348</v>
      </c>
      <c r="D152" s="9" t="s">
        <v>1253</v>
      </c>
      <c r="E152" s="9" t="s">
        <v>36</v>
      </c>
      <c r="F152" s="9" t="s">
        <v>37</v>
      </c>
      <c r="G152" s="9" t="s">
        <v>152</v>
      </c>
      <c r="H152" s="9" t="s">
        <v>153</v>
      </c>
      <c r="I152" s="9" t="s">
        <v>115</v>
      </c>
      <c r="J152" s="9">
        <v>1755</v>
      </c>
      <c r="K152" s="9" t="s">
        <v>1349</v>
      </c>
      <c r="L152" s="9" t="s">
        <v>117</v>
      </c>
      <c r="M152" s="10">
        <v>3.8252314814814822E-2</v>
      </c>
      <c r="N152" s="9" t="s">
        <v>127</v>
      </c>
      <c r="O152" s="9" t="s">
        <v>1350</v>
      </c>
      <c r="P152" s="9" t="s">
        <v>119</v>
      </c>
      <c r="Q152" s="10">
        <v>1.701388888888889E-3</v>
      </c>
      <c r="R152" s="9" t="s">
        <v>46</v>
      </c>
      <c r="S152" s="10">
        <v>0.2865509259259259</v>
      </c>
      <c r="T152" s="9">
        <v>22.286999999999999</v>
      </c>
      <c r="U152" s="9">
        <v>4.8499999999999996</v>
      </c>
      <c r="V152" s="10">
        <v>0.19130787037037039</v>
      </c>
      <c r="W152" s="10">
        <v>0.1585185185185185</v>
      </c>
      <c r="X152" s="10">
        <v>1.366898148148148E-2</v>
      </c>
      <c r="Y152" s="9">
        <v>1</v>
      </c>
      <c r="Z152" s="9">
        <v>1</v>
      </c>
      <c r="AA152" s="9">
        <v>0</v>
      </c>
      <c r="AB152" s="9">
        <v>0</v>
      </c>
      <c r="AC152" s="9">
        <v>0</v>
      </c>
      <c r="AD152" s="9">
        <v>2</v>
      </c>
      <c r="AE152" s="9" t="s">
        <v>139</v>
      </c>
      <c r="AF152" s="9" t="s">
        <v>1351</v>
      </c>
      <c r="AG152" s="9" t="s">
        <v>1352</v>
      </c>
      <c r="AH152" s="9">
        <v>6.2252280000000004</v>
      </c>
      <c r="AI152" s="9">
        <v>-75.597255000000004</v>
      </c>
      <c r="AJ152" s="9" t="s">
        <v>1353</v>
      </c>
      <c r="AK152" s="9">
        <v>6.2517420000000001</v>
      </c>
      <c r="AL152" s="9">
        <v>-75.551962000000003</v>
      </c>
      <c r="AM152" s="26">
        <f t="shared" si="2"/>
        <v>0</v>
      </c>
      <c r="AN152" s="9"/>
    </row>
    <row r="153" spans="1:54" ht="15" x14ac:dyDescent="0.25">
      <c r="A153" s="9" t="s">
        <v>1354</v>
      </c>
      <c r="B153" s="9" t="s">
        <v>1355</v>
      </c>
      <c r="C153" s="9" t="s">
        <v>1356</v>
      </c>
      <c r="D153" s="9" t="s">
        <v>1253</v>
      </c>
      <c r="E153" s="9" t="s">
        <v>36</v>
      </c>
      <c r="F153" s="9" t="s">
        <v>37</v>
      </c>
      <c r="G153" s="9" t="s">
        <v>160</v>
      </c>
      <c r="H153" s="9" t="s">
        <v>161</v>
      </c>
      <c r="I153" s="9" t="s">
        <v>115</v>
      </c>
      <c r="J153" s="9">
        <v>9704</v>
      </c>
      <c r="K153" s="9" t="s">
        <v>1357</v>
      </c>
      <c r="L153" s="9" t="s">
        <v>117</v>
      </c>
      <c r="M153" s="10">
        <v>2.1999293981481479E-2</v>
      </c>
      <c r="N153" s="9" t="s">
        <v>127</v>
      </c>
      <c r="O153" s="9" t="s">
        <v>1358</v>
      </c>
      <c r="P153" s="9" t="s">
        <v>119</v>
      </c>
      <c r="Q153" s="10">
        <v>7.5771990740740739E-3</v>
      </c>
      <c r="R153" s="9" t="s">
        <v>46</v>
      </c>
      <c r="S153" s="10">
        <v>0.26442209490740742</v>
      </c>
      <c r="T153" s="9">
        <v>47.337000000000003</v>
      </c>
      <c r="U153" s="9">
        <v>13.39</v>
      </c>
      <c r="V153" s="10">
        <v>0.14731453703703701</v>
      </c>
      <c r="W153" s="10">
        <v>0.1123956365740741</v>
      </c>
      <c r="X153" s="10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3</v>
      </c>
      <c r="AE153" s="9" t="s">
        <v>139</v>
      </c>
      <c r="AF153" s="9" t="s">
        <v>1359</v>
      </c>
      <c r="AG153" s="9" t="s">
        <v>1360</v>
      </c>
      <c r="AH153" s="9">
        <v>6.2266019999999997</v>
      </c>
      <c r="AI153" s="9">
        <v>-75.599207000000007</v>
      </c>
      <c r="AJ153" s="9" t="s">
        <v>1361</v>
      </c>
      <c r="AK153" s="9">
        <v>6.2643599999999999</v>
      </c>
      <c r="AL153" s="9">
        <v>-75.598920000000007</v>
      </c>
      <c r="AM153" s="26">
        <f t="shared" si="2"/>
        <v>0</v>
      </c>
      <c r="AN153" s="9"/>
    </row>
    <row r="154" spans="1:54" ht="15" x14ac:dyDescent="0.25">
      <c r="A154" s="9" t="s">
        <v>1362</v>
      </c>
      <c r="B154" s="9" t="s">
        <v>1363</v>
      </c>
      <c r="C154" s="9" t="s">
        <v>1364</v>
      </c>
      <c r="D154" s="9" t="s">
        <v>1365</v>
      </c>
      <c r="E154" s="9" t="s">
        <v>36</v>
      </c>
      <c r="F154" s="9" t="s">
        <v>169</v>
      </c>
      <c r="G154" s="9" t="s">
        <v>38</v>
      </c>
      <c r="H154" s="9" t="s">
        <v>39</v>
      </c>
      <c r="I154" s="9" t="s">
        <v>40</v>
      </c>
      <c r="J154" s="9">
        <v>7726</v>
      </c>
      <c r="K154" s="9" t="s">
        <v>1366</v>
      </c>
      <c r="L154" s="9" t="s">
        <v>42</v>
      </c>
      <c r="M154" s="10">
        <v>2.3263159722222222E-2</v>
      </c>
      <c r="N154" s="9" t="s">
        <v>43</v>
      </c>
      <c r="O154" s="9" t="s">
        <v>1367</v>
      </c>
      <c r="P154" s="9" t="s">
        <v>45</v>
      </c>
      <c r="Q154" s="10">
        <v>3.1347488425925933E-2</v>
      </c>
      <c r="R154" s="9" t="s">
        <v>129</v>
      </c>
      <c r="S154" s="10">
        <v>0.34141766203703711</v>
      </c>
      <c r="T154" s="9">
        <v>58.965000000000003</v>
      </c>
      <c r="U154" s="9">
        <v>14.6</v>
      </c>
      <c r="V154" s="10">
        <v>0.168321296296296</v>
      </c>
      <c r="W154" s="10">
        <v>0.1023708564814815</v>
      </c>
      <c r="X154" s="10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2</v>
      </c>
      <c r="AE154" s="9" t="s">
        <v>130</v>
      </c>
      <c r="AF154" s="9" t="s">
        <v>1368</v>
      </c>
      <c r="AG154" s="9" t="s">
        <v>1369</v>
      </c>
      <c r="AH154" s="9">
        <v>6.2024109999999997</v>
      </c>
      <c r="AI154" s="9">
        <v>-75.596127999999993</v>
      </c>
      <c r="AJ154" s="9" t="s">
        <v>1370</v>
      </c>
      <c r="AK154" s="9">
        <v>6.2217089999999997</v>
      </c>
      <c r="AL154" s="9">
        <v>-75.593845999999999</v>
      </c>
      <c r="AM154" s="26">
        <f t="shared" si="2"/>
        <v>2.3263159722222222E-2</v>
      </c>
      <c r="AN154" s="9"/>
    </row>
    <row r="155" spans="1:54" ht="15" x14ac:dyDescent="0.25">
      <c r="A155" s="9" t="s">
        <v>1371</v>
      </c>
      <c r="B155" s="9" t="s">
        <v>1372</v>
      </c>
      <c r="C155" s="9" t="s">
        <v>1373</v>
      </c>
      <c r="D155" s="9" t="s">
        <v>1365</v>
      </c>
      <c r="E155" s="9" t="s">
        <v>36</v>
      </c>
      <c r="F155" s="9" t="s">
        <v>169</v>
      </c>
      <c r="G155" s="9" t="s">
        <v>52</v>
      </c>
      <c r="H155" s="9" t="s">
        <v>53</v>
      </c>
      <c r="I155" s="9" t="s">
        <v>40</v>
      </c>
      <c r="J155" s="9">
        <v>4190</v>
      </c>
      <c r="K155" s="9" t="s">
        <v>1374</v>
      </c>
      <c r="L155" s="9" t="s">
        <v>42</v>
      </c>
      <c r="M155" s="10">
        <v>1.232638888888889E-2</v>
      </c>
      <c r="N155" s="9" t="s">
        <v>127</v>
      </c>
      <c r="O155" s="9" t="s">
        <v>1375</v>
      </c>
      <c r="P155" s="9" t="s">
        <v>45</v>
      </c>
      <c r="Q155" s="10">
        <v>8.6226851851851846E-3</v>
      </c>
      <c r="R155" s="9" t="s">
        <v>46</v>
      </c>
      <c r="S155" s="10">
        <v>0.33703703703703702</v>
      </c>
      <c r="T155" s="9">
        <v>62.14</v>
      </c>
      <c r="U155" s="9">
        <v>9.26</v>
      </c>
      <c r="V155" s="10">
        <v>0.27961805555555558</v>
      </c>
      <c r="W155" s="10">
        <v>0.1829861111111111</v>
      </c>
      <c r="X155" s="10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2</v>
      </c>
      <c r="AE155" s="9" t="s">
        <v>139</v>
      </c>
      <c r="AF155" s="9" t="s">
        <v>1376</v>
      </c>
      <c r="AG155" s="9" t="s">
        <v>1377</v>
      </c>
      <c r="AH155" s="9">
        <v>6.2256720000000003</v>
      </c>
      <c r="AI155" s="9">
        <v>-75.599374999999995</v>
      </c>
      <c r="AJ155" s="9" t="s">
        <v>1378</v>
      </c>
      <c r="AK155" s="9">
        <v>6.2508720000000002</v>
      </c>
      <c r="AL155" s="9">
        <v>-75.604692999999997</v>
      </c>
      <c r="AM155" s="26">
        <f t="shared" si="2"/>
        <v>0</v>
      </c>
      <c r="AN155" s="9"/>
    </row>
    <row r="156" spans="1:54" ht="15" x14ac:dyDescent="0.25">
      <c r="A156" s="9" t="s">
        <v>1379</v>
      </c>
      <c r="B156" s="9" t="s">
        <v>1380</v>
      </c>
      <c r="C156" s="9" t="s">
        <v>1381</v>
      </c>
      <c r="D156" s="9" t="s">
        <v>1365</v>
      </c>
      <c r="E156" s="9" t="s">
        <v>36</v>
      </c>
      <c r="F156" s="9" t="s">
        <v>169</v>
      </c>
      <c r="G156" s="9" t="s">
        <v>113</v>
      </c>
      <c r="H156" s="9" t="s">
        <v>114</v>
      </c>
      <c r="I156" s="9" t="s">
        <v>40</v>
      </c>
      <c r="J156" s="9">
        <v>1943</v>
      </c>
      <c r="K156" s="9" t="s">
        <v>1382</v>
      </c>
      <c r="L156" s="9" t="s">
        <v>42</v>
      </c>
      <c r="M156" s="10">
        <v>1.8171296296296299E-3</v>
      </c>
      <c r="N156" s="9" t="s">
        <v>65</v>
      </c>
      <c r="O156" s="9" t="s">
        <v>1383</v>
      </c>
      <c r="P156" s="9" t="s">
        <v>45</v>
      </c>
      <c r="Q156" s="10">
        <v>3.0902777777777782E-3</v>
      </c>
      <c r="R156" s="9" t="s">
        <v>46</v>
      </c>
      <c r="S156" s="10">
        <v>0.33824074074074068</v>
      </c>
      <c r="T156" s="9">
        <v>24.663</v>
      </c>
      <c r="U156" s="9">
        <v>4.46</v>
      </c>
      <c r="V156" s="10">
        <v>0.2303935185185185</v>
      </c>
      <c r="W156" s="10">
        <v>0.19160879629629629</v>
      </c>
      <c r="X156" s="10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2</v>
      </c>
      <c r="AE156" s="9" t="s">
        <v>84</v>
      </c>
      <c r="AF156" s="9" t="s">
        <v>1384</v>
      </c>
      <c r="AG156" s="9" t="s">
        <v>1385</v>
      </c>
      <c r="AH156" s="9">
        <v>6.225384</v>
      </c>
      <c r="AI156" s="9">
        <v>-75.599851000000001</v>
      </c>
      <c r="AJ156" s="9" t="s">
        <v>1386</v>
      </c>
      <c r="AK156" s="9">
        <v>6.2497100000000003</v>
      </c>
      <c r="AL156" s="9">
        <v>-75.599356999999998</v>
      </c>
      <c r="AM156" s="26">
        <f t="shared" si="2"/>
        <v>0</v>
      </c>
      <c r="AN156" s="9"/>
    </row>
    <row r="157" spans="1:54" ht="15" x14ac:dyDescent="0.25">
      <c r="A157" s="9" t="s">
        <v>1387</v>
      </c>
      <c r="B157" s="9" t="s">
        <v>1388</v>
      </c>
      <c r="C157" s="9" t="s">
        <v>1389</v>
      </c>
      <c r="D157" s="9" t="s">
        <v>1365</v>
      </c>
      <c r="E157" s="9" t="s">
        <v>36</v>
      </c>
      <c r="F157" s="9" t="s">
        <v>169</v>
      </c>
      <c r="G157" s="9" t="s">
        <v>62</v>
      </c>
      <c r="H157" s="9" t="s">
        <v>63</v>
      </c>
      <c r="I157" s="9" t="s">
        <v>40</v>
      </c>
      <c r="J157" s="9">
        <v>4626</v>
      </c>
      <c r="K157" s="9" t="s">
        <v>1390</v>
      </c>
      <c r="L157" s="9" t="s">
        <v>42</v>
      </c>
      <c r="M157" s="10">
        <v>1.086805555555556E-2</v>
      </c>
      <c r="N157" s="9" t="s">
        <v>43</v>
      </c>
      <c r="O157" s="9" t="s">
        <v>1391</v>
      </c>
      <c r="P157" s="9" t="s">
        <v>45</v>
      </c>
      <c r="Q157" s="10">
        <v>8.3807870370370366E-2</v>
      </c>
      <c r="R157" s="9" t="s">
        <v>56</v>
      </c>
      <c r="S157" s="10">
        <v>0.2386574074074074</v>
      </c>
      <c r="T157" s="9">
        <v>61.677</v>
      </c>
      <c r="U157" s="9">
        <v>14.99</v>
      </c>
      <c r="V157" s="10">
        <v>0.17143518518518519</v>
      </c>
      <c r="W157" s="10">
        <v>6.2303240740740742E-2</v>
      </c>
      <c r="X157" s="10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 t="s">
        <v>57</v>
      </c>
      <c r="AF157" s="9" t="s">
        <v>1392</v>
      </c>
      <c r="AG157" s="9" t="s">
        <v>1393</v>
      </c>
      <c r="AH157" s="9">
        <v>6.225695</v>
      </c>
      <c r="AI157" s="9">
        <v>-75.599413999999996</v>
      </c>
      <c r="AJ157" s="9" t="s">
        <v>1394</v>
      </c>
      <c r="AK157" s="9">
        <v>6.2539199999999999</v>
      </c>
      <c r="AL157" s="9">
        <v>-75.584340999999995</v>
      </c>
      <c r="AM157" s="26">
        <f t="shared" si="2"/>
        <v>9.4675925925925927E-2</v>
      </c>
      <c r="AN157" s="9"/>
    </row>
    <row r="158" spans="1:54" ht="15" x14ac:dyDescent="0.25">
      <c r="A158" s="9" t="s">
        <v>1395</v>
      </c>
      <c r="B158" s="9" t="s">
        <v>1396</v>
      </c>
      <c r="C158" s="9" t="s">
        <v>1397</v>
      </c>
      <c r="D158" s="9" t="s">
        <v>1365</v>
      </c>
      <c r="E158" s="9" t="s">
        <v>36</v>
      </c>
      <c r="F158" s="9" t="s">
        <v>169</v>
      </c>
      <c r="G158" s="9" t="s">
        <v>72</v>
      </c>
      <c r="H158" s="9" t="s">
        <v>73</v>
      </c>
      <c r="I158" s="9" t="s">
        <v>40</v>
      </c>
      <c r="J158" s="9">
        <v>2452</v>
      </c>
      <c r="K158" s="9" t="s">
        <v>1398</v>
      </c>
      <c r="L158" s="9" t="s">
        <v>42</v>
      </c>
      <c r="M158" s="10">
        <v>7.9861111111111116E-4</v>
      </c>
      <c r="N158" s="9" t="s">
        <v>65</v>
      </c>
      <c r="O158" s="9" t="s">
        <v>1399</v>
      </c>
      <c r="P158" s="9" t="s">
        <v>45</v>
      </c>
      <c r="Q158" s="10">
        <v>9.947916666666666E-2</v>
      </c>
      <c r="R158" s="9" t="s">
        <v>56</v>
      </c>
      <c r="S158" s="10">
        <v>0.23305555555555549</v>
      </c>
      <c r="T158" s="9">
        <v>33.414000000000001</v>
      </c>
      <c r="U158" s="9">
        <v>7.62</v>
      </c>
      <c r="V158" s="10">
        <v>0.18263888888888891</v>
      </c>
      <c r="W158" s="10">
        <v>0.1333101851851852</v>
      </c>
      <c r="X158" s="10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1</v>
      </c>
      <c r="AE158" s="9" t="s">
        <v>67</v>
      </c>
      <c r="AF158" s="9" t="s">
        <v>1400</v>
      </c>
      <c r="AG158" s="9" t="s">
        <v>1401</v>
      </c>
      <c r="AH158" s="9">
        <v>6.2254500000000004</v>
      </c>
      <c r="AI158" s="9">
        <v>-75.599216999999996</v>
      </c>
      <c r="AJ158" s="9" t="s">
        <v>1402</v>
      </c>
      <c r="AK158" s="9">
        <v>6.2133330000000004</v>
      </c>
      <c r="AL158" s="9">
        <v>-75.576359999999994</v>
      </c>
      <c r="AM158" s="26">
        <f t="shared" si="2"/>
        <v>9.947916666666666E-2</v>
      </c>
      <c r="AN158" s="9"/>
    </row>
    <row r="159" spans="1:54" ht="15" x14ac:dyDescent="0.25">
      <c r="A159" s="9" t="s">
        <v>1403</v>
      </c>
      <c r="B159" s="9" t="s">
        <v>1404</v>
      </c>
      <c r="C159" s="9" t="s">
        <v>1405</v>
      </c>
      <c r="D159" s="9" t="s">
        <v>1365</v>
      </c>
      <c r="E159" s="9" t="s">
        <v>36</v>
      </c>
      <c r="F159" s="9" t="s">
        <v>169</v>
      </c>
      <c r="G159" s="9" t="s">
        <v>80</v>
      </c>
      <c r="H159" s="9" t="s">
        <v>81</v>
      </c>
      <c r="I159" s="9" t="s">
        <v>40</v>
      </c>
      <c r="J159" s="9">
        <v>7687</v>
      </c>
      <c r="K159" s="9" t="s">
        <v>1406</v>
      </c>
      <c r="L159" s="9" t="s">
        <v>42</v>
      </c>
      <c r="M159" s="10">
        <v>1.1289351851851851E-3</v>
      </c>
      <c r="N159" s="9" t="s">
        <v>65</v>
      </c>
      <c r="O159" s="9" t="s">
        <v>1407</v>
      </c>
      <c r="P159" s="9" t="s">
        <v>45</v>
      </c>
      <c r="Q159" s="10">
        <v>1.20227662037037E-2</v>
      </c>
      <c r="R159" s="9" t="s">
        <v>129</v>
      </c>
      <c r="S159" s="10">
        <v>0.34648503472222231</v>
      </c>
      <c r="T159" s="9">
        <v>53.442999999999998</v>
      </c>
      <c r="U159" s="9">
        <v>23.79</v>
      </c>
      <c r="V159" s="10">
        <v>9.3621250000000267E-2</v>
      </c>
      <c r="W159" s="10">
        <v>3.5628888888888877E-2</v>
      </c>
      <c r="X159" s="10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11</v>
      </c>
      <c r="AE159" s="9" t="s">
        <v>130</v>
      </c>
      <c r="AF159" s="9" t="s">
        <v>1408</v>
      </c>
      <c r="AG159" s="9" t="s">
        <v>1409</v>
      </c>
      <c r="AH159" s="9">
        <v>6.2256169999999997</v>
      </c>
      <c r="AI159" s="9">
        <v>-75.599124000000003</v>
      </c>
      <c r="AJ159" s="9" t="s">
        <v>1410</v>
      </c>
      <c r="AK159" s="9">
        <v>6.2592230000000004</v>
      </c>
      <c r="AL159" s="9">
        <v>-75.620931999999996</v>
      </c>
      <c r="AM159" s="26">
        <f t="shared" si="2"/>
        <v>0</v>
      </c>
      <c r="AN159" s="9"/>
    </row>
    <row r="160" spans="1:54" ht="15" x14ac:dyDescent="0.25">
      <c r="A160" s="9" t="s">
        <v>1411</v>
      </c>
      <c r="B160" s="9" t="s">
        <v>1412</v>
      </c>
      <c r="C160" s="9" t="s">
        <v>1413</v>
      </c>
      <c r="D160" s="9" t="s">
        <v>1365</v>
      </c>
      <c r="E160" s="9" t="s">
        <v>36</v>
      </c>
      <c r="F160" s="9" t="s">
        <v>169</v>
      </c>
      <c r="G160" s="9" t="s">
        <v>89</v>
      </c>
      <c r="H160" s="9" t="s">
        <v>90</v>
      </c>
      <c r="I160" s="9" t="s">
        <v>40</v>
      </c>
      <c r="J160" s="9">
        <v>3522</v>
      </c>
      <c r="K160" s="9" t="s">
        <v>1414</v>
      </c>
      <c r="L160" s="9" t="s">
        <v>42</v>
      </c>
      <c r="M160" s="10">
        <v>3.368055555555556E-3</v>
      </c>
      <c r="N160" s="9" t="s">
        <v>65</v>
      </c>
      <c r="O160" s="9" t="s">
        <v>1415</v>
      </c>
      <c r="P160" s="9" t="s">
        <v>45</v>
      </c>
      <c r="Q160" s="10">
        <v>0.14015046296296299</v>
      </c>
      <c r="R160" s="9" t="s">
        <v>56</v>
      </c>
      <c r="S160" s="10">
        <v>0.19655092592592591</v>
      </c>
      <c r="T160" s="9">
        <v>46.213999999999999</v>
      </c>
      <c r="U160" s="9">
        <v>11.06</v>
      </c>
      <c r="V160" s="10">
        <v>0.1741435185185185</v>
      </c>
      <c r="W160" s="10">
        <v>8.0289351851851848E-2</v>
      </c>
      <c r="X160" s="10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 t="s">
        <v>67</v>
      </c>
      <c r="AF160" s="9" t="s">
        <v>1416</v>
      </c>
      <c r="AG160" s="9" t="s">
        <v>1417</v>
      </c>
      <c r="AH160" s="9">
        <v>6.2269129999999997</v>
      </c>
      <c r="AI160" s="9">
        <v>-75.599265000000003</v>
      </c>
      <c r="AJ160" s="9" t="s">
        <v>1418</v>
      </c>
      <c r="AK160" s="9">
        <v>6.210324</v>
      </c>
      <c r="AL160" s="9">
        <v>-75.497533000000004</v>
      </c>
      <c r="AM160" s="26">
        <f t="shared" si="2"/>
        <v>0.14015046296296299</v>
      </c>
      <c r="AN160" s="9"/>
    </row>
    <row r="161" spans="1:40" ht="15" x14ac:dyDescent="0.25">
      <c r="A161" s="9" t="s">
        <v>1419</v>
      </c>
      <c r="B161" s="9" t="s">
        <v>1420</v>
      </c>
      <c r="C161" s="9" t="s">
        <v>1421</v>
      </c>
      <c r="D161" s="9" t="s">
        <v>1365</v>
      </c>
      <c r="E161" s="9" t="s">
        <v>36</v>
      </c>
      <c r="F161" s="9" t="s">
        <v>169</v>
      </c>
      <c r="G161" s="9" t="s">
        <v>89</v>
      </c>
      <c r="H161" s="9" t="s">
        <v>90</v>
      </c>
      <c r="I161" s="9" t="s">
        <v>40</v>
      </c>
      <c r="J161" s="9">
        <v>2702</v>
      </c>
      <c r="K161" s="9" t="s">
        <v>1422</v>
      </c>
      <c r="L161" s="9" t="s">
        <v>42</v>
      </c>
      <c r="M161" s="10">
        <v>0.1945601851851852</v>
      </c>
      <c r="N161" s="9" t="s">
        <v>43</v>
      </c>
      <c r="O161" s="9" t="s">
        <v>1423</v>
      </c>
      <c r="P161" s="9" t="s">
        <v>45</v>
      </c>
      <c r="Q161" s="10">
        <v>9.8842592592592593E-3</v>
      </c>
      <c r="R161" s="9" t="s">
        <v>46</v>
      </c>
      <c r="S161" s="10">
        <v>0.1486574074074074</v>
      </c>
      <c r="T161" s="9">
        <v>35.628999999999998</v>
      </c>
      <c r="U161" s="9">
        <v>13.74</v>
      </c>
      <c r="V161" s="10">
        <v>0.1080439814814815</v>
      </c>
      <c r="W161" s="10">
        <v>4.6944444444444441E-2</v>
      </c>
      <c r="X161" s="10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 t="s">
        <v>47</v>
      </c>
      <c r="AF161" s="9" t="s">
        <v>1424</v>
      </c>
      <c r="AG161" s="9" t="s">
        <v>1425</v>
      </c>
      <c r="AH161" s="9">
        <v>6.2104739999999996</v>
      </c>
      <c r="AI161" s="9">
        <v>-75.497412999999995</v>
      </c>
      <c r="AJ161" s="9" t="s">
        <v>1426</v>
      </c>
      <c r="AK161" s="9">
        <v>6.2795769999999997</v>
      </c>
      <c r="AL161" s="9">
        <v>-75.571878999999996</v>
      </c>
      <c r="AM161" s="26">
        <f t="shared" si="2"/>
        <v>0.1945601851851852</v>
      </c>
      <c r="AN161" s="9" t="s">
        <v>1443</v>
      </c>
    </row>
    <row r="162" spans="1:40" ht="15" x14ac:dyDescent="0.25">
      <c r="A162" s="9" t="s">
        <v>1427</v>
      </c>
      <c r="B162" s="9" t="s">
        <v>1428</v>
      </c>
      <c r="C162" s="9" t="s">
        <v>1429</v>
      </c>
      <c r="D162" s="9" t="s">
        <v>1365</v>
      </c>
      <c r="E162" s="9" t="s">
        <v>36</v>
      </c>
      <c r="F162" s="9" t="s">
        <v>169</v>
      </c>
      <c r="G162" s="9" t="s">
        <v>97</v>
      </c>
      <c r="H162" s="9" t="s">
        <v>98</v>
      </c>
      <c r="I162" s="9" t="s">
        <v>40</v>
      </c>
      <c r="J162" s="9">
        <v>1362</v>
      </c>
      <c r="K162" s="9" t="s">
        <v>1430</v>
      </c>
      <c r="L162" s="9" t="s">
        <v>42</v>
      </c>
      <c r="M162" s="10">
        <v>6.030092592592593E-3</v>
      </c>
      <c r="N162" s="9" t="s">
        <v>65</v>
      </c>
      <c r="O162" s="9" t="s">
        <v>1431</v>
      </c>
      <c r="P162" s="9" t="s">
        <v>45</v>
      </c>
      <c r="Q162" s="10">
        <v>2.9699074074074079E-2</v>
      </c>
      <c r="R162" s="9" t="s">
        <v>56</v>
      </c>
      <c r="S162" s="10">
        <v>0.29760416666666673</v>
      </c>
      <c r="T162" s="9">
        <v>15.948</v>
      </c>
      <c r="U162" s="9">
        <v>4.38</v>
      </c>
      <c r="V162" s="10">
        <v>0.15182870370370369</v>
      </c>
      <c r="W162" s="10">
        <v>0.12675925925925929</v>
      </c>
      <c r="X162" s="10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 t="s">
        <v>67</v>
      </c>
      <c r="AF162" s="9" t="s">
        <v>1432</v>
      </c>
      <c r="AG162" s="9" t="s">
        <v>1433</v>
      </c>
      <c r="AH162" s="9">
        <v>6.225689</v>
      </c>
      <c r="AI162" s="9">
        <v>-75.599446</v>
      </c>
      <c r="AJ162" s="9" t="s">
        <v>1434</v>
      </c>
      <c r="AK162" s="9">
        <v>6.2800310000000001</v>
      </c>
      <c r="AL162" s="9">
        <v>-75.586410999999998</v>
      </c>
      <c r="AM162" s="26">
        <f t="shared" si="2"/>
        <v>2.9699074074074079E-2</v>
      </c>
      <c r="AN162" s="9"/>
    </row>
    <row r="163" spans="1:40" ht="15" x14ac:dyDescent="0.25">
      <c r="A163" s="9" t="s">
        <v>1435</v>
      </c>
      <c r="B163" s="9" t="s">
        <v>1436</v>
      </c>
      <c r="C163" s="9" t="s">
        <v>1437</v>
      </c>
      <c r="D163" s="9" t="s">
        <v>1365</v>
      </c>
      <c r="E163" s="9" t="s">
        <v>36</v>
      </c>
      <c r="F163" s="9" t="s">
        <v>169</v>
      </c>
      <c r="G163" s="9" t="s">
        <v>105</v>
      </c>
      <c r="H163" s="9" t="s">
        <v>106</v>
      </c>
      <c r="I163" s="9" t="s">
        <v>40</v>
      </c>
      <c r="J163" s="9">
        <v>2091</v>
      </c>
      <c r="K163" s="9" t="s">
        <v>1438</v>
      </c>
      <c r="L163" s="9" t="s">
        <v>42</v>
      </c>
      <c r="M163" s="10">
        <v>2.1064814814814809E-3</v>
      </c>
      <c r="N163" s="9" t="s">
        <v>65</v>
      </c>
      <c r="O163" s="9" t="s">
        <v>1439</v>
      </c>
      <c r="P163" s="9" t="s">
        <v>45</v>
      </c>
      <c r="Q163" s="10">
        <v>9.2789351851851845E-2</v>
      </c>
      <c r="R163" s="9" t="s">
        <v>56</v>
      </c>
      <c r="S163" s="10">
        <v>0.2384375</v>
      </c>
      <c r="T163" s="9">
        <v>28.777999999999999</v>
      </c>
      <c r="U163" s="9">
        <v>11.69</v>
      </c>
      <c r="V163" s="10">
        <v>0.1025925925925926</v>
      </c>
      <c r="W163" s="10">
        <v>6.8831018518518514E-2</v>
      </c>
      <c r="X163" s="10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 t="s">
        <v>67</v>
      </c>
      <c r="AF163" s="9" t="s">
        <v>1440</v>
      </c>
      <c r="AG163" s="9" t="s">
        <v>1441</v>
      </c>
      <c r="AH163" s="9">
        <v>6.2256590000000003</v>
      </c>
      <c r="AI163" s="9">
        <v>-75.598974999999996</v>
      </c>
      <c r="AJ163" s="9" t="s">
        <v>1442</v>
      </c>
      <c r="AK163" s="9">
        <v>6.2254180000000003</v>
      </c>
      <c r="AL163" s="9">
        <v>-75.599401999999998</v>
      </c>
      <c r="AM163" s="26">
        <f t="shared" si="2"/>
        <v>9.2789351851851845E-2</v>
      </c>
      <c r="AN163" s="9"/>
    </row>
    <row r="164" spans="1:40" ht="15" x14ac:dyDescent="0.25">
      <c r="A164" s="9" t="s">
        <v>1444</v>
      </c>
      <c r="B164" s="9" t="s">
        <v>1445</v>
      </c>
      <c r="C164" s="9" t="s">
        <v>1446</v>
      </c>
      <c r="D164" s="9" t="s">
        <v>1365</v>
      </c>
      <c r="E164" s="9" t="s">
        <v>36</v>
      </c>
      <c r="F164" s="9" t="s">
        <v>169</v>
      </c>
      <c r="G164" s="9" t="s">
        <v>124</v>
      </c>
      <c r="H164" s="9" t="s">
        <v>125</v>
      </c>
      <c r="I164" s="9" t="s">
        <v>115</v>
      </c>
      <c r="J164" s="9">
        <v>3621</v>
      </c>
      <c r="K164" s="9" t="s">
        <v>1447</v>
      </c>
      <c r="L164" s="9" t="s">
        <v>117</v>
      </c>
      <c r="M164" s="10">
        <v>3.7511574074074072E-2</v>
      </c>
      <c r="N164" s="9" t="s">
        <v>127</v>
      </c>
      <c r="O164" s="9" t="s">
        <v>1448</v>
      </c>
      <c r="P164" s="9" t="s">
        <v>119</v>
      </c>
      <c r="Q164" s="10">
        <v>1.239583333333333E-2</v>
      </c>
      <c r="R164" s="9" t="s">
        <v>129</v>
      </c>
      <c r="S164" s="10">
        <v>0.2999074074074074</v>
      </c>
      <c r="T164" s="9">
        <v>43.08</v>
      </c>
      <c r="U164" s="9">
        <v>10.8</v>
      </c>
      <c r="V164" s="10">
        <v>0.16622685185185179</v>
      </c>
      <c r="W164" s="10">
        <v>5.2280092592592593E-2</v>
      </c>
      <c r="X164" s="10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 t="s">
        <v>130</v>
      </c>
      <c r="AF164" s="9" t="s">
        <v>1449</v>
      </c>
      <c r="AG164" s="9" t="s">
        <v>1450</v>
      </c>
      <c r="AH164" s="9">
        <v>6.2493230000000004</v>
      </c>
      <c r="AI164" s="9">
        <v>-75.586797000000004</v>
      </c>
      <c r="AJ164" s="9" t="s">
        <v>1451</v>
      </c>
      <c r="AK164" s="9">
        <v>6.2726949999999997</v>
      </c>
      <c r="AL164" s="9">
        <v>-75.602046999999999</v>
      </c>
      <c r="AM164" s="26">
        <f t="shared" si="2"/>
        <v>0</v>
      </c>
      <c r="AN164" s="9"/>
    </row>
    <row r="165" spans="1:40" ht="15" x14ac:dyDescent="0.25">
      <c r="A165" s="9" t="s">
        <v>1452</v>
      </c>
      <c r="B165" s="9" t="s">
        <v>1453</v>
      </c>
      <c r="C165" s="9" t="s">
        <v>1454</v>
      </c>
      <c r="D165" s="9" t="s">
        <v>1365</v>
      </c>
      <c r="E165" s="9" t="s">
        <v>36</v>
      </c>
      <c r="F165" s="9" t="s">
        <v>169</v>
      </c>
      <c r="G165" s="9" t="s">
        <v>135</v>
      </c>
      <c r="H165" s="9" t="s">
        <v>136</v>
      </c>
      <c r="I165" s="9" t="s">
        <v>115</v>
      </c>
      <c r="J165" s="9">
        <v>2863</v>
      </c>
      <c r="K165" s="9" t="s">
        <v>1455</v>
      </c>
      <c r="L165" s="9" t="s">
        <v>117</v>
      </c>
      <c r="M165" s="10">
        <v>7.9282407407407409E-3</v>
      </c>
      <c r="N165" s="9" t="s">
        <v>65</v>
      </c>
      <c r="O165" s="9" t="s">
        <v>1456</v>
      </c>
      <c r="P165" s="9" t="s">
        <v>119</v>
      </c>
      <c r="Q165" s="10">
        <v>1.3773148148148149E-3</v>
      </c>
      <c r="R165" s="9" t="s">
        <v>46</v>
      </c>
      <c r="S165" s="10">
        <v>0.24069444444444441</v>
      </c>
      <c r="T165" s="9">
        <v>41.088000000000001</v>
      </c>
      <c r="U165" s="9">
        <v>9.9499999999999993</v>
      </c>
      <c r="V165" s="10">
        <v>0.1720717592592593</v>
      </c>
      <c r="W165" s="10">
        <v>9.869212962962963E-2</v>
      </c>
      <c r="X165" s="10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 t="s">
        <v>84</v>
      </c>
      <c r="AF165" s="9" t="s">
        <v>352</v>
      </c>
      <c r="AG165" s="9" t="s">
        <v>1337</v>
      </c>
      <c r="AH165" s="9">
        <v>6.2632539999999999</v>
      </c>
      <c r="AI165" s="9">
        <v>-75.556406999999993</v>
      </c>
      <c r="AJ165" s="9" t="s">
        <v>1457</v>
      </c>
      <c r="AK165" s="9">
        <v>6.2724099999999998</v>
      </c>
      <c r="AL165" s="9">
        <v>-75.540272000000002</v>
      </c>
      <c r="AM165" s="26">
        <f t="shared" si="2"/>
        <v>0</v>
      </c>
      <c r="AN165" s="9"/>
    </row>
    <row r="166" spans="1:40" ht="15" x14ac:dyDescent="0.25">
      <c r="A166" s="9" t="s">
        <v>1458</v>
      </c>
      <c r="B166" s="9" t="s">
        <v>1459</v>
      </c>
      <c r="C166" s="9" t="s">
        <v>1460</v>
      </c>
      <c r="D166" s="9" t="s">
        <v>1365</v>
      </c>
      <c r="E166" s="9" t="s">
        <v>36</v>
      </c>
      <c r="F166" s="9" t="s">
        <v>169</v>
      </c>
      <c r="G166" s="9" t="s">
        <v>144</v>
      </c>
      <c r="H166" s="9" t="s">
        <v>145</v>
      </c>
      <c r="I166" s="9" t="s">
        <v>115</v>
      </c>
      <c r="J166" s="9">
        <v>4329</v>
      </c>
      <c r="K166" s="9" t="s">
        <v>1461</v>
      </c>
      <c r="L166" s="9" t="s">
        <v>117</v>
      </c>
      <c r="M166" s="10">
        <v>2.8356481481481479E-2</v>
      </c>
      <c r="N166" s="9" t="s">
        <v>43</v>
      </c>
      <c r="O166" s="9" t="s">
        <v>1462</v>
      </c>
      <c r="P166" s="9" t="s">
        <v>119</v>
      </c>
      <c r="Q166" s="10">
        <v>1.458333333333333E-3</v>
      </c>
      <c r="R166" s="9" t="s">
        <v>46</v>
      </c>
      <c r="S166" s="10">
        <v>0.22018518518518521</v>
      </c>
      <c r="T166" s="9">
        <v>57.337000000000003</v>
      </c>
      <c r="U166" s="9">
        <v>16.53</v>
      </c>
      <c r="V166" s="10">
        <v>0.14456018518518521</v>
      </c>
      <c r="W166" s="10">
        <v>3.3981481481481481E-2</v>
      </c>
      <c r="X166" s="10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 t="s">
        <v>47</v>
      </c>
      <c r="AF166" s="9" t="s">
        <v>1463</v>
      </c>
      <c r="AG166" s="9" t="s">
        <v>1464</v>
      </c>
      <c r="AH166" s="9">
        <v>6.2728029999999997</v>
      </c>
      <c r="AI166" s="9">
        <v>-75.574162000000001</v>
      </c>
      <c r="AJ166" s="9" t="s">
        <v>1465</v>
      </c>
      <c r="AK166" s="9">
        <v>6.2728219999999997</v>
      </c>
      <c r="AL166" s="9">
        <v>-75.574470000000005</v>
      </c>
      <c r="AM166" s="26">
        <f t="shared" si="2"/>
        <v>2.8356481481481479E-2</v>
      </c>
      <c r="AN166" s="9"/>
    </row>
    <row r="167" spans="1:40" ht="15" x14ac:dyDescent="0.25">
      <c r="A167" s="9" t="s">
        <v>1466</v>
      </c>
      <c r="B167" s="9" t="s">
        <v>1467</v>
      </c>
      <c r="C167" s="9" t="s">
        <v>1468</v>
      </c>
      <c r="D167" s="9" t="s">
        <v>1365</v>
      </c>
      <c r="E167" s="9" t="s">
        <v>36</v>
      </c>
      <c r="F167" s="9" t="s">
        <v>169</v>
      </c>
      <c r="G167" s="9" t="s">
        <v>152</v>
      </c>
      <c r="H167" s="9" t="s">
        <v>153</v>
      </c>
      <c r="I167" s="9" t="s">
        <v>115</v>
      </c>
      <c r="J167" s="9">
        <v>1982</v>
      </c>
      <c r="K167" s="9" t="s">
        <v>1469</v>
      </c>
      <c r="L167" s="9" t="s">
        <v>117</v>
      </c>
      <c r="M167" s="10">
        <v>3.3750000000000002E-2</v>
      </c>
      <c r="N167" s="9" t="s">
        <v>127</v>
      </c>
      <c r="O167" s="9" t="s">
        <v>1470</v>
      </c>
      <c r="P167" s="9" t="s">
        <v>119</v>
      </c>
      <c r="Q167" s="10">
        <v>3.1863425925925927E-2</v>
      </c>
      <c r="R167" s="9" t="s">
        <v>56</v>
      </c>
      <c r="S167" s="10">
        <v>0.25188657407407411</v>
      </c>
      <c r="T167" s="9">
        <v>25.13</v>
      </c>
      <c r="U167" s="9">
        <v>6.45</v>
      </c>
      <c r="V167" s="10">
        <v>0.16225694444444441</v>
      </c>
      <c r="W167" s="10">
        <v>0.12791666666666671</v>
      </c>
      <c r="X167" s="10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 t="s">
        <v>139</v>
      </c>
      <c r="AF167" s="9" t="s">
        <v>1471</v>
      </c>
      <c r="AG167" s="9" t="s">
        <v>1472</v>
      </c>
      <c r="AH167" s="9">
        <v>6.2270219999999998</v>
      </c>
      <c r="AI167" s="9">
        <v>-75.599649999999997</v>
      </c>
      <c r="AJ167" s="9" t="s">
        <v>1473</v>
      </c>
      <c r="AK167" s="9">
        <v>6.2517449999999997</v>
      </c>
      <c r="AL167" s="9">
        <v>-75.551824999999994</v>
      </c>
      <c r="AM167" s="26">
        <f t="shared" si="2"/>
        <v>3.1863425925925927E-2</v>
      </c>
      <c r="AN167" s="9"/>
    </row>
    <row r="168" spans="1:40" ht="15" x14ac:dyDescent="0.25">
      <c r="A168" s="9" t="s">
        <v>1474</v>
      </c>
      <c r="B168" s="9" t="s">
        <v>1475</v>
      </c>
      <c r="C168" s="9" t="s">
        <v>1476</v>
      </c>
      <c r="D168" s="9" t="s">
        <v>1365</v>
      </c>
      <c r="E168" s="9" t="s">
        <v>36</v>
      </c>
      <c r="F168" s="9" t="s">
        <v>169</v>
      </c>
      <c r="G168" s="9" t="s">
        <v>160</v>
      </c>
      <c r="H168" s="9" t="s">
        <v>161</v>
      </c>
      <c r="I168" s="9" t="s">
        <v>115</v>
      </c>
      <c r="J168" s="9">
        <v>9389</v>
      </c>
      <c r="K168" s="9" t="s">
        <v>1477</v>
      </c>
      <c r="L168" s="9" t="s">
        <v>117</v>
      </c>
      <c r="M168" s="10">
        <v>3.5135393518518507E-2</v>
      </c>
      <c r="N168" s="9" t="s">
        <v>127</v>
      </c>
      <c r="O168" s="9" t="s">
        <v>1478</v>
      </c>
      <c r="P168" s="9" t="s">
        <v>119</v>
      </c>
      <c r="Q168" s="10">
        <v>3.0131018518518519E-3</v>
      </c>
      <c r="R168" s="9" t="s">
        <v>46</v>
      </c>
      <c r="S168" s="10">
        <v>0.28814849537037029</v>
      </c>
      <c r="T168" s="9">
        <v>52.752000000000002</v>
      </c>
      <c r="U168" s="9">
        <v>11.82</v>
      </c>
      <c r="V168" s="10">
        <v>0.18601776620370361</v>
      </c>
      <c r="W168" s="10">
        <v>0.1339698726851852</v>
      </c>
      <c r="X168" s="10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2</v>
      </c>
      <c r="AE168" s="9" t="s">
        <v>139</v>
      </c>
      <c r="AF168" s="9" t="s">
        <v>1479</v>
      </c>
      <c r="AG168" s="9" t="s">
        <v>1480</v>
      </c>
      <c r="AH168" s="9">
        <v>6.2267970000000004</v>
      </c>
      <c r="AI168" s="9">
        <v>-75.599226999999999</v>
      </c>
      <c r="AJ168" s="9" t="s">
        <v>1481</v>
      </c>
      <c r="AK168" s="9">
        <v>6.2684870000000004</v>
      </c>
      <c r="AL168" s="9">
        <v>-75.599356999999998</v>
      </c>
      <c r="AM168" s="26">
        <f t="shared" si="2"/>
        <v>0</v>
      </c>
      <c r="AN168" s="9"/>
    </row>
    <row r="169" spans="1:40" ht="15" x14ac:dyDescent="0.25">
      <c r="A169" s="9" t="s">
        <v>1482</v>
      </c>
      <c r="B169" s="9" t="s">
        <v>1483</v>
      </c>
      <c r="C169" s="9" t="s">
        <v>1484</v>
      </c>
      <c r="D169" s="9" t="s">
        <v>1485</v>
      </c>
      <c r="E169" s="9" t="s">
        <v>36</v>
      </c>
      <c r="F169" s="9" t="s">
        <v>315</v>
      </c>
      <c r="G169" s="9" t="s">
        <v>38</v>
      </c>
      <c r="H169" s="9" t="s">
        <v>39</v>
      </c>
      <c r="I169" s="9" t="s">
        <v>40</v>
      </c>
      <c r="J169" s="9">
        <v>1812</v>
      </c>
      <c r="K169" s="9" t="s">
        <v>1486</v>
      </c>
      <c r="L169" s="9" t="s">
        <v>42</v>
      </c>
      <c r="M169" s="10">
        <v>2.6235532407407409E-2</v>
      </c>
      <c r="N169" s="9" t="s">
        <v>43</v>
      </c>
      <c r="O169" s="9" t="s">
        <v>1487</v>
      </c>
      <c r="P169" s="9" t="s">
        <v>45</v>
      </c>
      <c r="Q169" s="10">
        <v>1.1281388888888889E-2</v>
      </c>
      <c r="R169" s="9" t="s">
        <v>56</v>
      </c>
      <c r="S169" s="10">
        <v>0.29581641203703712</v>
      </c>
      <c r="T169" s="9">
        <v>13.552</v>
      </c>
      <c r="U169" s="9">
        <v>3.15</v>
      </c>
      <c r="V169" s="10">
        <v>0.1792740162037037</v>
      </c>
      <c r="W169" s="10">
        <v>0.1697488425925926</v>
      </c>
      <c r="X169" s="10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5</v>
      </c>
      <c r="AE169" s="9" t="s">
        <v>57</v>
      </c>
      <c r="AF169" s="9" t="s">
        <v>1488</v>
      </c>
      <c r="AG169" s="9" t="s">
        <v>1489</v>
      </c>
      <c r="AH169" s="9">
        <v>6.2257090000000002</v>
      </c>
      <c r="AI169" s="9">
        <v>-75.599609999999998</v>
      </c>
      <c r="AJ169" s="9" t="s">
        <v>1490</v>
      </c>
      <c r="AK169" s="9">
        <v>6.2216290000000001</v>
      </c>
      <c r="AL169" s="9">
        <v>-75.593868000000001</v>
      </c>
      <c r="AM169" s="26">
        <f t="shared" si="2"/>
        <v>3.7516921296296302E-2</v>
      </c>
      <c r="AN169" s="9"/>
    </row>
    <row r="170" spans="1:40" ht="15" x14ac:dyDescent="0.25">
      <c r="A170" s="9" t="s">
        <v>1491</v>
      </c>
      <c r="B170" s="9" t="s">
        <v>1492</v>
      </c>
      <c r="C170" s="9" t="s">
        <v>1493</v>
      </c>
      <c r="D170" s="9" t="s">
        <v>1485</v>
      </c>
      <c r="E170" s="9" t="s">
        <v>36</v>
      </c>
      <c r="F170" s="9" t="s">
        <v>315</v>
      </c>
      <c r="G170" s="9" t="s">
        <v>52</v>
      </c>
      <c r="H170" s="9" t="s">
        <v>53</v>
      </c>
      <c r="I170" s="9" t="s">
        <v>40</v>
      </c>
      <c r="J170" s="9">
        <v>617</v>
      </c>
      <c r="K170" s="9" t="s">
        <v>1494</v>
      </c>
      <c r="L170" s="9" t="s">
        <v>42</v>
      </c>
      <c r="M170" s="10">
        <v>3.8194444444444448E-2</v>
      </c>
      <c r="N170" s="9" t="s">
        <v>43</v>
      </c>
      <c r="O170" s="9" t="s">
        <v>1495</v>
      </c>
      <c r="P170" s="9" t="s">
        <v>45</v>
      </c>
      <c r="Q170" s="10">
        <v>4.340277777777778E-3</v>
      </c>
      <c r="R170" s="9" t="s">
        <v>46</v>
      </c>
      <c r="S170" s="10">
        <v>0.2907986111111111</v>
      </c>
      <c r="T170" s="9">
        <v>19.247</v>
      </c>
      <c r="U170" s="9">
        <v>3</v>
      </c>
      <c r="V170" s="10">
        <v>0.26699074074074081</v>
      </c>
      <c r="W170" s="10">
        <v>0.22267361111111111</v>
      </c>
      <c r="X170" s="10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8</v>
      </c>
      <c r="AE170" s="9" t="s">
        <v>47</v>
      </c>
      <c r="AF170" s="9" t="s">
        <v>1496</v>
      </c>
      <c r="AG170" s="9" t="s">
        <v>1497</v>
      </c>
      <c r="AH170" s="9">
        <v>6.225651</v>
      </c>
      <c r="AI170" s="9">
        <v>-75.599445000000003</v>
      </c>
      <c r="AJ170" s="9" t="s">
        <v>1498</v>
      </c>
      <c r="AK170" s="9">
        <v>6.2508710000000001</v>
      </c>
      <c r="AL170" s="9">
        <v>-75.605401999999998</v>
      </c>
      <c r="AM170" s="26">
        <f t="shared" si="2"/>
        <v>3.8194444444444448E-2</v>
      </c>
      <c r="AN170" s="9"/>
    </row>
    <row r="171" spans="1:40" ht="15" x14ac:dyDescent="0.25">
      <c r="A171" s="9" t="s">
        <v>1499</v>
      </c>
      <c r="B171" s="9" t="s">
        <v>1500</v>
      </c>
      <c r="C171" s="9" t="s">
        <v>1501</v>
      </c>
      <c r="D171" s="9" t="s">
        <v>1485</v>
      </c>
      <c r="E171" s="9" t="s">
        <v>36</v>
      </c>
      <c r="F171" s="9" t="s">
        <v>315</v>
      </c>
      <c r="G171" s="9" t="s">
        <v>113</v>
      </c>
      <c r="H171" s="9" t="s">
        <v>114</v>
      </c>
      <c r="I171" s="9" t="s">
        <v>40</v>
      </c>
      <c r="J171" s="9">
        <v>2331</v>
      </c>
      <c r="K171" s="9" t="s">
        <v>1502</v>
      </c>
      <c r="L171" s="9" t="s">
        <v>42</v>
      </c>
      <c r="M171" s="10">
        <v>0.33482638888888888</v>
      </c>
      <c r="N171" s="9" t="s">
        <v>43</v>
      </c>
      <c r="O171" s="9" t="s">
        <v>1503</v>
      </c>
      <c r="P171" s="9" t="s">
        <v>45</v>
      </c>
      <c r="Q171" s="10">
        <v>0.1564814814814815</v>
      </c>
      <c r="R171" s="9" t="s">
        <v>129</v>
      </c>
      <c r="S171" s="10">
        <v>0.1549884259259259</v>
      </c>
      <c r="T171" s="9">
        <v>33.826000000000001</v>
      </c>
      <c r="U171" s="9">
        <v>10</v>
      </c>
      <c r="V171" s="10">
        <v>0.14098379629629629</v>
      </c>
      <c r="W171" s="10">
        <v>9.5243055555555553E-2</v>
      </c>
      <c r="X171" s="10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1</v>
      </c>
      <c r="AE171" s="9" t="s">
        <v>130</v>
      </c>
      <c r="AF171" s="9" t="s">
        <v>1504</v>
      </c>
      <c r="AG171" s="9" t="s">
        <v>1505</v>
      </c>
      <c r="AH171" s="9">
        <v>6.2509420000000002</v>
      </c>
      <c r="AI171" s="9">
        <v>-75.605234999999993</v>
      </c>
      <c r="AJ171" s="9" t="s">
        <v>1506</v>
      </c>
      <c r="AK171" s="9">
        <v>6.2130260000000002</v>
      </c>
      <c r="AL171" s="9">
        <v>-75.583926000000005</v>
      </c>
      <c r="AM171" s="26">
        <f t="shared" si="2"/>
        <v>0.33482638888888888</v>
      </c>
      <c r="AN171" s="9"/>
    </row>
    <row r="172" spans="1:40" ht="15" x14ac:dyDescent="0.25">
      <c r="A172" s="9" t="s">
        <v>1507</v>
      </c>
      <c r="B172" s="9" t="s">
        <v>1508</v>
      </c>
      <c r="C172" s="9" t="s">
        <v>1509</v>
      </c>
      <c r="D172" s="9" t="s">
        <v>1485</v>
      </c>
      <c r="E172" s="9" t="s">
        <v>36</v>
      </c>
      <c r="F172" s="9" t="s">
        <v>315</v>
      </c>
      <c r="G172" s="9" t="s">
        <v>62</v>
      </c>
      <c r="H172" s="9" t="s">
        <v>63</v>
      </c>
      <c r="I172" s="9" t="s">
        <v>40</v>
      </c>
      <c r="J172" s="9">
        <v>2102</v>
      </c>
      <c r="K172" s="9" t="s">
        <v>1510</v>
      </c>
      <c r="L172" s="9" t="s">
        <v>42</v>
      </c>
      <c r="M172" s="10">
        <v>5.9837962962962961E-3</v>
      </c>
      <c r="N172" s="9" t="s">
        <v>65</v>
      </c>
      <c r="O172" s="9" t="s">
        <v>1511</v>
      </c>
      <c r="P172" s="9" t="s">
        <v>45</v>
      </c>
      <c r="Q172" s="10">
        <v>1.9953703703703699E-2</v>
      </c>
      <c r="R172" s="9" t="s">
        <v>56</v>
      </c>
      <c r="S172" s="10">
        <v>0.30739583333333331</v>
      </c>
      <c r="T172" s="9">
        <v>27.943999999999999</v>
      </c>
      <c r="U172" s="9">
        <v>6.05</v>
      </c>
      <c r="V172" s="10">
        <v>0.1925462962962963</v>
      </c>
      <c r="W172" s="10">
        <v>0.15283564814814821</v>
      </c>
      <c r="X172" s="10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1</v>
      </c>
      <c r="AE172" s="9" t="s">
        <v>67</v>
      </c>
      <c r="AF172" s="9" t="s">
        <v>1512</v>
      </c>
      <c r="AG172" s="9" t="s">
        <v>1513</v>
      </c>
      <c r="AH172" s="9">
        <v>6.225759</v>
      </c>
      <c r="AI172" s="9">
        <v>-75.599501000000004</v>
      </c>
      <c r="AJ172" s="9" t="s">
        <v>1514</v>
      </c>
      <c r="AK172" s="9">
        <v>6.2660460000000002</v>
      </c>
      <c r="AL172" s="9">
        <v>-75.593369999999993</v>
      </c>
      <c r="AM172" s="26">
        <f t="shared" si="2"/>
        <v>1.9953703703703699E-2</v>
      </c>
      <c r="AN172" s="9"/>
    </row>
    <row r="173" spans="1:40" ht="15" x14ac:dyDescent="0.25">
      <c r="A173" s="9" t="s">
        <v>1515</v>
      </c>
      <c r="B173" s="9" t="s">
        <v>1516</v>
      </c>
      <c r="C173" s="9" t="s">
        <v>1517</v>
      </c>
      <c r="D173" s="9" t="s">
        <v>1485</v>
      </c>
      <c r="E173" s="9" t="s">
        <v>36</v>
      </c>
      <c r="F173" s="9" t="s">
        <v>315</v>
      </c>
      <c r="G173" s="9" t="s">
        <v>72</v>
      </c>
      <c r="H173" s="9" t="s">
        <v>73</v>
      </c>
      <c r="I173" s="9" t="s">
        <v>40</v>
      </c>
      <c r="J173" s="9">
        <v>891</v>
      </c>
      <c r="K173" s="9" t="s">
        <v>1518</v>
      </c>
      <c r="L173" s="9" t="s">
        <v>42</v>
      </c>
      <c r="M173" s="10">
        <v>1.8101851851851852E-2</v>
      </c>
      <c r="N173" s="9" t="s">
        <v>43</v>
      </c>
      <c r="O173" s="9" t="s">
        <v>1519</v>
      </c>
      <c r="P173" s="9" t="s">
        <v>45</v>
      </c>
      <c r="Q173" s="10">
        <v>0.1333796296296296</v>
      </c>
      <c r="R173" s="9" t="s">
        <v>56</v>
      </c>
      <c r="S173" s="10">
        <v>0.18185185185185179</v>
      </c>
      <c r="T173" s="9">
        <v>12.468</v>
      </c>
      <c r="U173" s="9">
        <v>3.38</v>
      </c>
      <c r="V173" s="10">
        <v>0.15384259259259259</v>
      </c>
      <c r="W173" s="10">
        <v>0.13817129629629629</v>
      </c>
      <c r="X173" s="10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1</v>
      </c>
      <c r="AE173" s="9" t="s">
        <v>57</v>
      </c>
      <c r="AF173" s="9" t="s">
        <v>1520</v>
      </c>
      <c r="AG173" s="9" t="s">
        <v>1521</v>
      </c>
      <c r="AH173" s="9">
        <v>6.225752</v>
      </c>
      <c r="AI173" s="9">
        <v>-75.599102999999999</v>
      </c>
      <c r="AJ173" s="9" t="s">
        <v>1522</v>
      </c>
      <c r="AK173" s="9">
        <v>6.237069</v>
      </c>
      <c r="AL173" s="9">
        <v>-75.558763999999996</v>
      </c>
      <c r="AM173" s="26">
        <f t="shared" si="2"/>
        <v>0.15148148148148144</v>
      </c>
      <c r="AN173" s="9"/>
    </row>
    <row r="174" spans="1:40" ht="15" x14ac:dyDescent="0.25">
      <c r="A174" s="9" t="s">
        <v>1523</v>
      </c>
      <c r="B174" s="9" t="s">
        <v>1524</v>
      </c>
      <c r="C174" s="9" t="s">
        <v>1525</v>
      </c>
      <c r="D174" s="9" t="s">
        <v>1485</v>
      </c>
      <c r="E174" s="9" t="s">
        <v>36</v>
      </c>
      <c r="F174" s="9" t="s">
        <v>315</v>
      </c>
      <c r="G174" s="9" t="s">
        <v>80</v>
      </c>
      <c r="H174" s="9" t="s">
        <v>81</v>
      </c>
      <c r="I174" s="9" t="s">
        <v>40</v>
      </c>
      <c r="J174" s="9">
        <v>5261</v>
      </c>
      <c r="K174" s="9" t="s">
        <v>1526</v>
      </c>
      <c r="L174" s="9" t="s">
        <v>42</v>
      </c>
      <c r="M174" s="10">
        <v>2.3850081018518519E-2</v>
      </c>
      <c r="N174" s="9" t="s">
        <v>43</v>
      </c>
      <c r="O174" s="9" t="s">
        <v>1527</v>
      </c>
      <c r="P174" s="9" t="s">
        <v>45</v>
      </c>
      <c r="Q174" s="10">
        <v>5.1366319444444454E-3</v>
      </c>
      <c r="R174" s="9" t="s">
        <v>46</v>
      </c>
      <c r="S174" s="10">
        <v>0.30434662037037041</v>
      </c>
      <c r="T174" s="9">
        <v>35.633000000000003</v>
      </c>
      <c r="U174" s="9">
        <v>15.21</v>
      </c>
      <c r="V174" s="10">
        <v>9.7625833333333079E-2</v>
      </c>
      <c r="W174" s="10">
        <v>5.0709722222222219E-2</v>
      </c>
      <c r="X174" s="10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14</v>
      </c>
      <c r="AE174" s="9" t="s">
        <v>47</v>
      </c>
      <c r="AF174" s="9" t="s">
        <v>1528</v>
      </c>
      <c r="AG174" s="9" t="s">
        <v>1529</v>
      </c>
      <c r="AH174" s="9">
        <v>6.2256349999999996</v>
      </c>
      <c r="AI174" s="9">
        <v>-75.599196000000006</v>
      </c>
      <c r="AJ174" s="9" t="s">
        <v>1530</v>
      </c>
      <c r="AK174" s="9">
        <v>6.2468329999999996</v>
      </c>
      <c r="AL174" s="9">
        <v>-75.554225000000002</v>
      </c>
      <c r="AM174" s="26">
        <f t="shared" si="2"/>
        <v>2.3850081018518519E-2</v>
      </c>
      <c r="AN174" s="9"/>
    </row>
    <row r="175" spans="1:40" ht="15" x14ac:dyDescent="0.25">
      <c r="A175" s="9" t="s">
        <v>1531</v>
      </c>
      <c r="B175" s="9" t="s">
        <v>1532</v>
      </c>
      <c r="C175" s="9" t="s">
        <v>1533</v>
      </c>
      <c r="D175" s="9" t="s">
        <v>1485</v>
      </c>
      <c r="E175" s="9" t="s">
        <v>36</v>
      </c>
      <c r="F175" s="9" t="s">
        <v>315</v>
      </c>
      <c r="G175" s="9" t="s">
        <v>89</v>
      </c>
      <c r="H175" s="9" t="s">
        <v>90</v>
      </c>
      <c r="I175" s="9" t="s">
        <v>40</v>
      </c>
      <c r="J175" s="9">
        <v>5227</v>
      </c>
      <c r="K175" s="9" t="s">
        <v>1534</v>
      </c>
      <c r="L175" s="9" t="s">
        <v>42</v>
      </c>
      <c r="M175" s="10">
        <v>0.10704861111111109</v>
      </c>
      <c r="N175" s="9" t="s">
        <v>43</v>
      </c>
      <c r="O175" s="9" t="s">
        <v>1535</v>
      </c>
      <c r="P175" s="9" t="s">
        <v>45</v>
      </c>
      <c r="Q175" s="10">
        <v>1.3344907407407409E-2</v>
      </c>
      <c r="R175" s="9" t="s">
        <v>129</v>
      </c>
      <c r="S175" s="10">
        <v>0.23962962962962961</v>
      </c>
      <c r="T175" s="9">
        <v>70.236999999999995</v>
      </c>
      <c r="U175" s="9">
        <v>15.13</v>
      </c>
      <c r="V175" s="10">
        <v>0.19341435185185191</v>
      </c>
      <c r="W175" s="10">
        <v>8.1377314814814819E-2</v>
      </c>
      <c r="X175" s="10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 t="s">
        <v>130</v>
      </c>
      <c r="AF175" s="9" t="s">
        <v>1536</v>
      </c>
      <c r="AG175" s="9" t="s">
        <v>1537</v>
      </c>
      <c r="AH175" s="9">
        <v>6.2282820000000001</v>
      </c>
      <c r="AI175" s="9">
        <v>-75.599524000000002</v>
      </c>
      <c r="AJ175" s="9" t="s">
        <v>1538</v>
      </c>
      <c r="AK175" s="9">
        <v>6.259334</v>
      </c>
      <c r="AL175" s="9">
        <v>-75.597497000000004</v>
      </c>
      <c r="AM175" s="26">
        <f t="shared" si="2"/>
        <v>0.10704861111111109</v>
      </c>
      <c r="AN175" s="9" t="s">
        <v>1555</v>
      </c>
    </row>
    <row r="176" spans="1:40" ht="15" x14ac:dyDescent="0.25">
      <c r="A176" s="9" t="s">
        <v>1539</v>
      </c>
      <c r="B176" s="9" t="s">
        <v>1540</v>
      </c>
      <c r="C176" s="9" t="s">
        <v>1541</v>
      </c>
      <c r="D176" s="9" t="s">
        <v>1485</v>
      </c>
      <c r="E176" s="9" t="s">
        <v>36</v>
      </c>
      <c r="F176" s="9" t="s">
        <v>315</v>
      </c>
      <c r="G176" s="9" t="s">
        <v>97</v>
      </c>
      <c r="H176" s="9" t="s">
        <v>98</v>
      </c>
      <c r="I176" s="9" t="s">
        <v>40</v>
      </c>
      <c r="J176" s="9">
        <v>2724</v>
      </c>
      <c r="K176" s="9" t="s">
        <v>1542</v>
      </c>
      <c r="L176" s="9" t="s">
        <v>42</v>
      </c>
      <c r="M176" s="10">
        <v>2.6111111111111109E-2</v>
      </c>
      <c r="N176" s="9" t="s">
        <v>43</v>
      </c>
      <c r="O176" s="9" t="s">
        <v>1543</v>
      </c>
      <c r="P176" s="9" t="s">
        <v>45</v>
      </c>
      <c r="Q176" s="10">
        <v>1.3425925925925921E-3</v>
      </c>
      <c r="R176" s="9" t="s">
        <v>46</v>
      </c>
      <c r="S176" s="10">
        <v>0.30587962962962961</v>
      </c>
      <c r="T176" s="9">
        <v>35.584000000000003</v>
      </c>
      <c r="U176" s="9">
        <v>8.5500000000000007</v>
      </c>
      <c r="V176" s="10">
        <v>0.1733564814814815</v>
      </c>
      <c r="W176" s="10">
        <v>0.1213310185185185</v>
      </c>
      <c r="X176" s="10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 t="s">
        <v>47</v>
      </c>
      <c r="AF176" s="9" t="s">
        <v>1544</v>
      </c>
      <c r="AG176" s="9" t="s">
        <v>1545</v>
      </c>
      <c r="AH176" s="9">
        <v>6.2258079999999998</v>
      </c>
      <c r="AI176" s="9">
        <v>-75.599391999999995</v>
      </c>
      <c r="AJ176" s="9" t="s">
        <v>1546</v>
      </c>
      <c r="AK176" s="9">
        <v>6.2671140000000003</v>
      </c>
      <c r="AL176" s="9">
        <v>-75.576186000000007</v>
      </c>
      <c r="AM176" s="26">
        <f t="shared" si="2"/>
        <v>2.6111111111111109E-2</v>
      </c>
      <c r="AN176" s="9"/>
    </row>
    <row r="177" spans="1:40" ht="15" x14ac:dyDescent="0.25">
      <c r="A177" s="9" t="s">
        <v>1547</v>
      </c>
      <c r="B177" s="9" t="s">
        <v>1548</v>
      </c>
      <c r="C177" s="9" t="s">
        <v>1549</v>
      </c>
      <c r="D177" s="9" t="s">
        <v>1485</v>
      </c>
      <c r="E177" s="9" t="s">
        <v>36</v>
      </c>
      <c r="F177" s="9" t="s">
        <v>315</v>
      </c>
      <c r="G177" s="9" t="s">
        <v>105</v>
      </c>
      <c r="H177" s="9" t="s">
        <v>106</v>
      </c>
      <c r="I177" s="9" t="s">
        <v>40</v>
      </c>
      <c r="J177" s="9">
        <v>958</v>
      </c>
      <c r="K177" s="9" t="s">
        <v>1550</v>
      </c>
      <c r="L177" s="9" t="s">
        <v>42</v>
      </c>
      <c r="M177" s="10">
        <v>3.6990740740740741E-2</v>
      </c>
      <c r="N177" s="9" t="s">
        <v>43</v>
      </c>
      <c r="O177" s="9" t="s">
        <v>1551</v>
      </c>
      <c r="P177" s="9" t="s">
        <v>45</v>
      </c>
      <c r="Q177" s="10">
        <v>1.9212962962962959E-3</v>
      </c>
      <c r="R177" s="9" t="s">
        <v>46</v>
      </c>
      <c r="S177" s="10">
        <v>0.29442129629629632</v>
      </c>
      <c r="T177" s="9">
        <v>11.42</v>
      </c>
      <c r="U177" s="9">
        <v>3.22</v>
      </c>
      <c r="V177" s="10">
        <v>0.14755787037037041</v>
      </c>
      <c r="W177" s="10">
        <v>0.12770833333333331</v>
      </c>
      <c r="X177" s="10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2</v>
      </c>
      <c r="AE177" s="9" t="s">
        <v>47</v>
      </c>
      <c r="AF177" s="9" t="s">
        <v>1552</v>
      </c>
      <c r="AG177" s="9" t="s">
        <v>1553</v>
      </c>
      <c r="AH177" s="9">
        <v>6.2256289999999996</v>
      </c>
      <c r="AI177" s="9">
        <v>-75.599373999999997</v>
      </c>
      <c r="AJ177" s="9" t="s">
        <v>1554</v>
      </c>
      <c r="AK177" s="9">
        <v>6.2589959999999998</v>
      </c>
      <c r="AL177" s="9">
        <v>-75.616399999999999</v>
      </c>
      <c r="AM177" s="26">
        <f t="shared" si="2"/>
        <v>3.6990740740740741E-2</v>
      </c>
      <c r="AN177" s="9"/>
    </row>
    <row r="178" spans="1:40" ht="15" x14ac:dyDescent="0.25">
      <c r="A178" s="9" t="s">
        <v>1556</v>
      </c>
      <c r="B178" s="9" t="s">
        <v>1557</v>
      </c>
      <c r="C178" s="9" t="s">
        <v>1558</v>
      </c>
      <c r="D178" s="9" t="s">
        <v>1485</v>
      </c>
      <c r="E178" s="9" t="s">
        <v>36</v>
      </c>
      <c r="F178" s="9" t="s">
        <v>315</v>
      </c>
      <c r="G178" s="9" t="s">
        <v>124</v>
      </c>
      <c r="H178" s="9" t="s">
        <v>125</v>
      </c>
      <c r="I178" s="9" t="s">
        <v>115</v>
      </c>
      <c r="J178" s="9">
        <v>4787</v>
      </c>
      <c r="K178" s="9" t="s">
        <v>1559</v>
      </c>
      <c r="L178" s="9" t="s">
        <v>117</v>
      </c>
      <c r="M178" s="10">
        <v>2.465277777777778E-3</v>
      </c>
      <c r="N178" s="9" t="s">
        <v>65</v>
      </c>
      <c r="O178" s="9" t="s">
        <v>1560</v>
      </c>
      <c r="P178" s="9" t="s">
        <v>119</v>
      </c>
      <c r="Q178" s="10">
        <v>7.0023148148148154E-3</v>
      </c>
      <c r="R178" s="9" t="s">
        <v>46</v>
      </c>
      <c r="S178" s="10">
        <v>0.25453703703703712</v>
      </c>
      <c r="T178" s="9">
        <v>64.459999999999994</v>
      </c>
      <c r="U178" s="9">
        <v>13.37</v>
      </c>
      <c r="V178" s="10">
        <v>0.20090277777777779</v>
      </c>
      <c r="W178" s="10">
        <v>8.2326388888888893E-2</v>
      </c>
      <c r="X178" s="10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 t="s">
        <v>84</v>
      </c>
      <c r="AF178" s="9" t="s">
        <v>352</v>
      </c>
      <c r="AG178" s="9" t="s">
        <v>1561</v>
      </c>
      <c r="AH178" s="9">
        <v>6.2685789999999999</v>
      </c>
      <c r="AI178" s="9">
        <v>-75.597361000000006</v>
      </c>
      <c r="AJ178" s="9" t="s">
        <v>1562</v>
      </c>
      <c r="AK178" s="9">
        <v>6.2726519999999999</v>
      </c>
      <c r="AL178" s="9">
        <v>-75.602017000000004</v>
      </c>
      <c r="AM178" s="26">
        <f t="shared" si="2"/>
        <v>0</v>
      </c>
      <c r="AN178" s="9"/>
    </row>
    <row r="179" spans="1:40" ht="15" x14ac:dyDescent="0.25">
      <c r="A179" s="9" t="s">
        <v>1563</v>
      </c>
      <c r="B179" s="9" t="s">
        <v>1564</v>
      </c>
      <c r="C179" s="9" t="s">
        <v>1565</v>
      </c>
      <c r="D179" s="9" t="s">
        <v>1485</v>
      </c>
      <c r="E179" s="9" t="s">
        <v>36</v>
      </c>
      <c r="F179" s="9" t="s">
        <v>315</v>
      </c>
      <c r="G179" s="9" t="s">
        <v>135</v>
      </c>
      <c r="H179" s="9" t="s">
        <v>136</v>
      </c>
      <c r="I179" s="9" t="s">
        <v>115</v>
      </c>
      <c r="J179" s="9">
        <v>1578</v>
      </c>
      <c r="K179" s="9" t="s">
        <v>1566</v>
      </c>
      <c r="L179" s="9" t="s">
        <v>117</v>
      </c>
      <c r="M179" s="10">
        <v>1.6932870370370369E-2</v>
      </c>
      <c r="N179" s="9" t="s">
        <v>127</v>
      </c>
      <c r="O179" s="9" t="s">
        <v>1567</v>
      </c>
      <c r="P179" s="9" t="s">
        <v>119</v>
      </c>
      <c r="Q179" s="10">
        <v>2.237268518518519E-2</v>
      </c>
      <c r="R179" s="9" t="s">
        <v>56</v>
      </c>
      <c r="S179" s="10">
        <v>0.24456018518518521</v>
      </c>
      <c r="T179" s="9">
        <v>55</v>
      </c>
      <c r="U179" s="9">
        <v>261</v>
      </c>
      <c r="V179" s="10">
        <v>8.8321759259259253E-2</v>
      </c>
      <c r="W179" s="10">
        <v>5.7800925925925929E-2</v>
      </c>
      <c r="X179" s="10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2</v>
      </c>
      <c r="AE179" s="9" t="s">
        <v>139</v>
      </c>
      <c r="AF179" s="9" t="s">
        <v>1568</v>
      </c>
      <c r="AG179" s="9" t="s">
        <v>1569</v>
      </c>
      <c r="AH179" s="9">
        <v>10.979990000000001</v>
      </c>
      <c r="AI179" s="9">
        <v>-74.803664999999995</v>
      </c>
      <c r="AJ179" s="9" t="s">
        <v>1570</v>
      </c>
      <c r="AK179" s="9">
        <v>6.2723969999999998</v>
      </c>
      <c r="AL179" s="9">
        <v>-75.540291999999994</v>
      </c>
      <c r="AM179" s="26">
        <f t="shared" si="2"/>
        <v>2.237268518518519E-2</v>
      </c>
      <c r="AN179" s="9" t="s">
        <v>1595</v>
      </c>
    </row>
    <row r="180" spans="1:40" ht="15" x14ac:dyDescent="0.25">
      <c r="A180" s="9" t="s">
        <v>1571</v>
      </c>
      <c r="B180" s="9" t="s">
        <v>1572</v>
      </c>
      <c r="C180" s="9" t="s">
        <v>1573</v>
      </c>
      <c r="D180" s="9" t="s">
        <v>1485</v>
      </c>
      <c r="E180" s="9" t="s">
        <v>36</v>
      </c>
      <c r="F180" s="9" t="s">
        <v>315</v>
      </c>
      <c r="G180" s="9" t="s">
        <v>144</v>
      </c>
      <c r="H180" s="9" t="s">
        <v>145</v>
      </c>
      <c r="I180" s="9" t="s">
        <v>115</v>
      </c>
      <c r="J180" s="9">
        <v>7183</v>
      </c>
      <c r="K180" s="9" t="s">
        <v>1574</v>
      </c>
      <c r="L180" s="9" t="s">
        <v>117</v>
      </c>
      <c r="M180" s="10">
        <v>3.709490740740741E-2</v>
      </c>
      <c r="N180" s="9" t="s">
        <v>127</v>
      </c>
      <c r="O180" s="9" t="s">
        <v>1575</v>
      </c>
      <c r="P180" s="9" t="s">
        <v>119</v>
      </c>
      <c r="Q180" s="10">
        <v>2.465277777777778E-3</v>
      </c>
      <c r="R180" s="9" t="s">
        <v>46</v>
      </c>
      <c r="S180" s="10">
        <v>0.28956018518518523</v>
      </c>
      <c r="T180" s="9">
        <v>96.944999999999993</v>
      </c>
      <c r="U180" s="9">
        <v>18.64</v>
      </c>
      <c r="V180" s="10">
        <v>0.21672453703703701</v>
      </c>
      <c r="W180" s="10">
        <v>5.8495370370370371E-2</v>
      </c>
      <c r="X180" s="10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 t="s">
        <v>139</v>
      </c>
      <c r="AF180" s="9" t="s">
        <v>1576</v>
      </c>
      <c r="AG180" s="9" t="s">
        <v>1577</v>
      </c>
      <c r="AH180" s="9">
        <v>6.2265810000000004</v>
      </c>
      <c r="AI180" s="9">
        <v>-75.599300999999997</v>
      </c>
      <c r="AJ180" s="9" t="s">
        <v>1578</v>
      </c>
      <c r="AK180" s="9">
        <v>6.2903929999999999</v>
      </c>
      <c r="AL180" s="9">
        <v>-75.546537000000001</v>
      </c>
      <c r="AM180" s="26">
        <f t="shared" si="2"/>
        <v>0</v>
      </c>
      <c r="AN180" s="9"/>
    </row>
    <row r="181" spans="1:40" ht="15" x14ac:dyDescent="0.25">
      <c r="A181" s="9" t="s">
        <v>1579</v>
      </c>
      <c r="B181" s="9" t="s">
        <v>1580</v>
      </c>
      <c r="C181" s="9" t="s">
        <v>1581</v>
      </c>
      <c r="D181" s="9" t="s">
        <v>1485</v>
      </c>
      <c r="E181" s="9" t="s">
        <v>36</v>
      </c>
      <c r="F181" s="9" t="s">
        <v>315</v>
      </c>
      <c r="G181" s="9" t="s">
        <v>152</v>
      </c>
      <c r="H181" s="9" t="s">
        <v>153</v>
      </c>
      <c r="I181" s="9" t="s">
        <v>115</v>
      </c>
      <c r="J181" s="9">
        <v>2203</v>
      </c>
      <c r="K181" s="9" t="s">
        <v>1582</v>
      </c>
      <c r="L181" s="9" t="s">
        <v>117</v>
      </c>
      <c r="M181" s="10">
        <v>2.2615740740740738E-2</v>
      </c>
      <c r="N181" s="9" t="s">
        <v>127</v>
      </c>
      <c r="O181" s="9" t="s">
        <v>1583</v>
      </c>
      <c r="P181" s="9" t="s">
        <v>119</v>
      </c>
      <c r="Q181" s="10">
        <v>0.11057870370370371</v>
      </c>
      <c r="R181" s="9" t="s">
        <v>56</v>
      </c>
      <c r="S181" s="10">
        <v>0.16203703703703701</v>
      </c>
      <c r="T181" s="9">
        <v>28.535</v>
      </c>
      <c r="U181" s="9">
        <v>8.7799999999999994</v>
      </c>
      <c r="V181" s="10">
        <v>0.13542824074074081</v>
      </c>
      <c r="W181" s="10">
        <v>8.0555555555555561E-2</v>
      </c>
      <c r="X181" s="10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1</v>
      </c>
      <c r="AE181" s="9" t="s">
        <v>139</v>
      </c>
      <c r="AF181" s="9" t="s">
        <v>1584</v>
      </c>
      <c r="AG181" s="9" t="s">
        <v>1585</v>
      </c>
      <c r="AH181" s="9">
        <v>6.2268949999999998</v>
      </c>
      <c r="AI181" s="9">
        <v>-75.599648000000002</v>
      </c>
      <c r="AJ181" s="9" t="s">
        <v>1586</v>
      </c>
      <c r="AK181" s="9">
        <v>6.2618280000000004</v>
      </c>
      <c r="AL181" s="9">
        <v>-75.571967000000001</v>
      </c>
      <c r="AM181" s="26">
        <f t="shared" si="2"/>
        <v>0.11057870370370371</v>
      </c>
      <c r="AN181" s="9"/>
    </row>
    <row r="182" spans="1:40" ht="15" x14ac:dyDescent="0.25">
      <c r="A182" s="9" t="s">
        <v>1587</v>
      </c>
      <c r="B182" s="9" t="s">
        <v>1588</v>
      </c>
      <c r="C182" s="9" t="s">
        <v>1589</v>
      </c>
      <c r="D182" s="9" t="s">
        <v>1485</v>
      </c>
      <c r="E182" s="9" t="s">
        <v>36</v>
      </c>
      <c r="F182" s="9" t="s">
        <v>315</v>
      </c>
      <c r="G182" s="9" t="s">
        <v>160</v>
      </c>
      <c r="H182" s="9" t="s">
        <v>161</v>
      </c>
      <c r="I182" s="9" t="s">
        <v>115</v>
      </c>
      <c r="J182" s="9">
        <v>10981</v>
      </c>
      <c r="K182" s="9" t="s">
        <v>1590</v>
      </c>
      <c r="L182" s="9" t="s">
        <v>117</v>
      </c>
      <c r="M182" s="10">
        <v>3.274662037037037E-2</v>
      </c>
      <c r="N182" s="9" t="s">
        <v>127</v>
      </c>
      <c r="O182" s="9" t="s">
        <v>1591</v>
      </c>
      <c r="P182" s="9" t="s">
        <v>119</v>
      </c>
      <c r="Q182" s="10">
        <v>8.4455092592592585E-3</v>
      </c>
      <c r="R182" s="9" t="s">
        <v>46</v>
      </c>
      <c r="S182" s="10">
        <v>0.29119212962962959</v>
      </c>
      <c r="T182" s="9">
        <v>64.697000000000003</v>
      </c>
      <c r="U182" s="9">
        <v>13.7</v>
      </c>
      <c r="V182" s="10">
        <v>0.19676074074074071</v>
      </c>
      <c r="W182" s="10">
        <v>0.12630780092592589</v>
      </c>
      <c r="X182" s="10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3</v>
      </c>
      <c r="AE182" s="9" t="s">
        <v>139</v>
      </c>
      <c r="AF182" s="9" t="s">
        <v>1592</v>
      </c>
      <c r="AG182" s="9" t="s">
        <v>1593</v>
      </c>
      <c r="AH182" s="9">
        <v>6.2266620000000001</v>
      </c>
      <c r="AI182" s="9">
        <v>-75.599261999999996</v>
      </c>
      <c r="AJ182" s="9" t="s">
        <v>1594</v>
      </c>
      <c r="AK182" s="9">
        <v>6.2684569999999997</v>
      </c>
      <c r="AL182" s="9">
        <v>-75.599374999999995</v>
      </c>
      <c r="AM182" s="26">
        <f t="shared" si="2"/>
        <v>0</v>
      </c>
      <c r="AN182" s="9"/>
    </row>
    <row r="183" spans="1:40" ht="15" x14ac:dyDescent="0.25">
      <c r="A183" s="9" t="s">
        <v>1596</v>
      </c>
      <c r="B183" s="9" t="s">
        <v>1597</v>
      </c>
      <c r="C183" s="9" t="s">
        <v>1598</v>
      </c>
      <c r="D183" s="9" t="s">
        <v>1599</v>
      </c>
      <c r="E183" s="9" t="s">
        <v>36</v>
      </c>
      <c r="F183" s="9" t="s">
        <v>406</v>
      </c>
      <c r="G183" s="9" t="s">
        <v>38</v>
      </c>
      <c r="H183" s="9" t="s">
        <v>39</v>
      </c>
      <c r="I183" s="9" t="s">
        <v>40</v>
      </c>
      <c r="J183" s="9">
        <v>6065</v>
      </c>
      <c r="K183" s="9" t="s">
        <v>1600</v>
      </c>
      <c r="L183" s="9" t="s">
        <v>42</v>
      </c>
      <c r="M183" s="10">
        <v>3.636782407407408E-3</v>
      </c>
      <c r="N183" s="9" t="s">
        <v>65</v>
      </c>
      <c r="O183" s="9" t="s">
        <v>1601</v>
      </c>
      <c r="P183" s="9" t="s">
        <v>413</v>
      </c>
      <c r="Q183" s="10">
        <v>2.58599537037037E-3</v>
      </c>
      <c r="R183" s="9" t="s">
        <v>46</v>
      </c>
      <c r="S183" s="10">
        <v>0.31144921296296302</v>
      </c>
      <c r="T183" s="9">
        <v>44.219000000000001</v>
      </c>
      <c r="U183" s="9">
        <v>11.09</v>
      </c>
      <c r="V183" s="10">
        <v>0.16620723379629629</v>
      </c>
      <c r="W183" s="10">
        <v>0.1129801967592593</v>
      </c>
      <c r="X183" s="10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4</v>
      </c>
      <c r="AE183" s="9" t="s">
        <v>84</v>
      </c>
      <c r="AF183" s="9" t="s">
        <v>1602</v>
      </c>
      <c r="AG183" s="9" t="s">
        <v>1603</v>
      </c>
      <c r="AH183" s="9">
        <v>6.2256109999999998</v>
      </c>
      <c r="AI183" s="9">
        <v>-75.599078000000006</v>
      </c>
      <c r="AJ183" s="9" t="s">
        <v>1604</v>
      </c>
      <c r="AK183" s="9">
        <v>6.2387639999999998</v>
      </c>
      <c r="AL183" s="9">
        <v>-75.607866000000001</v>
      </c>
      <c r="AM183" s="26">
        <f t="shared" si="2"/>
        <v>0</v>
      </c>
      <c r="AN183" s="9"/>
    </row>
    <row r="184" spans="1:40" ht="15" x14ac:dyDescent="0.25">
      <c r="A184" s="9" t="s">
        <v>1605</v>
      </c>
      <c r="B184" s="9" t="s">
        <v>1606</v>
      </c>
      <c r="C184" s="9" t="s">
        <v>1607</v>
      </c>
      <c r="D184" s="9" t="s">
        <v>1599</v>
      </c>
      <c r="E184" s="9" t="s">
        <v>36</v>
      </c>
      <c r="F184" s="9" t="s">
        <v>406</v>
      </c>
      <c r="G184" s="9" t="s">
        <v>52</v>
      </c>
      <c r="H184" s="9" t="s">
        <v>53</v>
      </c>
      <c r="I184" s="9" t="s">
        <v>40</v>
      </c>
      <c r="J184" s="9">
        <v>1949</v>
      </c>
      <c r="K184" s="9" t="s">
        <v>1608</v>
      </c>
      <c r="L184" s="9" t="s">
        <v>42</v>
      </c>
      <c r="M184" s="10">
        <v>2.7777777777777778E-4</v>
      </c>
      <c r="N184" s="9" t="s">
        <v>65</v>
      </c>
      <c r="O184" s="9" t="s">
        <v>1609</v>
      </c>
      <c r="P184" s="9" t="s">
        <v>413</v>
      </c>
      <c r="Q184" s="10">
        <v>9.7222222222222219E-4</v>
      </c>
      <c r="R184" s="9" t="s">
        <v>46</v>
      </c>
      <c r="S184" s="10">
        <v>0.31374999999999997</v>
      </c>
      <c r="T184" s="9">
        <v>27.864000000000001</v>
      </c>
      <c r="U184" s="9">
        <v>5.21</v>
      </c>
      <c r="V184" s="10">
        <v>0.22270833333333331</v>
      </c>
      <c r="W184" s="10">
        <v>0.18104166666666671</v>
      </c>
      <c r="X184" s="10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1</v>
      </c>
      <c r="AE184" s="9" t="s">
        <v>84</v>
      </c>
      <c r="AF184" s="9" t="s">
        <v>324</v>
      </c>
      <c r="AG184" s="9" t="s">
        <v>1610</v>
      </c>
      <c r="AH184" s="9">
        <v>6.2256970000000003</v>
      </c>
      <c r="AI184" s="9">
        <v>-75.599435999999997</v>
      </c>
      <c r="AJ184" s="9" t="s">
        <v>1611</v>
      </c>
      <c r="AK184" s="9">
        <v>6.2477609999999997</v>
      </c>
      <c r="AL184" s="9">
        <v>-75.614859999999993</v>
      </c>
      <c r="AM184" s="26">
        <f t="shared" si="2"/>
        <v>0</v>
      </c>
      <c r="AN184" s="9"/>
    </row>
    <row r="185" spans="1:40" ht="15" x14ac:dyDescent="0.25">
      <c r="A185" s="9" t="s">
        <v>1612</v>
      </c>
      <c r="B185" s="9" t="s">
        <v>1613</v>
      </c>
      <c r="C185" s="9" t="s">
        <v>1614</v>
      </c>
      <c r="D185" s="9" t="s">
        <v>1599</v>
      </c>
      <c r="E185" s="9" t="s">
        <v>36</v>
      </c>
      <c r="F185" s="9" t="s">
        <v>406</v>
      </c>
      <c r="G185" s="9" t="s">
        <v>113</v>
      </c>
      <c r="H185" s="9" t="s">
        <v>114</v>
      </c>
      <c r="I185" s="9" t="s">
        <v>40</v>
      </c>
      <c r="J185" s="9">
        <v>1910</v>
      </c>
      <c r="K185" s="9" t="s">
        <v>1615</v>
      </c>
      <c r="L185" s="9" t="s">
        <v>42</v>
      </c>
      <c r="M185" s="10">
        <v>5.5324074074074078E-3</v>
      </c>
      <c r="N185" s="9" t="s">
        <v>65</v>
      </c>
      <c r="O185" s="9" t="s">
        <v>1616</v>
      </c>
      <c r="P185" s="9" t="s">
        <v>413</v>
      </c>
      <c r="Q185" s="10">
        <v>1.1898148148148151E-2</v>
      </c>
      <c r="R185" s="9" t="s">
        <v>56</v>
      </c>
      <c r="S185" s="10">
        <v>0.29506944444444438</v>
      </c>
      <c r="T185" s="9">
        <v>25.187999999999999</v>
      </c>
      <c r="U185" s="9">
        <v>4.9400000000000004</v>
      </c>
      <c r="V185" s="10">
        <v>0.21243055555555559</v>
      </c>
      <c r="W185" s="10">
        <v>0.17155092592592591</v>
      </c>
      <c r="X185" s="10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2</v>
      </c>
      <c r="AE185" s="9" t="s">
        <v>67</v>
      </c>
      <c r="AF185" s="9" t="s">
        <v>1617</v>
      </c>
      <c r="AG185" s="9" t="s">
        <v>1618</v>
      </c>
      <c r="AH185" s="9">
        <v>6.2308159999999999</v>
      </c>
      <c r="AI185" s="9">
        <v>-75.601883999999998</v>
      </c>
      <c r="AJ185" s="9" t="s">
        <v>1619</v>
      </c>
      <c r="AK185" s="9">
        <v>6.239649</v>
      </c>
      <c r="AL185" s="9">
        <v>-75.608310000000003</v>
      </c>
      <c r="AM185" s="26">
        <f t="shared" si="2"/>
        <v>1.1898148148148151E-2</v>
      </c>
      <c r="AN185" s="9"/>
    </row>
    <row r="186" spans="1:40" ht="15" x14ac:dyDescent="0.25">
      <c r="A186" s="9" t="s">
        <v>1620</v>
      </c>
      <c r="B186" s="9" t="s">
        <v>1621</v>
      </c>
      <c r="C186" s="9" t="s">
        <v>1622</v>
      </c>
      <c r="D186" s="9" t="s">
        <v>1599</v>
      </c>
      <c r="E186" s="9" t="s">
        <v>36</v>
      </c>
      <c r="F186" s="9" t="s">
        <v>406</v>
      </c>
      <c r="G186" s="9" t="s">
        <v>72</v>
      </c>
      <c r="H186" s="9" t="s">
        <v>73</v>
      </c>
      <c r="I186" s="9" t="s">
        <v>40</v>
      </c>
      <c r="J186" s="9">
        <v>2871</v>
      </c>
      <c r="K186" s="9" t="s">
        <v>1623</v>
      </c>
      <c r="L186" s="9" t="s">
        <v>42</v>
      </c>
      <c r="M186" s="10">
        <v>9.6874999999999999E-3</v>
      </c>
      <c r="N186" s="9" t="s">
        <v>65</v>
      </c>
      <c r="O186" s="9" t="s">
        <v>1624</v>
      </c>
      <c r="P186" s="9" t="s">
        <v>413</v>
      </c>
      <c r="Q186" s="10">
        <v>0.16314814814814821</v>
      </c>
      <c r="R186" s="9" t="s">
        <v>56</v>
      </c>
      <c r="S186" s="10">
        <v>0.13966435185185189</v>
      </c>
      <c r="T186" s="9">
        <v>39.378</v>
      </c>
      <c r="U186" s="9">
        <v>14.69</v>
      </c>
      <c r="V186" s="10">
        <v>0.1116550925925926</v>
      </c>
      <c r="W186" s="10">
        <v>6.25E-2</v>
      </c>
      <c r="X186" s="10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 t="s">
        <v>67</v>
      </c>
      <c r="AF186" s="9" t="s">
        <v>1625</v>
      </c>
      <c r="AG186" s="9" t="s">
        <v>1626</v>
      </c>
      <c r="AH186" s="9">
        <v>6.2256850000000004</v>
      </c>
      <c r="AI186" s="9">
        <v>-75.599091000000001</v>
      </c>
      <c r="AJ186" s="9" t="s">
        <v>1627</v>
      </c>
      <c r="AK186" s="9">
        <v>6.2371379999999998</v>
      </c>
      <c r="AL186" s="9">
        <v>-75.558725999999993</v>
      </c>
      <c r="AM186" s="26">
        <f t="shared" si="2"/>
        <v>0.16314814814814821</v>
      </c>
      <c r="AN186" s="9"/>
    </row>
    <row r="187" spans="1:40" ht="15" x14ac:dyDescent="0.25">
      <c r="A187" s="9" t="s">
        <v>1628</v>
      </c>
      <c r="B187" s="9" t="s">
        <v>1629</v>
      </c>
      <c r="C187" s="9" t="s">
        <v>1630</v>
      </c>
      <c r="D187" s="9" t="s">
        <v>1599</v>
      </c>
      <c r="E187" s="9" t="s">
        <v>36</v>
      </c>
      <c r="F187" s="9" t="s">
        <v>406</v>
      </c>
      <c r="G187" s="9" t="s">
        <v>80</v>
      </c>
      <c r="H187" s="9" t="s">
        <v>81</v>
      </c>
      <c r="I187" s="9" t="s">
        <v>40</v>
      </c>
      <c r="J187" s="9">
        <v>5700</v>
      </c>
      <c r="K187" s="9" t="s">
        <v>1631</v>
      </c>
      <c r="L187" s="9" t="s">
        <v>42</v>
      </c>
      <c r="M187" s="10">
        <v>1.143086805555556E-2</v>
      </c>
      <c r="N187" s="9" t="s">
        <v>43</v>
      </c>
      <c r="O187" s="9" t="s">
        <v>1632</v>
      </c>
      <c r="P187" s="9" t="s">
        <v>413</v>
      </c>
      <c r="Q187" s="10">
        <v>3.6722222222222218E-4</v>
      </c>
      <c r="R187" s="9" t="s">
        <v>46</v>
      </c>
      <c r="S187" s="10">
        <v>0.30143635416666659</v>
      </c>
      <c r="T187" s="9">
        <v>36.863</v>
      </c>
      <c r="U187" s="9">
        <v>22.3</v>
      </c>
      <c r="V187" s="10">
        <v>6.8876597222222224E-2</v>
      </c>
      <c r="W187" s="10">
        <v>2.4076944444444449E-2</v>
      </c>
      <c r="X187" s="10">
        <v>5.5171064814814813E-3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11</v>
      </c>
      <c r="AE187" s="9" t="s">
        <v>47</v>
      </c>
      <c r="AF187" s="9" t="s">
        <v>1633</v>
      </c>
      <c r="AG187" s="9" t="s">
        <v>1634</v>
      </c>
      <c r="AH187" s="9">
        <v>6.2256049999999998</v>
      </c>
      <c r="AI187" s="9">
        <v>-75.599091000000001</v>
      </c>
      <c r="AJ187" s="9" t="s">
        <v>1635</v>
      </c>
      <c r="AK187" s="9">
        <v>6.2467709999999999</v>
      </c>
      <c r="AL187" s="9">
        <v>-75.554137999999995</v>
      </c>
      <c r="AM187" s="26">
        <f t="shared" si="2"/>
        <v>1.143086805555556E-2</v>
      </c>
      <c r="AN187" s="9"/>
    </row>
    <row r="188" spans="1:40" ht="15" x14ac:dyDescent="0.25">
      <c r="A188" s="9" t="s">
        <v>1636</v>
      </c>
      <c r="B188" s="9" t="s">
        <v>1637</v>
      </c>
      <c r="C188" s="9" t="s">
        <v>1638</v>
      </c>
      <c r="D188" s="9" t="s">
        <v>1599</v>
      </c>
      <c r="E188" s="9" t="s">
        <v>36</v>
      </c>
      <c r="F188" s="9" t="s">
        <v>406</v>
      </c>
      <c r="G188" s="9" t="s">
        <v>89</v>
      </c>
      <c r="H188" s="9" t="s">
        <v>90</v>
      </c>
      <c r="I188" s="9" t="s">
        <v>40</v>
      </c>
      <c r="J188" s="9">
        <v>5344</v>
      </c>
      <c r="K188" s="9" t="s">
        <v>1639</v>
      </c>
      <c r="L188" s="9" t="s">
        <v>42</v>
      </c>
      <c r="M188" s="10">
        <v>1.320601851851852E-2</v>
      </c>
      <c r="N188" s="9" t="s">
        <v>127</v>
      </c>
      <c r="O188" s="9" t="s">
        <v>1640</v>
      </c>
      <c r="P188" s="9" t="s">
        <v>413</v>
      </c>
      <c r="Q188" s="10">
        <v>4.9953703703703702E-2</v>
      </c>
      <c r="R188" s="9" t="s">
        <v>56</v>
      </c>
      <c r="S188" s="10">
        <v>0.27575231481481483</v>
      </c>
      <c r="T188" s="9">
        <v>72.647999999999996</v>
      </c>
      <c r="U188" s="9">
        <v>15.45</v>
      </c>
      <c r="V188" s="10">
        <v>0.19592592592592589</v>
      </c>
      <c r="W188" s="10">
        <v>8.2939814814814813E-2</v>
      </c>
      <c r="X188" s="10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 t="s">
        <v>139</v>
      </c>
      <c r="AF188" s="9" t="s">
        <v>1641</v>
      </c>
      <c r="AG188" s="9" t="s">
        <v>1642</v>
      </c>
      <c r="AH188" s="9">
        <v>6.2266909999999998</v>
      </c>
      <c r="AI188" s="9">
        <v>-75.599233999999996</v>
      </c>
      <c r="AJ188" s="9" t="s">
        <v>1643</v>
      </c>
      <c r="AK188" s="9">
        <v>6.2416510000000001</v>
      </c>
      <c r="AL188" s="9">
        <v>-75.516547000000003</v>
      </c>
      <c r="AM188" s="26">
        <f t="shared" si="2"/>
        <v>4.9953703703703702E-2</v>
      </c>
      <c r="AN188" s="9" t="s">
        <v>1669</v>
      </c>
    </row>
    <row r="189" spans="1:40" ht="15" x14ac:dyDescent="0.25">
      <c r="A189" s="9" t="s">
        <v>1644</v>
      </c>
      <c r="B189" s="9" t="s">
        <v>1645</v>
      </c>
      <c r="C189" s="9" t="s">
        <v>1646</v>
      </c>
      <c r="D189" s="9" t="s">
        <v>1599</v>
      </c>
      <c r="E189" s="9" t="s">
        <v>36</v>
      </c>
      <c r="F189" s="9" t="s">
        <v>406</v>
      </c>
      <c r="G189" s="9" t="s">
        <v>97</v>
      </c>
      <c r="H189" s="9" t="s">
        <v>98</v>
      </c>
      <c r="I189" s="9" t="s">
        <v>40</v>
      </c>
      <c r="J189" s="9">
        <v>2704</v>
      </c>
      <c r="K189" s="9" t="s">
        <v>1647</v>
      </c>
      <c r="L189" s="9" t="s">
        <v>42</v>
      </c>
      <c r="M189" s="10">
        <v>7.3032407407407404E-3</v>
      </c>
      <c r="N189" s="9" t="s">
        <v>65</v>
      </c>
      <c r="O189" s="9" t="s">
        <v>1648</v>
      </c>
      <c r="P189" s="9" t="s">
        <v>413</v>
      </c>
      <c r="Q189" s="10">
        <v>2.164351851851852E-2</v>
      </c>
      <c r="R189" s="9" t="s">
        <v>56</v>
      </c>
      <c r="S189" s="10">
        <v>0.28355324074074068</v>
      </c>
      <c r="T189" s="9">
        <v>34.909999999999997</v>
      </c>
      <c r="U189" s="9">
        <v>9.0500000000000007</v>
      </c>
      <c r="V189" s="10">
        <v>0.16071759259259261</v>
      </c>
      <c r="W189" s="10">
        <v>0.1092013888888889</v>
      </c>
      <c r="X189" s="10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 t="s">
        <v>67</v>
      </c>
      <c r="AF189" s="9" t="s">
        <v>1649</v>
      </c>
      <c r="AG189" s="9" t="s">
        <v>1650</v>
      </c>
      <c r="AH189" s="9">
        <v>6.225759</v>
      </c>
      <c r="AI189" s="9">
        <v>-75.599410000000006</v>
      </c>
      <c r="AJ189" s="9" t="s">
        <v>1651</v>
      </c>
      <c r="AK189" s="9">
        <v>6.3049289999999996</v>
      </c>
      <c r="AL189" s="9">
        <v>-75.577501999999996</v>
      </c>
      <c r="AM189" s="26">
        <f t="shared" si="2"/>
        <v>2.164351851851852E-2</v>
      </c>
      <c r="AN189" s="9"/>
    </row>
    <row r="190" spans="1:40" ht="15" x14ac:dyDescent="0.25">
      <c r="A190" s="9" t="s">
        <v>1652</v>
      </c>
      <c r="B190" s="9" t="s">
        <v>1653</v>
      </c>
      <c r="C190" s="9" t="s">
        <v>1654</v>
      </c>
      <c r="D190" s="9" t="s">
        <v>1599</v>
      </c>
      <c r="E190" s="9" t="s">
        <v>36</v>
      </c>
      <c r="F190" s="9" t="s">
        <v>406</v>
      </c>
      <c r="G190" s="9" t="s">
        <v>105</v>
      </c>
      <c r="H190" s="9" t="s">
        <v>106</v>
      </c>
      <c r="I190" s="9" t="s">
        <v>40</v>
      </c>
      <c r="J190" s="9">
        <v>3812</v>
      </c>
      <c r="K190" s="9" t="s">
        <v>1655</v>
      </c>
      <c r="L190" s="9" t="s">
        <v>42</v>
      </c>
      <c r="M190" s="10">
        <v>1.196759259259259E-2</v>
      </c>
      <c r="N190" s="9" t="s">
        <v>43</v>
      </c>
      <c r="O190" s="9" t="s">
        <v>1656</v>
      </c>
      <c r="P190" s="9" t="s">
        <v>413</v>
      </c>
      <c r="Q190" s="10">
        <v>1.273148148148148E-4</v>
      </c>
      <c r="R190" s="9" t="s">
        <v>46</v>
      </c>
      <c r="S190" s="10">
        <v>0.30040509259259263</v>
      </c>
      <c r="T190" s="9">
        <v>51.332000000000001</v>
      </c>
      <c r="U190" s="9">
        <v>11.03</v>
      </c>
      <c r="V190" s="10">
        <v>0.19396990740740741</v>
      </c>
      <c r="W190" s="10">
        <v>0.11443287037037039</v>
      </c>
      <c r="X190" s="10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 t="s">
        <v>47</v>
      </c>
      <c r="AF190" s="9" t="s">
        <v>1657</v>
      </c>
      <c r="AG190" s="9" t="s">
        <v>1658</v>
      </c>
      <c r="AH190" s="9">
        <v>6.2256499999999999</v>
      </c>
      <c r="AI190" s="9">
        <v>-75.599074000000002</v>
      </c>
      <c r="AJ190" s="9" t="s">
        <v>1659</v>
      </c>
      <c r="AK190" s="9">
        <v>6.2587320000000002</v>
      </c>
      <c r="AL190" s="9">
        <v>-75.616245000000006</v>
      </c>
      <c r="AM190" s="26">
        <f t="shared" si="2"/>
        <v>1.196759259259259E-2</v>
      </c>
      <c r="AN190" s="9"/>
    </row>
    <row r="191" spans="1:40" ht="15" x14ac:dyDescent="0.25">
      <c r="A191" s="9" t="s">
        <v>1660</v>
      </c>
      <c r="B191" s="9" t="s">
        <v>1661</v>
      </c>
      <c r="C191" s="9" t="s">
        <v>1662</v>
      </c>
      <c r="D191" s="9" t="s">
        <v>1663</v>
      </c>
      <c r="E191" s="9" t="s">
        <v>36</v>
      </c>
      <c r="F191" s="9" t="s">
        <v>455</v>
      </c>
      <c r="G191" s="9" t="s">
        <v>113</v>
      </c>
      <c r="H191" s="9" t="s">
        <v>114</v>
      </c>
      <c r="I191" s="9" t="s">
        <v>40</v>
      </c>
      <c r="J191" s="9">
        <v>1982</v>
      </c>
      <c r="K191" s="9" t="s">
        <v>1664</v>
      </c>
      <c r="L191" s="9" t="s">
        <v>42</v>
      </c>
      <c r="M191" s="10">
        <v>4.0578703703703707E-2</v>
      </c>
      <c r="N191" s="9" t="s">
        <v>43</v>
      </c>
      <c r="O191" s="9" t="s">
        <v>1665</v>
      </c>
      <c r="P191" s="9" t="s">
        <v>413</v>
      </c>
      <c r="Q191" s="10">
        <v>6.7418981481481483E-2</v>
      </c>
      <c r="R191" s="9" t="s">
        <v>56</v>
      </c>
      <c r="S191" s="10">
        <v>0.20450231481481479</v>
      </c>
      <c r="T191" s="9">
        <v>25.9</v>
      </c>
      <c r="U191" s="9">
        <v>8.75</v>
      </c>
      <c r="V191" s="10">
        <v>0.123275462962963</v>
      </c>
      <c r="W191" s="10">
        <v>8.0879629629629635E-2</v>
      </c>
      <c r="X191" s="10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1</v>
      </c>
      <c r="AE191" s="9" t="s">
        <v>57</v>
      </c>
      <c r="AF191" s="9" t="s">
        <v>1666</v>
      </c>
      <c r="AG191" s="9" t="s">
        <v>1667</v>
      </c>
      <c r="AH191" s="9">
        <v>6.2526510000000002</v>
      </c>
      <c r="AI191" s="9">
        <v>-75.609696999999997</v>
      </c>
      <c r="AJ191" s="9" t="s">
        <v>1668</v>
      </c>
      <c r="AK191" s="9">
        <v>6.2434329999999996</v>
      </c>
      <c r="AL191" s="9">
        <v>-75.602992999999998</v>
      </c>
      <c r="AM191" s="26">
        <f t="shared" si="2"/>
        <v>0.10799768518518518</v>
      </c>
      <c r="AN191" s="9"/>
    </row>
    <row r="192" spans="1:40" ht="15" x14ac:dyDescent="0.25">
      <c r="A192" s="9" t="s">
        <v>1670</v>
      </c>
      <c r="B192" s="9" t="s">
        <v>1671</v>
      </c>
      <c r="C192" s="9" t="s">
        <v>1672</v>
      </c>
      <c r="D192" s="9" t="s">
        <v>1599</v>
      </c>
      <c r="E192" s="9" t="s">
        <v>36</v>
      </c>
      <c r="F192" s="9" t="s">
        <v>406</v>
      </c>
      <c r="G192" s="9" t="s">
        <v>124</v>
      </c>
      <c r="H192" s="9" t="s">
        <v>125</v>
      </c>
      <c r="I192" s="9" t="s">
        <v>115</v>
      </c>
      <c r="J192" s="9">
        <v>2110</v>
      </c>
      <c r="K192" s="9" t="s">
        <v>1673</v>
      </c>
      <c r="L192" s="9" t="s">
        <v>117</v>
      </c>
      <c r="M192" s="10">
        <v>0.01</v>
      </c>
      <c r="N192" s="9" t="s">
        <v>65</v>
      </c>
      <c r="O192" s="9" t="s">
        <v>1674</v>
      </c>
      <c r="P192" s="9" t="s">
        <v>119</v>
      </c>
      <c r="Q192" s="10">
        <v>3.6168981481481483E-2</v>
      </c>
      <c r="R192" s="9" t="s">
        <v>56</v>
      </c>
      <c r="S192" s="10">
        <v>0.20383101851851851</v>
      </c>
      <c r="T192" s="9">
        <v>26.300999999999998</v>
      </c>
      <c r="U192" s="9">
        <v>7.48</v>
      </c>
      <c r="V192" s="10">
        <v>0.14656250000000001</v>
      </c>
      <c r="W192" s="10">
        <v>7.8009259259259264E-2</v>
      </c>
      <c r="X192" s="10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1</v>
      </c>
      <c r="AE192" s="9" t="s">
        <v>67</v>
      </c>
      <c r="AF192" s="9" t="s">
        <v>1675</v>
      </c>
      <c r="AG192" s="9" t="s">
        <v>1676</v>
      </c>
      <c r="AH192" s="9">
        <v>6.2701349999999998</v>
      </c>
      <c r="AI192" s="9">
        <v>-75.601358000000005</v>
      </c>
      <c r="AJ192" s="9" t="s">
        <v>1677</v>
      </c>
      <c r="AK192" s="9">
        <v>6.2463579999999999</v>
      </c>
      <c r="AL192" s="9">
        <v>-75.604612000000003</v>
      </c>
      <c r="AM192" s="26">
        <f t="shared" si="2"/>
        <v>3.6168981481481483E-2</v>
      </c>
      <c r="AN192" s="9"/>
    </row>
    <row r="193" spans="1:40" ht="15" x14ac:dyDescent="0.25">
      <c r="A193" s="9" t="s">
        <v>1678</v>
      </c>
      <c r="B193" s="9" t="s">
        <v>1679</v>
      </c>
      <c r="C193" s="9" t="s">
        <v>1680</v>
      </c>
      <c r="D193" s="9" t="s">
        <v>1599</v>
      </c>
      <c r="E193" s="9" t="s">
        <v>36</v>
      </c>
      <c r="F193" s="9" t="s">
        <v>406</v>
      </c>
      <c r="G193" s="9" t="s">
        <v>124</v>
      </c>
      <c r="H193" s="9" t="s">
        <v>125</v>
      </c>
      <c r="I193" s="9" t="s">
        <v>115</v>
      </c>
      <c r="J193" s="9">
        <v>3418</v>
      </c>
      <c r="K193" s="9" t="s">
        <v>1681</v>
      </c>
      <c r="L193" s="9" t="s">
        <v>117</v>
      </c>
      <c r="M193" s="10">
        <v>0.18044956018518521</v>
      </c>
      <c r="N193" s="9" t="s">
        <v>43</v>
      </c>
      <c r="O193" s="9" t="s">
        <v>1682</v>
      </c>
      <c r="P193" s="9" t="s">
        <v>119</v>
      </c>
      <c r="Q193" s="10">
        <v>9.5990509259259258E-3</v>
      </c>
      <c r="R193" s="9" t="s">
        <v>46</v>
      </c>
      <c r="S193" s="10">
        <v>7.9149490740740736E-2</v>
      </c>
      <c r="T193" s="9">
        <v>16.713999999999999</v>
      </c>
      <c r="U193" s="9">
        <v>19.91</v>
      </c>
      <c r="V193" s="10">
        <v>3.4982083333333337E-2</v>
      </c>
      <c r="W193" s="10">
        <v>2.1908865740740739E-2</v>
      </c>
      <c r="X193" s="10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1</v>
      </c>
      <c r="AE193" s="9" t="s">
        <v>47</v>
      </c>
      <c r="AF193" s="9" t="s">
        <v>1683</v>
      </c>
      <c r="AG193" s="9" t="s">
        <v>1684</v>
      </c>
      <c r="AH193" s="9">
        <v>6.2513550000000002</v>
      </c>
      <c r="AI193" s="9">
        <v>-75.607427999999999</v>
      </c>
      <c r="AJ193" s="9" t="s">
        <v>1685</v>
      </c>
      <c r="AK193" s="9">
        <v>6.2725660000000003</v>
      </c>
      <c r="AL193" s="9">
        <v>-75.602164000000002</v>
      </c>
      <c r="AM193" s="26">
        <f t="shared" si="2"/>
        <v>0.18044956018518521</v>
      </c>
      <c r="AN193" s="9" t="s">
        <v>1725</v>
      </c>
    </row>
    <row r="194" spans="1:40" ht="15" x14ac:dyDescent="0.25">
      <c r="A194" s="9" t="s">
        <v>1686</v>
      </c>
      <c r="B194" s="9" t="s">
        <v>1687</v>
      </c>
      <c r="C194" s="9" t="s">
        <v>1688</v>
      </c>
      <c r="D194" s="9" t="s">
        <v>1599</v>
      </c>
      <c r="E194" s="9" t="s">
        <v>36</v>
      </c>
      <c r="F194" s="9" t="s">
        <v>406</v>
      </c>
      <c r="G194" s="9" t="s">
        <v>135</v>
      </c>
      <c r="H194" s="9" t="s">
        <v>136</v>
      </c>
      <c r="I194" s="9" t="s">
        <v>115</v>
      </c>
      <c r="J194" s="9">
        <v>1869</v>
      </c>
      <c r="K194" s="9" t="s">
        <v>1689</v>
      </c>
      <c r="L194" s="9" t="s">
        <v>117</v>
      </c>
      <c r="M194" s="10">
        <v>1.8518518518518519E-3</v>
      </c>
      <c r="N194" s="9" t="s">
        <v>65</v>
      </c>
      <c r="O194" s="9" t="s">
        <v>1690</v>
      </c>
      <c r="P194" s="9" t="s">
        <v>119</v>
      </c>
      <c r="Q194" s="10">
        <v>1.0706018518518519E-2</v>
      </c>
      <c r="R194" s="9" t="s">
        <v>56</v>
      </c>
      <c r="S194" s="10">
        <v>0.2374421296296296</v>
      </c>
      <c r="T194" s="9">
        <v>34.732999999999997</v>
      </c>
      <c r="U194" s="9">
        <v>19.53</v>
      </c>
      <c r="V194" s="10">
        <v>7.4097222222222217E-2</v>
      </c>
      <c r="W194" s="10">
        <v>3.2002314814814817E-2</v>
      </c>
      <c r="X194" s="10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3</v>
      </c>
      <c r="AE194" s="9" t="s">
        <v>67</v>
      </c>
      <c r="AF194" s="9" t="s">
        <v>1691</v>
      </c>
      <c r="AG194" s="9" t="s">
        <v>1692</v>
      </c>
      <c r="AH194" s="9">
        <v>6.2719529999999999</v>
      </c>
      <c r="AI194" s="9">
        <v>-75.540672999999998</v>
      </c>
      <c r="AJ194" s="9" t="s">
        <v>1693</v>
      </c>
      <c r="AK194" s="9">
        <v>6.2644299999999999</v>
      </c>
      <c r="AL194" s="9">
        <v>-75.570660000000004</v>
      </c>
      <c r="AM194" s="26">
        <f t="shared" si="2"/>
        <v>1.0706018518518519E-2</v>
      </c>
      <c r="AN194" s="9"/>
    </row>
    <row r="195" spans="1:40" ht="15" x14ac:dyDescent="0.25">
      <c r="A195" s="9" t="s">
        <v>1694</v>
      </c>
      <c r="B195" s="9" t="s">
        <v>1695</v>
      </c>
      <c r="C195" s="9" t="s">
        <v>1696</v>
      </c>
      <c r="D195" s="9" t="s">
        <v>1599</v>
      </c>
      <c r="E195" s="9" t="s">
        <v>36</v>
      </c>
      <c r="F195" s="9" t="s">
        <v>406</v>
      </c>
      <c r="G195" s="9" t="s">
        <v>144</v>
      </c>
      <c r="H195" s="9" t="s">
        <v>145</v>
      </c>
      <c r="I195" s="9" t="s">
        <v>115</v>
      </c>
      <c r="J195" s="9">
        <v>7141</v>
      </c>
      <c r="K195" s="9" t="s">
        <v>1697</v>
      </c>
      <c r="L195" s="9" t="s">
        <v>117</v>
      </c>
      <c r="M195" s="10">
        <v>1.9467592592592588E-2</v>
      </c>
      <c r="N195" s="9" t="s">
        <v>127</v>
      </c>
      <c r="O195" s="9" t="s">
        <v>1698</v>
      </c>
      <c r="P195" s="9" t="s">
        <v>119</v>
      </c>
      <c r="Q195" s="10">
        <v>1.5127314814814821E-2</v>
      </c>
      <c r="R195" s="9" t="s">
        <v>129</v>
      </c>
      <c r="S195" s="10">
        <v>0.28459490740740739</v>
      </c>
      <c r="T195" s="9">
        <v>95.653000000000006</v>
      </c>
      <c r="U195" s="9">
        <v>18.7</v>
      </c>
      <c r="V195" s="10">
        <v>0.21315972222222221</v>
      </c>
      <c r="W195" s="10">
        <v>4.5879629629629631E-2</v>
      </c>
      <c r="X195" s="10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 t="s">
        <v>130</v>
      </c>
      <c r="AF195" s="9" t="s">
        <v>1699</v>
      </c>
      <c r="AG195" s="9" t="s">
        <v>1700</v>
      </c>
      <c r="AH195" s="9">
        <v>6.2903630000000001</v>
      </c>
      <c r="AI195" s="9">
        <v>-75.546538999999996</v>
      </c>
      <c r="AJ195" s="9" t="s">
        <v>1701</v>
      </c>
      <c r="AK195" s="9">
        <v>6.2903770000000003</v>
      </c>
      <c r="AL195" s="9">
        <v>-75.546586000000005</v>
      </c>
      <c r="AM195" s="26">
        <f t="shared" ref="AM195:AM258" si="3">IF(N195="INICIO TARDÍO",M195,0)+IF(R195="TERMINÓ ANTES",Q195,0)</f>
        <v>0</v>
      </c>
      <c r="AN195" s="9"/>
    </row>
    <row r="196" spans="1:40" ht="15" x14ac:dyDescent="0.25">
      <c r="A196" s="9" t="s">
        <v>1702</v>
      </c>
      <c r="B196" s="9" t="s">
        <v>1703</v>
      </c>
      <c r="C196" s="9" t="s">
        <v>1704</v>
      </c>
      <c r="D196" s="9" t="s">
        <v>1599</v>
      </c>
      <c r="E196" s="9" t="s">
        <v>36</v>
      </c>
      <c r="F196" s="9" t="s">
        <v>406</v>
      </c>
      <c r="G196" s="9" t="s">
        <v>152</v>
      </c>
      <c r="H196" s="9" t="s">
        <v>153</v>
      </c>
      <c r="I196" s="9" t="s">
        <v>115</v>
      </c>
      <c r="J196" s="9">
        <v>1651</v>
      </c>
      <c r="K196" s="9" t="s">
        <v>1705</v>
      </c>
      <c r="L196" s="9" t="s">
        <v>117</v>
      </c>
      <c r="M196" s="10">
        <v>1.1458333333333329E-3</v>
      </c>
      <c r="N196" s="9" t="s">
        <v>65</v>
      </c>
      <c r="O196" s="9" t="s">
        <v>1706</v>
      </c>
      <c r="P196" s="9" t="s">
        <v>119</v>
      </c>
      <c r="Q196" s="10">
        <v>6.9444444444444447E-4</v>
      </c>
      <c r="R196" s="9" t="s">
        <v>46</v>
      </c>
      <c r="S196" s="10">
        <v>0.2504513888888889</v>
      </c>
      <c r="T196" s="9">
        <v>19.93</v>
      </c>
      <c r="U196" s="9">
        <v>3.93</v>
      </c>
      <c r="V196" s="10">
        <v>0.21122685185185189</v>
      </c>
      <c r="W196" s="10">
        <v>0.1576967592592593</v>
      </c>
      <c r="X196" s="10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1</v>
      </c>
      <c r="AE196" s="9" t="s">
        <v>84</v>
      </c>
      <c r="AF196" s="9" t="s">
        <v>324</v>
      </c>
      <c r="AG196" s="9" t="s">
        <v>1707</v>
      </c>
      <c r="AH196" s="9">
        <v>6.2524670000000002</v>
      </c>
      <c r="AI196" s="9">
        <v>-75.551827000000003</v>
      </c>
      <c r="AJ196" s="9" t="s">
        <v>1708</v>
      </c>
      <c r="AK196" s="9">
        <v>6.2518120000000001</v>
      </c>
      <c r="AL196" s="9">
        <v>-75.551810000000003</v>
      </c>
      <c r="AM196" s="26">
        <f t="shared" si="3"/>
        <v>0</v>
      </c>
      <c r="AN196" s="9"/>
    </row>
    <row r="197" spans="1:40" ht="15" x14ac:dyDescent="0.25">
      <c r="A197" s="9" t="s">
        <v>1709</v>
      </c>
      <c r="B197" s="9" t="s">
        <v>1710</v>
      </c>
      <c r="C197" s="9" t="s">
        <v>1711</v>
      </c>
      <c r="D197" s="9" t="s">
        <v>1599</v>
      </c>
      <c r="E197" s="9" t="s">
        <v>36</v>
      </c>
      <c r="F197" s="9" t="s">
        <v>406</v>
      </c>
      <c r="G197" s="9" t="s">
        <v>160</v>
      </c>
      <c r="H197" s="9" t="s">
        <v>161</v>
      </c>
      <c r="I197" s="9" t="s">
        <v>115</v>
      </c>
      <c r="J197" s="9">
        <v>11062</v>
      </c>
      <c r="K197" s="9" t="s">
        <v>1712</v>
      </c>
      <c r="L197" s="9" t="s">
        <v>117</v>
      </c>
      <c r="M197" s="10">
        <v>2.2600856481481479E-2</v>
      </c>
      <c r="N197" s="9" t="s">
        <v>127</v>
      </c>
      <c r="O197" s="9" t="s">
        <v>1713</v>
      </c>
      <c r="P197" s="9" t="s">
        <v>119</v>
      </c>
      <c r="Q197" s="10">
        <v>5.5555555555555556E-4</v>
      </c>
      <c r="R197" s="9" t="s">
        <v>46</v>
      </c>
      <c r="S197" s="10">
        <v>0.27315641203703711</v>
      </c>
      <c r="T197" s="9">
        <v>54.726999999999997</v>
      </c>
      <c r="U197" s="9">
        <v>12.98</v>
      </c>
      <c r="V197" s="10">
        <v>0.17561365740740739</v>
      </c>
      <c r="W197" s="10">
        <v>0.1248032407407407</v>
      </c>
      <c r="X197" s="10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2</v>
      </c>
      <c r="AE197" s="9" t="s">
        <v>139</v>
      </c>
      <c r="AF197" s="9" t="s">
        <v>1714</v>
      </c>
      <c r="AG197" s="9" t="s">
        <v>1715</v>
      </c>
      <c r="AH197" s="9">
        <v>6.2689079999999997</v>
      </c>
      <c r="AI197" s="9">
        <v>-75.598983000000004</v>
      </c>
      <c r="AJ197" s="9" t="s">
        <v>1716</v>
      </c>
      <c r="AK197" s="9">
        <v>6.2397520000000002</v>
      </c>
      <c r="AL197" s="9">
        <v>-75.575770000000006</v>
      </c>
      <c r="AM197" s="26">
        <f t="shared" si="3"/>
        <v>0</v>
      </c>
      <c r="AN197" s="9"/>
    </row>
    <row r="198" spans="1:40" ht="15" x14ac:dyDescent="0.25">
      <c r="A198" s="9" t="s">
        <v>1717</v>
      </c>
      <c r="B198" s="9" t="s">
        <v>1718</v>
      </c>
      <c r="C198" s="9" t="s">
        <v>1719</v>
      </c>
      <c r="D198" s="9" t="s">
        <v>1663</v>
      </c>
      <c r="E198" s="9" t="s">
        <v>36</v>
      </c>
      <c r="F198" s="9" t="s">
        <v>455</v>
      </c>
      <c r="G198" s="9" t="s">
        <v>52</v>
      </c>
      <c r="H198" s="9" t="s">
        <v>53</v>
      </c>
      <c r="I198" s="9" t="s">
        <v>115</v>
      </c>
      <c r="J198" s="9">
        <v>1907</v>
      </c>
      <c r="K198" s="9" t="s">
        <v>1720</v>
      </c>
      <c r="L198" s="9" t="s">
        <v>117</v>
      </c>
      <c r="M198" s="10">
        <v>1.621527777777778E-2</v>
      </c>
      <c r="N198" s="9" t="s">
        <v>43</v>
      </c>
      <c r="O198" s="9" t="s">
        <v>1721</v>
      </c>
      <c r="P198" s="9" t="s">
        <v>119</v>
      </c>
      <c r="Q198" s="10">
        <v>3.668981481481481E-3</v>
      </c>
      <c r="R198" s="9" t="s">
        <v>46</v>
      </c>
      <c r="S198" s="10">
        <v>0.23745370370370369</v>
      </c>
      <c r="T198" s="9">
        <v>25.712</v>
      </c>
      <c r="U198" s="9">
        <v>7.32</v>
      </c>
      <c r="V198" s="10">
        <v>0.1464236111111111</v>
      </c>
      <c r="W198" s="10">
        <v>0.1012268518518518</v>
      </c>
      <c r="X198" s="10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 t="s">
        <v>47</v>
      </c>
      <c r="AF198" s="9" t="s">
        <v>1722</v>
      </c>
      <c r="AG198" s="9" t="s">
        <v>1723</v>
      </c>
      <c r="AH198" s="9">
        <v>6.2477510000000001</v>
      </c>
      <c r="AI198" s="9">
        <v>-75.614997000000002</v>
      </c>
      <c r="AJ198" s="9" t="s">
        <v>1724</v>
      </c>
      <c r="AK198" s="9">
        <v>6.2476419999999999</v>
      </c>
      <c r="AL198" s="9">
        <v>-75.614914999999996</v>
      </c>
      <c r="AM198" s="26">
        <f t="shared" si="3"/>
        <v>1.621527777777778E-2</v>
      </c>
      <c r="AN198" s="9"/>
    </row>
    <row r="199" spans="1:40" ht="15" x14ac:dyDescent="0.25">
      <c r="A199" s="9" t="s">
        <v>1726</v>
      </c>
      <c r="B199" s="9" t="s">
        <v>1727</v>
      </c>
      <c r="C199" s="9" t="s">
        <v>1728</v>
      </c>
      <c r="D199" s="9" t="s">
        <v>1729</v>
      </c>
      <c r="E199" s="9" t="s">
        <v>36</v>
      </c>
      <c r="F199" s="9" t="s">
        <v>508</v>
      </c>
      <c r="G199" s="9" t="s">
        <v>38</v>
      </c>
      <c r="H199" s="9" t="s">
        <v>39</v>
      </c>
      <c r="I199" s="9" t="s">
        <v>40</v>
      </c>
      <c r="J199" s="9">
        <v>5940</v>
      </c>
      <c r="K199" s="9" t="s">
        <v>1730</v>
      </c>
      <c r="L199" s="9" t="s">
        <v>42</v>
      </c>
      <c r="M199" s="10">
        <v>3.4527638888888892E-2</v>
      </c>
      <c r="N199" s="9" t="s">
        <v>43</v>
      </c>
      <c r="O199" s="9" t="s">
        <v>1731</v>
      </c>
      <c r="P199" s="9" t="s">
        <v>45</v>
      </c>
      <c r="Q199" s="10">
        <v>1.3615277777777779E-3</v>
      </c>
      <c r="R199" s="9" t="s">
        <v>46</v>
      </c>
      <c r="S199" s="10">
        <v>0.30016722222222231</v>
      </c>
      <c r="T199" s="9">
        <v>46.2</v>
      </c>
      <c r="U199" s="9">
        <v>18.46</v>
      </c>
      <c r="V199" s="10">
        <v>0.1042935185185186</v>
      </c>
      <c r="W199" s="10">
        <v>4.9700833333333333E-2</v>
      </c>
      <c r="X199" s="10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7</v>
      </c>
      <c r="AE199" s="9" t="s">
        <v>47</v>
      </c>
      <c r="AF199" s="9" t="s">
        <v>1732</v>
      </c>
      <c r="AG199" s="9" t="s">
        <v>1733</v>
      </c>
      <c r="AH199" s="9">
        <v>6.2158550000000004</v>
      </c>
      <c r="AI199" s="9">
        <v>-75.597796000000002</v>
      </c>
      <c r="AJ199" s="9" t="s">
        <v>1734</v>
      </c>
      <c r="AK199" s="9">
        <v>6.2321109999999997</v>
      </c>
      <c r="AL199" s="9">
        <v>-75.597014000000001</v>
      </c>
      <c r="AM199" s="26">
        <f t="shared" si="3"/>
        <v>3.4527638888888892E-2</v>
      </c>
      <c r="AN199" s="9"/>
    </row>
    <row r="200" spans="1:40" ht="15" x14ac:dyDescent="0.25">
      <c r="A200" s="9" t="s">
        <v>1735</v>
      </c>
      <c r="B200" s="9" t="s">
        <v>1736</v>
      </c>
      <c r="C200" s="9" t="s">
        <v>1737</v>
      </c>
      <c r="D200" s="9" t="s">
        <v>1729</v>
      </c>
      <c r="E200" s="9" t="s">
        <v>36</v>
      </c>
      <c r="F200" s="9" t="s">
        <v>508</v>
      </c>
      <c r="G200" s="9" t="s">
        <v>52</v>
      </c>
      <c r="H200" s="9" t="s">
        <v>53</v>
      </c>
      <c r="I200" s="9" t="s">
        <v>40</v>
      </c>
      <c r="J200" s="9">
        <v>2849</v>
      </c>
      <c r="K200" s="9" t="s">
        <v>1738</v>
      </c>
      <c r="L200" s="9" t="s">
        <v>42</v>
      </c>
      <c r="M200" s="10">
        <v>4.0509259259259258E-4</v>
      </c>
      <c r="N200" s="9" t="s">
        <v>65</v>
      </c>
      <c r="O200" s="9" t="s">
        <v>1739</v>
      </c>
      <c r="P200" s="9" t="s">
        <v>45</v>
      </c>
      <c r="Q200" s="10">
        <v>7.0601851851851847E-4</v>
      </c>
      <c r="R200" s="9" t="s">
        <v>46</v>
      </c>
      <c r="S200" s="10">
        <v>0.33363425925925932</v>
      </c>
      <c r="T200" s="9">
        <v>37.97</v>
      </c>
      <c r="U200" s="9">
        <v>5.67</v>
      </c>
      <c r="V200" s="10">
        <v>0.27901620370370372</v>
      </c>
      <c r="W200" s="10">
        <v>0.22410879629629629</v>
      </c>
      <c r="X200" s="10">
        <v>7.9745370370370369E-3</v>
      </c>
      <c r="Y200" s="9">
        <v>1</v>
      </c>
      <c r="Z200" s="9">
        <v>0</v>
      </c>
      <c r="AA200" s="9">
        <v>0</v>
      </c>
      <c r="AB200" s="9">
        <v>0</v>
      </c>
      <c r="AC200" s="9">
        <v>0</v>
      </c>
      <c r="AD200" s="9">
        <v>3</v>
      </c>
      <c r="AE200" s="9" t="s">
        <v>84</v>
      </c>
      <c r="AF200" s="9" t="s">
        <v>1740</v>
      </c>
      <c r="AG200" s="9" t="s">
        <v>1741</v>
      </c>
      <c r="AH200" s="9">
        <v>6.2255570000000002</v>
      </c>
      <c r="AI200" s="9">
        <v>-75.599429000000001</v>
      </c>
      <c r="AJ200" s="9" t="s">
        <v>1742</v>
      </c>
      <c r="AK200" s="9">
        <v>6.2476900000000004</v>
      </c>
      <c r="AL200" s="9">
        <v>-75.614949999999993</v>
      </c>
      <c r="AM200" s="26">
        <f t="shared" si="3"/>
        <v>0</v>
      </c>
      <c r="AN200" s="9"/>
    </row>
    <row r="201" spans="1:40" ht="15" x14ac:dyDescent="0.25">
      <c r="A201" s="9" t="s">
        <v>1743</v>
      </c>
      <c r="B201" s="9" t="s">
        <v>1744</v>
      </c>
      <c r="C201" s="9" t="s">
        <v>1745</v>
      </c>
      <c r="D201" s="9" t="s">
        <v>1729</v>
      </c>
      <c r="E201" s="9" t="s">
        <v>36</v>
      </c>
      <c r="F201" s="9" t="s">
        <v>508</v>
      </c>
      <c r="G201" s="9" t="s">
        <v>113</v>
      </c>
      <c r="H201" s="9" t="s">
        <v>114</v>
      </c>
      <c r="I201" s="9" t="s">
        <v>40</v>
      </c>
      <c r="J201" s="9">
        <v>2438</v>
      </c>
      <c r="K201" s="9" t="s">
        <v>1746</v>
      </c>
      <c r="L201" s="9" t="s">
        <v>42</v>
      </c>
      <c r="M201" s="10">
        <v>3.3101851851851851E-3</v>
      </c>
      <c r="N201" s="9" t="s">
        <v>65</v>
      </c>
      <c r="O201" s="9" t="s">
        <v>1747</v>
      </c>
      <c r="P201" s="9" t="s">
        <v>45</v>
      </c>
      <c r="Q201" s="10">
        <v>5.4664351851851853E-2</v>
      </c>
      <c r="R201" s="9" t="s">
        <v>56</v>
      </c>
      <c r="S201" s="10">
        <v>0.27535879629629628</v>
      </c>
      <c r="T201" s="9">
        <v>31.468</v>
      </c>
      <c r="U201" s="9">
        <v>6.52</v>
      </c>
      <c r="V201" s="10">
        <v>0.20113425925925929</v>
      </c>
      <c r="W201" s="10">
        <v>0.15133101851851849</v>
      </c>
      <c r="X201" s="10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1</v>
      </c>
      <c r="AE201" s="9" t="s">
        <v>67</v>
      </c>
      <c r="AF201" s="9" t="s">
        <v>1748</v>
      </c>
      <c r="AG201" s="9" t="s">
        <v>1749</v>
      </c>
      <c r="AH201" s="9">
        <v>6.2297859999999998</v>
      </c>
      <c r="AI201" s="9">
        <v>-75.602255999999997</v>
      </c>
      <c r="AJ201" s="9" t="s">
        <v>1750</v>
      </c>
      <c r="AK201" s="9">
        <v>6.2506640000000004</v>
      </c>
      <c r="AL201" s="9">
        <v>-75.6023</v>
      </c>
      <c r="AM201" s="26">
        <f t="shared" si="3"/>
        <v>5.4664351851851853E-2</v>
      </c>
      <c r="AN201" s="9"/>
    </row>
    <row r="202" spans="1:40" ht="15" x14ac:dyDescent="0.25">
      <c r="A202" s="9" t="s">
        <v>1751</v>
      </c>
      <c r="B202" s="9" t="s">
        <v>1752</v>
      </c>
      <c r="C202" s="9" t="s">
        <v>1753</v>
      </c>
      <c r="D202" s="9" t="s">
        <v>1729</v>
      </c>
      <c r="E202" s="9" t="s">
        <v>36</v>
      </c>
      <c r="F202" s="9" t="s">
        <v>508</v>
      </c>
      <c r="G202" s="9" t="s">
        <v>62</v>
      </c>
      <c r="H202" s="9" t="s">
        <v>63</v>
      </c>
      <c r="I202" s="9" t="s">
        <v>40</v>
      </c>
      <c r="J202" s="9">
        <v>4843</v>
      </c>
      <c r="K202" s="9" t="s">
        <v>1754</v>
      </c>
      <c r="L202" s="9" t="s">
        <v>42</v>
      </c>
      <c r="M202" s="10">
        <v>6.6319444444444446E-3</v>
      </c>
      <c r="N202" s="9" t="s">
        <v>65</v>
      </c>
      <c r="O202" s="9" t="s">
        <v>1755</v>
      </c>
      <c r="P202" s="9" t="s">
        <v>45</v>
      </c>
      <c r="Q202" s="10">
        <v>8.1099537037037039E-2</v>
      </c>
      <c r="R202" s="9" t="s">
        <v>56</v>
      </c>
      <c r="S202" s="10">
        <v>0.25886574074074081</v>
      </c>
      <c r="T202" s="9">
        <v>62.777000000000001</v>
      </c>
      <c r="U202" s="9">
        <v>13.85</v>
      </c>
      <c r="V202" s="10">
        <v>0.18884259259259259</v>
      </c>
      <c r="W202" s="10">
        <v>6.1122685185185183E-2</v>
      </c>
      <c r="X202" s="10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 t="s">
        <v>67</v>
      </c>
      <c r="AF202" s="9" t="s">
        <v>1756</v>
      </c>
      <c r="AG202" s="9" t="s">
        <v>1757</v>
      </c>
      <c r="AH202" s="9">
        <v>6.2257049999999996</v>
      </c>
      <c r="AI202" s="9">
        <v>-75.599132999999995</v>
      </c>
      <c r="AJ202" s="9" t="s">
        <v>1758</v>
      </c>
      <c r="AK202" s="9">
        <v>6.2726940000000004</v>
      </c>
      <c r="AL202" s="9">
        <v>-75.593395000000001</v>
      </c>
      <c r="AM202" s="26">
        <f t="shared" si="3"/>
        <v>8.1099537037037039E-2</v>
      </c>
      <c r="AN202" s="9"/>
    </row>
    <row r="203" spans="1:40" ht="15" x14ac:dyDescent="0.25">
      <c r="A203" s="9" t="s">
        <v>1759</v>
      </c>
      <c r="B203" s="9" t="s">
        <v>1760</v>
      </c>
      <c r="C203" s="9" t="s">
        <v>1761</v>
      </c>
      <c r="D203" s="9" t="s">
        <v>1729</v>
      </c>
      <c r="E203" s="9" t="s">
        <v>36</v>
      </c>
      <c r="F203" s="9" t="s">
        <v>508</v>
      </c>
      <c r="G203" s="9" t="s">
        <v>72</v>
      </c>
      <c r="H203" s="9" t="s">
        <v>73</v>
      </c>
      <c r="I203" s="9" t="s">
        <v>40</v>
      </c>
      <c r="J203" s="9">
        <v>3629</v>
      </c>
      <c r="K203" s="9" t="s">
        <v>1762</v>
      </c>
      <c r="L203" s="9" t="s">
        <v>42</v>
      </c>
      <c r="M203" s="10">
        <v>4.8148148148148152E-3</v>
      </c>
      <c r="N203" s="9" t="s">
        <v>65</v>
      </c>
      <c r="O203" s="9" t="s">
        <v>1763</v>
      </c>
      <c r="P203" s="9" t="s">
        <v>45</v>
      </c>
      <c r="Q203" s="10">
        <v>0.18442129629629631</v>
      </c>
      <c r="R203" s="9" t="s">
        <v>56</v>
      </c>
      <c r="S203" s="10">
        <v>0.14409722222222221</v>
      </c>
      <c r="T203" s="9">
        <v>48.866</v>
      </c>
      <c r="U203" s="9">
        <v>15.48</v>
      </c>
      <c r="V203" s="10">
        <v>0.13149305555555549</v>
      </c>
      <c r="W203" s="10">
        <v>4.3900462962962961E-2</v>
      </c>
      <c r="X203" s="10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 t="s">
        <v>67</v>
      </c>
      <c r="AF203" s="9" t="s">
        <v>1764</v>
      </c>
      <c r="AG203" s="9" t="s">
        <v>1765</v>
      </c>
      <c r="AH203" s="9">
        <v>6.2258690000000003</v>
      </c>
      <c r="AI203" s="9">
        <v>-75.599106000000006</v>
      </c>
      <c r="AJ203" s="9" t="s">
        <v>1766</v>
      </c>
      <c r="AK203" s="9">
        <v>6.2392440000000002</v>
      </c>
      <c r="AL203" s="9">
        <v>-75.561041000000003</v>
      </c>
      <c r="AM203" s="26">
        <f t="shared" si="3"/>
        <v>0.18442129629629631</v>
      </c>
      <c r="AN203" s="9"/>
    </row>
    <row r="204" spans="1:40" ht="15" x14ac:dyDescent="0.25">
      <c r="A204" s="9" t="s">
        <v>1767</v>
      </c>
      <c r="B204" s="9" t="s">
        <v>1768</v>
      </c>
      <c r="C204" s="9" t="s">
        <v>1769</v>
      </c>
      <c r="D204" s="9" t="s">
        <v>1729</v>
      </c>
      <c r="E204" s="9" t="s">
        <v>36</v>
      </c>
      <c r="F204" s="9" t="s">
        <v>508</v>
      </c>
      <c r="G204" s="9" t="s">
        <v>80</v>
      </c>
      <c r="H204" s="9" t="s">
        <v>81</v>
      </c>
      <c r="I204" s="9" t="s">
        <v>40</v>
      </c>
      <c r="J204" s="9">
        <v>6889</v>
      </c>
      <c r="K204" s="9" t="s">
        <v>1770</v>
      </c>
      <c r="L204" s="9" t="s">
        <v>42</v>
      </c>
      <c r="M204" s="10">
        <v>5.1966435185185188E-3</v>
      </c>
      <c r="N204" s="9" t="s">
        <v>65</v>
      </c>
      <c r="O204" s="9" t="s">
        <v>1771</v>
      </c>
      <c r="P204" s="9" t="s">
        <v>45</v>
      </c>
      <c r="Q204" s="10">
        <v>9.4578240740740734E-3</v>
      </c>
      <c r="R204" s="9" t="s">
        <v>46</v>
      </c>
      <c r="S204" s="10">
        <v>0.33759451388888889</v>
      </c>
      <c r="T204" s="9">
        <v>50.584000000000003</v>
      </c>
      <c r="U204" s="9">
        <v>20.420000000000002</v>
      </c>
      <c r="V204" s="10">
        <v>0.10319652777777751</v>
      </c>
      <c r="W204" s="10">
        <v>4.3017199074074072E-2</v>
      </c>
      <c r="X204" s="10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13</v>
      </c>
      <c r="AE204" s="9" t="s">
        <v>84</v>
      </c>
      <c r="AF204" s="9" t="s">
        <v>334</v>
      </c>
      <c r="AG204" s="9" t="s">
        <v>1772</v>
      </c>
      <c r="AH204" s="9">
        <v>6.2256030000000004</v>
      </c>
      <c r="AI204" s="9">
        <v>-75.599496000000002</v>
      </c>
      <c r="AJ204" s="9" t="s">
        <v>1773</v>
      </c>
      <c r="AK204" s="9">
        <v>6.2592670000000004</v>
      </c>
      <c r="AL204" s="9">
        <v>-75.620907000000003</v>
      </c>
      <c r="AM204" s="26">
        <f t="shared" si="3"/>
        <v>0</v>
      </c>
      <c r="AN204" s="9"/>
    </row>
    <row r="205" spans="1:40" ht="15" x14ac:dyDescent="0.25">
      <c r="A205" s="9" t="s">
        <v>1774</v>
      </c>
      <c r="B205" s="9" t="s">
        <v>1775</v>
      </c>
      <c r="C205" s="9" t="s">
        <v>1776</v>
      </c>
      <c r="D205" s="9" t="s">
        <v>1729</v>
      </c>
      <c r="E205" s="9" t="s">
        <v>36</v>
      </c>
      <c r="F205" s="9" t="s">
        <v>508</v>
      </c>
      <c r="G205" s="9" t="s">
        <v>89</v>
      </c>
      <c r="H205" s="9" t="s">
        <v>90</v>
      </c>
      <c r="I205" s="9" t="s">
        <v>40</v>
      </c>
      <c r="J205" s="9">
        <v>6424</v>
      </c>
      <c r="K205" s="9" t="s">
        <v>1777</v>
      </c>
      <c r="L205" s="9" t="s">
        <v>42</v>
      </c>
      <c r="M205" s="10">
        <v>4.0162037037037041E-3</v>
      </c>
      <c r="N205" s="9" t="s">
        <v>65</v>
      </c>
      <c r="O205" s="9" t="s">
        <v>1778</v>
      </c>
      <c r="P205" s="9" t="s">
        <v>45</v>
      </c>
      <c r="Q205" s="10">
        <v>4.9305555555555552E-3</v>
      </c>
      <c r="R205" s="9" t="s">
        <v>46</v>
      </c>
      <c r="S205" s="10">
        <v>0.34228009259259262</v>
      </c>
      <c r="T205" s="9">
        <v>86.244</v>
      </c>
      <c r="U205" s="9">
        <v>13.99</v>
      </c>
      <c r="V205" s="10">
        <v>0.25685185185185178</v>
      </c>
      <c r="W205" s="10">
        <v>0.10101851851851849</v>
      </c>
      <c r="X205" s="10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 t="s">
        <v>84</v>
      </c>
      <c r="AF205" s="9" t="s">
        <v>352</v>
      </c>
      <c r="AG205" s="9" t="s">
        <v>1779</v>
      </c>
      <c r="AH205" s="9">
        <v>6.2266450000000004</v>
      </c>
      <c r="AI205" s="9">
        <v>-75.599253000000004</v>
      </c>
      <c r="AJ205" s="9" t="s">
        <v>1780</v>
      </c>
      <c r="AK205" s="9">
        <v>6.2791980000000001</v>
      </c>
      <c r="AL205" s="9">
        <v>-75.569199999999995</v>
      </c>
      <c r="AM205" s="26">
        <f t="shared" si="3"/>
        <v>0</v>
      </c>
      <c r="AN205" s="9"/>
    </row>
    <row r="206" spans="1:40" ht="15" x14ac:dyDescent="0.25">
      <c r="A206" s="9" t="s">
        <v>1781</v>
      </c>
      <c r="B206" s="9" t="s">
        <v>1782</v>
      </c>
      <c r="C206" s="9" t="s">
        <v>1783</v>
      </c>
      <c r="D206" s="9" t="s">
        <v>1729</v>
      </c>
      <c r="E206" s="9" t="s">
        <v>36</v>
      </c>
      <c r="F206" s="9" t="s">
        <v>508</v>
      </c>
      <c r="G206" s="9" t="s">
        <v>97</v>
      </c>
      <c r="H206" s="9" t="s">
        <v>98</v>
      </c>
      <c r="I206" s="9" t="s">
        <v>40</v>
      </c>
      <c r="J206" s="9">
        <v>3387</v>
      </c>
      <c r="K206" s="9" t="s">
        <v>1784</v>
      </c>
      <c r="L206" s="9" t="s">
        <v>42</v>
      </c>
      <c r="M206" s="10">
        <v>2.673611111111111E-3</v>
      </c>
      <c r="N206" s="9" t="s">
        <v>65</v>
      </c>
      <c r="O206" s="9" t="s">
        <v>1785</v>
      </c>
      <c r="P206" s="9" t="s">
        <v>45</v>
      </c>
      <c r="Q206" s="10">
        <v>1.532407407407407E-2</v>
      </c>
      <c r="R206" s="9" t="s">
        <v>56</v>
      </c>
      <c r="S206" s="10">
        <v>0.32068287037037041</v>
      </c>
      <c r="T206" s="9">
        <v>44.941000000000003</v>
      </c>
      <c r="U206" s="9">
        <v>10.050000000000001</v>
      </c>
      <c r="V206" s="10">
        <v>0.18630787037037039</v>
      </c>
      <c r="W206" s="10">
        <v>0.1088078703703704</v>
      </c>
      <c r="X206" s="10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1</v>
      </c>
      <c r="AE206" s="9" t="s">
        <v>67</v>
      </c>
      <c r="AF206" s="9" t="s">
        <v>1786</v>
      </c>
      <c r="AG206" s="9" t="s">
        <v>1787</v>
      </c>
      <c r="AH206" s="9">
        <v>6.2255330000000004</v>
      </c>
      <c r="AI206" s="9">
        <v>-75.599530000000001</v>
      </c>
      <c r="AJ206" s="9" t="s">
        <v>1788</v>
      </c>
      <c r="AK206" s="9">
        <v>6.305275</v>
      </c>
      <c r="AL206" s="9">
        <v>-75.581861000000004</v>
      </c>
      <c r="AM206" s="26">
        <f t="shared" si="3"/>
        <v>1.532407407407407E-2</v>
      </c>
      <c r="AN206" s="9"/>
    </row>
    <row r="207" spans="1:40" ht="15" x14ac:dyDescent="0.25">
      <c r="A207" s="9" t="s">
        <v>1789</v>
      </c>
      <c r="B207" s="9" t="s">
        <v>1790</v>
      </c>
      <c r="C207" s="9" t="s">
        <v>1791</v>
      </c>
      <c r="D207" s="9" t="s">
        <v>1729</v>
      </c>
      <c r="E207" s="9" t="s">
        <v>36</v>
      </c>
      <c r="F207" s="9" t="s">
        <v>508</v>
      </c>
      <c r="G207" s="9" t="s">
        <v>105</v>
      </c>
      <c r="H207" s="9" t="s">
        <v>106</v>
      </c>
      <c r="I207" s="9" t="s">
        <v>40</v>
      </c>
      <c r="J207" s="9">
        <v>2857</v>
      </c>
      <c r="K207" s="9" t="s">
        <v>1792</v>
      </c>
      <c r="L207" s="9" t="s">
        <v>42</v>
      </c>
      <c r="M207" s="10">
        <v>1.6203703703703699E-2</v>
      </c>
      <c r="N207" s="9" t="s">
        <v>43</v>
      </c>
      <c r="O207" s="9" t="s">
        <v>1793</v>
      </c>
      <c r="P207" s="9" t="s">
        <v>45</v>
      </c>
      <c r="Q207" s="10">
        <v>3.2291666666666671E-3</v>
      </c>
      <c r="R207" s="9" t="s">
        <v>46</v>
      </c>
      <c r="S207" s="10">
        <v>0.32035879629629632</v>
      </c>
      <c r="T207" s="9">
        <v>39.404000000000003</v>
      </c>
      <c r="U207" s="9">
        <v>7.43</v>
      </c>
      <c r="V207" s="10">
        <v>0.22092592592592589</v>
      </c>
      <c r="W207" s="10">
        <v>0.16953703703703699</v>
      </c>
      <c r="X207" s="10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2</v>
      </c>
      <c r="AE207" s="9" t="s">
        <v>47</v>
      </c>
      <c r="AF207" s="9" t="s">
        <v>1794</v>
      </c>
      <c r="AG207" s="9" t="s">
        <v>1795</v>
      </c>
      <c r="AH207" s="9">
        <v>6.2255409999999998</v>
      </c>
      <c r="AI207" s="9">
        <v>-75.599001000000001</v>
      </c>
      <c r="AJ207" s="9" t="s">
        <v>1796</v>
      </c>
      <c r="AK207" s="9">
        <v>6.2583460000000004</v>
      </c>
      <c r="AL207" s="9">
        <v>-75.615843999999996</v>
      </c>
      <c r="AM207" s="26">
        <f t="shared" si="3"/>
        <v>1.6203703703703699E-2</v>
      </c>
      <c r="AN207" s="9"/>
    </row>
    <row r="208" spans="1:40" ht="15" x14ac:dyDescent="0.25">
      <c r="A208" s="9" t="s">
        <v>1797</v>
      </c>
      <c r="B208" s="9" t="s">
        <v>1798</v>
      </c>
      <c r="C208" s="9" t="s">
        <v>1799</v>
      </c>
      <c r="D208" s="9" t="s">
        <v>1729</v>
      </c>
      <c r="E208" s="9" t="s">
        <v>36</v>
      </c>
      <c r="F208" s="9" t="s">
        <v>508</v>
      </c>
      <c r="G208" s="9" t="s">
        <v>124</v>
      </c>
      <c r="H208" s="9" t="s">
        <v>125</v>
      </c>
      <c r="I208" s="9" t="s">
        <v>115</v>
      </c>
      <c r="J208" s="9">
        <v>6533</v>
      </c>
      <c r="K208" s="9" t="s">
        <v>1800</v>
      </c>
      <c r="L208" s="9" t="s">
        <v>117</v>
      </c>
      <c r="M208" s="10">
        <v>4.884259259259259E-2</v>
      </c>
      <c r="N208" s="9" t="s">
        <v>127</v>
      </c>
      <c r="O208" s="9" t="s">
        <v>1801</v>
      </c>
      <c r="P208" s="9" t="s">
        <v>119</v>
      </c>
      <c r="Q208" s="10">
        <v>1.361111111111111E-2</v>
      </c>
      <c r="R208" s="9" t="s">
        <v>129</v>
      </c>
      <c r="S208" s="10">
        <v>0.31245370370370368</v>
      </c>
      <c r="T208" s="9">
        <v>88.581999999999994</v>
      </c>
      <c r="U208" s="9">
        <v>16.45</v>
      </c>
      <c r="V208" s="10">
        <v>0.22439814814814821</v>
      </c>
      <c r="W208" s="10">
        <v>5.6400462962962958E-2</v>
      </c>
      <c r="X208" s="10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 t="s">
        <v>130</v>
      </c>
      <c r="AF208" s="9" t="s">
        <v>1802</v>
      </c>
      <c r="AG208" s="9" t="s">
        <v>1803</v>
      </c>
      <c r="AH208" s="9">
        <v>6.2303579999999998</v>
      </c>
      <c r="AI208" s="9">
        <v>-75.596035999999998</v>
      </c>
      <c r="AJ208" s="9" t="s">
        <v>1804</v>
      </c>
      <c r="AK208" s="9">
        <v>6.2726850000000001</v>
      </c>
      <c r="AL208" s="9">
        <v>-75.601995000000002</v>
      </c>
      <c r="AM208" s="26">
        <f t="shared" si="3"/>
        <v>0</v>
      </c>
      <c r="AN208" s="9"/>
    </row>
    <row r="209" spans="1:40" ht="15" x14ac:dyDescent="0.25">
      <c r="A209" s="9" t="s">
        <v>1805</v>
      </c>
      <c r="B209" s="9" t="s">
        <v>1806</v>
      </c>
      <c r="C209" s="9" t="s">
        <v>1807</v>
      </c>
      <c r="D209" s="9" t="s">
        <v>1729</v>
      </c>
      <c r="E209" s="9" t="s">
        <v>36</v>
      </c>
      <c r="F209" s="9" t="s">
        <v>508</v>
      </c>
      <c r="G209" s="9" t="s">
        <v>144</v>
      </c>
      <c r="H209" s="9" t="s">
        <v>145</v>
      </c>
      <c r="I209" s="9" t="s">
        <v>115</v>
      </c>
      <c r="J209" s="9">
        <v>6535</v>
      </c>
      <c r="K209" s="9" t="s">
        <v>1808</v>
      </c>
      <c r="L209" s="9" t="s">
        <v>117</v>
      </c>
      <c r="M209" s="10">
        <v>3.2418981481481479E-2</v>
      </c>
      <c r="N209" s="9" t="s">
        <v>127</v>
      </c>
      <c r="O209" s="9" t="s">
        <v>1809</v>
      </c>
      <c r="P209" s="9" t="s">
        <v>119</v>
      </c>
      <c r="Q209" s="10">
        <v>4.6759259259259263E-3</v>
      </c>
      <c r="R209" s="9" t="s">
        <v>46</v>
      </c>
      <c r="S209" s="10">
        <v>0.27774305555555562</v>
      </c>
      <c r="T209" s="9">
        <v>86.786000000000001</v>
      </c>
      <c r="U209" s="9">
        <v>17.77</v>
      </c>
      <c r="V209" s="10">
        <v>0.20351851851851849</v>
      </c>
      <c r="W209" s="10">
        <v>5.3148148148148153E-2</v>
      </c>
      <c r="X209" s="10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 t="s">
        <v>139</v>
      </c>
      <c r="AF209" s="9" t="s">
        <v>1810</v>
      </c>
      <c r="AG209" s="9" t="s">
        <v>1811</v>
      </c>
      <c r="AH209" s="9">
        <v>6.2267989999999998</v>
      </c>
      <c r="AI209" s="9">
        <v>-75.599269000000007</v>
      </c>
      <c r="AJ209" s="9" t="s">
        <v>1812</v>
      </c>
      <c r="AK209" s="9">
        <v>6.2903760000000002</v>
      </c>
      <c r="AL209" s="9">
        <v>-75.546627000000001</v>
      </c>
      <c r="AM209" s="26">
        <f t="shared" si="3"/>
        <v>0</v>
      </c>
      <c r="AN209" s="9"/>
    </row>
    <row r="210" spans="1:40" ht="15" x14ac:dyDescent="0.25">
      <c r="A210" s="9" t="s">
        <v>1813</v>
      </c>
      <c r="B210" s="9" t="s">
        <v>1814</v>
      </c>
      <c r="C210" s="9" t="s">
        <v>1815</v>
      </c>
      <c r="D210" s="9" t="s">
        <v>1729</v>
      </c>
      <c r="E210" s="9" t="s">
        <v>36</v>
      </c>
      <c r="F210" s="9" t="s">
        <v>508</v>
      </c>
      <c r="G210" s="9" t="s">
        <v>152</v>
      </c>
      <c r="H210" s="9" t="s">
        <v>153</v>
      </c>
      <c r="I210" s="9" t="s">
        <v>115</v>
      </c>
      <c r="J210" s="9">
        <v>2501</v>
      </c>
      <c r="K210" s="9" t="s">
        <v>1816</v>
      </c>
      <c r="L210" s="9" t="s">
        <v>117</v>
      </c>
      <c r="M210" s="10">
        <v>2.90162037037037E-2</v>
      </c>
      <c r="N210" s="9" t="s">
        <v>127</v>
      </c>
      <c r="O210" s="9" t="s">
        <v>1817</v>
      </c>
      <c r="P210" s="9" t="s">
        <v>119</v>
      </c>
      <c r="Q210" s="10">
        <v>9.6736111111111106E-2</v>
      </c>
      <c r="R210" s="9" t="s">
        <v>56</v>
      </c>
      <c r="S210" s="10">
        <v>0.18228009259259259</v>
      </c>
      <c r="T210" s="9">
        <v>34.625999999999998</v>
      </c>
      <c r="U210" s="9">
        <v>9.35</v>
      </c>
      <c r="V210" s="10">
        <v>0.1542708333333333</v>
      </c>
      <c r="W210" s="10">
        <v>0.1052777777777778</v>
      </c>
      <c r="X210" s="10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1</v>
      </c>
      <c r="AE210" s="9" t="s">
        <v>139</v>
      </c>
      <c r="AF210" s="9" t="s">
        <v>1818</v>
      </c>
      <c r="AG210" s="9" t="s">
        <v>1819</v>
      </c>
      <c r="AH210" s="9">
        <v>6.2270529999999997</v>
      </c>
      <c r="AI210" s="9">
        <v>-75.599639999999994</v>
      </c>
      <c r="AJ210" s="9" t="s">
        <v>1820</v>
      </c>
      <c r="AK210" s="9">
        <v>6.2518269999999996</v>
      </c>
      <c r="AL210" s="9">
        <v>-75.551843000000005</v>
      </c>
      <c r="AM210" s="26">
        <f t="shared" si="3"/>
        <v>9.6736111111111106E-2</v>
      </c>
      <c r="AN210" s="9"/>
    </row>
    <row r="211" spans="1:40" ht="15" x14ac:dyDescent="0.25">
      <c r="A211" s="9" t="s">
        <v>1821</v>
      </c>
      <c r="B211" s="9" t="s">
        <v>1827</v>
      </c>
      <c r="C211" s="9" t="s">
        <v>1822</v>
      </c>
      <c r="D211" s="9" t="s">
        <v>1729</v>
      </c>
      <c r="E211" s="9" t="s">
        <v>36</v>
      </c>
      <c r="F211" s="9" t="s">
        <v>508</v>
      </c>
      <c r="G211" s="9" t="s">
        <v>160</v>
      </c>
      <c r="H211" s="9" t="s">
        <v>161</v>
      </c>
      <c r="I211" s="9" t="s">
        <v>115</v>
      </c>
      <c r="J211" s="9">
        <v>7696</v>
      </c>
      <c r="K211" s="9" t="s">
        <v>1823</v>
      </c>
      <c r="L211" s="9" t="s">
        <v>117</v>
      </c>
      <c r="M211" s="10">
        <v>3.7970972222222232E-2</v>
      </c>
      <c r="N211" s="9" t="s">
        <v>127</v>
      </c>
      <c r="O211" s="9" t="s">
        <v>1824</v>
      </c>
      <c r="P211" s="9" t="s">
        <v>119</v>
      </c>
      <c r="Q211" s="10">
        <v>1.2811458333333329E-3</v>
      </c>
      <c r="R211" s="9" t="s">
        <v>46</v>
      </c>
      <c r="S211" s="10">
        <v>0.2866898263888889</v>
      </c>
      <c r="T211" s="9">
        <v>44.908000000000001</v>
      </c>
      <c r="U211" s="9">
        <v>9.27</v>
      </c>
      <c r="V211" s="10">
        <v>0.20188391203703701</v>
      </c>
      <c r="W211" s="10">
        <v>0.15990696759259251</v>
      </c>
      <c r="X211" s="10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2</v>
      </c>
      <c r="AE211" s="9" t="s">
        <v>139</v>
      </c>
      <c r="AF211" s="9" t="s">
        <v>1828</v>
      </c>
      <c r="AG211" s="9" t="s">
        <v>1825</v>
      </c>
      <c r="AH211" s="9">
        <v>6.226718</v>
      </c>
      <c r="AI211" s="9">
        <v>-75.599287000000004</v>
      </c>
      <c r="AJ211" s="9" t="s">
        <v>1826</v>
      </c>
      <c r="AK211" s="9">
        <v>6.2615350000000003</v>
      </c>
      <c r="AL211" s="9">
        <v>-75.592327999999995</v>
      </c>
      <c r="AM211" s="26">
        <f t="shared" si="3"/>
        <v>0</v>
      </c>
      <c r="AN211" s="9"/>
    </row>
    <row r="212" spans="1:40" ht="15" x14ac:dyDescent="0.25">
      <c r="A212" s="9" t="s">
        <v>1829</v>
      </c>
      <c r="B212" s="9" t="s">
        <v>1830</v>
      </c>
      <c r="C212" s="9" t="s">
        <v>1831</v>
      </c>
      <c r="D212" s="9" t="s">
        <v>1729</v>
      </c>
      <c r="E212" s="9" t="s">
        <v>36</v>
      </c>
      <c r="F212" s="9" t="s">
        <v>508</v>
      </c>
      <c r="G212" s="9" t="s">
        <v>135</v>
      </c>
      <c r="H212" s="9" t="s">
        <v>136</v>
      </c>
      <c r="I212" s="9" t="s">
        <v>115</v>
      </c>
      <c r="J212" s="9">
        <v>1903</v>
      </c>
      <c r="K212" s="9" t="s">
        <v>1832</v>
      </c>
      <c r="L212" s="9" t="s">
        <v>117</v>
      </c>
      <c r="M212" s="10">
        <v>4.6585648148148147E-2</v>
      </c>
      <c r="N212" s="9" t="s">
        <v>127</v>
      </c>
      <c r="O212" s="9" t="s">
        <v>1833</v>
      </c>
      <c r="P212" s="9" t="s">
        <v>119</v>
      </c>
      <c r="Q212" s="10">
        <v>5.4398148148148149E-3</v>
      </c>
      <c r="R212" s="9" t="s">
        <v>46</v>
      </c>
      <c r="S212" s="10">
        <v>0.29114583333333333</v>
      </c>
      <c r="T212" s="9">
        <v>37.201000000000001</v>
      </c>
      <c r="U212" s="9">
        <v>11.62</v>
      </c>
      <c r="V212" s="10">
        <v>0.13340277777777779</v>
      </c>
      <c r="W212" s="10">
        <v>9.931712962962963E-2</v>
      </c>
      <c r="X212" s="10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4</v>
      </c>
      <c r="AE212" s="9" t="s">
        <v>139</v>
      </c>
      <c r="AF212" s="9" t="s">
        <v>1834</v>
      </c>
      <c r="AG212" s="9" t="s">
        <v>1693</v>
      </c>
      <c r="AH212" s="9">
        <v>6.2644299999999999</v>
      </c>
      <c r="AI212" s="9">
        <v>-75.570660000000004</v>
      </c>
      <c r="AJ212" s="9" t="s">
        <v>1835</v>
      </c>
      <c r="AK212" s="9">
        <v>6.3079720000000004</v>
      </c>
      <c r="AL212" s="9">
        <v>-75.566957000000002</v>
      </c>
      <c r="AM212" s="26">
        <f t="shared" si="3"/>
        <v>0</v>
      </c>
      <c r="AN212" s="9"/>
    </row>
    <row r="213" spans="1:40" ht="15" x14ac:dyDescent="0.25">
      <c r="A213" s="9" t="s">
        <v>1836</v>
      </c>
      <c r="B213" s="9" t="s">
        <v>1837</v>
      </c>
      <c r="C213" s="9" t="s">
        <v>1838</v>
      </c>
      <c r="D213" s="9" t="s">
        <v>1839</v>
      </c>
      <c r="E213" s="9" t="s">
        <v>36</v>
      </c>
      <c r="F213" s="9" t="s">
        <v>37</v>
      </c>
      <c r="G213" s="9" t="s">
        <v>38</v>
      </c>
      <c r="H213" s="9" t="s">
        <v>39</v>
      </c>
      <c r="I213" s="9" t="s">
        <v>40</v>
      </c>
      <c r="J213" s="9">
        <v>7151</v>
      </c>
      <c r="K213" s="9" t="s">
        <v>1840</v>
      </c>
      <c r="L213" s="9" t="s">
        <v>42</v>
      </c>
      <c r="M213" s="10">
        <v>2.036958333333333E-2</v>
      </c>
      <c r="N213" s="9" t="s">
        <v>43</v>
      </c>
      <c r="O213" s="9" t="s">
        <v>1841</v>
      </c>
      <c r="P213" s="9" t="s">
        <v>45</v>
      </c>
      <c r="Q213" s="10">
        <v>2.5703993055555551E-2</v>
      </c>
      <c r="R213" s="9" t="s">
        <v>56</v>
      </c>
      <c r="S213" s="10">
        <v>0.28725975694444439</v>
      </c>
      <c r="T213" s="9">
        <v>52.847999999999999</v>
      </c>
      <c r="U213" s="9">
        <v>16.52</v>
      </c>
      <c r="V213" s="10">
        <v>0.13325322916666699</v>
      </c>
      <c r="W213" s="10">
        <v>7.095622685185185E-2</v>
      </c>
      <c r="X213" s="10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4</v>
      </c>
      <c r="AE213" s="9" t="s">
        <v>57</v>
      </c>
      <c r="AF213" s="9" t="s">
        <v>1842</v>
      </c>
      <c r="AG213" s="9" t="s">
        <v>1843</v>
      </c>
      <c r="AH213" s="9">
        <v>6.2028169999999996</v>
      </c>
      <c r="AI213" s="9">
        <v>-75.600998000000004</v>
      </c>
      <c r="AJ213" s="9" t="s">
        <v>1844</v>
      </c>
      <c r="AK213" s="9">
        <v>6.2217070000000003</v>
      </c>
      <c r="AL213" s="9">
        <v>-75.593844000000004</v>
      </c>
      <c r="AM213" s="26">
        <f t="shared" si="3"/>
        <v>4.6073576388888884E-2</v>
      </c>
      <c r="AN213" s="9"/>
    </row>
    <row r="214" spans="1:40" ht="15" x14ac:dyDescent="0.25">
      <c r="A214" s="9" t="s">
        <v>1845</v>
      </c>
      <c r="B214" s="9" t="s">
        <v>1846</v>
      </c>
      <c r="C214" s="9" t="s">
        <v>1847</v>
      </c>
      <c r="D214" s="9" t="s">
        <v>1839</v>
      </c>
      <c r="E214" s="9" t="s">
        <v>36</v>
      </c>
      <c r="F214" s="9" t="s">
        <v>37</v>
      </c>
      <c r="G214" s="9" t="s">
        <v>52</v>
      </c>
      <c r="H214" s="9" t="s">
        <v>53</v>
      </c>
      <c r="I214" s="9" t="s">
        <v>40</v>
      </c>
      <c r="J214" s="9">
        <v>3653</v>
      </c>
      <c r="K214" s="9" t="s">
        <v>1848</v>
      </c>
      <c r="L214" s="9" t="s">
        <v>42</v>
      </c>
      <c r="M214" s="10">
        <v>1.877314814814815E-2</v>
      </c>
      <c r="N214" s="9" t="s">
        <v>127</v>
      </c>
      <c r="O214" s="9" t="s">
        <v>1849</v>
      </c>
      <c r="P214" s="9" t="s">
        <v>45</v>
      </c>
      <c r="Q214" s="10">
        <v>1.631944444444445E-3</v>
      </c>
      <c r="R214" s="9" t="s">
        <v>46</v>
      </c>
      <c r="S214" s="10">
        <v>0.35047453703703701</v>
      </c>
      <c r="T214" s="9">
        <v>47.334000000000003</v>
      </c>
      <c r="U214" s="9">
        <v>8.1300000000000008</v>
      </c>
      <c r="V214" s="10">
        <v>0.2426388888888889</v>
      </c>
      <c r="W214" s="10">
        <v>0.16981481481481481</v>
      </c>
      <c r="X214" s="10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2</v>
      </c>
      <c r="AE214" s="9" t="s">
        <v>139</v>
      </c>
      <c r="AF214" s="9" t="s">
        <v>1850</v>
      </c>
      <c r="AG214" s="9" t="s">
        <v>1851</v>
      </c>
      <c r="AH214" s="9">
        <v>6.2258339999999999</v>
      </c>
      <c r="AI214" s="9">
        <v>-75.599424999999997</v>
      </c>
      <c r="AJ214" s="9" t="s">
        <v>1852</v>
      </c>
      <c r="AK214" s="9">
        <v>6.2437120000000004</v>
      </c>
      <c r="AL214" s="9">
        <v>-75.598613</v>
      </c>
      <c r="AM214" s="26">
        <f t="shared" si="3"/>
        <v>0</v>
      </c>
      <c r="AN214" s="9"/>
    </row>
    <row r="215" spans="1:40" ht="15" x14ac:dyDescent="0.25">
      <c r="A215" s="9" t="s">
        <v>1853</v>
      </c>
      <c r="B215" s="9" t="s">
        <v>1854</v>
      </c>
      <c r="C215" s="9" t="s">
        <v>1855</v>
      </c>
      <c r="D215" s="9" t="s">
        <v>1839</v>
      </c>
      <c r="E215" s="9" t="s">
        <v>36</v>
      </c>
      <c r="F215" s="9" t="s">
        <v>37</v>
      </c>
      <c r="G215" s="9" t="s">
        <v>113</v>
      </c>
      <c r="H215" s="9" t="s">
        <v>114</v>
      </c>
      <c r="I215" s="9" t="s">
        <v>40</v>
      </c>
      <c r="J215" s="9">
        <v>1798</v>
      </c>
      <c r="K215" s="9" t="s">
        <v>1856</v>
      </c>
      <c r="L215" s="9" t="s">
        <v>42</v>
      </c>
      <c r="M215" s="10">
        <v>1.678240740740741E-3</v>
      </c>
      <c r="N215" s="9" t="s">
        <v>65</v>
      </c>
      <c r="O215" s="9" t="s">
        <v>1857</v>
      </c>
      <c r="P215" s="9" t="s">
        <v>45</v>
      </c>
      <c r="Q215" s="10">
        <v>8.5416666666666662E-3</v>
      </c>
      <c r="R215" s="9" t="s">
        <v>46</v>
      </c>
      <c r="S215" s="10">
        <v>0.34019675925925918</v>
      </c>
      <c r="T215" s="9">
        <v>23.113</v>
      </c>
      <c r="U215" s="9">
        <v>3.66</v>
      </c>
      <c r="V215" s="10">
        <v>0.26317129629629632</v>
      </c>
      <c r="W215" s="10">
        <v>0.22045138888888891</v>
      </c>
      <c r="X215" s="10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2</v>
      </c>
      <c r="AE215" s="9" t="s">
        <v>84</v>
      </c>
      <c r="AF215" s="9" t="s">
        <v>1384</v>
      </c>
      <c r="AG215" s="9" t="s">
        <v>1858</v>
      </c>
      <c r="AH215" s="9">
        <v>6.2356889999999998</v>
      </c>
      <c r="AI215" s="9">
        <v>-75.602202000000005</v>
      </c>
      <c r="AJ215" s="9" t="s">
        <v>1859</v>
      </c>
      <c r="AK215" s="9">
        <v>6.2561390000000001</v>
      </c>
      <c r="AL215" s="9">
        <v>-75.598314999999999</v>
      </c>
      <c r="AM215" s="26">
        <f t="shared" si="3"/>
        <v>0</v>
      </c>
      <c r="AN215" s="9"/>
    </row>
    <row r="216" spans="1:40" ht="15" x14ac:dyDescent="0.25">
      <c r="A216" s="9" t="s">
        <v>1860</v>
      </c>
      <c r="B216" s="9" t="s">
        <v>1861</v>
      </c>
      <c r="C216" s="9" t="s">
        <v>1862</v>
      </c>
      <c r="D216" s="9" t="s">
        <v>1839</v>
      </c>
      <c r="E216" s="9" t="s">
        <v>36</v>
      </c>
      <c r="F216" s="9" t="s">
        <v>37</v>
      </c>
      <c r="G216" s="9" t="s">
        <v>62</v>
      </c>
      <c r="H216" s="9" t="s">
        <v>63</v>
      </c>
      <c r="I216" s="9" t="s">
        <v>40</v>
      </c>
      <c r="J216" s="9">
        <v>3615</v>
      </c>
      <c r="K216" s="9" t="s">
        <v>1863</v>
      </c>
      <c r="L216" s="9" t="s">
        <v>42</v>
      </c>
      <c r="M216" s="10">
        <v>5.5439814814814813E-3</v>
      </c>
      <c r="N216" s="9" t="s">
        <v>65</v>
      </c>
      <c r="O216" s="9" t="s">
        <v>1864</v>
      </c>
      <c r="P216" s="9" t="s">
        <v>45</v>
      </c>
      <c r="Q216" s="10">
        <v>9.7974537037037041E-2</v>
      </c>
      <c r="R216" s="9" t="s">
        <v>56</v>
      </c>
      <c r="S216" s="10">
        <v>0.2409027777777778</v>
      </c>
      <c r="T216" s="9">
        <v>46.113</v>
      </c>
      <c r="U216" s="9">
        <v>12.03</v>
      </c>
      <c r="V216" s="10">
        <v>0.15967592592592589</v>
      </c>
      <c r="W216" s="10">
        <v>6.6458333333333328E-2</v>
      </c>
      <c r="X216" s="10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1</v>
      </c>
      <c r="AE216" s="9" t="s">
        <v>67</v>
      </c>
      <c r="AF216" s="9" t="s">
        <v>1865</v>
      </c>
      <c r="AG216" s="9" t="s">
        <v>1866</v>
      </c>
      <c r="AH216" s="9">
        <v>6.2257230000000003</v>
      </c>
      <c r="AI216" s="9">
        <v>-75.599262999999993</v>
      </c>
      <c r="AJ216" s="9" t="s">
        <v>1867</v>
      </c>
      <c r="AK216" s="9">
        <v>6.2593509999999997</v>
      </c>
      <c r="AL216" s="9">
        <v>-75.597239999999999</v>
      </c>
      <c r="AM216" s="26">
        <f t="shared" si="3"/>
        <v>9.7974537037037041E-2</v>
      </c>
      <c r="AN216" s="9"/>
    </row>
    <row r="217" spans="1:40" ht="15" x14ac:dyDescent="0.25">
      <c r="A217" s="9" t="s">
        <v>1868</v>
      </c>
      <c r="B217" s="9" t="s">
        <v>1869</v>
      </c>
      <c r="C217" s="9" t="s">
        <v>1870</v>
      </c>
      <c r="D217" s="9" t="s">
        <v>1839</v>
      </c>
      <c r="E217" s="9" t="s">
        <v>36</v>
      </c>
      <c r="F217" s="9" t="s">
        <v>37</v>
      </c>
      <c r="G217" s="9" t="s">
        <v>72</v>
      </c>
      <c r="H217" s="9" t="s">
        <v>73</v>
      </c>
      <c r="I217" s="9" t="s">
        <v>40</v>
      </c>
      <c r="J217" s="9">
        <v>3597</v>
      </c>
      <c r="K217" s="9" t="s">
        <v>1871</v>
      </c>
      <c r="L217" s="9" t="s">
        <v>42</v>
      </c>
      <c r="M217" s="10">
        <v>2.5462962962962969E-3</v>
      </c>
      <c r="N217" s="9" t="s">
        <v>65</v>
      </c>
      <c r="O217" s="9" t="s">
        <v>1872</v>
      </c>
      <c r="P217" s="9" t="s">
        <v>45</v>
      </c>
      <c r="Q217" s="10">
        <v>0.13033564814814819</v>
      </c>
      <c r="R217" s="9" t="s">
        <v>56</v>
      </c>
      <c r="S217" s="10">
        <v>0.20045138888888889</v>
      </c>
      <c r="T217" s="9">
        <v>49.512</v>
      </c>
      <c r="U217" s="9">
        <v>13.5</v>
      </c>
      <c r="V217" s="10">
        <v>0.15283564814814821</v>
      </c>
      <c r="W217" s="10">
        <v>8.7638888888888891E-2</v>
      </c>
      <c r="X217" s="10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 t="s">
        <v>67</v>
      </c>
      <c r="AF217" s="9" t="s">
        <v>1873</v>
      </c>
      <c r="AG217" s="9" t="s">
        <v>1874</v>
      </c>
      <c r="AH217" s="9">
        <v>6.2256580000000001</v>
      </c>
      <c r="AI217" s="9">
        <v>-75.599198000000001</v>
      </c>
      <c r="AJ217" s="9" t="s">
        <v>1875</v>
      </c>
      <c r="AK217" s="9">
        <v>6.2365719999999998</v>
      </c>
      <c r="AL217" s="9">
        <v>-75.558755000000005</v>
      </c>
      <c r="AM217" s="26">
        <f t="shared" si="3"/>
        <v>0.13033564814814819</v>
      </c>
      <c r="AN217" s="9"/>
    </row>
    <row r="218" spans="1:40" ht="15" x14ac:dyDescent="0.25">
      <c r="A218" s="9" t="s">
        <v>1876</v>
      </c>
      <c r="B218" s="9" t="s">
        <v>1877</v>
      </c>
      <c r="C218" s="9" t="s">
        <v>1878</v>
      </c>
      <c r="D218" s="9" t="s">
        <v>1839</v>
      </c>
      <c r="E218" s="9" t="s">
        <v>36</v>
      </c>
      <c r="F218" s="9" t="s">
        <v>37</v>
      </c>
      <c r="G218" s="9" t="s">
        <v>80</v>
      </c>
      <c r="H218" s="9" t="s">
        <v>81</v>
      </c>
      <c r="I218" s="9" t="s">
        <v>40</v>
      </c>
      <c r="J218" s="9">
        <v>6586</v>
      </c>
      <c r="K218" s="9" t="s">
        <v>1879</v>
      </c>
      <c r="L218" s="9" t="s">
        <v>42</v>
      </c>
      <c r="M218" s="10">
        <v>6.3894212962962967E-3</v>
      </c>
      <c r="N218" s="9" t="s">
        <v>65</v>
      </c>
      <c r="O218" s="9" t="s">
        <v>1880</v>
      </c>
      <c r="P218" s="9" t="s">
        <v>45</v>
      </c>
      <c r="Q218" s="10">
        <v>3.4135300925925921E-3</v>
      </c>
      <c r="R218" s="9" t="s">
        <v>46</v>
      </c>
      <c r="S218" s="10">
        <v>0.34313628472222218</v>
      </c>
      <c r="T218" s="9">
        <v>44.564</v>
      </c>
      <c r="U218" s="9">
        <v>18.09</v>
      </c>
      <c r="V218" s="10">
        <v>0.102656215277778</v>
      </c>
      <c r="W218" s="10">
        <v>4.8033599537037043E-2</v>
      </c>
      <c r="X218" s="10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14</v>
      </c>
      <c r="AE218" s="9" t="s">
        <v>84</v>
      </c>
      <c r="AF218" s="9" t="s">
        <v>1881</v>
      </c>
      <c r="AG218" s="9" t="s">
        <v>1882</v>
      </c>
      <c r="AH218" s="9">
        <v>6.2254569999999996</v>
      </c>
      <c r="AI218" s="9">
        <v>-75.599380999999994</v>
      </c>
      <c r="AJ218" s="9" t="s">
        <v>1883</v>
      </c>
      <c r="AK218" s="9">
        <v>6.2592619999999997</v>
      </c>
      <c r="AL218" s="9">
        <v>-75.620932999999994</v>
      </c>
      <c r="AM218" s="26">
        <f t="shared" si="3"/>
        <v>0</v>
      </c>
      <c r="AN218" s="9"/>
    </row>
    <row r="219" spans="1:40" ht="15" x14ac:dyDescent="0.25">
      <c r="A219" s="9" t="s">
        <v>1884</v>
      </c>
      <c r="B219" s="9" t="s">
        <v>1885</v>
      </c>
      <c r="C219" s="9" t="s">
        <v>1886</v>
      </c>
      <c r="D219" s="9" t="s">
        <v>1839</v>
      </c>
      <c r="E219" s="9" t="s">
        <v>36</v>
      </c>
      <c r="F219" s="9" t="s">
        <v>37</v>
      </c>
      <c r="G219" s="9" t="s">
        <v>89</v>
      </c>
      <c r="H219" s="9" t="s">
        <v>90</v>
      </c>
      <c r="I219" s="9" t="s">
        <v>40</v>
      </c>
      <c r="J219" s="9">
        <v>4949</v>
      </c>
      <c r="K219" s="9" t="s">
        <v>1887</v>
      </c>
      <c r="L219" s="9" t="s">
        <v>42</v>
      </c>
      <c r="M219" s="10">
        <v>6.134259259259259E-4</v>
      </c>
      <c r="N219" s="9" t="s">
        <v>65</v>
      </c>
      <c r="O219" s="9" t="s">
        <v>1888</v>
      </c>
      <c r="P219" s="9" t="s">
        <v>45</v>
      </c>
      <c r="Q219" s="10">
        <v>1.9791666666666668E-3</v>
      </c>
      <c r="R219" s="9" t="s">
        <v>46</v>
      </c>
      <c r="S219" s="10">
        <v>0.33469907407407412</v>
      </c>
      <c r="T219" s="9">
        <v>69.007999999999996</v>
      </c>
      <c r="U219" s="9">
        <v>11.6</v>
      </c>
      <c r="V219" s="10">
        <v>0.24787037037037041</v>
      </c>
      <c r="W219" s="10">
        <v>0.1212037037037037</v>
      </c>
      <c r="X219" s="10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1</v>
      </c>
      <c r="AE219" s="9" t="s">
        <v>84</v>
      </c>
      <c r="AF219" s="9" t="s">
        <v>324</v>
      </c>
      <c r="AG219" s="9" t="s">
        <v>1889</v>
      </c>
      <c r="AH219" s="9">
        <v>6.2265069999999998</v>
      </c>
      <c r="AI219" s="9">
        <v>-75.599345</v>
      </c>
      <c r="AJ219" s="9" t="s">
        <v>1890</v>
      </c>
      <c r="AK219" s="9">
        <v>6.2794239999999997</v>
      </c>
      <c r="AL219" s="9">
        <v>-75.569648999999998</v>
      </c>
      <c r="AM219" s="26">
        <f t="shared" si="3"/>
        <v>0</v>
      </c>
      <c r="AN219" s="9"/>
    </row>
    <row r="220" spans="1:40" ht="15" x14ac:dyDescent="0.25">
      <c r="A220" s="9" t="s">
        <v>1891</v>
      </c>
      <c r="B220" s="9" t="s">
        <v>1892</v>
      </c>
      <c r="C220" s="9" t="s">
        <v>1893</v>
      </c>
      <c r="D220" s="9" t="s">
        <v>1839</v>
      </c>
      <c r="E220" s="9" t="s">
        <v>36</v>
      </c>
      <c r="F220" s="9" t="s">
        <v>37</v>
      </c>
      <c r="G220" s="9" t="s">
        <v>97</v>
      </c>
      <c r="H220" s="9" t="s">
        <v>98</v>
      </c>
      <c r="I220" s="9" t="s">
        <v>40</v>
      </c>
      <c r="J220" s="9">
        <v>2061</v>
      </c>
      <c r="K220" s="9" t="s">
        <v>1894</v>
      </c>
      <c r="L220" s="9" t="s">
        <v>42</v>
      </c>
      <c r="M220" s="10">
        <v>4.9537037037037041E-3</v>
      </c>
      <c r="N220" s="9" t="s">
        <v>65</v>
      </c>
      <c r="O220" s="9" t="s">
        <v>1895</v>
      </c>
      <c r="P220" s="9" t="s">
        <v>45</v>
      </c>
      <c r="Q220" s="10">
        <v>3.530092592592592E-3</v>
      </c>
      <c r="R220" s="9" t="s">
        <v>46</v>
      </c>
      <c r="S220" s="10">
        <v>0.33475694444444443</v>
      </c>
      <c r="T220" s="9">
        <v>26.77</v>
      </c>
      <c r="U220" s="9">
        <v>6.61</v>
      </c>
      <c r="V220" s="10">
        <v>0.16878472222222221</v>
      </c>
      <c r="W220" s="10">
        <v>0.1227314814814815</v>
      </c>
      <c r="X220" s="10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 t="s">
        <v>84</v>
      </c>
      <c r="AF220" s="9" t="s">
        <v>352</v>
      </c>
      <c r="AG220" s="9" t="s">
        <v>1896</v>
      </c>
      <c r="AH220" s="9">
        <v>6.2257030000000002</v>
      </c>
      <c r="AI220" s="9">
        <v>-75.599446999999998</v>
      </c>
      <c r="AJ220" s="9" t="s">
        <v>1897</v>
      </c>
      <c r="AK220" s="9">
        <v>6.3086510000000002</v>
      </c>
      <c r="AL220" s="9">
        <v>-75.580759999999998</v>
      </c>
      <c r="AM220" s="26">
        <f t="shared" si="3"/>
        <v>0</v>
      </c>
      <c r="AN220" s="9"/>
    </row>
    <row r="221" spans="1:40" ht="15" x14ac:dyDescent="0.25">
      <c r="A221" s="9" t="s">
        <v>1898</v>
      </c>
      <c r="B221" s="9" t="s">
        <v>1899</v>
      </c>
      <c r="C221" s="9" t="s">
        <v>1900</v>
      </c>
      <c r="D221" s="9" t="s">
        <v>1839</v>
      </c>
      <c r="E221" s="9" t="s">
        <v>36</v>
      </c>
      <c r="F221" s="9" t="s">
        <v>37</v>
      </c>
      <c r="G221" s="9" t="s">
        <v>105</v>
      </c>
      <c r="H221" s="9" t="s">
        <v>106</v>
      </c>
      <c r="I221" s="9" t="s">
        <v>40</v>
      </c>
      <c r="J221" s="9">
        <v>3254</v>
      </c>
      <c r="K221" s="9" t="s">
        <v>1901</v>
      </c>
      <c r="L221" s="9" t="s">
        <v>42</v>
      </c>
      <c r="M221" s="10">
        <v>1.631944444444445E-3</v>
      </c>
      <c r="N221" s="9" t="s">
        <v>65</v>
      </c>
      <c r="O221" s="9" t="s">
        <v>1902</v>
      </c>
      <c r="P221" s="9" t="s">
        <v>45</v>
      </c>
      <c r="Q221" s="10">
        <v>2.3726851851851851E-3</v>
      </c>
      <c r="R221" s="9" t="s">
        <v>46</v>
      </c>
      <c r="S221" s="10">
        <v>0.33407407407407408</v>
      </c>
      <c r="T221" s="9">
        <v>43.088000000000001</v>
      </c>
      <c r="U221" s="9">
        <v>11.09</v>
      </c>
      <c r="V221" s="10">
        <v>0.1618171296296296</v>
      </c>
      <c r="W221" s="10">
        <v>9.2245370370370366E-2</v>
      </c>
      <c r="X221" s="10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 t="s">
        <v>84</v>
      </c>
      <c r="AF221" s="9" t="s">
        <v>352</v>
      </c>
      <c r="AG221" s="9" t="s">
        <v>1903</v>
      </c>
      <c r="AH221" s="9">
        <v>6.2257569999999998</v>
      </c>
      <c r="AI221" s="9">
        <v>-75.599180000000004</v>
      </c>
      <c r="AJ221" s="9" t="s">
        <v>1904</v>
      </c>
      <c r="AK221" s="9">
        <v>6.2587190000000001</v>
      </c>
      <c r="AL221" s="9">
        <v>-75.616753000000003</v>
      </c>
      <c r="AM221" s="26">
        <f t="shared" si="3"/>
        <v>0</v>
      </c>
      <c r="AN221" s="9"/>
    </row>
    <row r="222" spans="1:40" ht="15" x14ac:dyDescent="0.25">
      <c r="A222" s="9" t="s">
        <v>1905</v>
      </c>
      <c r="B222" s="9" t="s">
        <v>1906</v>
      </c>
      <c r="C222" s="9" t="s">
        <v>1907</v>
      </c>
      <c r="D222" s="9" t="s">
        <v>1839</v>
      </c>
      <c r="E222" s="9" t="s">
        <v>36</v>
      </c>
      <c r="F222" s="9" t="s">
        <v>37</v>
      </c>
      <c r="G222" s="9" t="s">
        <v>135</v>
      </c>
      <c r="H222" s="9" t="s">
        <v>136</v>
      </c>
      <c r="I222" s="9" t="s">
        <v>115</v>
      </c>
      <c r="J222" s="9">
        <v>3626</v>
      </c>
      <c r="K222" s="9" t="s">
        <v>1908</v>
      </c>
      <c r="L222" s="9" t="s">
        <v>117</v>
      </c>
      <c r="M222" s="10">
        <v>6.5277777777777782E-2</v>
      </c>
      <c r="N222" s="9" t="s">
        <v>127</v>
      </c>
      <c r="O222" s="9" t="s">
        <v>1909</v>
      </c>
      <c r="P222" s="9" t="s">
        <v>119</v>
      </c>
      <c r="Q222" s="10">
        <v>1.0775462962962961E-2</v>
      </c>
      <c r="R222" s="9" t="s">
        <v>56</v>
      </c>
      <c r="S222" s="10">
        <v>0.30450231481481482</v>
      </c>
      <c r="T222" s="9">
        <v>51.329000000000001</v>
      </c>
      <c r="U222" s="9">
        <v>13.16</v>
      </c>
      <c r="V222" s="10">
        <v>0.16250000000000001</v>
      </c>
      <c r="W222" s="10">
        <v>9.2280092592592594E-2</v>
      </c>
      <c r="X222" s="10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3</v>
      </c>
      <c r="AE222" s="9" t="s">
        <v>139</v>
      </c>
      <c r="AF222" s="9" t="s">
        <v>1910</v>
      </c>
      <c r="AG222" s="9" t="s">
        <v>1911</v>
      </c>
      <c r="AH222" s="9">
        <v>6.2255820000000002</v>
      </c>
      <c r="AI222" s="9">
        <v>-75.599125000000001</v>
      </c>
      <c r="AJ222" s="9" t="s">
        <v>1912</v>
      </c>
      <c r="AK222" s="9">
        <v>6.2437779999999998</v>
      </c>
      <c r="AL222" s="9">
        <v>-75.556726999999995</v>
      </c>
      <c r="AM222" s="26">
        <f t="shared" si="3"/>
        <v>1.0775462962962961E-2</v>
      </c>
      <c r="AN222" s="9"/>
    </row>
    <row r="223" spans="1:40" ht="15" x14ac:dyDescent="0.25">
      <c r="A223" s="9" t="s">
        <v>1913</v>
      </c>
      <c r="B223" s="9" t="s">
        <v>1914</v>
      </c>
      <c r="C223" s="9" t="s">
        <v>1915</v>
      </c>
      <c r="D223" s="9" t="s">
        <v>1839</v>
      </c>
      <c r="E223" s="9" t="s">
        <v>36</v>
      </c>
      <c r="F223" s="9" t="s">
        <v>37</v>
      </c>
      <c r="G223" s="9" t="s">
        <v>144</v>
      </c>
      <c r="H223" s="9" t="s">
        <v>145</v>
      </c>
      <c r="I223" s="9" t="s">
        <v>115</v>
      </c>
      <c r="J223" s="9">
        <v>6526</v>
      </c>
      <c r="K223" s="9" t="s">
        <v>1916</v>
      </c>
      <c r="L223" s="9" t="s">
        <v>117</v>
      </c>
      <c r="M223" s="10">
        <v>2.6932870370370371E-2</v>
      </c>
      <c r="N223" s="9" t="s">
        <v>127</v>
      </c>
      <c r="O223" s="9" t="s">
        <v>1917</v>
      </c>
      <c r="P223" s="9" t="s">
        <v>119</v>
      </c>
      <c r="Q223" s="10">
        <v>1.3310185185185181E-3</v>
      </c>
      <c r="R223" s="9" t="s">
        <v>46</v>
      </c>
      <c r="S223" s="10">
        <v>0.27826388888888892</v>
      </c>
      <c r="T223" s="9">
        <v>90.361999999999995</v>
      </c>
      <c r="U223" s="9">
        <v>16.829999999999998</v>
      </c>
      <c r="V223" s="10">
        <v>0.22364583333333329</v>
      </c>
      <c r="W223" s="10">
        <v>8.1701388888888893E-2</v>
      </c>
      <c r="X223" s="10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 t="s">
        <v>139</v>
      </c>
      <c r="AF223" s="9" t="s">
        <v>1918</v>
      </c>
      <c r="AG223" s="9" t="s">
        <v>1919</v>
      </c>
      <c r="AH223" s="9">
        <v>6.2266890000000004</v>
      </c>
      <c r="AI223" s="9">
        <v>-75.599311999999998</v>
      </c>
      <c r="AJ223" s="9" t="s">
        <v>1920</v>
      </c>
      <c r="AK223" s="9">
        <v>6.2905410000000002</v>
      </c>
      <c r="AL223" s="9">
        <v>-75.546396999999999</v>
      </c>
      <c r="AM223" s="26">
        <f t="shared" si="3"/>
        <v>0</v>
      </c>
      <c r="AN223" s="9"/>
    </row>
    <row r="224" spans="1:40" ht="15" x14ac:dyDescent="0.25">
      <c r="A224" s="9" t="s">
        <v>1921</v>
      </c>
      <c r="B224" s="9" t="s">
        <v>1922</v>
      </c>
      <c r="C224" s="9" t="s">
        <v>1923</v>
      </c>
      <c r="D224" s="9" t="s">
        <v>1839</v>
      </c>
      <c r="E224" s="9" t="s">
        <v>36</v>
      </c>
      <c r="F224" s="9" t="s">
        <v>37</v>
      </c>
      <c r="G224" s="9" t="s">
        <v>152</v>
      </c>
      <c r="H224" s="9" t="s">
        <v>153</v>
      </c>
      <c r="I224" s="9" t="s">
        <v>115</v>
      </c>
      <c r="J224" s="9">
        <v>2470</v>
      </c>
      <c r="K224" s="9" t="s">
        <v>1924</v>
      </c>
      <c r="L224" s="9" t="s">
        <v>117</v>
      </c>
      <c r="M224" s="10">
        <v>1.134259259259259E-2</v>
      </c>
      <c r="N224" s="9" t="s">
        <v>127</v>
      </c>
      <c r="O224" s="9" t="s">
        <v>1925</v>
      </c>
      <c r="P224" s="9" t="s">
        <v>119</v>
      </c>
      <c r="Q224" s="10">
        <v>7.840277777777778E-2</v>
      </c>
      <c r="R224" s="9" t="s">
        <v>56</v>
      </c>
      <c r="S224" s="10">
        <v>0.18293981481481481</v>
      </c>
      <c r="T224" s="9">
        <v>32.774000000000001</v>
      </c>
      <c r="U224" s="9">
        <v>10.53</v>
      </c>
      <c r="V224" s="10">
        <v>0.12971064814814809</v>
      </c>
      <c r="W224" s="10">
        <v>8.3935185185185182E-2</v>
      </c>
      <c r="X224" s="10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 t="s">
        <v>139</v>
      </c>
      <c r="AF224" s="9" t="s">
        <v>1926</v>
      </c>
      <c r="AG224" s="9" t="s">
        <v>1927</v>
      </c>
      <c r="AH224" s="9">
        <v>6.2269449999999997</v>
      </c>
      <c r="AI224" s="9">
        <v>-75.599697000000006</v>
      </c>
      <c r="AJ224" s="9" t="s">
        <v>1928</v>
      </c>
      <c r="AK224" s="9">
        <v>6.2518320000000003</v>
      </c>
      <c r="AL224" s="9">
        <v>-75.551803000000007</v>
      </c>
      <c r="AM224" s="26">
        <f t="shared" si="3"/>
        <v>7.840277777777778E-2</v>
      </c>
      <c r="AN224" s="9"/>
    </row>
    <row r="225" spans="1:40" ht="15" x14ac:dyDescent="0.25">
      <c r="A225" s="9" t="s">
        <v>1935</v>
      </c>
      <c r="B225" s="9" t="s">
        <v>1936</v>
      </c>
      <c r="C225" s="9" t="s">
        <v>1937</v>
      </c>
      <c r="D225" s="9" t="s">
        <v>1839</v>
      </c>
      <c r="E225" s="9" t="s">
        <v>36</v>
      </c>
      <c r="F225" s="9" t="s">
        <v>37</v>
      </c>
      <c r="G225" s="9" t="s">
        <v>124</v>
      </c>
      <c r="H225" s="9" t="s">
        <v>125</v>
      </c>
      <c r="I225" s="9" t="s">
        <v>115</v>
      </c>
      <c r="J225" s="9">
        <v>4471</v>
      </c>
      <c r="K225" s="9" t="s">
        <v>1938</v>
      </c>
      <c r="L225" s="9" t="s">
        <v>117</v>
      </c>
      <c r="M225" s="10">
        <v>4.4861111111111109E-2</v>
      </c>
      <c r="N225" s="9" t="s">
        <v>127</v>
      </c>
      <c r="O225" s="9" t="s">
        <v>1939</v>
      </c>
      <c r="P225" s="9" t="s">
        <v>119</v>
      </c>
      <c r="Q225" s="10">
        <v>1.5208333333333331E-2</v>
      </c>
      <c r="R225" s="9" t="s">
        <v>129</v>
      </c>
      <c r="S225" s="10">
        <v>0.31006944444444451</v>
      </c>
      <c r="T225" s="9">
        <v>56.018999999999998</v>
      </c>
      <c r="U225" s="9">
        <v>11.32</v>
      </c>
      <c r="V225" s="10">
        <v>0.20616898148148149</v>
      </c>
      <c r="W225" s="10">
        <v>5.7951388888888893E-2</v>
      </c>
      <c r="X225" s="10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 t="s">
        <v>130</v>
      </c>
      <c r="AF225" s="9" t="s">
        <v>1940</v>
      </c>
      <c r="AG225" s="9" t="s">
        <v>1941</v>
      </c>
      <c r="AH225" s="9">
        <v>6.2630429999999997</v>
      </c>
      <c r="AI225" s="9">
        <v>-75.595581999999993</v>
      </c>
      <c r="AJ225" s="9" t="s">
        <v>1942</v>
      </c>
      <c r="AK225" s="9">
        <v>6.2728250000000001</v>
      </c>
      <c r="AL225" s="9">
        <v>-75.602050000000006</v>
      </c>
      <c r="AM225" s="26">
        <f t="shared" si="3"/>
        <v>0</v>
      </c>
      <c r="AN225" s="9"/>
    </row>
    <row r="226" spans="1:40" ht="15" x14ac:dyDescent="0.25">
      <c r="A226" s="9" t="s">
        <v>1929</v>
      </c>
      <c r="B226" s="9" t="s">
        <v>1943</v>
      </c>
      <c r="C226" s="9" t="s">
        <v>1930</v>
      </c>
      <c r="D226" s="9" t="s">
        <v>1839</v>
      </c>
      <c r="E226" s="9" t="s">
        <v>36</v>
      </c>
      <c r="F226" s="9" t="s">
        <v>37</v>
      </c>
      <c r="G226" s="9" t="s">
        <v>160</v>
      </c>
      <c r="H226" s="9" t="s">
        <v>161</v>
      </c>
      <c r="I226" s="9" t="s">
        <v>115</v>
      </c>
      <c r="J226" s="9">
        <v>7824</v>
      </c>
      <c r="K226" s="9" t="s">
        <v>1931</v>
      </c>
      <c r="L226" s="9" t="s">
        <v>117</v>
      </c>
      <c r="M226" s="10">
        <v>4.0795046296296288E-2</v>
      </c>
      <c r="N226" s="9" t="s">
        <v>127</v>
      </c>
      <c r="O226" s="9" t="s">
        <v>1932</v>
      </c>
      <c r="P226" s="9" t="s">
        <v>119</v>
      </c>
      <c r="Q226" s="10">
        <v>1.9177314814814821E-3</v>
      </c>
      <c r="R226" s="9" t="s">
        <v>46</v>
      </c>
      <c r="S226" s="10">
        <v>0.28887731481481482</v>
      </c>
      <c r="T226" s="9">
        <v>50.188000000000002</v>
      </c>
      <c r="U226" s="9">
        <v>12.01</v>
      </c>
      <c r="V226" s="10">
        <v>0.17411025462962959</v>
      </c>
      <c r="W226" s="10">
        <v>0.1166204050925926</v>
      </c>
      <c r="X226" s="10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3</v>
      </c>
      <c r="AE226" s="9" t="s">
        <v>139</v>
      </c>
      <c r="AF226" s="9" t="s">
        <v>1944</v>
      </c>
      <c r="AG226" s="9" t="s">
        <v>1933</v>
      </c>
      <c r="AH226" s="9">
        <v>6.2266199999999996</v>
      </c>
      <c r="AI226" s="9">
        <v>-75.598614999999995</v>
      </c>
      <c r="AJ226" s="9" t="s">
        <v>1934</v>
      </c>
      <c r="AK226" s="9">
        <v>6.25244</v>
      </c>
      <c r="AL226" s="9">
        <v>-75.582687000000007</v>
      </c>
      <c r="AM226" s="26">
        <f t="shared" si="3"/>
        <v>0</v>
      </c>
      <c r="AN226" s="9"/>
    </row>
    <row r="227" spans="1:40" ht="15" x14ac:dyDescent="0.25">
      <c r="A227" s="9" t="s">
        <v>1945</v>
      </c>
      <c r="B227" s="9" t="s">
        <v>1946</v>
      </c>
      <c r="C227" s="9" t="s">
        <v>1947</v>
      </c>
      <c r="D227" s="9" t="s">
        <v>1948</v>
      </c>
      <c r="E227" s="9" t="s">
        <v>36</v>
      </c>
      <c r="F227" s="9" t="s">
        <v>169</v>
      </c>
      <c r="G227" s="9" t="s">
        <v>38</v>
      </c>
      <c r="H227" s="9" t="s">
        <v>39</v>
      </c>
      <c r="I227" s="9" t="s">
        <v>40</v>
      </c>
      <c r="J227" s="9">
        <v>5959</v>
      </c>
      <c r="K227" s="9" t="s">
        <v>1949</v>
      </c>
      <c r="L227" s="9" t="s">
        <v>42</v>
      </c>
      <c r="M227" s="10">
        <v>3.2673252314814813E-2</v>
      </c>
      <c r="N227" s="9" t="s">
        <v>43</v>
      </c>
      <c r="O227" s="9" t="s">
        <v>1950</v>
      </c>
      <c r="P227" s="9" t="s">
        <v>45</v>
      </c>
      <c r="Q227" s="10">
        <v>2.7579675925925931E-2</v>
      </c>
      <c r="R227" s="9" t="s">
        <v>129</v>
      </c>
      <c r="S227" s="10">
        <v>0.32823975694444452</v>
      </c>
      <c r="T227" s="9">
        <v>33.295999999999999</v>
      </c>
      <c r="U227" s="9">
        <v>9.5399999999999991</v>
      </c>
      <c r="V227" s="10">
        <v>0.14539078703703681</v>
      </c>
      <c r="W227" s="10">
        <v>0.1105644560185185</v>
      </c>
      <c r="X227" s="10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4</v>
      </c>
      <c r="AE227" s="9" t="s">
        <v>130</v>
      </c>
      <c r="AF227" s="9" t="s">
        <v>1951</v>
      </c>
      <c r="AG227" s="9" t="s">
        <v>1952</v>
      </c>
      <c r="AH227" s="9">
        <v>6.203335</v>
      </c>
      <c r="AI227" s="9">
        <v>-75.600755000000007</v>
      </c>
      <c r="AJ227" s="9" t="s">
        <v>1953</v>
      </c>
      <c r="AK227" s="9">
        <v>6.2333160000000003</v>
      </c>
      <c r="AL227" s="9">
        <v>-75.603454999999997</v>
      </c>
      <c r="AM227" s="26">
        <f t="shared" si="3"/>
        <v>3.2673252314814813E-2</v>
      </c>
      <c r="AN227" s="9"/>
    </row>
    <row r="228" spans="1:40" ht="15" x14ac:dyDescent="0.25">
      <c r="A228" s="9" t="s">
        <v>1954</v>
      </c>
      <c r="B228" s="9" t="s">
        <v>1955</v>
      </c>
      <c r="C228" s="9" t="s">
        <v>1956</v>
      </c>
      <c r="D228" s="9" t="s">
        <v>1948</v>
      </c>
      <c r="E228" s="9" t="s">
        <v>36</v>
      </c>
      <c r="F228" s="9" t="s">
        <v>169</v>
      </c>
      <c r="G228" s="9" t="s">
        <v>52</v>
      </c>
      <c r="H228" s="9" t="s">
        <v>53</v>
      </c>
      <c r="I228" s="9" t="s">
        <v>40</v>
      </c>
      <c r="J228" s="9">
        <v>1868</v>
      </c>
      <c r="K228" s="9" t="s">
        <v>1957</v>
      </c>
      <c r="L228" s="9" t="s">
        <v>42</v>
      </c>
      <c r="M228" s="10">
        <v>9.5370370370370366E-3</v>
      </c>
      <c r="N228" s="9" t="s">
        <v>65</v>
      </c>
      <c r="O228" s="9" t="s">
        <v>1958</v>
      </c>
      <c r="P228" s="9" t="s">
        <v>45</v>
      </c>
      <c r="Q228" s="10">
        <v>1.306712962962963E-2</v>
      </c>
      <c r="R228" s="9" t="s">
        <v>56</v>
      </c>
      <c r="S228" s="10">
        <v>0.32980324074074069</v>
      </c>
      <c r="T228" s="9">
        <v>22.170999999999999</v>
      </c>
      <c r="U228" s="9">
        <v>4.5</v>
      </c>
      <c r="V228" s="10">
        <v>0.205162037037037</v>
      </c>
      <c r="W228" s="10">
        <v>0.1571990740740741</v>
      </c>
      <c r="X228" s="10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2</v>
      </c>
      <c r="AE228" s="9" t="s">
        <v>67</v>
      </c>
      <c r="AF228" s="9" t="s">
        <v>1959</v>
      </c>
      <c r="AG228" s="9" t="s">
        <v>1960</v>
      </c>
      <c r="AH228" s="9">
        <v>6.2257470000000001</v>
      </c>
      <c r="AI228" s="9">
        <v>-75.599410000000006</v>
      </c>
      <c r="AJ228" s="9" t="s">
        <v>1961</v>
      </c>
      <c r="AK228" s="9">
        <v>6.2559570000000004</v>
      </c>
      <c r="AL228" s="9">
        <v>-75.616417999999996</v>
      </c>
      <c r="AM228" s="26">
        <f t="shared" si="3"/>
        <v>1.306712962962963E-2</v>
      </c>
      <c r="AN228" s="9"/>
    </row>
    <row r="229" spans="1:40" ht="15" x14ac:dyDescent="0.25">
      <c r="A229" s="9" t="s">
        <v>1962</v>
      </c>
      <c r="B229" s="9" t="s">
        <v>1963</v>
      </c>
      <c r="C229" s="9" t="s">
        <v>1964</v>
      </c>
      <c r="D229" s="9" t="s">
        <v>1948</v>
      </c>
      <c r="E229" s="9" t="s">
        <v>36</v>
      </c>
      <c r="F229" s="9" t="s">
        <v>169</v>
      </c>
      <c r="G229" s="9" t="s">
        <v>113</v>
      </c>
      <c r="H229" s="9" t="s">
        <v>114</v>
      </c>
      <c r="I229" s="9" t="s">
        <v>40</v>
      </c>
      <c r="J229" s="9">
        <v>2244</v>
      </c>
      <c r="K229" s="9" t="s">
        <v>1965</v>
      </c>
      <c r="L229" s="9" t="s">
        <v>42</v>
      </c>
      <c r="M229" s="10">
        <v>1.518518518518519E-2</v>
      </c>
      <c r="N229" s="9" t="s">
        <v>43</v>
      </c>
      <c r="O229" s="9" t="s">
        <v>1966</v>
      </c>
      <c r="P229" s="9" t="s">
        <v>45</v>
      </c>
      <c r="Q229" s="10">
        <v>8.0092592592592594E-3</v>
      </c>
      <c r="R229" s="9" t="s">
        <v>46</v>
      </c>
      <c r="S229" s="10">
        <v>0.3261574074074074</v>
      </c>
      <c r="T229" s="9">
        <v>27.957000000000001</v>
      </c>
      <c r="U229" s="9">
        <v>5.12</v>
      </c>
      <c r="V229" s="10">
        <v>0.22765046296296301</v>
      </c>
      <c r="W229" s="10">
        <v>0.17216435185185189</v>
      </c>
      <c r="X229" s="10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3</v>
      </c>
      <c r="AE229" s="9" t="s">
        <v>47</v>
      </c>
      <c r="AF229" s="9" t="s">
        <v>1967</v>
      </c>
      <c r="AG229" s="9" t="s">
        <v>1968</v>
      </c>
      <c r="AH229" s="9">
        <v>6.2329119999999998</v>
      </c>
      <c r="AI229" s="9">
        <v>-75.602197000000004</v>
      </c>
      <c r="AJ229" s="9" t="s">
        <v>1969</v>
      </c>
      <c r="AK229" s="9">
        <v>6.2508840000000001</v>
      </c>
      <c r="AL229" s="9">
        <v>-75.621311000000006</v>
      </c>
      <c r="AM229" s="26">
        <f t="shared" si="3"/>
        <v>1.518518518518519E-2</v>
      </c>
      <c r="AN229" s="9"/>
    </row>
    <row r="230" spans="1:40" ht="15" x14ac:dyDescent="0.25">
      <c r="A230" s="9" t="s">
        <v>1970</v>
      </c>
      <c r="B230" s="9" t="s">
        <v>1971</v>
      </c>
      <c r="C230" s="9" t="s">
        <v>1972</v>
      </c>
      <c r="D230" s="9" t="s">
        <v>1948</v>
      </c>
      <c r="E230" s="9" t="s">
        <v>36</v>
      </c>
      <c r="F230" s="9" t="s">
        <v>169</v>
      </c>
      <c r="G230" s="9" t="s">
        <v>62</v>
      </c>
      <c r="H230" s="9" t="s">
        <v>63</v>
      </c>
      <c r="I230" s="9" t="s">
        <v>40</v>
      </c>
      <c r="J230" s="9">
        <v>4411</v>
      </c>
      <c r="K230" s="9" t="s">
        <v>1973</v>
      </c>
      <c r="L230" s="9" t="s">
        <v>42</v>
      </c>
      <c r="M230" s="10">
        <v>6.9444444444444441E-3</v>
      </c>
      <c r="N230" s="9" t="s">
        <v>65</v>
      </c>
      <c r="O230" s="9" t="s">
        <v>1974</v>
      </c>
      <c r="P230" s="9" t="s">
        <v>45</v>
      </c>
      <c r="Q230" s="10">
        <v>9.178240740740741E-2</v>
      </c>
      <c r="R230" s="9" t="s">
        <v>56</v>
      </c>
      <c r="S230" s="10">
        <v>0.24849537037037039</v>
      </c>
      <c r="T230" s="9">
        <v>57.37</v>
      </c>
      <c r="U230" s="9">
        <v>13.72</v>
      </c>
      <c r="V230" s="10">
        <v>0.17427083333333329</v>
      </c>
      <c r="W230" s="10">
        <v>6.6747685185185188E-2</v>
      </c>
      <c r="X230" s="10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 t="s">
        <v>67</v>
      </c>
      <c r="AF230" s="9" t="s">
        <v>1975</v>
      </c>
      <c r="AG230" s="9" t="s">
        <v>1976</v>
      </c>
      <c r="AH230" s="9">
        <v>6.2256619999999998</v>
      </c>
      <c r="AI230" s="9">
        <v>-75.599078000000006</v>
      </c>
      <c r="AJ230" s="9" t="s">
        <v>1977</v>
      </c>
      <c r="AK230" s="9">
        <v>6.271636</v>
      </c>
      <c r="AL230" s="9">
        <v>-75.597142000000005</v>
      </c>
      <c r="AM230" s="26">
        <f t="shared" si="3"/>
        <v>9.178240740740741E-2</v>
      </c>
      <c r="AN230" s="9"/>
    </row>
    <row r="231" spans="1:40" ht="15" x14ac:dyDescent="0.25">
      <c r="A231" s="9" t="s">
        <v>1989</v>
      </c>
      <c r="B231" s="9" t="s">
        <v>1990</v>
      </c>
      <c r="C231" s="9" t="s">
        <v>1991</v>
      </c>
      <c r="D231" s="9" t="s">
        <v>1948</v>
      </c>
      <c r="E231" s="9" t="s">
        <v>36</v>
      </c>
      <c r="F231" s="9" t="s">
        <v>169</v>
      </c>
      <c r="G231" s="9" t="s">
        <v>80</v>
      </c>
      <c r="H231" s="9" t="s">
        <v>81</v>
      </c>
      <c r="I231" s="9" t="s">
        <v>40</v>
      </c>
      <c r="J231" s="9">
        <v>5246</v>
      </c>
      <c r="K231" s="9" t="s">
        <v>1992</v>
      </c>
      <c r="L231" s="9" t="s">
        <v>42</v>
      </c>
      <c r="M231" s="10">
        <v>1.0986909722222221E-2</v>
      </c>
      <c r="N231" s="9" t="s">
        <v>43</v>
      </c>
      <c r="O231" s="9" t="s">
        <v>1993</v>
      </c>
      <c r="P231" s="9" t="s">
        <v>45</v>
      </c>
      <c r="Q231" s="10">
        <v>1.054550925925926E-2</v>
      </c>
      <c r="R231" s="9" t="s">
        <v>129</v>
      </c>
      <c r="S231" s="10">
        <v>0.33289193287037039</v>
      </c>
      <c r="T231" s="9">
        <v>27.216000000000001</v>
      </c>
      <c r="U231" s="9">
        <v>33.270000000000003</v>
      </c>
      <c r="V231" s="10">
        <v>3.4082523148148157E-2</v>
      </c>
      <c r="W231" s="10">
        <v>1.6476238425925931E-2</v>
      </c>
      <c r="X231" s="10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10</v>
      </c>
      <c r="AE231" s="9" t="s">
        <v>130</v>
      </c>
      <c r="AF231" s="9" t="s">
        <v>1994</v>
      </c>
      <c r="AG231" s="9" t="s">
        <v>1995</v>
      </c>
      <c r="AH231" s="9">
        <v>6.225619</v>
      </c>
      <c r="AI231" s="9">
        <v>-75.599349000000004</v>
      </c>
      <c r="AJ231" s="9" t="s">
        <v>1996</v>
      </c>
      <c r="AK231" s="9">
        <v>6.2460630000000004</v>
      </c>
      <c r="AL231" s="9">
        <v>-75.561329999999998</v>
      </c>
      <c r="AM231" s="26">
        <f t="shared" si="3"/>
        <v>1.0986909722222221E-2</v>
      </c>
      <c r="AN231" s="9"/>
    </row>
    <row r="232" spans="1:40" ht="15" x14ac:dyDescent="0.25">
      <c r="A232" s="9" t="s">
        <v>1997</v>
      </c>
      <c r="B232" s="9" t="s">
        <v>1998</v>
      </c>
      <c r="C232" s="9" t="s">
        <v>1999</v>
      </c>
      <c r="D232" s="9" t="s">
        <v>1948</v>
      </c>
      <c r="E232" s="9" t="s">
        <v>36</v>
      </c>
      <c r="F232" s="9" t="s">
        <v>169</v>
      </c>
      <c r="G232" s="9" t="s">
        <v>89</v>
      </c>
      <c r="H232" s="9" t="s">
        <v>90</v>
      </c>
      <c r="I232" s="9" t="s">
        <v>40</v>
      </c>
      <c r="J232" s="9">
        <v>5580</v>
      </c>
      <c r="K232" s="9" t="s">
        <v>2000</v>
      </c>
      <c r="L232" s="9" t="s">
        <v>42</v>
      </c>
      <c r="M232" s="10">
        <v>1.773148148148148E-2</v>
      </c>
      <c r="N232" s="9" t="s">
        <v>127</v>
      </c>
      <c r="O232" s="9" t="s">
        <v>2001</v>
      </c>
      <c r="P232" s="9" t="s">
        <v>45</v>
      </c>
      <c r="Q232" s="10">
        <v>3.1944444444444451E-3</v>
      </c>
      <c r="R232" s="9" t="s">
        <v>46</v>
      </c>
      <c r="S232" s="10">
        <v>0.35425925925925927</v>
      </c>
      <c r="T232" s="9">
        <v>75.423000000000002</v>
      </c>
      <c r="U232" s="9">
        <v>10.25</v>
      </c>
      <c r="V232" s="10">
        <v>0.30664351851851851</v>
      </c>
      <c r="W232" s="10">
        <v>0.1716435185185185</v>
      </c>
      <c r="X232" s="10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3</v>
      </c>
      <c r="AE232" s="9" t="s">
        <v>139</v>
      </c>
      <c r="AF232" s="9" t="s">
        <v>2002</v>
      </c>
      <c r="AG232" s="9" t="s">
        <v>2003</v>
      </c>
      <c r="AH232" s="9">
        <v>6.2265730000000001</v>
      </c>
      <c r="AI232" s="9">
        <v>-75.599305000000001</v>
      </c>
      <c r="AJ232" s="9" t="s">
        <v>2004</v>
      </c>
      <c r="AK232" s="9">
        <v>6.2794549999999996</v>
      </c>
      <c r="AL232" s="9">
        <v>-75.570395000000005</v>
      </c>
      <c r="AM232" s="26">
        <f t="shared" si="3"/>
        <v>0</v>
      </c>
      <c r="AN232" s="9"/>
    </row>
    <row r="233" spans="1:40" ht="15" x14ac:dyDescent="0.25">
      <c r="A233" s="9" t="s">
        <v>2005</v>
      </c>
      <c r="B233" s="9" t="s">
        <v>2006</v>
      </c>
      <c r="C233" s="9" t="s">
        <v>2007</v>
      </c>
      <c r="D233" s="9" t="s">
        <v>1948</v>
      </c>
      <c r="E233" s="9" t="s">
        <v>36</v>
      </c>
      <c r="F233" s="9" t="s">
        <v>169</v>
      </c>
      <c r="G233" s="9" t="s">
        <v>97</v>
      </c>
      <c r="H233" s="9" t="s">
        <v>98</v>
      </c>
      <c r="I233" s="9" t="s">
        <v>40</v>
      </c>
      <c r="J233" s="9">
        <v>2385</v>
      </c>
      <c r="K233" s="9" t="s">
        <v>2008</v>
      </c>
      <c r="L233" s="9" t="s">
        <v>42</v>
      </c>
      <c r="M233" s="10">
        <v>6.2962962962962964E-3</v>
      </c>
      <c r="N233" s="9" t="s">
        <v>65</v>
      </c>
      <c r="O233" s="9" t="s">
        <v>2009</v>
      </c>
      <c r="P233" s="9" t="s">
        <v>45</v>
      </c>
      <c r="Q233" s="10">
        <v>1.755787037037037E-2</v>
      </c>
      <c r="R233" s="9" t="s">
        <v>56</v>
      </c>
      <c r="S233" s="10">
        <v>0.30947916666666669</v>
      </c>
      <c r="T233" s="9">
        <v>30.879000000000001</v>
      </c>
      <c r="U233" s="9">
        <v>7.36</v>
      </c>
      <c r="V233" s="10">
        <v>0.17486111111111111</v>
      </c>
      <c r="W233" s="10">
        <v>0.12642361111111111</v>
      </c>
      <c r="X233" s="10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1</v>
      </c>
      <c r="AE233" s="9" t="s">
        <v>67</v>
      </c>
      <c r="AF233" s="9" t="s">
        <v>2010</v>
      </c>
      <c r="AG233" s="9" t="s">
        <v>2011</v>
      </c>
      <c r="AH233" s="9">
        <v>6.2256629999999999</v>
      </c>
      <c r="AI233" s="9">
        <v>-75.599389000000002</v>
      </c>
      <c r="AJ233" s="9" t="s">
        <v>2012</v>
      </c>
      <c r="AK233" s="9">
        <v>6.3079999999999998</v>
      </c>
      <c r="AL233" s="9">
        <v>-75.581952000000001</v>
      </c>
      <c r="AM233" s="26">
        <f t="shared" si="3"/>
        <v>1.755787037037037E-2</v>
      </c>
      <c r="AN233" s="9"/>
    </row>
    <row r="234" spans="1:40" ht="15" x14ac:dyDescent="0.25">
      <c r="A234" s="9" t="s">
        <v>2013</v>
      </c>
      <c r="B234" s="9" t="s">
        <v>2014</v>
      </c>
      <c r="C234" s="9" t="s">
        <v>2015</v>
      </c>
      <c r="D234" s="9" t="s">
        <v>1948</v>
      </c>
      <c r="E234" s="9" t="s">
        <v>36</v>
      </c>
      <c r="F234" s="9" t="s">
        <v>169</v>
      </c>
      <c r="G234" s="9" t="s">
        <v>105</v>
      </c>
      <c r="H234" s="9" t="s">
        <v>106</v>
      </c>
      <c r="I234" s="9" t="s">
        <v>40</v>
      </c>
      <c r="J234" s="9">
        <v>4294</v>
      </c>
      <c r="K234" s="9" t="s">
        <v>2016</v>
      </c>
      <c r="L234" s="9" t="s">
        <v>42</v>
      </c>
      <c r="M234" s="10">
        <v>1.34375E-2</v>
      </c>
      <c r="N234" s="9" t="s">
        <v>43</v>
      </c>
      <c r="O234" s="9" t="s">
        <v>2017</v>
      </c>
      <c r="P234" s="9" t="s">
        <v>45</v>
      </c>
      <c r="Q234" s="10">
        <v>1.041666666666667E-2</v>
      </c>
      <c r="R234" s="9" t="s">
        <v>46</v>
      </c>
      <c r="S234" s="10">
        <v>0.33031250000000001</v>
      </c>
      <c r="T234" s="9">
        <v>57.81</v>
      </c>
      <c r="U234" s="9">
        <v>13.04</v>
      </c>
      <c r="V234" s="10">
        <v>0.18466435185185179</v>
      </c>
      <c r="W234" s="10">
        <v>0.1046643518518519</v>
      </c>
      <c r="X234" s="10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 t="s">
        <v>47</v>
      </c>
      <c r="AF234" s="9" t="s">
        <v>2018</v>
      </c>
      <c r="AG234" s="9" t="s">
        <v>2019</v>
      </c>
      <c r="AH234" s="9">
        <v>6.2255799999999999</v>
      </c>
      <c r="AI234" s="9">
        <v>-75.599298000000005</v>
      </c>
      <c r="AJ234" s="9" t="s">
        <v>2020</v>
      </c>
      <c r="AK234" s="9">
        <v>6.258559</v>
      </c>
      <c r="AL234" s="9">
        <v>-75.616271999999995</v>
      </c>
      <c r="AM234" s="26">
        <f t="shared" si="3"/>
        <v>1.34375E-2</v>
      </c>
      <c r="AN234" s="9"/>
    </row>
    <row r="235" spans="1:40" ht="15" x14ac:dyDescent="0.25">
      <c r="A235" s="9" t="s">
        <v>1984</v>
      </c>
      <c r="B235" s="9" t="s">
        <v>1979</v>
      </c>
      <c r="C235" s="9" t="s">
        <v>1986</v>
      </c>
      <c r="D235" s="9" t="s">
        <v>1948</v>
      </c>
      <c r="E235" s="9" t="s">
        <v>36</v>
      </c>
      <c r="F235" s="9" t="s">
        <v>169</v>
      </c>
      <c r="G235" s="9" t="s">
        <v>72</v>
      </c>
      <c r="H235" s="9" t="s">
        <v>73</v>
      </c>
      <c r="I235" s="9" t="s">
        <v>40</v>
      </c>
      <c r="J235" s="9">
        <v>1382</v>
      </c>
      <c r="K235" s="9" t="s">
        <v>1987</v>
      </c>
      <c r="L235" s="9" t="s">
        <v>42</v>
      </c>
      <c r="M235" s="10">
        <v>1.4548611111111109E-2</v>
      </c>
      <c r="N235" s="9" t="s">
        <v>43</v>
      </c>
      <c r="O235" s="9" t="s">
        <v>1988</v>
      </c>
      <c r="P235" s="9" t="s">
        <v>45</v>
      </c>
      <c r="Q235" s="9"/>
      <c r="R235" s="9" t="s">
        <v>1983</v>
      </c>
      <c r="S235" s="10">
        <v>0.36158564814814809</v>
      </c>
      <c r="T235" s="9">
        <v>17.55</v>
      </c>
      <c r="U235" s="9">
        <v>7.15</v>
      </c>
      <c r="V235" s="10">
        <v>0.10223379629629629</v>
      </c>
      <c r="W235" s="10">
        <v>7.1469907407407413E-2</v>
      </c>
      <c r="X235" s="10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 t="s">
        <v>1983</v>
      </c>
      <c r="AF235" s="9" t="s">
        <v>2021</v>
      </c>
      <c r="AG235" s="9" t="s">
        <v>2022</v>
      </c>
      <c r="AH235" s="9">
        <v>6.2257340000000001</v>
      </c>
      <c r="AI235" s="9">
        <v>-75.599446999999998</v>
      </c>
      <c r="AJ235" s="9" t="s">
        <v>2023</v>
      </c>
      <c r="AK235" s="9">
        <v>6.2358130000000003</v>
      </c>
      <c r="AL235" s="9">
        <v>-75.555079000000006</v>
      </c>
      <c r="AM235" s="26">
        <f t="shared" si="3"/>
        <v>1.4548611111111109E-2</v>
      </c>
      <c r="AN235" s="9"/>
    </row>
    <row r="236" spans="1:40" ht="15" x14ac:dyDescent="0.25">
      <c r="A236" s="9" t="s">
        <v>1978</v>
      </c>
      <c r="B236" s="9" t="s">
        <v>1985</v>
      </c>
      <c r="C236" s="9" t="s">
        <v>1980</v>
      </c>
      <c r="D236" s="9" t="s">
        <v>1948</v>
      </c>
      <c r="E236" s="9" t="s">
        <v>36</v>
      </c>
      <c r="F236" s="9" t="s">
        <v>169</v>
      </c>
      <c r="G236" s="9" t="s">
        <v>72</v>
      </c>
      <c r="H236" s="9" t="s">
        <v>73</v>
      </c>
      <c r="I236" s="9" t="s">
        <v>40</v>
      </c>
      <c r="J236" s="9">
        <v>336</v>
      </c>
      <c r="K236" s="9" t="s">
        <v>1981</v>
      </c>
      <c r="L236" s="9" t="s">
        <v>42</v>
      </c>
      <c r="N236" s="9" t="s">
        <v>1983</v>
      </c>
      <c r="O236" s="9" t="s">
        <v>1982</v>
      </c>
      <c r="P236" s="9" t="s">
        <v>45</v>
      </c>
      <c r="Q236" s="10">
        <v>4.2800925925925923E-2</v>
      </c>
      <c r="R236" s="9" t="s">
        <v>129</v>
      </c>
      <c r="S236" s="10">
        <v>0.36158564814814809</v>
      </c>
      <c r="T236" s="9">
        <v>3.5720000000000001</v>
      </c>
      <c r="U236" s="9">
        <v>3.31</v>
      </c>
      <c r="V236" s="10">
        <v>4.4965277777777778E-2</v>
      </c>
      <c r="W236" s="10">
        <v>3.7164351851851851E-2</v>
      </c>
      <c r="X236" s="10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 t="s">
        <v>1983</v>
      </c>
      <c r="AF236" s="9" t="s">
        <v>2024</v>
      </c>
      <c r="AG236" s="9" t="s">
        <v>2025</v>
      </c>
      <c r="AH236" s="9">
        <v>6.236402</v>
      </c>
      <c r="AI236" s="9">
        <v>-75.560053999999994</v>
      </c>
      <c r="AJ236" s="9" t="s">
        <v>2026</v>
      </c>
      <c r="AK236" s="9">
        <v>6.2370260000000002</v>
      </c>
      <c r="AL236" s="9">
        <v>-75.558757</v>
      </c>
      <c r="AM236" s="26">
        <f t="shared" si="3"/>
        <v>0</v>
      </c>
      <c r="AN236" s="9"/>
    </row>
    <row r="237" spans="1:40" ht="15" x14ac:dyDescent="0.25">
      <c r="A237" s="9" t="s">
        <v>2027</v>
      </c>
      <c r="B237" s="9" t="s">
        <v>2028</v>
      </c>
      <c r="C237" s="9" t="s">
        <v>2029</v>
      </c>
      <c r="D237" s="9" t="s">
        <v>1948</v>
      </c>
      <c r="E237" s="9" t="s">
        <v>36</v>
      </c>
      <c r="F237" s="9" t="s">
        <v>169</v>
      </c>
      <c r="G237" s="9" t="s">
        <v>124</v>
      </c>
      <c r="H237" s="9" t="s">
        <v>125</v>
      </c>
      <c r="I237" s="9" t="s">
        <v>115</v>
      </c>
      <c r="J237" s="9">
        <v>5086</v>
      </c>
      <c r="K237" s="9" t="s">
        <v>2030</v>
      </c>
      <c r="L237" s="9" t="s">
        <v>117</v>
      </c>
      <c r="M237" s="10">
        <v>6.3888888888888893E-3</v>
      </c>
      <c r="N237" s="9" t="s">
        <v>65</v>
      </c>
      <c r="O237" s="9" t="s">
        <v>2031</v>
      </c>
      <c r="P237" s="9" t="s">
        <v>119</v>
      </c>
      <c r="Q237" s="10">
        <v>1.6273148148148151E-2</v>
      </c>
      <c r="R237" s="9" t="s">
        <v>129</v>
      </c>
      <c r="S237" s="10">
        <v>0.27266203703703712</v>
      </c>
      <c r="T237" s="9">
        <v>64.069000000000003</v>
      </c>
      <c r="U237" s="9">
        <v>13.78</v>
      </c>
      <c r="V237" s="10">
        <v>0.19375000000000001</v>
      </c>
      <c r="W237" s="10">
        <v>4.5520833333333337E-2</v>
      </c>
      <c r="X237" s="10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 t="s">
        <v>130</v>
      </c>
      <c r="AF237" s="9" t="s">
        <v>2032</v>
      </c>
      <c r="AG237" s="9" t="s">
        <v>2033</v>
      </c>
      <c r="AH237" s="9">
        <v>6.2267890000000001</v>
      </c>
      <c r="AI237" s="9">
        <v>-75.599344000000002</v>
      </c>
      <c r="AJ237" s="9" t="s">
        <v>2034</v>
      </c>
      <c r="AK237" s="9">
        <v>6.2726839999999999</v>
      </c>
      <c r="AL237" s="9">
        <v>-75.602047999999996</v>
      </c>
      <c r="AM237" s="26">
        <f t="shared" si="3"/>
        <v>0</v>
      </c>
      <c r="AN237" s="9"/>
    </row>
    <row r="238" spans="1:40" ht="15" x14ac:dyDescent="0.25">
      <c r="A238" s="9" t="s">
        <v>2035</v>
      </c>
      <c r="B238" s="9" t="s">
        <v>2036</v>
      </c>
      <c r="C238" s="9" t="s">
        <v>2037</v>
      </c>
      <c r="D238" s="9" t="s">
        <v>1948</v>
      </c>
      <c r="E238" s="9" t="s">
        <v>36</v>
      </c>
      <c r="F238" s="9" t="s">
        <v>169</v>
      </c>
      <c r="G238" s="9" t="s">
        <v>135</v>
      </c>
      <c r="H238" s="9" t="s">
        <v>136</v>
      </c>
      <c r="I238" s="9" t="s">
        <v>115</v>
      </c>
      <c r="J238" s="9">
        <v>2052</v>
      </c>
      <c r="K238" s="9" t="s">
        <v>2038</v>
      </c>
      <c r="L238" s="9" t="s">
        <v>117</v>
      </c>
      <c r="M238" s="10">
        <v>1.712962962962963E-2</v>
      </c>
      <c r="N238" s="9" t="s">
        <v>127</v>
      </c>
      <c r="O238" s="9" t="s">
        <v>2039</v>
      </c>
      <c r="P238" s="9" t="s">
        <v>119</v>
      </c>
      <c r="Q238" s="10">
        <v>1.5277777777777781E-3</v>
      </c>
      <c r="R238" s="9" t="s">
        <v>46</v>
      </c>
      <c r="S238" s="10">
        <v>0.26560185185185192</v>
      </c>
      <c r="T238" s="9">
        <v>35.808999999999997</v>
      </c>
      <c r="U238" s="9">
        <v>14.06</v>
      </c>
      <c r="V238" s="10">
        <v>0.1061458333333333</v>
      </c>
      <c r="W238" s="10">
        <v>6.5925925925925929E-2</v>
      </c>
      <c r="X238" s="10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6</v>
      </c>
      <c r="AE238" s="9" t="s">
        <v>139</v>
      </c>
      <c r="AF238" s="9" t="s">
        <v>2040</v>
      </c>
      <c r="AG238" s="9" t="s">
        <v>2041</v>
      </c>
      <c r="AH238" s="9">
        <v>6.2139949999999997</v>
      </c>
      <c r="AI238" s="9">
        <v>-75.596642000000003</v>
      </c>
      <c r="AJ238" s="9" t="s">
        <v>2042</v>
      </c>
      <c r="AK238" s="9">
        <v>6.2709320000000002</v>
      </c>
      <c r="AL238" s="9">
        <v>-75.554243</v>
      </c>
      <c r="AM238" s="26">
        <f t="shared" si="3"/>
        <v>0</v>
      </c>
      <c r="AN238" s="9"/>
    </row>
    <row r="239" spans="1:40" ht="15" x14ac:dyDescent="0.25">
      <c r="A239" s="9" t="s">
        <v>2043</v>
      </c>
      <c r="B239" s="9" t="s">
        <v>2044</v>
      </c>
      <c r="C239" s="9" t="s">
        <v>2045</v>
      </c>
      <c r="D239" s="9" t="s">
        <v>1948</v>
      </c>
      <c r="E239" s="9" t="s">
        <v>36</v>
      </c>
      <c r="F239" s="9" t="s">
        <v>169</v>
      </c>
      <c r="G239" s="9" t="s">
        <v>152</v>
      </c>
      <c r="H239" s="9" t="s">
        <v>153</v>
      </c>
      <c r="I239" s="9" t="s">
        <v>115</v>
      </c>
      <c r="J239" s="9">
        <v>3372</v>
      </c>
      <c r="K239" s="9" t="s">
        <v>2046</v>
      </c>
      <c r="L239" s="9" t="s">
        <v>117</v>
      </c>
      <c r="M239" s="10">
        <v>2.0358796296296292E-2</v>
      </c>
      <c r="N239" s="9" t="s">
        <v>127</v>
      </c>
      <c r="O239" s="9" t="s">
        <v>2047</v>
      </c>
      <c r="P239" s="9" t="s">
        <v>119</v>
      </c>
      <c r="Q239" s="10">
        <v>9.6481481481481488E-2</v>
      </c>
      <c r="R239" s="9" t="s">
        <v>56</v>
      </c>
      <c r="S239" s="10">
        <v>0.1738773148148148</v>
      </c>
      <c r="T239" s="9">
        <v>46.061</v>
      </c>
      <c r="U239" s="9">
        <v>13.42</v>
      </c>
      <c r="V239" s="10">
        <v>0.14305555555555549</v>
      </c>
      <c r="W239" s="10">
        <v>7.694444444444444E-2</v>
      </c>
      <c r="X239" s="10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 t="s">
        <v>139</v>
      </c>
      <c r="AF239" s="9" t="s">
        <v>2048</v>
      </c>
      <c r="AG239" s="9" t="s">
        <v>2049</v>
      </c>
      <c r="AH239" s="9">
        <v>6.2269769999999998</v>
      </c>
      <c r="AI239" s="9">
        <v>-75.599621999999997</v>
      </c>
      <c r="AJ239" s="9" t="s">
        <v>2050</v>
      </c>
      <c r="AK239" s="9">
        <v>6.2518320000000003</v>
      </c>
      <c r="AL239" s="9">
        <v>-75.551834999999997</v>
      </c>
      <c r="AM239" s="26">
        <f t="shared" si="3"/>
        <v>9.6481481481481488E-2</v>
      </c>
      <c r="AN239" s="9"/>
    </row>
    <row r="240" spans="1:40" ht="15" x14ac:dyDescent="0.25">
      <c r="A240" s="9" t="s">
        <v>2051</v>
      </c>
      <c r="B240" s="9" t="s">
        <v>2052</v>
      </c>
      <c r="C240" s="9" t="s">
        <v>2053</v>
      </c>
      <c r="D240" s="9" t="s">
        <v>1948</v>
      </c>
      <c r="E240" s="9" t="s">
        <v>36</v>
      </c>
      <c r="F240" s="9" t="s">
        <v>169</v>
      </c>
      <c r="G240" s="9" t="s">
        <v>160</v>
      </c>
      <c r="H240" s="9" t="s">
        <v>161</v>
      </c>
      <c r="I240" s="9" t="s">
        <v>115</v>
      </c>
      <c r="J240" s="9">
        <v>7287</v>
      </c>
      <c r="K240" s="9" t="s">
        <v>2054</v>
      </c>
      <c r="L240" s="9" t="s">
        <v>117</v>
      </c>
      <c r="M240" s="10">
        <v>1.295013888888889E-2</v>
      </c>
      <c r="N240" s="9" t="s">
        <v>127</v>
      </c>
      <c r="O240" s="9" t="s">
        <v>2055</v>
      </c>
      <c r="P240" s="9" t="s">
        <v>119</v>
      </c>
      <c r="Q240" s="10">
        <v>5.4758101851851851E-3</v>
      </c>
      <c r="R240" s="9" t="s">
        <v>46</v>
      </c>
      <c r="S240" s="10">
        <v>0.26842594907407408</v>
      </c>
      <c r="T240" s="9">
        <v>45.036999999999999</v>
      </c>
      <c r="U240" s="9">
        <v>10.41</v>
      </c>
      <c r="V240" s="10">
        <v>0.18027780092592591</v>
      </c>
      <c r="W240" s="10">
        <v>0.1340850810185184</v>
      </c>
      <c r="X240" s="10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2</v>
      </c>
      <c r="AE240" s="9" t="s">
        <v>139</v>
      </c>
      <c r="AF240" s="9" t="s">
        <v>2056</v>
      </c>
      <c r="AG240" s="9" t="s">
        <v>2057</v>
      </c>
      <c r="AH240" s="9">
        <v>6.2267679999999999</v>
      </c>
      <c r="AI240" s="9">
        <v>-75.599311999999998</v>
      </c>
      <c r="AJ240" s="9" t="s">
        <v>2058</v>
      </c>
      <c r="AK240" s="9">
        <v>6.2685969999999998</v>
      </c>
      <c r="AL240" s="9">
        <v>-75.599288000000001</v>
      </c>
      <c r="AM240" s="26">
        <f t="shared" si="3"/>
        <v>0</v>
      </c>
      <c r="AN240" s="9"/>
    </row>
    <row r="241" spans="1:40" ht="15" x14ac:dyDescent="0.25">
      <c r="A241" s="32" t="s">
        <v>2059</v>
      </c>
      <c r="B241" s="32" t="s">
        <v>2060</v>
      </c>
      <c r="C241" s="32" t="s">
        <v>2061</v>
      </c>
      <c r="D241" s="32" t="s">
        <v>2062</v>
      </c>
      <c r="E241" s="32" t="s">
        <v>36</v>
      </c>
      <c r="F241" s="32" t="s">
        <v>315</v>
      </c>
      <c r="G241" s="32" t="s">
        <v>38</v>
      </c>
      <c r="H241" s="32" t="s">
        <v>39</v>
      </c>
      <c r="I241" s="32" t="s">
        <v>40</v>
      </c>
      <c r="J241" s="32">
        <v>3430</v>
      </c>
      <c r="K241" s="32" t="s">
        <v>2063</v>
      </c>
      <c r="L241" s="32" t="s">
        <v>42</v>
      </c>
      <c r="M241" s="33">
        <v>2.8965428240740741E-2</v>
      </c>
      <c r="N241" s="32" t="s">
        <v>43</v>
      </c>
      <c r="O241" s="32" t="s">
        <v>2064</v>
      </c>
      <c r="P241" s="32" t="s">
        <v>45</v>
      </c>
      <c r="Q241" s="33">
        <v>3.7219456018518518E-2</v>
      </c>
      <c r="R241" s="32" t="s">
        <v>56</v>
      </c>
      <c r="S241" s="33">
        <v>0.26714844907407409</v>
      </c>
      <c r="T241" s="32">
        <v>19.553999999999998</v>
      </c>
      <c r="U241" s="32">
        <v>18.96</v>
      </c>
      <c r="V241" s="33">
        <v>4.2980486111111098E-2</v>
      </c>
      <c r="W241" s="33">
        <v>2.4208506944444451E-2</v>
      </c>
      <c r="X241" s="33">
        <v>0</v>
      </c>
      <c r="Y241" s="32">
        <v>0</v>
      </c>
      <c r="Z241" s="32">
        <v>0</v>
      </c>
      <c r="AA241" s="32">
        <v>0</v>
      </c>
      <c r="AB241" s="32">
        <v>0</v>
      </c>
      <c r="AC241" s="32">
        <v>0</v>
      </c>
      <c r="AD241" s="32">
        <v>4</v>
      </c>
      <c r="AE241" s="32" t="s">
        <v>57</v>
      </c>
      <c r="AF241" s="32" t="s">
        <v>2065</v>
      </c>
      <c r="AG241" s="32" t="s">
        <v>2066</v>
      </c>
      <c r="AH241" s="32">
        <v>6.2161540000000004</v>
      </c>
      <c r="AI241" s="32">
        <v>-75.597554000000002</v>
      </c>
      <c r="AJ241" s="32" t="s">
        <v>2067</v>
      </c>
      <c r="AK241" s="32">
        <v>6.2220230000000001</v>
      </c>
      <c r="AL241" s="32">
        <v>-75.593338000000003</v>
      </c>
      <c r="AM241" s="26">
        <f t="shared" si="3"/>
        <v>6.6184884259259252E-2</v>
      </c>
      <c r="AN241" s="9"/>
    </row>
    <row r="242" spans="1:40" ht="15" x14ac:dyDescent="0.25">
      <c r="A242" s="32" t="s">
        <v>2068</v>
      </c>
      <c r="B242" s="32" t="s">
        <v>2069</v>
      </c>
      <c r="C242" s="32" t="s">
        <v>2070</v>
      </c>
      <c r="D242" s="32" t="s">
        <v>2062</v>
      </c>
      <c r="E242" s="32" t="s">
        <v>36</v>
      </c>
      <c r="F242" s="32" t="s">
        <v>315</v>
      </c>
      <c r="G242" s="32" t="s">
        <v>52</v>
      </c>
      <c r="H242" s="32" t="s">
        <v>53</v>
      </c>
      <c r="I242" s="32" t="s">
        <v>40</v>
      </c>
      <c r="J242" s="32">
        <v>1795</v>
      </c>
      <c r="K242" s="32" t="s">
        <v>2071</v>
      </c>
      <c r="L242" s="32" t="s">
        <v>42</v>
      </c>
      <c r="M242" s="33">
        <v>1.087962962962963E-2</v>
      </c>
      <c r="N242" s="32" t="s">
        <v>127</v>
      </c>
      <c r="O242" s="32" t="s">
        <v>2072</v>
      </c>
      <c r="P242" s="32" t="s">
        <v>45</v>
      </c>
      <c r="Q242" s="33">
        <v>1.423611111111111E-3</v>
      </c>
      <c r="R242" s="32" t="s">
        <v>46</v>
      </c>
      <c r="S242" s="33">
        <v>0.34563657407407411</v>
      </c>
      <c r="T242" s="32">
        <v>29.731000000000002</v>
      </c>
      <c r="U242" s="32">
        <v>4.18</v>
      </c>
      <c r="V242" s="33">
        <v>0.29662037037037042</v>
      </c>
      <c r="W242" s="33">
        <v>0.2630439814814815</v>
      </c>
      <c r="X242" s="33">
        <v>0</v>
      </c>
      <c r="Y242" s="32">
        <v>0</v>
      </c>
      <c r="Z242" s="32">
        <v>0</v>
      </c>
      <c r="AA242" s="32">
        <v>0</v>
      </c>
      <c r="AB242" s="32">
        <v>0</v>
      </c>
      <c r="AC242" s="32">
        <v>0</v>
      </c>
      <c r="AD242" s="32">
        <v>4</v>
      </c>
      <c r="AE242" s="32" t="s">
        <v>139</v>
      </c>
      <c r="AF242" s="32" t="s">
        <v>2073</v>
      </c>
      <c r="AG242" s="32" t="s">
        <v>2074</v>
      </c>
      <c r="AH242" s="32">
        <v>6.2257819999999997</v>
      </c>
      <c r="AI242" s="32">
        <v>-75.599367999999998</v>
      </c>
      <c r="AJ242" s="32" t="s">
        <v>2075</v>
      </c>
      <c r="AK242" s="32">
        <v>6.247414</v>
      </c>
      <c r="AL242" s="32">
        <v>-75.615004999999996</v>
      </c>
      <c r="AM242" s="26">
        <f t="shared" si="3"/>
        <v>0</v>
      </c>
      <c r="AN242" s="9"/>
    </row>
    <row r="243" spans="1:40" ht="15" x14ac:dyDescent="0.25">
      <c r="A243" s="32" t="s">
        <v>2076</v>
      </c>
      <c r="B243" s="32" t="s">
        <v>2077</v>
      </c>
      <c r="C243" s="32" t="s">
        <v>2078</v>
      </c>
      <c r="D243" s="32" t="s">
        <v>2062</v>
      </c>
      <c r="E243" s="32" t="s">
        <v>36</v>
      </c>
      <c r="F243" s="32" t="s">
        <v>315</v>
      </c>
      <c r="G243" s="32" t="s">
        <v>113</v>
      </c>
      <c r="H243" s="32" t="s">
        <v>114</v>
      </c>
      <c r="I243" s="32" t="s">
        <v>40</v>
      </c>
      <c r="J243" s="32">
        <v>2721</v>
      </c>
      <c r="K243" s="32" t="s">
        <v>2079</v>
      </c>
      <c r="L243" s="32" t="s">
        <v>42</v>
      </c>
      <c r="M243" s="33">
        <v>1.8749999999999999E-3</v>
      </c>
      <c r="N243" s="32" t="s">
        <v>65</v>
      </c>
      <c r="O243" s="32" t="s">
        <v>2080</v>
      </c>
      <c r="P243" s="32" t="s">
        <v>45</v>
      </c>
      <c r="Q243" s="33">
        <v>2.690972222222222E-2</v>
      </c>
      <c r="R243" s="32" t="s">
        <v>56</v>
      </c>
      <c r="S243" s="33">
        <v>0.30829861111111112</v>
      </c>
      <c r="T243" s="32">
        <v>35.728999999999999</v>
      </c>
      <c r="U243" s="32">
        <v>5.9</v>
      </c>
      <c r="V243" s="33">
        <v>0.2522800925925926</v>
      </c>
      <c r="W243" s="33">
        <v>0.1942939814814815</v>
      </c>
      <c r="X243" s="33">
        <v>0</v>
      </c>
      <c r="Y243" s="32">
        <v>0</v>
      </c>
      <c r="Z243" s="32">
        <v>0</v>
      </c>
      <c r="AA243" s="32">
        <v>0</v>
      </c>
      <c r="AB243" s="32">
        <v>0</v>
      </c>
      <c r="AC243" s="32">
        <v>0</v>
      </c>
      <c r="AD243" s="32">
        <v>2</v>
      </c>
      <c r="AE243" s="32" t="s">
        <v>67</v>
      </c>
      <c r="AF243" s="32" t="s">
        <v>2081</v>
      </c>
      <c r="AG243" s="32" t="s">
        <v>2082</v>
      </c>
      <c r="AH243" s="32">
        <v>6.238194</v>
      </c>
      <c r="AI243" s="32">
        <v>-75.603009999999998</v>
      </c>
      <c r="AJ243" s="32" t="s">
        <v>2083</v>
      </c>
      <c r="AK243" s="32">
        <v>6.2481739999999997</v>
      </c>
      <c r="AL243" s="32">
        <v>-75.605001999999999</v>
      </c>
      <c r="AM243" s="26">
        <f t="shared" si="3"/>
        <v>2.690972222222222E-2</v>
      </c>
      <c r="AN243" s="9"/>
    </row>
    <row r="244" spans="1:40" ht="15" x14ac:dyDescent="0.25">
      <c r="A244" s="32" t="s">
        <v>2084</v>
      </c>
      <c r="B244" s="32" t="s">
        <v>2085</v>
      </c>
      <c r="C244" s="32" t="s">
        <v>2086</v>
      </c>
      <c r="D244" s="32" t="s">
        <v>2062</v>
      </c>
      <c r="E244" s="32" t="s">
        <v>36</v>
      </c>
      <c r="F244" s="32" t="s">
        <v>315</v>
      </c>
      <c r="G244" s="32" t="s">
        <v>62</v>
      </c>
      <c r="H244" s="32" t="s">
        <v>63</v>
      </c>
      <c r="I244" s="32" t="s">
        <v>40</v>
      </c>
      <c r="J244" s="32">
        <v>2783</v>
      </c>
      <c r="K244" s="32" t="s">
        <v>2087</v>
      </c>
      <c r="L244" s="32" t="s">
        <v>42</v>
      </c>
      <c r="M244" s="33">
        <v>3.2523148148148148E-2</v>
      </c>
      <c r="N244" s="32" t="s">
        <v>43</v>
      </c>
      <c r="O244" s="32" t="s">
        <v>2088</v>
      </c>
      <c r="P244" s="32" t="s">
        <v>45</v>
      </c>
      <c r="Q244" s="33">
        <v>0.12174768518518519</v>
      </c>
      <c r="R244" s="32" t="s">
        <v>56</v>
      </c>
      <c r="S244" s="33">
        <v>0.17906250000000001</v>
      </c>
      <c r="T244" s="32">
        <v>36.811</v>
      </c>
      <c r="U244" s="32">
        <v>11.08</v>
      </c>
      <c r="V244" s="33">
        <v>0.13844907407407411</v>
      </c>
      <c r="W244" s="33">
        <v>7.7569444444444441E-2</v>
      </c>
      <c r="X244" s="33">
        <v>0</v>
      </c>
      <c r="Y244" s="32">
        <v>0</v>
      </c>
      <c r="Z244" s="32">
        <v>0</v>
      </c>
      <c r="AA244" s="32">
        <v>0</v>
      </c>
      <c r="AB244" s="32">
        <v>0</v>
      </c>
      <c r="AC244" s="32">
        <v>0</v>
      </c>
      <c r="AD244" s="32">
        <v>1</v>
      </c>
      <c r="AE244" s="32" t="s">
        <v>57</v>
      </c>
      <c r="AF244" s="32" t="s">
        <v>2089</v>
      </c>
      <c r="AG244" s="32" t="s">
        <v>2090</v>
      </c>
      <c r="AH244" s="32">
        <v>6.2256629999999999</v>
      </c>
      <c r="AI244" s="32">
        <v>-75.599553</v>
      </c>
      <c r="AJ244" s="32" t="s">
        <v>2091</v>
      </c>
      <c r="AK244" s="32">
        <v>6.2614349999999996</v>
      </c>
      <c r="AL244" s="32">
        <v>-75.603897000000003</v>
      </c>
      <c r="AM244" s="26">
        <f t="shared" si="3"/>
        <v>0.15427083333333336</v>
      </c>
      <c r="AN244" s="9"/>
    </row>
    <row r="245" spans="1:40" ht="15" x14ac:dyDescent="0.25">
      <c r="A245" s="32" t="s">
        <v>2092</v>
      </c>
      <c r="B245" s="32" t="s">
        <v>2093</v>
      </c>
      <c r="C245" s="32" t="s">
        <v>2094</v>
      </c>
      <c r="D245" s="32" t="s">
        <v>2062</v>
      </c>
      <c r="E245" s="32" t="s">
        <v>36</v>
      </c>
      <c r="F245" s="32" t="s">
        <v>315</v>
      </c>
      <c r="G245" s="32" t="s">
        <v>72</v>
      </c>
      <c r="H245" s="32" t="s">
        <v>73</v>
      </c>
      <c r="I245" s="32" t="s">
        <v>40</v>
      </c>
      <c r="J245" s="32">
        <v>1079</v>
      </c>
      <c r="K245" s="32" t="s">
        <v>2095</v>
      </c>
      <c r="L245" s="32" t="s">
        <v>42</v>
      </c>
      <c r="M245" s="33">
        <v>1.556712962962963E-2</v>
      </c>
      <c r="N245" s="32" t="s">
        <v>43</v>
      </c>
      <c r="O245" s="32" t="s">
        <v>2096</v>
      </c>
      <c r="P245" s="32" t="s">
        <v>45</v>
      </c>
      <c r="Q245" s="33">
        <v>0.1615509259259259</v>
      </c>
      <c r="R245" s="32" t="s">
        <v>56</v>
      </c>
      <c r="S245" s="33">
        <v>0.1562152777777778</v>
      </c>
      <c r="T245" s="32">
        <v>14.132</v>
      </c>
      <c r="U245" s="32">
        <v>5.49</v>
      </c>
      <c r="V245" s="33">
        <v>0.1071990740740741</v>
      </c>
      <c r="W245" s="33">
        <v>8.802083333333334E-2</v>
      </c>
      <c r="X245" s="33">
        <v>0</v>
      </c>
      <c r="Y245" s="32">
        <v>0</v>
      </c>
      <c r="Z245" s="32">
        <v>0</v>
      </c>
      <c r="AA245" s="32">
        <v>0</v>
      </c>
      <c r="AB245" s="32">
        <v>0</v>
      </c>
      <c r="AC245" s="32">
        <v>0</v>
      </c>
      <c r="AD245" s="32">
        <v>0</v>
      </c>
      <c r="AE245" s="32" t="s">
        <v>57</v>
      </c>
      <c r="AF245" s="32" t="s">
        <v>2097</v>
      </c>
      <c r="AG245" s="32" t="s">
        <v>2098</v>
      </c>
      <c r="AH245" s="32">
        <v>6.2255140000000004</v>
      </c>
      <c r="AI245" s="32">
        <v>-75.599446999999998</v>
      </c>
      <c r="AJ245" s="32" t="s">
        <v>2099</v>
      </c>
      <c r="AK245" s="32">
        <v>6.2369919999999999</v>
      </c>
      <c r="AL245" s="32">
        <v>-75.558876999999995</v>
      </c>
      <c r="AM245" s="26">
        <f t="shared" si="3"/>
        <v>0.17711805555555554</v>
      </c>
      <c r="AN245" s="9"/>
    </row>
    <row r="246" spans="1:40" ht="15" x14ac:dyDescent="0.25">
      <c r="A246" s="32" t="s">
        <v>2100</v>
      </c>
      <c r="B246" s="32" t="s">
        <v>2101</v>
      </c>
      <c r="C246" s="32" t="s">
        <v>2102</v>
      </c>
      <c r="D246" s="32" t="s">
        <v>2062</v>
      </c>
      <c r="E246" s="32" t="s">
        <v>36</v>
      </c>
      <c r="F246" s="32" t="s">
        <v>315</v>
      </c>
      <c r="G246" s="32" t="s">
        <v>80</v>
      </c>
      <c r="H246" s="32" t="s">
        <v>81</v>
      </c>
      <c r="I246" s="32" t="s">
        <v>40</v>
      </c>
      <c r="J246" s="32">
        <v>4391</v>
      </c>
      <c r="K246" s="32" t="s">
        <v>2103</v>
      </c>
      <c r="L246" s="32" t="s">
        <v>42</v>
      </c>
      <c r="M246" s="33">
        <v>1.6657268518518519E-2</v>
      </c>
      <c r="N246" s="32" t="s">
        <v>43</v>
      </c>
      <c r="O246" s="32" t="s">
        <v>2104</v>
      </c>
      <c r="P246" s="32" t="s">
        <v>45</v>
      </c>
      <c r="Q246" s="33">
        <v>3.900231481481482E-3</v>
      </c>
      <c r="R246" s="32" t="s">
        <v>46</v>
      </c>
      <c r="S246" s="33">
        <v>0.31277583333333331</v>
      </c>
      <c r="T246" s="32">
        <v>28.091000000000001</v>
      </c>
      <c r="U246" s="32">
        <v>8.52</v>
      </c>
      <c r="V246" s="33">
        <v>0.13743112268518529</v>
      </c>
      <c r="W246" s="33">
        <v>0.1038293287037037</v>
      </c>
      <c r="X246" s="33">
        <v>0</v>
      </c>
      <c r="Y246" s="32">
        <v>0</v>
      </c>
      <c r="Z246" s="32">
        <v>0</v>
      </c>
      <c r="AA246" s="32">
        <v>0</v>
      </c>
      <c r="AB246" s="32">
        <v>0</v>
      </c>
      <c r="AC246" s="32">
        <v>0</v>
      </c>
      <c r="AD246" s="32">
        <v>14</v>
      </c>
      <c r="AE246" s="32" t="s">
        <v>47</v>
      </c>
      <c r="AF246" s="32" t="s">
        <v>2105</v>
      </c>
      <c r="AG246" s="32" t="s">
        <v>2106</v>
      </c>
      <c r="AH246" s="32">
        <v>6.2256130000000001</v>
      </c>
      <c r="AI246" s="32">
        <v>-75.599412000000001</v>
      </c>
      <c r="AJ246" s="32" t="s">
        <v>2107</v>
      </c>
      <c r="AK246" s="32">
        <v>6.2464389999999996</v>
      </c>
      <c r="AL246" s="32">
        <v>-75.552708999999993</v>
      </c>
      <c r="AM246" s="26">
        <f t="shared" si="3"/>
        <v>1.6657268518518519E-2</v>
      </c>
      <c r="AN246" s="9"/>
    </row>
    <row r="247" spans="1:40" ht="15" x14ac:dyDescent="0.25">
      <c r="A247" s="32" t="s">
        <v>2108</v>
      </c>
      <c r="B247" s="32" t="s">
        <v>2109</v>
      </c>
      <c r="C247" s="32" t="s">
        <v>2110</v>
      </c>
      <c r="D247" s="32" t="s">
        <v>2062</v>
      </c>
      <c r="E247" s="32" t="s">
        <v>36</v>
      </c>
      <c r="F247" s="32" t="s">
        <v>315</v>
      </c>
      <c r="G247" s="32" t="s">
        <v>89</v>
      </c>
      <c r="H247" s="32" t="s">
        <v>90</v>
      </c>
      <c r="I247" s="32" t="s">
        <v>40</v>
      </c>
      <c r="J247" s="32">
        <v>4312</v>
      </c>
      <c r="K247" s="32" t="s">
        <v>2111</v>
      </c>
      <c r="L247" s="32" t="s">
        <v>42</v>
      </c>
      <c r="M247" s="33">
        <v>2.604166666666667E-3</v>
      </c>
      <c r="N247" s="32" t="s">
        <v>65</v>
      </c>
      <c r="O247" s="32" t="s">
        <v>2112</v>
      </c>
      <c r="P247" s="32" t="s">
        <v>45</v>
      </c>
      <c r="Q247" s="33">
        <v>7.4768518518518517E-3</v>
      </c>
      <c r="R247" s="32" t="s">
        <v>46</v>
      </c>
      <c r="S247" s="33">
        <v>0.3382060185185185</v>
      </c>
      <c r="T247" s="32">
        <v>53.088999999999999</v>
      </c>
      <c r="U247" s="32">
        <v>9</v>
      </c>
      <c r="V247" s="33">
        <v>0.24577546296296299</v>
      </c>
      <c r="W247" s="33">
        <v>0.1365625</v>
      </c>
      <c r="X247" s="33">
        <v>0</v>
      </c>
      <c r="Y247" s="32">
        <v>0</v>
      </c>
      <c r="Z247" s="32">
        <v>0</v>
      </c>
      <c r="AA247" s="32">
        <v>0</v>
      </c>
      <c r="AB247" s="32">
        <v>0</v>
      </c>
      <c r="AC247" s="32">
        <v>0</v>
      </c>
      <c r="AD247" s="32">
        <v>1</v>
      </c>
      <c r="AE247" s="32" t="s">
        <v>84</v>
      </c>
      <c r="AF247" s="32" t="s">
        <v>324</v>
      </c>
      <c r="AG247" s="32" t="s">
        <v>2113</v>
      </c>
      <c r="AH247" s="32">
        <v>6.2266630000000003</v>
      </c>
      <c r="AI247" s="32">
        <v>-75.599202000000005</v>
      </c>
      <c r="AJ247" s="32" t="s">
        <v>2114</v>
      </c>
      <c r="AK247" s="32">
        <v>6.2791309999999996</v>
      </c>
      <c r="AL247" s="32">
        <v>-75.569136999999998</v>
      </c>
      <c r="AM247" s="26">
        <f t="shared" si="3"/>
        <v>0</v>
      </c>
      <c r="AN247" s="9"/>
    </row>
    <row r="248" spans="1:40" ht="15" x14ac:dyDescent="0.25">
      <c r="A248" s="32" t="s">
        <v>2115</v>
      </c>
      <c r="B248" s="32" t="s">
        <v>2116</v>
      </c>
      <c r="C248" s="32" t="s">
        <v>2117</v>
      </c>
      <c r="D248" s="32" t="s">
        <v>2062</v>
      </c>
      <c r="E248" s="32" t="s">
        <v>36</v>
      </c>
      <c r="F248" s="32" t="s">
        <v>315</v>
      </c>
      <c r="G248" s="32" t="s">
        <v>97</v>
      </c>
      <c r="H248" s="32" t="s">
        <v>98</v>
      </c>
      <c r="I248" s="32" t="s">
        <v>40</v>
      </c>
      <c r="J248" s="32">
        <v>3465</v>
      </c>
      <c r="K248" s="32" t="s">
        <v>2118</v>
      </c>
      <c r="L248" s="32" t="s">
        <v>42</v>
      </c>
      <c r="M248" s="33">
        <v>1.6631944444444449E-2</v>
      </c>
      <c r="N248" s="32" t="s">
        <v>43</v>
      </c>
      <c r="O248" s="32" t="s">
        <v>2119</v>
      </c>
      <c r="P248" s="32" t="s">
        <v>45</v>
      </c>
      <c r="Q248" s="33">
        <v>2.6238425925925929E-2</v>
      </c>
      <c r="R248" s="32" t="s">
        <v>56</v>
      </c>
      <c r="S248" s="33">
        <v>0.29046296296296298</v>
      </c>
      <c r="T248" s="32">
        <v>45.395000000000003</v>
      </c>
      <c r="U248" s="32">
        <v>10.93</v>
      </c>
      <c r="V248" s="33">
        <v>0.17298611111111109</v>
      </c>
      <c r="W248" s="33">
        <v>0.1090856481481482</v>
      </c>
      <c r="X248" s="33">
        <v>0</v>
      </c>
      <c r="Y248" s="32">
        <v>0</v>
      </c>
      <c r="Z248" s="32">
        <v>0</v>
      </c>
      <c r="AA248" s="32">
        <v>0</v>
      </c>
      <c r="AB248" s="32">
        <v>0</v>
      </c>
      <c r="AC248" s="32">
        <v>0</v>
      </c>
      <c r="AD248" s="32">
        <v>1</v>
      </c>
      <c r="AE248" s="32" t="s">
        <v>57</v>
      </c>
      <c r="AF248" s="32" t="s">
        <v>2120</v>
      </c>
      <c r="AG248" s="32" t="s">
        <v>2121</v>
      </c>
      <c r="AH248" s="32">
        <v>6.2255609999999999</v>
      </c>
      <c r="AI248" s="32">
        <v>-75.599341999999993</v>
      </c>
      <c r="AJ248" s="32" t="s">
        <v>2122</v>
      </c>
      <c r="AK248" s="32">
        <v>6.3114299999999997</v>
      </c>
      <c r="AL248" s="32">
        <v>-75.558457000000004</v>
      </c>
      <c r="AM248" s="26">
        <f t="shared" si="3"/>
        <v>4.2870370370370378E-2</v>
      </c>
      <c r="AN248" s="9"/>
    </row>
    <row r="249" spans="1:40" ht="15" x14ac:dyDescent="0.25">
      <c r="A249" s="32" t="s">
        <v>2123</v>
      </c>
      <c r="B249" s="32" t="s">
        <v>2124</v>
      </c>
      <c r="C249" s="32" t="s">
        <v>2125</v>
      </c>
      <c r="D249" s="32" t="s">
        <v>2062</v>
      </c>
      <c r="E249" s="32" t="s">
        <v>36</v>
      </c>
      <c r="F249" s="32" t="s">
        <v>315</v>
      </c>
      <c r="G249" s="32" t="s">
        <v>105</v>
      </c>
      <c r="H249" s="32" t="s">
        <v>106</v>
      </c>
      <c r="I249" s="32" t="s">
        <v>40</v>
      </c>
      <c r="J249" s="32">
        <v>679</v>
      </c>
      <c r="K249" s="32" t="s">
        <v>2126</v>
      </c>
      <c r="L249" s="32" t="s">
        <v>42</v>
      </c>
      <c r="M249" s="33">
        <v>4.7453703703703698E-4</v>
      </c>
      <c r="N249" s="32" t="s">
        <v>65</v>
      </c>
      <c r="O249" s="32" t="s">
        <v>2127</v>
      </c>
      <c r="P249" s="32" t="s">
        <v>45</v>
      </c>
      <c r="Q249" s="33">
        <v>3.9351851851851848E-3</v>
      </c>
      <c r="R249" s="32" t="s">
        <v>46</v>
      </c>
      <c r="S249" s="33">
        <v>0.33774305555555562</v>
      </c>
      <c r="T249" s="32">
        <v>13.8</v>
      </c>
      <c r="U249" s="32">
        <v>1.9</v>
      </c>
      <c r="V249" s="33">
        <v>0.3027199074074074</v>
      </c>
      <c r="W249" s="33">
        <v>0.29311342592592587</v>
      </c>
      <c r="X249" s="33">
        <v>0</v>
      </c>
      <c r="Y249" s="32">
        <v>0</v>
      </c>
      <c r="Z249" s="32">
        <v>0</v>
      </c>
      <c r="AA249" s="32">
        <v>0</v>
      </c>
      <c r="AB249" s="32">
        <v>0</v>
      </c>
      <c r="AC249" s="32">
        <v>0</v>
      </c>
      <c r="AD249" s="32">
        <v>1</v>
      </c>
      <c r="AE249" s="32" t="s">
        <v>84</v>
      </c>
      <c r="AF249" s="32" t="s">
        <v>324</v>
      </c>
      <c r="AG249" s="32" t="s">
        <v>2128</v>
      </c>
      <c r="AH249" s="32">
        <v>6.2255859999999998</v>
      </c>
      <c r="AI249" s="32">
        <v>-75.599144999999993</v>
      </c>
      <c r="AJ249" s="32" t="s">
        <v>2129</v>
      </c>
      <c r="AK249" s="32">
        <v>6.2585319999999998</v>
      </c>
      <c r="AL249" s="32">
        <v>-75.615983999999997</v>
      </c>
      <c r="AM249" s="26">
        <f t="shared" si="3"/>
        <v>0</v>
      </c>
      <c r="AN249" s="9"/>
    </row>
    <row r="250" spans="1:40" ht="15" x14ac:dyDescent="0.25">
      <c r="A250" s="9" t="s">
        <v>2130</v>
      </c>
      <c r="B250" s="9" t="s">
        <v>2131</v>
      </c>
      <c r="C250" s="9" t="s">
        <v>2132</v>
      </c>
      <c r="D250" s="9" t="s">
        <v>2062</v>
      </c>
      <c r="E250" s="9" t="s">
        <v>36</v>
      </c>
      <c r="F250" s="9" t="s">
        <v>315</v>
      </c>
      <c r="G250" s="9" t="s">
        <v>124</v>
      </c>
      <c r="H250" s="9" t="s">
        <v>125</v>
      </c>
      <c r="I250" s="9" t="s">
        <v>115</v>
      </c>
      <c r="J250" s="9">
        <v>3161</v>
      </c>
      <c r="K250" s="9" t="s">
        <v>2133</v>
      </c>
      <c r="L250" s="9" t="s">
        <v>117</v>
      </c>
      <c r="M250" s="10">
        <v>1.0347222222222219E-2</v>
      </c>
      <c r="N250" s="9" t="s">
        <v>65</v>
      </c>
      <c r="O250" s="9" t="s">
        <v>2134</v>
      </c>
      <c r="P250" s="9" t="s">
        <v>119</v>
      </c>
      <c r="Q250" s="10">
        <v>1.413194444444445E-2</v>
      </c>
      <c r="R250" s="9" t="s">
        <v>129</v>
      </c>
      <c r="S250" s="10">
        <v>0.27447916666666672</v>
      </c>
      <c r="T250" s="9">
        <v>63.529000000000003</v>
      </c>
      <c r="U250" s="9">
        <v>14.36</v>
      </c>
      <c r="V250" s="10">
        <v>0.18431712962962959</v>
      </c>
      <c r="W250" s="10">
        <v>7.6909722222222227E-2</v>
      </c>
      <c r="X250" s="10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 t="s">
        <v>130</v>
      </c>
      <c r="AF250" s="9" t="s">
        <v>2135</v>
      </c>
      <c r="AG250" s="9" t="s">
        <v>2136</v>
      </c>
      <c r="AH250" s="9">
        <v>6.2267749999999999</v>
      </c>
      <c r="AI250" s="9">
        <v>-75.599356999999998</v>
      </c>
      <c r="AJ250" s="9" t="s">
        <v>2137</v>
      </c>
      <c r="AK250" s="9">
        <v>6.2726800000000003</v>
      </c>
      <c r="AL250" s="9">
        <v>-75.601973000000001</v>
      </c>
      <c r="AM250" s="26">
        <f t="shared" si="3"/>
        <v>0</v>
      </c>
      <c r="AN250" s="9"/>
    </row>
    <row r="251" spans="1:40" ht="15" x14ac:dyDescent="0.25">
      <c r="A251" s="9" t="s">
        <v>2138</v>
      </c>
      <c r="B251" s="9" t="s">
        <v>2139</v>
      </c>
      <c r="C251" s="9" t="s">
        <v>2140</v>
      </c>
      <c r="D251" s="9" t="s">
        <v>2062</v>
      </c>
      <c r="E251" s="9" t="s">
        <v>36</v>
      </c>
      <c r="F251" s="9" t="s">
        <v>315</v>
      </c>
      <c r="G251" s="9" t="s">
        <v>135</v>
      </c>
      <c r="H251" s="9" t="s">
        <v>136</v>
      </c>
      <c r="I251" s="9" t="s">
        <v>115</v>
      </c>
      <c r="J251" s="9">
        <v>1719</v>
      </c>
      <c r="K251" s="9" t="s">
        <v>2141</v>
      </c>
      <c r="L251" s="9" t="s">
        <v>117</v>
      </c>
      <c r="M251" s="10">
        <v>5.2465277777777777E-2</v>
      </c>
      <c r="N251" s="9" t="s">
        <v>127</v>
      </c>
      <c r="O251" s="9" t="s">
        <v>2142</v>
      </c>
      <c r="P251" s="9" t="s">
        <v>119</v>
      </c>
      <c r="Q251" s="10">
        <v>4.1898148148148146E-3</v>
      </c>
      <c r="R251" s="9" t="s">
        <v>46</v>
      </c>
      <c r="S251" s="10">
        <v>0.29827546296296298</v>
      </c>
      <c r="T251" s="9">
        <v>29.850999999999999</v>
      </c>
      <c r="U251" s="9">
        <v>10.64</v>
      </c>
      <c r="V251" s="10">
        <v>0.1168634259259259</v>
      </c>
      <c r="W251" s="10">
        <v>7.8483796296296301E-2</v>
      </c>
      <c r="X251" s="10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2</v>
      </c>
      <c r="AE251" s="9" t="s">
        <v>139</v>
      </c>
      <c r="AF251" s="9" t="s">
        <v>2143</v>
      </c>
      <c r="AG251" s="9" t="s">
        <v>2144</v>
      </c>
      <c r="AH251" s="9">
        <v>6.2288670000000002</v>
      </c>
      <c r="AI251" s="9">
        <v>-75.596225000000004</v>
      </c>
      <c r="AJ251" s="9" t="s">
        <v>2145</v>
      </c>
      <c r="AK251" s="9">
        <v>6.2948950000000004</v>
      </c>
      <c r="AL251" s="9">
        <v>-75.543943999999996</v>
      </c>
      <c r="AM251" s="26">
        <f t="shared" si="3"/>
        <v>0</v>
      </c>
      <c r="AN251" s="9"/>
    </row>
    <row r="252" spans="1:40" ht="15" x14ac:dyDescent="0.25">
      <c r="A252" s="9" t="s">
        <v>2146</v>
      </c>
      <c r="B252" s="9" t="s">
        <v>2147</v>
      </c>
      <c r="C252" s="9" t="s">
        <v>2148</v>
      </c>
      <c r="D252" s="9" t="s">
        <v>2062</v>
      </c>
      <c r="E252" s="9" t="s">
        <v>36</v>
      </c>
      <c r="F252" s="9" t="s">
        <v>315</v>
      </c>
      <c r="G252" s="9" t="s">
        <v>152</v>
      </c>
      <c r="H252" s="9" t="s">
        <v>153</v>
      </c>
      <c r="I252" s="9" t="s">
        <v>115</v>
      </c>
      <c r="J252" s="9">
        <v>2463</v>
      </c>
      <c r="K252" s="9" t="s">
        <v>2149</v>
      </c>
      <c r="L252" s="9" t="s">
        <v>117</v>
      </c>
      <c r="M252" s="10">
        <v>1.113425925925926E-2</v>
      </c>
      <c r="N252" s="9" t="s">
        <v>127</v>
      </c>
      <c r="O252" s="9" t="s">
        <v>2150</v>
      </c>
      <c r="P252" s="9" t="s">
        <v>119</v>
      </c>
      <c r="Q252" s="10">
        <v>4.7546296296296288E-2</v>
      </c>
      <c r="R252" s="9" t="s">
        <v>56</v>
      </c>
      <c r="S252" s="10">
        <v>0.21358796296296301</v>
      </c>
      <c r="T252" s="9">
        <v>32.11</v>
      </c>
      <c r="U252" s="9">
        <v>9.9</v>
      </c>
      <c r="V252" s="10">
        <v>0.135162037037037</v>
      </c>
      <c r="W252" s="10">
        <v>8.1377314814814819E-2</v>
      </c>
      <c r="X252" s="10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 t="s">
        <v>139</v>
      </c>
      <c r="AF252" s="9" t="s">
        <v>2151</v>
      </c>
      <c r="AG252" s="9" t="s">
        <v>2152</v>
      </c>
      <c r="AH252" s="9">
        <v>6.2268879999999998</v>
      </c>
      <c r="AI252" s="9">
        <v>-75.599710000000002</v>
      </c>
      <c r="AJ252" s="9" t="s">
        <v>2153</v>
      </c>
      <c r="AK252" s="9">
        <v>6.2517250000000004</v>
      </c>
      <c r="AL252" s="9">
        <v>-75.551782000000003</v>
      </c>
      <c r="AM252" s="26">
        <f t="shared" si="3"/>
        <v>4.7546296296296288E-2</v>
      </c>
      <c r="AN252" s="9"/>
    </row>
    <row r="253" spans="1:40" ht="15" x14ac:dyDescent="0.25">
      <c r="A253" s="9" t="s">
        <v>2154</v>
      </c>
      <c r="B253" s="9" t="s">
        <v>2155</v>
      </c>
      <c r="C253" s="9" t="s">
        <v>2156</v>
      </c>
      <c r="D253" s="9" t="s">
        <v>2062</v>
      </c>
      <c r="E253" s="9" t="s">
        <v>36</v>
      </c>
      <c r="F253" s="9" t="s">
        <v>315</v>
      </c>
      <c r="G253" s="9" t="s">
        <v>160</v>
      </c>
      <c r="H253" s="9" t="s">
        <v>161</v>
      </c>
      <c r="I253" s="9" t="s">
        <v>115</v>
      </c>
      <c r="J253" s="9">
        <v>4867</v>
      </c>
      <c r="K253" s="9" t="s">
        <v>2157</v>
      </c>
      <c r="L253" s="9" t="s">
        <v>117</v>
      </c>
      <c r="M253" s="10">
        <v>2.298483796296296E-2</v>
      </c>
      <c r="N253" s="9" t="s">
        <v>127</v>
      </c>
      <c r="O253" s="9" t="s">
        <v>2158</v>
      </c>
      <c r="P253" s="9" t="s">
        <v>119</v>
      </c>
      <c r="Q253" s="10">
        <v>3.6007870370370369E-3</v>
      </c>
      <c r="R253" s="9" t="s">
        <v>46</v>
      </c>
      <c r="S253" s="10">
        <v>0.276585625</v>
      </c>
      <c r="T253" s="9">
        <v>32.299999999999997</v>
      </c>
      <c r="U253" s="9">
        <v>6.81</v>
      </c>
      <c r="V253" s="10">
        <v>0.1976852662037038</v>
      </c>
      <c r="W253" s="10">
        <v>0.16368065972222229</v>
      </c>
      <c r="X253" s="10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3</v>
      </c>
      <c r="AE253" s="9" t="s">
        <v>139</v>
      </c>
      <c r="AF253" s="9" t="s">
        <v>2159</v>
      </c>
      <c r="AG253" s="9" t="s">
        <v>2160</v>
      </c>
      <c r="AH253" s="9">
        <v>6.2267729999999997</v>
      </c>
      <c r="AI253" s="9">
        <v>-75.599312999999995</v>
      </c>
      <c r="AJ253" s="9" t="s">
        <v>2161</v>
      </c>
      <c r="AK253" s="9">
        <v>6.2635449999999997</v>
      </c>
      <c r="AL253" s="9">
        <v>-75.596571999999995</v>
      </c>
      <c r="AM253" s="26">
        <f t="shared" si="3"/>
        <v>0</v>
      </c>
      <c r="AN253" s="9"/>
    </row>
    <row r="254" spans="1:40" ht="15" x14ac:dyDescent="0.25">
      <c r="A254" s="9" t="s">
        <v>2162</v>
      </c>
      <c r="B254" s="9" t="s">
        <v>2163</v>
      </c>
      <c r="C254" s="9" t="s">
        <v>2164</v>
      </c>
      <c r="D254" s="9" t="s">
        <v>2165</v>
      </c>
      <c r="E254" s="9" t="s">
        <v>36</v>
      </c>
      <c r="F254" s="9" t="s">
        <v>406</v>
      </c>
      <c r="G254" s="9" t="s">
        <v>38</v>
      </c>
      <c r="H254" s="9" t="s">
        <v>39</v>
      </c>
      <c r="I254" s="9" t="s">
        <v>40</v>
      </c>
      <c r="J254" s="9">
        <v>4768</v>
      </c>
      <c r="K254" s="9" t="s">
        <v>2166</v>
      </c>
      <c r="L254" s="9" t="s">
        <v>42</v>
      </c>
      <c r="M254" s="10">
        <v>3.3004652777777782E-2</v>
      </c>
      <c r="N254" s="9" t="s">
        <v>43</v>
      </c>
      <c r="O254" s="9" t="s">
        <v>2167</v>
      </c>
      <c r="P254" s="9" t="s">
        <v>413</v>
      </c>
      <c r="Q254" s="10">
        <v>1.039768518518518E-3</v>
      </c>
      <c r="R254" s="9" t="s">
        <v>46</v>
      </c>
      <c r="S254" s="10">
        <v>0.28053511574074069</v>
      </c>
      <c r="T254" s="9">
        <v>36.932000000000002</v>
      </c>
      <c r="U254" s="9">
        <v>16.53</v>
      </c>
      <c r="V254" s="10">
        <v>9.308089120370365E-2</v>
      </c>
      <c r="W254" s="10">
        <v>5.1801597222222218E-2</v>
      </c>
      <c r="X254" s="10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5</v>
      </c>
      <c r="AE254" s="9" t="s">
        <v>47</v>
      </c>
      <c r="AF254" s="9" t="s">
        <v>2168</v>
      </c>
      <c r="AG254" s="9" t="s">
        <v>2169</v>
      </c>
      <c r="AH254" s="9">
        <v>6.2206780000000004</v>
      </c>
      <c r="AI254" s="9">
        <v>-75.593289999999996</v>
      </c>
      <c r="AJ254" s="9" t="s">
        <v>2170</v>
      </c>
      <c r="AK254" s="9">
        <v>6.2218359999999997</v>
      </c>
      <c r="AL254" s="9">
        <v>-75.593830999999994</v>
      </c>
      <c r="AM254" s="26">
        <f t="shared" si="3"/>
        <v>3.3004652777777782E-2</v>
      </c>
      <c r="AN254" s="9"/>
    </row>
    <row r="255" spans="1:40" ht="15" x14ac:dyDescent="0.25">
      <c r="A255" s="9" t="s">
        <v>2171</v>
      </c>
      <c r="B255" s="9" t="s">
        <v>2172</v>
      </c>
      <c r="C255" s="9" t="s">
        <v>2173</v>
      </c>
      <c r="D255" s="9" t="s">
        <v>2165</v>
      </c>
      <c r="E255" s="9" t="s">
        <v>36</v>
      </c>
      <c r="F255" s="9" t="s">
        <v>406</v>
      </c>
      <c r="G255" s="9" t="s">
        <v>52</v>
      </c>
      <c r="H255" s="9" t="s">
        <v>53</v>
      </c>
      <c r="I255" s="9" t="s">
        <v>40</v>
      </c>
      <c r="J255" s="9">
        <v>6506</v>
      </c>
      <c r="K255" s="9" t="s">
        <v>2174</v>
      </c>
      <c r="L255" s="9" t="s">
        <v>42</v>
      </c>
      <c r="M255" s="10">
        <v>8.726851851851852E-3</v>
      </c>
      <c r="N255" s="9" t="s">
        <v>65</v>
      </c>
      <c r="O255" s="9" t="s">
        <v>2175</v>
      </c>
      <c r="P255" s="9" t="s">
        <v>413</v>
      </c>
      <c r="Q255" s="10">
        <v>2.5231481481481481E-3</v>
      </c>
      <c r="R255" s="9" t="s">
        <v>46</v>
      </c>
      <c r="S255" s="10">
        <v>0.32374999999999998</v>
      </c>
      <c r="T255" s="9">
        <v>89.007999999999996</v>
      </c>
      <c r="U255" s="9">
        <v>13.16</v>
      </c>
      <c r="V255" s="10">
        <v>0.28173611111111108</v>
      </c>
      <c r="W255" s="10">
        <v>0.1552199074074074</v>
      </c>
      <c r="X255" s="10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2</v>
      </c>
      <c r="AE255" s="9" t="s">
        <v>84</v>
      </c>
      <c r="AF255" s="9" t="s">
        <v>1384</v>
      </c>
      <c r="AG255" s="9" t="s">
        <v>2176</v>
      </c>
      <c r="AH255" s="9">
        <v>6.2255929999999999</v>
      </c>
      <c r="AI255" s="9">
        <v>-75.599537999999995</v>
      </c>
      <c r="AJ255" s="9" t="s">
        <v>2177</v>
      </c>
      <c r="AK255" s="9">
        <v>6.2477</v>
      </c>
      <c r="AL255" s="9">
        <v>-75.615106999999995</v>
      </c>
      <c r="AM255" s="26">
        <f t="shared" si="3"/>
        <v>0</v>
      </c>
      <c r="AN255" s="9"/>
    </row>
    <row r="256" spans="1:40" ht="15" x14ac:dyDescent="0.25">
      <c r="A256" s="9" t="s">
        <v>2178</v>
      </c>
      <c r="B256" s="9" t="s">
        <v>2179</v>
      </c>
      <c r="C256" s="9" t="s">
        <v>2180</v>
      </c>
      <c r="D256" s="9" t="s">
        <v>2165</v>
      </c>
      <c r="E256" s="9" t="s">
        <v>36</v>
      </c>
      <c r="F256" s="9" t="s">
        <v>406</v>
      </c>
      <c r="G256" s="9" t="s">
        <v>113</v>
      </c>
      <c r="H256" s="9" t="s">
        <v>114</v>
      </c>
      <c r="I256" s="9" t="s">
        <v>40</v>
      </c>
      <c r="J256" s="9">
        <v>2565</v>
      </c>
      <c r="K256" s="9" t="s">
        <v>2181</v>
      </c>
      <c r="L256" s="9" t="s">
        <v>42</v>
      </c>
      <c r="M256" s="10">
        <v>7.5115740740740742E-3</v>
      </c>
      <c r="N256" s="9" t="s">
        <v>65</v>
      </c>
      <c r="O256" s="9" t="s">
        <v>2182</v>
      </c>
      <c r="P256" s="9" t="s">
        <v>413</v>
      </c>
      <c r="Q256" s="10">
        <v>8.44212962962963E-2</v>
      </c>
      <c r="R256" s="9" t="s">
        <v>56</v>
      </c>
      <c r="S256" s="10">
        <v>0.2205671296296296</v>
      </c>
      <c r="T256" s="9">
        <v>34.225000000000001</v>
      </c>
      <c r="U256" s="9">
        <v>11.53</v>
      </c>
      <c r="V256" s="10">
        <v>0.1237152777777778</v>
      </c>
      <c r="W256" s="10">
        <v>6.6736111111111107E-2</v>
      </c>
      <c r="X256" s="10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1</v>
      </c>
      <c r="AE256" s="9" t="s">
        <v>67</v>
      </c>
      <c r="AF256" s="9" t="s">
        <v>2183</v>
      </c>
      <c r="AG256" s="9" t="s">
        <v>2184</v>
      </c>
      <c r="AH256" s="9">
        <v>6.2380380000000004</v>
      </c>
      <c r="AI256" s="9">
        <v>-75.602919</v>
      </c>
      <c r="AJ256" s="9" t="s">
        <v>2185</v>
      </c>
      <c r="AK256" s="9">
        <v>6.2506779999999997</v>
      </c>
      <c r="AL256" s="9">
        <v>-75.602010000000007</v>
      </c>
      <c r="AM256" s="26">
        <f t="shared" si="3"/>
        <v>8.44212962962963E-2</v>
      </c>
      <c r="AN256" s="9"/>
    </row>
    <row r="257" spans="1:40" ht="15" x14ac:dyDescent="0.25">
      <c r="A257" s="9" t="s">
        <v>2186</v>
      </c>
      <c r="B257" s="9" t="s">
        <v>2187</v>
      </c>
      <c r="C257" s="9" t="s">
        <v>2188</v>
      </c>
      <c r="D257" s="9" t="s">
        <v>2165</v>
      </c>
      <c r="E257" s="9" t="s">
        <v>36</v>
      </c>
      <c r="F257" s="9" t="s">
        <v>406</v>
      </c>
      <c r="G257" s="9" t="s">
        <v>62</v>
      </c>
      <c r="H257" s="9" t="s">
        <v>63</v>
      </c>
      <c r="I257" s="9" t="s">
        <v>40</v>
      </c>
      <c r="J257" s="9">
        <v>2599</v>
      </c>
      <c r="K257" s="9" t="s">
        <v>2189</v>
      </c>
      <c r="L257" s="9" t="s">
        <v>42</v>
      </c>
      <c r="M257" s="10">
        <v>1.6203703703703701E-4</v>
      </c>
      <c r="N257" s="9" t="s">
        <v>65</v>
      </c>
      <c r="O257" s="9" t="s">
        <v>2190</v>
      </c>
      <c r="P257" s="9" t="s">
        <v>413</v>
      </c>
      <c r="Q257" s="10">
        <v>6.2905092592592596E-2</v>
      </c>
      <c r="R257" s="9" t="s">
        <v>56</v>
      </c>
      <c r="S257" s="10">
        <v>0.24975694444444441</v>
      </c>
      <c r="T257" s="9">
        <v>33.68</v>
      </c>
      <c r="U257" s="9">
        <v>9.6</v>
      </c>
      <c r="V257" s="10">
        <v>0.1461226851851852</v>
      </c>
      <c r="W257" s="10">
        <v>9.3807870370370375E-2</v>
      </c>
      <c r="X257" s="10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 t="s">
        <v>67</v>
      </c>
      <c r="AF257" s="9" t="s">
        <v>2191</v>
      </c>
      <c r="AG257" s="9" t="s">
        <v>2192</v>
      </c>
      <c r="AH257" s="9">
        <v>6.2258060000000004</v>
      </c>
      <c r="AI257" s="9">
        <v>-75.599374999999995</v>
      </c>
      <c r="AJ257" s="9" t="s">
        <v>2193</v>
      </c>
      <c r="AK257" s="9">
        <v>6.2969799999999996</v>
      </c>
      <c r="AL257" s="9">
        <v>-75.582723999999999</v>
      </c>
      <c r="AM257" s="26">
        <f t="shared" si="3"/>
        <v>6.2905092592592596E-2</v>
      </c>
      <c r="AN257" s="9"/>
    </row>
    <row r="258" spans="1:40" ht="15" x14ac:dyDescent="0.25">
      <c r="A258" s="9" t="s">
        <v>2194</v>
      </c>
      <c r="B258" s="9" t="s">
        <v>2195</v>
      </c>
      <c r="C258" s="9" t="s">
        <v>2196</v>
      </c>
      <c r="D258" s="9" t="s">
        <v>2165</v>
      </c>
      <c r="E258" s="9" t="s">
        <v>36</v>
      </c>
      <c r="F258" s="9" t="s">
        <v>406</v>
      </c>
      <c r="G258" s="9" t="s">
        <v>72</v>
      </c>
      <c r="H258" s="9" t="s">
        <v>73</v>
      </c>
      <c r="I258" s="9" t="s">
        <v>40</v>
      </c>
      <c r="J258" s="9">
        <v>1190</v>
      </c>
      <c r="K258" s="9" t="s">
        <v>2197</v>
      </c>
      <c r="L258" s="9" t="s">
        <v>42</v>
      </c>
      <c r="M258" s="10">
        <v>4.6296296296296298E-4</v>
      </c>
      <c r="N258" s="9" t="s">
        <v>65</v>
      </c>
      <c r="O258" s="9" t="s">
        <v>2198</v>
      </c>
      <c r="P258" s="9" t="s">
        <v>413</v>
      </c>
      <c r="Q258" s="10">
        <v>0.1284953703703704</v>
      </c>
      <c r="R258" s="9" t="s">
        <v>56</v>
      </c>
      <c r="S258" s="10">
        <v>0.1844675925925926</v>
      </c>
      <c r="T258" s="9">
        <v>16.114999999999998</v>
      </c>
      <c r="U258" s="9">
        <v>3.78</v>
      </c>
      <c r="V258" s="10">
        <v>0.17746527777777779</v>
      </c>
      <c r="W258" s="10">
        <v>0.15209490740740739</v>
      </c>
      <c r="X258" s="10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2</v>
      </c>
      <c r="AE258" s="9" t="s">
        <v>67</v>
      </c>
      <c r="AF258" s="9" t="s">
        <v>2199</v>
      </c>
      <c r="AG258" s="9" t="s">
        <v>2200</v>
      </c>
      <c r="AH258" s="9">
        <v>6.2256450000000001</v>
      </c>
      <c r="AI258" s="9">
        <v>-75.599041999999997</v>
      </c>
      <c r="AJ258" s="9" t="s">
        <v>2201</v>
      </c>
      <c r="AK258" s="9">
        <v>6.2370270000000003</v>
      </c>
      <c r="AL258" s="9">
        <v>-75.558895000000007</v>
      </c>
      <c r="AM258" s="26">
        <f t="shared" si="3"/>
        <v>0.1284953703703704</v>
      </c>
      <c r="AN258" s="9"/>
    </row>
    <row r="259" spans="1:40" ht="15" x14ac:dyDescent="0.25">
      <c r="A259" s="9" t="s">
        <v>2202</v>
      </c>
      <c r="B259" s="9" t="s">
        <v>2203</v>
      </c>
      <c r="C259" s="9" t="s">
        <v>2204</v>
      </c>
      <c r="D259" s="9" t="s">
        <v>2165</v>
      </c>
      <c r="E259" s="9" t="s">
        <v>36</v>
      </c>
      <c r="F259" s="9" t="s">
        <v>406</v>
      </c>
      <c r="G259" s="9" t="s">
        <v>80</v>
      </c>
      <c r="H259" s="9" t="s">
        <v>81</v>
      </c>
      <c r="I259" s="9" t="s">
        <v>40</v>
      </c>
      <c r="J259" s="9">
        <v>3651</v>
      </c>
      <c r="K259" s="9" t="s">
        <v>2205</v>
      </c>
      <c r="L259" s="9" t="s">
        <v>42</v>
      </c>
      <c r="M259" s="10">
        <v>6.847222222222222E-4</v>
      </c>
      <c r="N259" s="9" t="s">
        <v>65</v>
      </c>
      <c r="O259" s="9" t="s">
        <v>2206</v>
      </c>
      <c r="P259" s="9" t="s">
        <v>413</v>
      </c>
      <c r="Q259" s="10">
        <v>3.1829861111111108E-3</v>
      </c>
      <c r="R259" s="9" t="s">
        <v>46</v>
      </c>
      <c r="S259" s="10">
        <v>0.31499826388888891</v>
      </c>
      <c r="T259" s="9">
        <v>30.792999999999999</v>
      </c>
      <c r="U259" s="9">
        <v>17.37</v>
      </c>
      <c r="V259" s="10">
        <v>7.3866342592592449E-2</v>
      </c>
      <c r="W259" s="10">
        <v>3.9033229166666669E-2</v>
      </c>
      <c r="X259" s="10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11</v>
      </c>
      <c r="AE259" s="9" t="s">
        <v>84</v>
      </c>
      <c r="AF259" s="9" t="s">
        <v>190</v>
      </c>
      <c r="AG259" s="9" t="s">
        <v>2207</v>
      </c>
      <c r="AH259" s="9">
        <v>6.2258399999999998</v>
      </c>
      <c r="AI259" s="9">
        <v>-75.599376000000007</v>
      </c>
      <c r="AJ259" s="9" t="s">
        <v>2208</v>
      </c>
      <c r="AK259" s="9">
        <v>6.2593139999999998</v>
      </c>
      <c r="AL259" s="9">
        <v>-75.620379999999997</v>
      </c>
      <c r="AM259" s="26">
        <f t="shared" ref="AM259:AM322" si="4">IF(N259="INICIO TARDÍO",M259,0)+IF(R259="TERMINÓ ANTES",Q259,0)</f>
        <v>0</v>
      </c>
      <c r="AN259" s="9"/>
    </row>
    <row r="260" spans="1:40" ht="15" x14ac:dyDescent="0.25">
      <c r="A260" s="9" t="s">
        <v>2209</v>
      </c>
      <c r="B260" s="9" t="s">
        <v>2210</v>
      </c>
      <c r="C260" s="9" t="s">
        <v>2211</v>
      </c>
      <c r="D260" s="9" t="s">
        <v>2165</v>
      </c>
      <c r="E260" s="9" t="s">
        <v>36</v>
      </c>
      <c r="F260" s="9" t="s">
        <v>406</v>
      </c>
      <c r="G260" s="9" t="s">
        <v>89</v>
      </c>
      <c r="H260" s="9" t="s">
        <v>90</v>
      </c>
      <c r="I260" s="9" t="s">
        <v>40</v>
      </c>
      <c r="J260" s="9">
        <v>3573</v>
      </c>
      <c r="K260" s="9" t="s">
        <v>2212</v>
      </c>
      <c r="L260" s="9" t="s">
        <v>42</v>
      </c>
      <c r="M260" s="10">
        <v>1.125E-2</v>
      </c>
      <c r="N260" s="9" t="s">
        <v>127</v>
      </c>
      <c r="O260" s="9" t="s">
        <v>2213</v>
      </c>
      <c r="P260" s="9" t="s">
        <v>413</v>
      </c>
      <c r="Q260" s="10">
        <v>5.6122685185185192E-2</v>
      </c>
      <c r="R260" s="9" t="s">
        <v>56</v>
      </c>
      <c r="S260" s="10">
        <v>0.26762731481481478</v>
      </c>
      <c r="T260" s="9">
        <v>46.692</v>
      </c>
      <c r="U260" s="9">
        <v>13.09</v>
      </c>
      <c r="V260" s="10">
        <v>0.14858796296296289</v>
      </c>
      <c r="W260" s="10">
        <v>5.0393518518518518E-2</v>
      </c>
      <c r="X260" s="10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 t="s">
        <v>139</v>
      </c>
      <c r="AF260" s="9" t="s">
        <v>2214</v>
      </c>
      <c r="AG260" s="9" t="s">
        <v>2215</v>
      </c>
      <c r="AH260" s="9">
        <v>6.2266320000000004</v>
      </c>
      <c r="AI260" s="9">
        <v>-75.599344000000002</v>
      </c>
      <c r="AJ260" s="9" t="s">
        <v>2216</v>
      </c>
      <c r="AK260" s="9">
        <v>6.2800669999999998</v>
      </c>
      <c r="AL260" s="9">
        <v>-75.635467000000006</v>
      </c>
      <c r="AM260" s="26">
        <f t="shared" si="4"/>
        <v>5.6122685185185192E-2</v>
      </c>
      <c r="AN260" s="9"/>
    </row>
    <row r="261" spans="1:40" ht="15" x14ac:dyDescent="0.25">
      <c r="A261" s="9" t="s">
        <v>2217</v>
      </c>
      <c r="B261" s="9" t="s">
        <v>2218</v>
      </c>
      <c r="C261" s="9" t="s">
        <v>2219</v>
      </c>
      <c r="D261" s="9" t="s">
        <v>2165</v>
      </c>
      <c r="E261" s="9" t="s">
        <v>36</v>
      </c>
      <c r="F261" s="9" t="s">
        <v>406</v>
      </c>
      <c r="G261" s="9" t="s">
        <v>97</v>
      </c>
      <c r="H261" s="9" t="s">
        <v>98</v>
      </c>
      <c r="I261" s="9" t="s">
        <v>40</v>
      </c>
      <c r="J261" s="9">
        <v>2794</v>
      </c>
      <c r="K261" s="9" t="s">
        <v>2220</v>
      </c>
      <c r="L261" s="9" t="s">
        <v>42</v>
      </c>
      <c r="M261" s="10">
        <v>2.743055555555555E-3</v>
      </c>
      <c r="N261" s="9" t="s">
        <v>65</v>
      </c>
      <c r="O261" s="9" t="s">
        <v>2221</v>
      </c>
      <c r="P261" s="9" t="s">
        <v>413</v>
      </c>
      <c r="Q261" s="10">
        <v>2.2361111111111109E-2</v>
      </c>
      <c r="R261" s="9" t="s">
        <v>56</v>
      </c>
      <c r="S261" s="10">
        <v>0.28739583333333341</v>
      </c>
      <c r="T261" s="9">
        <v>36.914999999999999</v>
      </c>
      <c r="U261" s="9">
        <v>9.5299999999999994</v>
      </c>
      <c r="V261" s="10">
        <v>0.16145833333333329</v>
      </c>
      <c r="W261" s="10">
        <v>0.1044907407407407</v>
      </c>
      <c r="X261" s="10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 t="s">
        <v>67</v>
      </c>
      <c r="AF261" s="9" t="s">
        <v>2222</v>
      </c>
      <c r="AG261" s="9" t="s">
        <v>2223</v>
      </c>
      <c r="AH261" s="9">
        <v>6.2256200000000002</v>
      </c>
      <c r="AI261" s="9">
        <v>-75.599405000000004</v>
      </c>
      <c r="AJ261" s="9" t="s">
        <v>2224</v>
      </c>
      <c r="AK261" s="9">
        <v>6.3050350000000002</v>
      </c>
      <c r="AL261" s="9">
        <v>-75.577577000000005</v>
      </c>
      <c r="AM261" s="26">
        <f t="shared" si="4"/>
        <v>2.2361111111111109E-2</v>
      </c>
      <c r="AN261" s="9"/>
    </row>
    <row r="262" spans="1:40" ht="15" x14ac:dyDescent="0.25">
      <c r="A262" s="9" t="s">
        <v>2225</v>
      </c>
      <c r="B262" s="9" t="s">
        <v>2226</v>
      </c>
      <c r="C262" s="9" t="s">
        <v>2227</v>
      </c>
      <c r="D262" s="9" t="s">
        <v>2165</v>
      </c>
      <c r="E262" s="9" t="s">
        <v>36</v>
      </c>
      <c r="F262" s="9" t="s">
        <v>406</v>
      </c>
      <c r="G262" s="9" t="s">
        <v>105</v>
      </c>
      <c r="H262" s="9" t="s">
        <v>106</v>
      </c>
      <c r="I262" s="9" t="s">
        <v>40</v>
      </c>
      <c r="J262" s="9">
        <v>1429</v>
      </c>
      <c r="K262" s="9" t="s">
        <v>2228</v>
      </c>
      <c r="L262" s="9" t="s">
        <v>42</v>
      </c>
      <c r="M262" s="10">
        <v>3.636574074074074E-2</v>
      </c>
      <c r="N262" s="9" t="s">
        <v>43</v>
      </c>
      <c r="O262" s="9" t="s">
        <v>2229</v>
      </c>
      <c r="P262" s="9" t="s">
        <v>413</v>
      </c>
      <c r="Q262" s="10">
        <v>5.324074074074074E-3</v>
      </c>
      <c r="R262" s="9" t="s">
        <v>46</v>
      </c>
      <c r="S262" s="10">
        <v>0.28145833333333331</v>
      </c>
      <c r="T262" s="9">
        <v>18.013000000000002</v>
      </c>
      <c r="U262" s="9">
        <v>4.96</v>
      </c>
      <c r="V262" s="10">
        <v>0.1512037037037037</v>
      </c>
      <c r="W262" s="10">
        <v>0.1146064814814815</v>
      </c>
      <c r="X262" s="10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1</v>
      </c>
      <c r="AE262" s="9" t="s">
        <v>47</v>
      </c>
      <c r="AF262" s="9" t="s">
        <v>2230</v>
      </c>
      <c r="AG262" s="9" t="s">
        <v>2231</v>
      </c>
      <c r="AH262" s="9">
        <v>6.2589810000000003</v>
      </c>
      <c r="AI262" s="9">
        <v>-75.620634999999993</v>
      </c>
      <c r="AJ262" s="9" t="s">
        <v>2232</v>
      </c>
      <c r="AK262" s="9">
        <v>6.258362</v>
      </c>
      <c r="AL262" s="9">
        <v>-75.616012999999995</v>
      </c>
      <c r="AM262" s="26">
        <f t="shared" si="4"/>
        <v>3.636574074074074E-2</v>
      </c>
      <c r="AN262" s="9"/>
    </row>
    <row r="263" spans="1:40" ht="15" x14ac:dyDescent="0.25">
      <c r="A263" s="9" t="s">
        <v>2233</v>
      </c>
      <c r="B263" s="9" t="s">
        <v>2234</v>
      </c>
      <c r="C263" s="9" t="s">
        <v>2235</v>
      </c>
      <c r="D263" s="9" t="s">
        <v>2236</v>
      </c>
      <c r="E263" s="9" t="s">
        <v>36</v>
      </c>
      <c r="F263" s="9" t="s">
        <v>455</v>
      </c>
      <c r="G263" s="9" t="s">
        <v>113</v>
      </c>
      <c r="H263" s="9" t="s">
        <v>114</v>
      </c>
      <c r="I263" s="9" t="s">
        <v>40</v>
      </c>
      <c r="J263" s="9">
        <v>3409</v>
      </c>
      <c r="K263" s="9" t="s">
        <v>2237</v>
      </c>
      <c r="L263" s="9" t="s">
        <v>42</v>
      </c>
      <c r="M263" s="10">
        <v>3.4942129629629629E-2</v>
      </c>
      <c r="N263" s="9" t="s">
        <v>43</v>
      </c>
      <c r="O263" s="9" t="s">
        <v>2238</v>
      </c>
      <c r="P263" s="9" t="s">
        <v>413</v>
      </c>
      <c r="Q263" s="10">
        <v>1.8819444444444441E-2</v>
      </c>
      <c r="R263" s="9" t="s">
        <v>129</v>
      </c>
      <c r="S263" s="10">
        <v>0.29637731481481477</v>
      </c>
      <c r="T263" s="9">
        <v>44.567</v>
      </c>
      <c r="U263" s="9">
        <v>10.47</v>
      </c>
      <c r="V263" s="10">
        <v>0.17732638888888891</v>
      </c>
      <c r="W263" s="10">
        <v>0.1012384259259259</v>
      </c>
      <c r="X263" s="10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1</v>
      </c>
      <c r="AE263" s="9" t="s">
        <v>130</v>
      </c>
      <c r="AF263" s="9" t="s">
        <v>2239</v>
      </c>
      <c r="AG263" s="9" t="s">
        <v>2240</v>
      </c>
      <c r="AH263" s="9">
        <v>6.2477929999999997</v>
      </c>
      <c r="AI263" s="9">
        <v>-75.615009999999998</v>
      </c>
      <c r="AJ263" s="9" t="s">
        <v>2241</v>
      </c>
      <c r="AK263" s="9">
        <v>6.1984029999999999</v>
      </c>
      <c r="AL263" s="9">
        <v>-75.593670000000003</v>
      </c>
      <c r="AM263" s="26">
        <f t="shared" si="4"/>
        <v>3.4942129629629629E-2</v>
      </c>
      <c r="AN263" s="9"/>
    </row>
    <row r="264" spans="1:40" ht="15" x14ac:dyDescent="0.25">
      <c r="A264" s="9" t="s">
        <v>2242</v>
      </c>
      <c r="B264" s="9" t="s">
        <v>2243</v>
      </c>
      <c r="C264" s="9" t="s">
        <v>2244</v>
      </c>
      <c r="D264" s="9" t="s">
        <v>2165</v>
      </c>
      <c r="E264" s="9" t="s">
        <v>36</v>
      </c>
      <c r="F264" s="9" t="s">
        <v>406</v>
      </c>
      <c r="G264" s="9" t="s">
        <v>124</v>
      </c>
      <c r="H264" s="9" t="s">
        <v>125</v>
      </c>
      <c r="I264" s="9" t="s">
        <v>115</v>
      </c>
      <c r="J264" s="9">
        <v>4868</v>
      </c>
      <c r="K264" s="9" t="s">
        <v>2245</v>
      </c>
      <c r="L264" s="9" t="s">
        <v>117</v>
      </c>
      <c r="M264" s="10">
        <v>1.0937499999999999E-2</v>
      </c>
      <c r="N264" s="9" t="s">
        <v>127</v>
      </c>
      <c r="O264" s="9" t="s">
        <v>2246</v>
      </c>
      <c r="P264" s="9" t="s">
        <v>119</v>
      </c>
      <c r="Q264" s="10">
        <v>7.789351851851852E-3</v>
      </c>
      <c r="R264" s="9" t="s">
        <v>46</v>
      </c>
      <c r="S264" s="10">
        <v>0.26872685185185191</v>
      </c>
      <c r="T264" s="9">
        <v>64.605999999999995</v>
      </c>
      <c r="U264" s="9">
        <v>13.1</v>
      </c>
      <c r="V264" s="10">
        <v>0.20548611111111109</v>
      </c>
      <c r="W264" s="10">
        <v>7.5277777777777777E-2</v>
      </c>
      <c r="X264" s="10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 t="s">
        <v>139</v>
      </c>
      <c r="AF264" s="9" t="s">
        <v>2247</v>
      </c>
      <c r="AG264" s="9" t="s">
        <v>2248</v>
      </c>
      <c r="AH264" s="9">
        <v>6.2703319999999998</v>
      </c>
      <c r="AI264" s="9">
        <v>-75.601577000000006</v>
      </c>
      <c r="AJ264" s="9" t="s">
        <v>2249</v>
      </c>
      <c r="AK264" s="9">
        <v>6.2725460000000002</v>
      </c>
      <c r="AL264" s="9">
        <v>-75.602210999999997</v>
      </c>
      <c r="AM264" s="26">
        <f t="shared" si="4"/>
        <v>0</v>
      </c>
      <c r="AN264" s="9"/>
    </row>
    <row r="265" spans="1:40" ht="15" x14ac:dyDescent="0.25">
      <c r="A265" s="9" t="s">
        <v>2250</v>
      </c>
      <c r="B265" s="9" t="s">
        <v>2251</v>
      </c>
      <c r="C265" s="9" t="s">
        <v>2252</v>
      </c>
      <c r="D265" s="9" t="s">
        <v>2165</v>
      </c>
      <c r="E265" s="9" t="s">
        <v>36</v>
      </c>
      <c r="F265" s="9" t="s">
        <v>406</v>
      </c>
      <c r="G265" s="9" t="s">
        <v>135</v>
      </c>
      <c r="H265" s="9" t="s">
        <v>136</v>
      </c>
      <c r="I265" s="9" t="s">
        <v>115</v>
      </c>
      <c r="J265" s="9">
        <v>3211</v>
      </c>
      <c r="K265" s="9" t="s">
        <v>2253</v>
      </c>
      <c r="L265" s="9" t="s">
        <v>117</v>
      </c>
      <c r="M265" s="10">
        <v>4.2245370370370371E-3</v>
      </c>
      <c r="N265" s="9" t="s">
        <v>65</v>
      </c>
      <c r="O265" s="9" t="s">
        <v>2254</v>
      </c>
      <c r="P265" s="9" t="s">
        <v>119</v>
      </c>
      <c r="Q265" s="10">
        <v>2.2569444444444438E-3</v>
      </c>
      <c r="R265" s="9" t="s">
        <v>46</v>
      </c>
      <c r="S265" s="10">
        <v>0.2435185185185185</v>
      </c>
      <c r="T265" s="9">
        <v>49.045000000000002</v>
      </c>
      <c r="U265" s="9">
        <v>17.739999999999998</v>
      </c>
      <c r="V265" s="10">
        <v>0.1152083333333333</v>
      </c>
      <c r="W265" s="10">
        <v>5.6284722222222222E-2</v>
      </c>
      <c r="X265" s="10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3</v>
      </c>
      <c r="AE265" s="9" t="s">
        <v>84</v>
      </c>
      <c r="AF265" s="9" t="s">
        <v>292</v>
      </c>
      <c r="AG265" s="9" t="s">
        <v>2145</v>
      </c>
      <c r="AH265" s="9">
        <v>6.2948950000000004</v>
      </c>
      <c r="AI265" s="9">
        <v>-75.543943999999996</v>
      </c>
      <c r="AJ265" s="9" t="s">
        <v>2255</v>
      </c>
      <c r="AK265" s="9">
        <v>6.276154</v>
      </c>
      <c r="AL265" s="9">
        <v>-75.547662000000003</v>
      </c>
      <c r="AM265" s="26">
        <f t="shared" si="4"/>
        <v>0</v>
      </c>
      <c r="AN265" s="9"/>
    </row>
    <row r="266" spans="1:40" ht="15" x14ac:dyDescent="0.25">
      <c r="A266" s="9" t="s">
        <v>2256</v>
      </c>
      <c r="B266" s="9" t="s">
        <v>2257</v>
      </c>
      <c r="C266" s="9" t="s">
        <v>2258</v>
      </c>
      <c r="D266" s="9" t="s">
        <v>2165</v>
      </c>
      <c r="E266" s="9" t="s">
        <v>36</v>
      </c>
      <c r="F266" s="9" t="s">
        <v>406</v>
      </c>
      <c r="G266" s="9" t="s">
        <v>144</v>
      </c>
      <c r="H266" s="9" t="s">
        <v>145</v>
      </c>
      <c r="I266" s="9" t="s">
        <v>115</v>
      </c>
      <c r="J266" s="9">
        <v>5671</v>
      </c>
      <c r="K266" s="9" t="s">
        <v>2259</v>
      </c>
      <c r="L266" s="9" t="s">
        <v>117</v>
      </c>
      <c r="M266" s="10">
        <v>2.0995370370370369E-2</v>
      </c>
      <c r="N266" s="9" t="s">
        <v>127</v>
      </c>
      <c r="O266" s="9" t="s">
        <v>2260</v>
      </c>
      <c r="P266" s="9" t="s">
        <v>119</v>
      </c>
      <c r="Q266" s="10">
        <v>1.655092592592593E-3</v>
      </c>
      <c r="R266" s="9" t="s">
        <v>46</v>
      </c>
      <c r="S266" s="10">
        <v>0.2693402777777778</v>
      </c>
      <c r="T266" s="9">
        <v>76.572000000000003</v>
      </c>
      <c r="U266" s="9">
        <v>15.06</v>
      </c>
      <c r="V266" s="10">
        <v>0.2119212962962963</v>
      </c>
      <c r="W266" s="10">
        <v>7.5462962962962968E-2</v>
      </c>
      <c r="X266" s="10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 t="s">
        <v>139</v>
      </c>
      <c r="AF266" s="9" t="s">
        <v>2261</v>
      </c>
      <c r="AG266" s="9" t="s">
        <v>2262</v>
      </c>
      <c r="AH266" s="9">
        <v>6.2903560000000001</v>
      </c>
      <c r="AI266" s="9">
        <v>-75.546459999999996</v>
      </c>
      <c r="AJ266" s="9" t="s">
        <v>2263</v>
      </c>
      <c r="AK266" s="9">
        <v>6.2905749999999996</v>
      </c>
      <c r="AL266" s="9">
        <v>-75.546401000000003</v>
      </c>
      <c r="AM266" s="26">
        <f t="shared" si="4"/>
        <v>0</v>
      </c>
      <c r="AN266" s="9"/>
    </row>
    <row r="267" spans="1:40" ht="15" x14ac:dyDescent="0.25">
      <c r="A267" s="9" t="s">
        <v>2264</v>
      </c>
      <c r="B267" s="9" t="s">
        <v>2265</v>
      </c>
      <c r="C267" s="9" t="s">
        <v>2266</v>
      </c>
      <c r="D267" s="9" t="s">
        <v>2165</v>
      </c>
      <c r="E267" s="9" t="s">
        <v>36</v>
      </c>
      <c r="F267" s="9" t="s">
        <v>406</v>
      </c>
      <c r="G267" s="9" t="s">
        <v>152</v>
      </c>
      <c r="H267" s="9" t="s">
        <v>153</v>
      </c>
      <c r="I267" s="9" t="s">
        <v>115</v>
      </c>
      <c r="J267" s="9">
        <v>1541</v>
      </c>
      <c r="K267" s="9" t="s">
        <v>2267</v>
      </c>
      <c r="L267" s="9" t="s">
        <v>117</v>
      </c>
      <c r="M267" s="10">
        <v>6.3657407407407413E-4</v>
      </c>
      <c r="N267" s="9" t="s">
        <v>65</v>
      </c>
      <c r="O267" s="9" t="s">
        <v>2268</v>
      </c>
      <c r="P267" s="9" t="s">
        <v>119</v>
      </c>
      <c r="Q267" s="10">
        <v>9.060185185185185E-2</v>
      </c>
      <c r="R267" s="9" t="s">
        <v>56</v>
      </c>
      <c r="S267" s="10">
        <v>0.1600347222222222</v>
      </c>
      <c r="T267" s="9">
        <v>20.175000000000001</v>
      </c>
      <c r="U267" s="9">
        <v>7.77</v>
      </c>
      <c r="V267" s="10">
        <v>0.1082175925925926</v>
      </c>
      <c r="W267" s="10">
        <v>7.5081018518518519E-2</v>
      </c>
      <c r="X267" s="10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 t="s">
        <v>67</v>
      </c>
      <c r="AF267" s="9" t="s">
        <v>2269</v>
      </c>
      <c r="AG267" s="9" t="s">
        <v>2270</v>
      </c>
      <c r="AH267" s="9">
        <v>6.2504369999999998</v>
      </c>
      <c r="AI267" s="9">
        <v>-75.552269999999993</v>
      </c>
      <c r="AJ267" s="9" t="s">
        <v>2271</v>
      </c>
      <c r="AK267" s="9">
        <v>6.2517620000000003</v>
      </c>
      <c r="AL267" s="9">
        <v>-75.551820000000006</v>
      </c>
      <c r="AM267" s="26">
        <f t="shared" si="4"/>
        <v>9.060185185185185E-2</v>
      </c>
      <c r="AN267" s="9"/>
    </row>
    <row r="268" spans="1:40" ht="15" x14ac:dyDescent="0.25">
      <c r="A268" s="9" t="s">
        <v>2272</v>
      </c>
      <c r="B268" s="9" t="s">
        <v>2273</v>
      </c>
      <c r="C268" s="9" t="s">
        <v>2274</v>
      </c>
      <c r="D268" s="9" t="s">
        <v>2165</v>
      </c>
      <c r="E268" s="9" t="s">
        <v>36</v>
      </c>
      <c r="F268" s="9" t="s">
        <v>406</v>
      </c>
      <c r="G268" s="9" t="s">
        <v>160</v>
      </c>
      <c r="H268" s="9" t="s">
        <v>161</v>
      </c>
      <c r="I268" s="9" t="s">
        <v>115</v>
      </c>
      <c r="J268" s="9">
        <v>4430</v>
      </c>
      <c r="K268" s="9" t="s">
        <v>2275</v>
      </c>
      <c r="L268" s="9" t="s">
        <v>117</v>
      </c>
      <c r="M268" s="10">
        <v>4.7679513888888893E-3</v>
      </c>
      <c r="N268" s="9" t="s">
        <v>65</v>
      </c>
      <c r="O268" s="9" t="s">
        <v>2276</v>
      </c>
      <c r="P268" s="9" t="s">
        <v>119</v>
      </c>
      <c r="Q268" s="10">
        <v>6.0885532407407416E-3</v>
      </c>
      <c r="R268" s="9" t="s">
        <v>46</v>
      </c>
      <c r="S268" s="10">
        <v>0.26085650462962962</v>
      </c>
      <c r="T268" s="9">
        <v>33.304000000000002</v>
      </c>
      <c r="U268" s="9">
        <v>6.69</v>
      </c>
      <c r="V268" s="10">
        <v>0.20740732638888901</v>
      </c>
      <c r="W268" s="10">
        <v>0.1747453587962963</v>
      </c>
      <c r="X268" s="10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1</v>
      </c>
      <c r="AE268" s="9" t="s">
        <v>84</v>
      </c>
      <c r="AF268" s="9" t="s">
        <v>324</v>
      </c>
      <c r="AG268" s="9" t="s">
        <v>2277</v>
      </c>
      <c r="AH268" s="9">
        <v>6.2294980000000004</v>
      </c>
      <c r="AI268" s="9">
        <v>-75.573103000000003</v>
      </c>
      <c r="AJ268" s="9" t="s">
        <v>2278</v>
      </c>
      <c r="AK268" s="9">
        <v>6.2684470000000001</v>
      </c>
      <c r="AL268" s="9">
        <v>-75.599478000000005</v>
      </c>
      <c r="AM268" s="26">
        <f t="shared" si="4"/>
        <v>0</v>
      </c>
      <c r="AN268" s="9"/>
    </row>
    <row r="269" spans="1:40" ht="15" x14ac:dyDescent="0.25">
      <c r="A269" s="9" t="s">
        <v>2279</v>
      </c>
      <c r="B269" s="9" t="s">
        <v>2280</v>
      </c>
      <c r="C269" s="9" t="s">
        <v>2281</v>
      </c>
      <c r="D269" s="9" t="s">
        <v>2236</v>
      </c>
      <c r="E269" s="9" t="s">
        <v>36</v>
      </c>
      <c r="F269" s="9" t="s">
        <v>455</v>
      </c>
      <c r="G269" s="9" t="s">
        <v>97</v>
      </c>
      <c r="H269" s="9" t="s">
        <v>98</v>
      </c>
      <c r="I269" s="9" t="s">
        <v>115</v>
      </c>
      <c r="J269" s="9">
        <v>1667</v>
      </c>
      <c r="K269" s="9" t="s">
        <v>2282</v>
      </c>
      <c r="L269" s="9" t="s">
        <v>117</v>
      </c>
      <c r="M269" s="10">
        <v>4.9768518518518521E-3</v>
      </c>
      <c r="N269" s="9" t="s">
        <v>65</v>
      </c>
      <c r="O269" s="9" t="s">
        <v>2283</v>
      </c>
      <c r="P269" s="9" t="s">
        <v>119</v>
      </c>
      <c r="Q269" s="10">
        <v>9.3749999999999997E-4</v>
      </c>
      <c r="R269" s="9" t="s">
        <v>46</v>
      </c>
      <c r="S269" s="10">
        <v>0.24596064814814811</v>
      </c>
      <c r="T269" s="9">
        <v>20.145</v>
      </c>
      <c r="U269" s="9">
        <v>5.66</v>
      </c>
      <c r="V269" s="10">
        <v>0.1482523148148148</v>
      </c>
      <c r="W269" s="10">
        <v>0.10447916666666671</v>
      </c>
      <c r="X269" s="10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 t="s">
        <v>84</v>
      </c>
      <c r="AF269" s="9" t="s">
        <v>2284</v>
      </c>
      <c r="AG269" s="9" t="s">
        <v>2285</v>
      </c>
      <c r="AH269" s="9">
        <v>6.3081019999999999</v>
      </c>
      <c r="AI269" s="9">
        <v>-75.582305000000005</v>
      </c>
      <c r="AJ269" s="9" t="s">
        <v>2286</v>
      </c>
      <c r="AK269" s="9">
        <v>6.3105060000000002</v>
      </c>
      <c r="AL269" s="9">
        <v>-75.578899000000007</v>
      </c>
      <c r="AM269" s="26">
        <f t="shared" si="4"/>
        <v>0</v>
      </c>
      <c r="AN269" s="9"/>
    </row>
    <row r="270" spans="1:40" ht="15" x14ac:dyDescent="0.25">
      <c r="A270" s="9" t="s">
        <v>2287</v>
      </c>
      <c r="B270" s="9" t="s">
        <v>2288</v>
      </c>
      <c r="C270" s="9" t="s">
        <v>2289</v>
      </c>
      <c r="D270" s="9" t="s">
        <v>2290</v>
      </c>
      <c r="E270" s="9" t="s">
        <v>36</v>
      </c>
      <c r="F270" s="9" t="s">
        <v>508</v>
      </c>
      <c r="G270" s="9" t="s">
        <v>38</v>
      </c>
      <c r="H270" s="9" t="s">
        <v>39</v>
      </c>
      <c r="I270" s="9" t="s">
        <v>40</v>
      </c>
      <c r="J270" s="9">
        <v>7087</v>
      </c>
      <c r="K270" s="9" t="s">
        <v>2291</v>
      </c>
      <c r="L270" s="9" t="s">
        <v>42</v>
      </c>
      <c r="M270" s="10">
        <v>4.5371481481481478E-2</v>
      </c>
      <c r="N270" s="9" t="s">
        <v>43</v>
      </c>
      <c r="O270" s="9" t="s">
        <v>2292</v>
      </c>
      <c r="P270" s="9" t="s">
        <v>45</v>
      </c>
      <c r="Q270" s="10">
        <v>1.73037037037037E-3</v>
      </c>
      <c r="R270" s="9" t="s">
        <v>46</v>
      </c>
      <c r="S270" s="10">
        <v>0.28969222222222218</v>
      </c>
      <c r="T270" s="9">
        <v>44.883000000000003</v>
      </c>
      <c r="U270" s="9">
        <v>23.7</v>
      </c>
      <c r="V270" s="10">
        <v>7.8912175925925948E-2</v>
      </c>
      <c r="W270" s="10">
        <v>3.4039629629629628E-2</v>
      </c>
      <c r="X270" s="10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6</v>
      </c>
      <c r="AE270" s="9" t="s">
        <v>47</v>
      </c>
      <c r="AF270" s="9" t="s">
        <v>2293</v>
      </c>
      <c r="AG270" s="9" t="s">
        <v>2294</v>
      </c>
      <c r="AH270" s="9">
        <v>6.2253509999999999</v>
      </c>
      <c r="AI270" s="9">
        <v>-75.599309000000005</v>
      </c>
      <c r="AJ270" s="9" t="s">
        <v>2295</v>
      </c>
      <c r="AK270" s="9">
        <v>6.2233780000000003</v>
      </c>
      <c r="AL270" s="9">
        <v>-75.595094000000003</v>
      </c>
      <c r="AM270" s="26">
        <f t="shared" si="4"/>
        <v>4.5371481481481478E-2</v>
      </c>
      <c r="AN270" s="9" t="s">
        <v>2391</v>
      </c>
    </row>
    <row r="271" spans="1:40" ht="15" x14ac:dyDescent="0.25">
      <c r="A271" s="9" t="s">
        <v>2296</v>
      </c>
      <c r="B271" s="9" t="s">
        <v>2297</v>
      </c>
      <c r="C271" s="9" t="s">
        <v>2298</v>
      </c>
      <c r="D271" s="9" t="s">
        <v>2290</v>
      </c>
      <c r="E271" s="9" t="s">
        <v>36</v>
      </c>
      <c r="F271" s="9" t="s">
        <v>508</v>
      </c>
      <c r="G271" s="9" t="s">
        <v>52</v>
      </c>
      <c r="H271" s="9" t="s">
        <v>53</v>
      </c>
      <c r="I271" s="9" t="s">
        <v>40</v>
      </c>
      <c r="J271" s="9">
        <v>1490</v>
      </c>
      <c r="K271" s="9" t="s">
        <v>2299</v>
      </c>
      <c r="L271" s="9" t="s">
        <v>42</v>
      </c>
      <c r="M271" s="10">
        <v>1.30787037037037E-2</v>
      </c>
      <c r="N271" s="9" t="s">
        <v>43</v>
      </c>
      <c r="O271" s="9" t="s">
        <v>2300</v>
      </c>
      <c r="P271" s="9" t="s">
        <v>45</v>
      </c>
      <c r="Q271" s="10">
        <v>2.1180555555555562E-3</v>
      </c>
      <c r="R271" s="9" t="s">
        <v>46</v>
      </c>
      <c r="S271" s="10">
        <v>0.32237268518518519</v>
      </c>
      <c r="T271" s="9">
        <v>18.555</v>
      </c>
      <c r="U271" s="9">
        <v>3.4</v>
      </c>
      <c r="V271" s="10">
        <v>0.22714120370370369</v>
      </c>
      <c r="W271" s="10">
        <v>0.1910648148148148</v>
      </c>
      <c r="X271" s="10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4</v>
      </c>
      <c r="AE271" s="9" t="s">
        <v>47</v>
      </c>
      <c r="AF271" s="9" t="s">
        <v>2301</v>
      </c>
      <c r="AG271" s="9" t="s">
        <v>2302</v>
      </c>
      <c r="AH271" s="9">
        <v>6.2256169999999997</v>
      </c>
      <c r="AI271" s="9">
        <v>-75.599421000000007</v>
      </c>
      <c r="AJ271" s="9" t="s">
        <v>2303</v>
      </c>
      <c r="AK271" s="9">
        <v>6.247649</v>
      </c>
      <c r="AL271" s="9">
        <v>-75.614937999999995</v>
      </c>
      <c r="AM271" s="26">
        <f t="shared" si="4"/>
        <v>1.30787037037037E-2</v>
      </c>
      <c r="AN271" s="9"/>
    </row>
    <row r="272" spans="1:40" ht="15" x14ac:dyDescent="0.25">
      <c r="A272" s="9" t="s">
        <v>2304</v>
      </c>
      <c r="B272" s="9" t="s">
        <v>2305</v>
      </c>
      <c r="C272" s="9" t="s">
        <v>2306</v>
      </c>
      <c r="D272" s="9" t="s">
        <v>2290</v>
      </c>
      <c r="E272" s="9" t="s">
        <v>36</v>
      </c>
      <c r="F272" s="9" t="s">
        <v>508</v>
      </c>
      <c r="G272" s="9" t="s">
        <v>62</v>
      </c>
      <c r="H272" s="9" t="s">
        <v>63</v>
      </c>
      <c r="I272" s="9" t="s">
        <v>40</v>
      </c>
      <c r="J272" s="9">
        <v>2468</v>
      </c>
      <c r="K272" s="9" t="s">
        <v>2307</v>
      </c>
      <c r="L272" s="9" t="s">
        <v>42</v>
      </c>
      <c r="M272" s="10">
        <v>1.9189814814814819E-2</v>
      </c>
      <c r="N272" s="9" t="s">
        <v>43</v>
      </c>
      <c r="O272" s="9" t="s">
        <v>2308</v>
      </c>
      <c r="P272" s="9" t="s">
        <v>45</v>
      </c>
      <c r="Q272" s="10">
        <v>5.8819444444444452E-2</v>
      </c>
      <c r="R272" s="9" t="s">
        <v>56</v>
      </c>
      <c r="S272" s="10">
        <v>0.25532407407407409</v>
      </c>
      <c r="T272" s="9">
        <v>33.131999999999998</v>
      </c>
      <c r="U272" s="9">
        <v>9.4499999999999993</v>
      </c>
      <c r="V272" s="10">
        <v>0.146087962962963</v>
      </c>
      <c r="W272" s="10">
        <v>9.3599537037037037E-2</v>
      </c>
      <c r="X272" s="10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 t="s">
        <v>57</v>
      </c>
      <c r="AF272" s="9" t="s">
        <v>2309</v>
      </c>
      <c r="AG272" s="9" t="s">
        <v>2310</v>
      </c>
      <c r="AH272" s="9">
        <v>6.2256559999999999</v>
      </c>
      <c r="AI272" s="9">
        <v>-75.599446</v>
      </c>
      <c r="AJ272" s="9" t="s">
        <v>2311</v>
      </c>
      <c r="AK272" s="9">
        <v>6.2858210000000003</v>
      </c>
      <c r="AL272" s="9">
        <v>-75.584147999999999</v>
      </c>
      <c r="AM272" s="26">
        <f t="shared" si="4"/>
        <v>7.8009259259259278E-2</v>
      </c>
      <c r="AN272" s="9"/>
    </row>
    <row r="273" spans="1:40" ht="15" x14ac:dyDescent="0.25">
      <c r="A273" s="9" t="s">
        <v>2312</v>
      </c>
      <c r="B273" s="9" t="s">
        <v>2313</v>
      </c>
      <c r="C273" s="9" t="s">
        <v>2314</v>
      </c>
      <c r="D273" s="9" t="s">
        <v>2290</v>
      </c>
      <c r="E273" s="9" t="s">
        <v>36</v>
      </c>
      <c r="F273" s="9" t="s">
        <v>508</v>
      </c>
      <c r="G273" s="9" t="s">
        <v>72</v>
      </c>
      <c r="H273" s="9" t="s">
        <v>73</v>
      </c>
      <c r="I273" s="9" t="s">
        <v>40</v>
      </c>
      <c r="J273" s="9">
        <v>4221</v>
      </c>
      <c r="K273" s="9" t="s">
        <v>2315</v>
      </c>
      <c r="L273" s="9" t="s">
        <v>42</v>
      </c>
      <c r="M273" s="10">
        <v>2.1180555555555562E-3</v>
      </c>
      <c r="N273" s="9" t="s">
        <v>65</v>
      </c>
      <c r="O273" s="9" t="s">
        <v>2316</v>
      </c>
      <c r="P273" s="9" t="s">
        <v>45</v>
      </c>
      <c r="Q273" s="10">
        <v>3.4548611111111113E-2</v>
      </c>
      <c r="R273" s="9" t="s">
        <v>56</v>
      </c>
      <c r="S273" s="10">
        <v>0.29666666666666669</v>
      </c>
      <c r="T273" s="9">
        <v>59.094999999999999</v>
      </c>
      <c r="U273" s="9">
        <v>9.26</v>
      </c>
      <c r="V273" s="10">
        <v>0.2658564814814815</v>
      </c>
      <c r="W273" s="10">
        <v>0.19457175925925929</v>
      </c>
      <c r="X273" s="10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3</v>
      </c>
      <c r="AE273" s="9" t="s">
        <v>67</v>
      </c>
      <c r="AF273" s="9" t="s">
        <v>2317</v>
      </c>
      <c r="AG273" s="9" t="s">
        <v>2318</v>
      </c>
      <c r="AH273" s="9">
        <v>6.2257790000000002</v>
      </c>
      <c r="AI273" s="9">
        <v>-75.599106000000006</v>
      </c>
      <c r="AJ273" s="9" t="s">
        <v>2319</v>
      </c>
      <c r="AK273" s="9">
        <v>6.2453799999999999</v>
      </c>
      <c r="AL273" s="9">
        <v>-75.571899000000002</v>
      </c>
      <c r="AM273" s="26">
        <f t="shared" si="4"/>
        <v>3.4548611111111113E-2</v>
      </c>
      <c r="AN273" s="9"/>
    </row>
    <row r="274" spans="1:40" ht="15" x14ac:dyDescent="0.25">
      <c r="A274" s="9" t="s">
        <v>2320</v>
      </c>
      <c r="B274" s="9" t="s">
        <v>2321</v>
      </c>
      <c r="C274" s="9" t="s">
        <v>2322</v>
      </c>
      <c r="D274" s="9" t="s">
        <v>2290</v>
      </c>
      <c r="E274" s="9" t="s">
        <v>36</v>
      </c>
      <c r="F274" s="9" t="s">
        <v>508</v>
      </c>
      <c r="G274" s="9" t="s">
        <v>80</v>
      </c>
      <c r="H274" s="9" t="s">
        <v>81</v>
      </c>
      <c r="I274" s="9" t="s">
        <v>40</v>
      </c>
      <c r="J274" s="9">
        <v>4687</v>
      </c>
      <c r="K274" s="9" t="s">
        <v>2323</v>
      </c>
      <c r="L274" s="9" t="s">
        <v>42</v>
      </c>
      <c r="M274" s="10">
        <v>3.3910428240740739E-2</v>
      </c>
      <c r="N274" s="9" t="s">
        <v>43</v>
      </c>
      <c r="O274" s="9" t="s">
        <v>2324</v>
      </c>
      <c r="P274" s="9" t="s">
        <v>45</v>
      </c>
      <c r="Q274" s="10">
        <v>2.775601851851852E-3</v>
      </c>
      <c r="R274" s="9" t="s">
        <v>46</v>
      </c>
      <c r="S274" s="10">
        <v>0.29664730324074068</v>
      </c>
      <c r="T274" s="9">
        <v>25.309000000000001</v>
      </c>
      <c r="U274" s="9">
        <v>18.96</v>
      </c>
      <c r="V274" s="10">
        <v>5.561807870370359E-2</v>
      </c>
      <c r="W274" s="10">
        <v>3.7625763888888893E-2</v>
      </c>
      <c r="X274" s="10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8</v>
      </c>
      <c r="AE274" s="9" t="s">
        <v>47</v>
      </c>
      <c r="AF274" s="9" t="s">
        <v>2325</v>
      </c>
      <c r="AG274" s="9" t="s">
        <v>2326</v>
      </c>
      <c r="AH274" s="9">
        <v>6.2254610000000001</v>
      </c>
      <c r="AI274" s="9">
        <v>-75.599211999999994</v>
      </c>
      <c r="AJ274" s="9" t="s">
        <v>2327</v>
      </c>
      <c r="AK274" s="9">
        <v>6.2592540000000003</v>
      </c>
      <c r="AL274" s="9">
        <v>-75.620909999999995</v>
      </c>
      <c r="AM274" s="26">
        <f t="shared" si="4"/>
        <v>3.3910428240740739E-2</v>
      </c>
      <c r="AN274" s="9"/>
    </row>
    <row r="275" spans="1:40" ht="15" x14ac:dyDescent="0.25">
      <c r="A275" s="9" t="s">
        <v>2328</v>
      </c>
      <c r="B275" s="9" t="s">
        <v>2329</v>
      </c>
      <c r="C275" s="9" t="s">
        <v>2330</v>
      </c>
      <c r="D275" s="9" t="s">
        <v>2290</v>
      </c>
      <c r="E275" s="9" t="s">
        <v>36</v>
      </c>
      <c r="F275" s="9" t="s">
        <v>508</v>
      </c>
      <c r="G275" s="9" t="s">
        <v>89</v>
      </c>
      <c r="H275" s="9" t="s">
        <v>90</v>
      </c>
      <c r="I275" s="9" t="s">
        <v>40</v>
      </c>
      <c r="J275" s="9">
        <v>5151</v>
      </c>
      <c r="K275" s="9" t="s">
        <v>2331</v>
      </c>
      <c r="L275" s="9" t="s">
        <v>42</v>
      </c>
      <c r="M275" s="10">
        <v>5.9375000000000001E-3</v>
      </c>
      <c r="N275" s="9" t="s">
        <v>65</v>
      </c>
      <c r="O275" s="9" t="s">
        <v>2332</v>
      </c>
      <c r="P275" s="9" t="s">
        <v>45</v>
      </c>
      <c r="Q275" s="10">
        <v>5.1504629629629626E-3</v>
      </c>
      <c r="R275" s="9" t="s">
        <v>46</v>
      </c>
      <c r="S275" s="10">
        <v>0.34442129629629631</v>
      </c>
      <c r="T275" s="9">
        <v>75.736000000000004</v>
      </c>
      <c r="U275" s="9">
        <v>11.16</v>
      </c>
      <c r="V275" s="10">
        <v>0.28280092592592587</v>
      </c>
      <c r="W275" s="10">
        <v>0.16743055555555561</v>
      </c>
      <c r="X275" s="10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2</v>
      </c>
      <c r="AE275" s="9" t="s">
        <v>84</v>
      </c>
      <c r="AF275" s="9" t="s">
        <v>1384</v>
      </c>
      <c r="AG275" s="9" t="s">
        <v>2333</v>
      </c>
      <c r="AH275" s="9">
        <v>6.2267219999999996</v>
      </c>
      <c r="AI275" s="9">
        <v>-75.599288999999999</v>
      </c>
      <c r="AJ275" s="9" t="s">
        <v>2334</v>
      </c>
      <c r="AK275" s="9">
        <v>6.2788469999999998</v>
      </c>
      <c r="AL275" s="9">
        <v>-75.569132999999994</v>
      </c>
      <c r="AM275" s="26">
        <f t="shared" si="4"/>
        <v>0</v>
      </c>
      <c r="AN275" s="9"/>
    </row>
    <row r="276" spans="1:40" ht="15" x14ac:dyDescent="0.25">
      <c r="A276" s="9" t="s">
        <v>2335</v>
      </c>
      <c r="B276" s="9" t="s">
        <v>2336</v>
      </c>
      <c r="C276" s="9" t="s">
        <v>2337</v>
      </c>
      <c r="D276" s="9" t="s">
        <v>2290</v>
      </c>
      <c r="E276" s="9" t="s">
        <v>36</v>
      </c>
      <c r="F276" s="9" t="s">
        <v>508</v>
      </c>
      <c r="G276" s="9" t="s">
        <v>105</v>
      </c>
      <c r="H276" s="9" t="s">
        <v>106</v>
      </c>
      <c r="I276" s="9" t="s">
        <v>40</v>
      </c>
      <c r="J276" s="9">
        <v>413</v>
      </c>
      <c r="K276" s="9" t="s">
        <v>2338</v>
      </c>
      <c r="L276" s="9" t="s">
        <v>42</v>
      </c>
      <c r="M276" s="10">
        <v>0.2099189814814815</v>
      </c>
      <c r="N276" s="9" t="s">
        <v>43</v>
      </c>
      <c r="O276" s="9" t="s">
        <v>2339</v>
      </c>
      <c r="P276" s="9" t="s">
        <v>45</v>
      </c>
      <c r="Q276" s="10">
        <v>3.9375E-2</v>
      </c>
      <c r="R276" s="9" t="s">
        <v>129</v>
      </c>
      <c r="S276" s="10">
        <v>0.16278935185185189</v>
      </c>
      <c r="T276" s="9">
        <v>4.6319999999999997</v>
      </c>
      <c r="U276" s="9">
        <v>6.81</v>
      </c>
      <c r="V276" s="10">
        <v>2.8344907407407409E-2</v>
      </c>
      <c r="W276" s="10">
        <v>1.9201388888888889E-2</v>
      </c>
      <c r="X276" s="10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 t="s">
        <v>130</v>
      </c>
      <c r="AF276" s="9" t="s">
        <v>2340</v>
      </c>
      <c r="AG276" s="9" t="s">
        <v>2341</v>
      </c>
      <c r="AH276" s="9">
        <v>6.2594450000000004</v>
      </c>
      <c r="AI276" s="9">
        <v>-75.599485999999999</v>
      </c>
      <c r="AJ276" s="9" t="s">
        <v>2342</v>
      </c>
      <c r="AK276" s="9">
        <v>6.2586639999999996</v>
      </c>
      <c r="AL276" s="9">
        <v>-75.616157000000001</v>
      </c>
      <c r="AM276" s="26">
        <f t="shared" si="4"/>
        <v>0.2099189814814815</v>
      </c>
      <c r="AN276" s="9"/>
    </row>
    <row r="277" spans="1:40" ht="15" x14ac:dyDescent="0.25">
      <c r="A277" s="9" t="s">
        <v>2343</v>
      </c>
      <c r="B277" s="9" t="s">
        <v>2344</v>
      </c>
      <c r="C277" s="9" t="s">
        <v>2345</v>
      </c>
      <c r="D277" s="9" t="s">
        <v>2290</v>
      </c>
      <c r="E277" s="9" t="s">
        <v>36</v>
      </c>
      <c r="F277" s="9" t="s">
        <v>508</v>
      </c>
      <c r="G277" s="9" t="s">
        <v>113</v>
      </c>
      <c r="H277" s="9" t="s">
        <v>114</v>
      </c>
      <c r="I277" s="9" t="s">
        <v>40</v>
      </c>
      <c r="J277" s="9">
        <v>3416</v>
      </c>
      <c r="K277" s="9" t="s">
        <v>2346</v>
      </c>
      <c r="L277" s="9" t="s">
        <v>42</v>
      </c>
      <c r="M277" s="10">
        <v>3.063657407407407E-2</v>
      </c>
      <c r="N277" s="9" t="s">
        <v>43</v>
      </c>
      <c r="O277" s="9" t="s">
        <v>2347</v>
      </c>
      <c r="P277" s="9" t="s">
        <v>45</v>
      </c>
      <c r="Q277" s="10">
        <v>8.5879629629629622E-3</v>
      </c>
      <c r="R277" s="9" t="s">
        <v>46</v>
      </c>
      <c r="S277" s="10">
        <v>0.29410879629629633</v>
      </c>
      <c r="T277" s="9">
        <v>43.97</v>
      </c>
      <c r="U277" s="9">
        <v>7.07</v>
      </c>
      <c r="V277" s="10">
        <v>0.2590972222222222</v>
      </c>
      <c r="W277" s="10">
        <v>0.18869212962962961</v>
      </c>
      <c r="X277" s="10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2</v>
      </c>
      <c r="AE277" s="9" t="s">
        <v>47</v>
      </c>
      <c r="AF277" s="9" t="s">
        <v>2348</v>
      </c>
      <c r="AG277" s="9" t="s">
        <v>2349</v>
      </c>
      <c r="AH277" s="9">
        <v>6.2301279999999997</v>
      </c>
      <c r="AI277" s="9">
        <v>-75.602007999999998</v>
      </c>
      <c r="AJ277" s="9" t="s">
        <v>2350</v>
      </c>
      <c r="AK277" s="9">
        <v>6.2123840000000001</v>
      </c>
      <c r="AL277" s="9">
        <v>-75.585819999999998</v>
      </c>
      <c r="AM277" s="26">
        <f t="shared" si="4"/>
        <v>3.063657407407407E-2</v>
      </c>
      <c r="AN277" s="9"/>
    </row>
    <row r="278" spans="1:40" ht="15" x14ac:dyDescent="0.25">
      <c r="A278" s="9" t="s">
        <v>2351</v>
      </c>
      <c r="B278" s="9" t="s">
        <v>2352</v>
      </c>
      <c r="C278" s="9" t="s">
        <v>2353</v>
      </c>
      <c r="D278" s="9" t="s">
        <v>2290</v>
      </c>
      <c r="E278" s="9" t="s">
        <v>36</v>
      </c>
      <c r="F278" s="9" t="s">
        <v>508</v>
      </c>
      <c r="G278" s="9" t="s">
        <v>124</v>
      </c>
      <c r="H278" s="9" t="s">
        <v>125</v>
      </c>
      <c r="I278" s="9" t="s">
        <v>115</v>
      </c>
      <c r="J278" s="9">
        <v>6925</v>
      </c>
      <c r="K278" s="9" t="s">
        <v>2354</v>
      </c>
      <c r="L278" s="9" t="s">
        <v>117</v>
      </c>
      <c r="M278" s="10">
        <v>1.6180555555555559E-2</v>
      </c>
      <c r="N278" s="9" t="s">
        <v>127</v>
      </c>
      <c r="O278" s="9" t="s">
        <v>2355</v>
      </c>
      <c r="P278" s="9" t="s">
        <v>119</v>
      </c>
      <c r="Q278" s="10">
        <v>7.6157407407407406E-3</v>
      </c>
      <c r="R278" s="9" t="s">
        <v>46</v>
      </c>
      <c r="S278" s="10">
        <v>0.27379629629629632</v>
      </c>
      <c r="T278" s="9">
        <v>96.064999999999998</v>
      </c>
      <c r="U278" s="9">
        <v>18.920000000000002</v>
      </c>
      <c r="V278" s="10">
        <v>0.21157407407407411</v>
      </c>
      <c r="W278" s="10">
        <v>5.8495370370370371E-2</v>
      </c>
      <c r="X278" s="10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 t="s">
        <v>139</v>
      </c>
      <c r="AF278" s="9" t="s">
        <v>2356</v>
      </c>
      <c r="AG278" s="9" t="s">
        <v>2357</v>
      </c>
      <c r="AH278" s="9">
        <v>6.2276020000000001</v>
      </c>
      <c r="AI278" s="9">
        <v>-75.599125999999998</v>
      </c>
      <c r="AJ278" s="9" t="s">
        <v>2358</v>
      </c>
      <c r="AK278" s="9">
        <v>6.2726920000000002</v>
      </c>
      <c r="AL278" s="9">
        <v>-75.601997999999995</v>
      </c>
      <c r="AM278" s="26">
        <f t="shared" si="4"/>
        <v>0</v>
      </c>
      <c r="AN278" s="9"/>
    </row>
    <row r="279" spans="1:40" ht="15" x14ac:dyDescent="0.25">
      <c r="A279" s="9" t="s">
        <v>2359</v>
      </c>
      <c r="B279" s="9" t="s">
        <v>2360</v>
      </c>
      <c r="C279" s="9" t="s">
        <v>2361</v>
      </c>
      <c r="D279" s="9" t="s">
        <v>2290</v>
      </c>
      <c r="E279" s="9" t="s">
        <v>36</v>
      </c>
      <c r="F279" s="9" t="s">
        <v>508</v>
      </c>
      <c r="G279" s="9" t="s">
        <v>135</v>
      </c>
      <c r="H279" s="9" t="s">
        <v>136</v>
      </c>
      <c r="I279" s="9" t="s">
        <v>115</v>
      </c>
      <c r="J279" s="9">
        <v>2289</v>
      </c>
      <c r="K279" s="9" t="s">
        <v>2362</v>
      </c>
      <c r="L279" s="9" t="s">
        <v>117</v>
      </c>
      <c r="M279" s="10">
        <v>4.3043981481481482E-2</v>
      </c>
      <c r="N279" s="9" t="s">
        <v>127</v>
      </c>
      <c r="O279" s="9" t="s">
        <v>2363</v>
      </c>
      <c r="P279" s="9" t="s">
        <v>119</v>
      </c>
      <c r="Q279" s="10">
        <v>3.530092592592592E-3</v>
      </c>
      <c r="R279" s="9" t="s">
        <v>46</v>
      </c>
      <c r="S279" s="10">
        <v>0.2895138888888889</v>
      </c>
      <c r="T279" s="9">
        <v>48.36</v>
      </c>
      <c r="U279" s="9">
        <v>18.8</v>
      </c>
      <c r="V279" s="10">
        <v>0.10715277777777781</v>
      </c>
      <c r="W279" s="10">
        <v>5.2037037037037027E-2</v>
      </c>
      <c r="X279" s="10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3</v>
      </c>
      <c r="AE279" s="9" t="s">
        <v>139</v>
      </c>
      <c r="AF279" s="9" t="s">
        <v>2364</v>
      </c>
      <c r="AG279" s="9" t="s">
        <v>2365</v>
      </c>
      <c r="AH279" s="9">
        <v>6.2254319999999996</v>
      </c>
      <c r="AI279" s="9">
        <v>-75.598766999999995</v>
      </c>
      <c r="AJ279" s="9" t="s">
        <v>2366</v>
      </c>
      <c r="AK279" s="9">
        <v>6.2622429999999998</v>
      </c>
      <c r="AL279" s="9">
        <v>-75.563856000000001</v>
      </c>
      <c r="AM279" s="26">
        <f t="shared" si="4"/>
        <v>0</v>
      </c>
      <c r="AN279" s="9"/>
    </row>
    <row r="280" spans="1:40" ht="15" x14ac:dyDescent="0.25">
      <c r="A280" s="9" t="s">
        <v>2367</v>
      </c>
      <c r="B280" s="9" t="s">
        <v>2368</v>
      </c>
      <c r="C280" s="9" t="s">
        <v>2369</v>
      </c>
      <c r="D280" s="9" t="s">
        <v>2290</v>
      </c>
      <c r="E280" s="9" t="s">
        <v>36</v>
      </c>
      <c r="F280" s="9" t="s">
        <v>508</v>
      </c>
      <c r="G280" s="9" t="s">
        <v>144</v>
      </c>
      <c r="H280" s="9" t="s">
        <v>145</v>
      </c>
      <c r="I280" s="9" t="s">
        <v>115</v>
      </c>
      <c r="J280" s="9">
        <v>6098</v>
      </c>
      <c r="K280" s="9" t="s">
        <v>2370</v>
      </c>
      <c r="L280" s="9" t="s">
        <v>117</v>
      </c>
      <c r="M280" s="10">
        <v>3.7546296296296293E-2</v>
      </c>
      <c r="N280" s="9" t="s">
        <v>127</v>
      </c>
      <c r="O280" s="9" t="s">
        <v>2371</v>
      </c>
      <c r="P280" s="9" t="s">
        <v>119</v>
      </c>
      <c r="Q280" s="10">
        <v>3.0555555555555561E-3</v>
      </c>
      <c r="R280" s="9" t="s">
        <v>46</v>
      </c>
      <c r="S280" s="10">
        <v>0.29060185185185178</v>
      </c>
      <c r="T280" s="9">
        <v>81.367000000000004</v>
      </c>
      <c r="U280" s="9">
        <v>14.72</v>
      </c>
      <c r="V280" s="10">
        <v>0.2303819444444444</v>
      </c>
      <c r="W280" s="10">
        <v>8.7349537037037031E-2</v>
      </c>
      <c r="X280" s="10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 t="s">
        <v>139</v>
      </c>
      <c r="AF280" s="9" t="s">
        <v>2372</v>
      </c>
      <c r="AG280" s="9" t="s">
        <v>2373</v>
      </c>
      <c r="AH280" s="9">
        <v>6.2256609999999997</v>
      </c>
      <c r="AI280" s="9">
        <v>-75.598487000000006</v>
      </c>
      <c r="AJ280" s="9" t="s">
        <v>2374</v>
      </c>
      <c r="AK280" s="9">
        <v>6.2903830000000003</v>
      </c>
      <c r="AL280" s="9">
        <v>-75.546594999999996</v>
      </c>
      <c r="AM280" s="26">
        <f t="shared" si="4"/>
        <v>0</v>
      </c>
      <c r="AN280" s="9"/>
    </row>
    <row r="281" spans="1:40" ht="15" x14ac:dyDescent="0.25">
      <c r="A281" s="9" t="s">
        <v>2375</v>
      </c>
      <c r="B281" s="9" t="s">
        <v>2376</v>
      </c>
      <c r="C281" s="9" t="s">
        <v>2377</v>
      </c>
      <c r="D281" s="9" t="s">
        <v>2290</v>
      </c>
      <c r="E281" s="9" t="s">
        <v>36</v>
      </c>
      <c r="F281" s="9" t="s">
        <v>508</v>
      </c>
      <c r="G281" s="9" t="s">
        <v>152</v>
      </c>
      <c r="H281" s="9" t="s">
        <v>153</v>
      </c>
      <c r="I281" s="9" t="s">
        <v>115</v>
      </c>
      <c r="J281" s="9">
        <v>4145</v>
      </c>
      <c r="K281" s="9" t="s">
        <v>2378</v>
      </c>
      <c r="L281" s="9" t="s">
        <v>117</v>
      </c>
      <c r="M281" s="10">
        <v>2.8344907407407409E-2</v>
      </c>
      <c r="N281" s="9" t="s">
        <v>127</v>
      </c>
      <c r="O281" s="9" t="s">
        <v>2379</v>
      </c>
      <c r="P281" s="9" t="s">
        <v>119</v>
      </c>
      <c r="Q281" s="10">
        <v>6.4479166666666671E-2</v>
      </c>
      <c r="R281" s="9" t="s">
        <v>56</v>
      </c>
      <c r="S281" s="10">
        <v>0.21386574074074069</v>
      </c>
      <c r="T281" s="9">
        <v>54.81</v>
      </c>
      <c r="U281" s="9">
        <v>14.22</v>
      </c>
      <c r="V281" s="10">
        <v>0.16062499999999999</v>
      </c>
      <c r="W281" s="10">
        <v>8.0902777777777782E-2</v>
      </c>
      <c r="X281" s="10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 t="s">
        <v>139</v>
      </c>
      <c r="AF281" s="9" t="s">
        <v>2380</v>
      </c>
      <c r="AG281" s="9" t="s">
        <v>2381</v>
      </c>
      <c r="AH281" s="9">
        <v>6.2256580000000001</v>
      </c>
      <c r="AI281" s="9">
        <v>-75.599367999999998</v>
      </c>
      <c r="AJ281" s="9" t="s">
        <v>2382</v>
      </c>
      <c r="AK281" s="9">
        <v>6.2518330000000004</v>
      </c>
      <c r="AL281" s="9">
        <v>-75.551855000000003</v>
      </c>
      <c r="AM281" s="26">
        <f t="shared" si="4"/>
        <v>6.4479166666666671E-2</v>
      </c>
      <c r="AN281" s="9"/>
    </row>
    <row r="282" spans="1:40" ht="15" x14ac:dyDescent="0.25">
      <c r="A282" s="9" t="s">
        <v>2383</v>
      </c>
      <c r="B282" s="9" t="s">
        <v>2384</v>
      </c>
      <c r="C282" s="9" t="s">
        <v>2385</v>
      </c>
      <c r="D282" s="9" t="s">
        <v>2290</v>
      </c>
      <c r="E282" s="9" t="s">
        <v>36</v>
      </c>
      <c r="F282" s="9" t="s">
        <v>508</v>
      </c>
      <c r="G282" s="9" t="s">
        <v>160</v>
      </c>
      <c r="H282" s="9" t="s">
        <v>161</v>
      </c>
      <c r="I282" s="9" t="s">
        <v>115</v>
      </c>
      <c r="J282" s="9">
        <v>6454</v>
      </c>
      <c r="K282" s="9" t="s">
        <v>2386</v>
      </c>
      <c r="L282" s="9" t="s">
        <v>117</v>
      </c>
      <c r="M282" s="10">
        <v>2.240930555555555E-2</v>
      </c>
      <c r="N282" s="9" t="s">
        <v>127</v>
      </c>
      <c r="O282" s="9" t="s">
        <v>2387</v>
      </c>
      <c r="P282" s="9" t="s">
        <v>119</v>
      </c>
      <c r="Q282" s="10">
        <v>6.815231481481482E-3</v>
      </c>
      <c r="R282" s="9" t="s">
        <v>46</v>
      </c>
      <c r="S282" s="10">
        <v>0.27922453703703698</v>
      </c>
      <c r="T282" s="9">
        <v>43.430999999999997</v>
      </c>
      <c r="U282" s="9">
        <v>8.59</v>
      </c>
      <c r="V282" s="10">
        <v>0.21077543981481489</v>
      </c>
      <c r="W282" s="10">
        <v>0.16869194444444449</v>
      </c>
      <c r="X282" s="10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1</v>
      </c>
      <c r="AE282" s="9" t="s">
        <v>139</v>
      </c>
      <c r="AF282" s="9" t="s">
        <v>2388</v>
      </c>
      <c r="AG282" s="9" t="s">
        <v>2389</v>
      </c>
      <c r="AH282" s="9">
        <v>6.2267520000000003</v>
      </c>
      <c r="AI282" s="9">
        <v>-75.599197000000004</v>
      </c>
      <c r="AJ282" s="9" t="s">
        <v>2390</v>
      </c>
      <c r="AK282" s="9">
        <v>6.2685149999999998</v>
      </c>
      <c r="AL282" s="9">
        <v>-75.599338000000003</v>
      </c>
      <c r="AM282" s="26">
        <f t="shared" si="4"/>
        <v>0</v>
      </c>
      <c r="AN282" s="9"/>
    </row>
    <row r="283" spans="1:40" ht="15" x14ac:dyDescent="0.25">
      <c r="A283" s="9" t="s">
        <v>2393</v>
      </c>
      <c r="B283" s="9" t="s">
        <v>2394</v>
      </c>
      <c r="C283" s="9" t="s">
        <v>2395</v>
      </c>
      <c r="D283" s="9" t="s">
        <v>2396</v>
      </c>
      <c r="E283" s="9" t="s">
        <v>36</v>
      </c>
      <c r="F283" s="9" t="s">
        <v>37</v>
      </c>
      <c r="G283" s="9" t="s">
        <v>38</v>
      </c>
      <c r="H283" s="9" t="s">
        <v>39</v>
      </c>
      <c r="I283" s="9" t="s">
        <v>40</v>
      </c>
      <c r="J283" s="9">
        <v>4161</v>
      </c>
      <c r="K283" s="9" t="s">
        <v>2397</v>
      </c>
      <c r="L283" s="9" t="s">
        <v>42</v>
      </c>
      <c r="M283" s="10">
        <v>5.4496655092592598E-2</v>
      </c>
      <c r="N283" s="9" t="s">
        <v>43</v>
      </c>
      <c r="O283" s="9" t="s">
        <v>2398</v>
      </c>
      <c r="P283" s="9" t="s">
        <v>45</v>
      </c>
      <c r="Q283" s="10">
        <v>2.1406736111111109E-2</v>
      </c>
      <c r="R283" s="9" t="s">
        <v>56</v>
      </c>
      <c r="S283" s="10">
        <v>0.25742994212962961</v>
      </c>
      <c r="T283" s="9">
        <v>31.876999999999999</v>
      </c>
      <c r="U283" s="9">
        <v>9.56</v>
      </c>
      <c r="V283" s="10">
        <v>0.1388731828703704</v>
      </c>
      <c r="W283" s="10">
        <v>9.7388356481481475E-2</v>
      </c>
      <c r="X283" s="10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4</v>
      </c>
      <c r="AE283" s="9" t="s">
        <v>57</v>
      </c>
      <c r="AF283" s="9" t="s">
        <v>2399</v>
      </c>
      <c r="AG283" s="9" t="s">
        <v>2400</v>
      </c>
      <c r="AH283" s="9">
        <v>6.255719</v>
      </c>
      <c r="AI283" s="9">
        <v>-75.613168000000002</v>
      </c>
      <c r="AJ283" s="9" t="s">
        <v>2401</v>
      </c>
      <c r="AK283" s="9">
        <v>6.2314629999999998</v>
      </c>
      <c r="AL283" s="9">
        <v>-75.596321000000003</v>
      </c>
      <c r="AM283" s="26">
        <f t="shared" si="4"/>
        <v>7.5903391203703707E-2</v>
      </c>
      <c r="AN283" s="9" t="s">
        <v>2465</v>
      </c>
    </row>
    <row r="284" spans="1:40" ht="15" x14ac:dyDescent="0.25">
      <c r="A284" s="9" t="s">
        <v>2402</v>
      </c>
      <c r="B284" s="9" t="s">
        <v>2403</v>
      </c>
      <c r="C284" s="9" t="s">
        <v>2404</v>
      </c>
      <c r="D284" s="9" t="s">
        <v>2396</v>
      </c>
      <c r="E284" s="9" t="s">
        <v>36</v>
      </c>
      <c r="F284" s="9" t="s">
        <v>37</v>
      </c>
      <c r="G284" s="9" t="s">
        <v>52</v>
      </c>
      <c r="H284" s="9" t="s">
        <v>53</v>
      </c>
      <c r="I284" s="9" t="s">
        <v>40</v>
      </c>
      <c r="J284" s="9">
        <v>3063</v>
      </c>
      <c r="K284" s="9" t="s">
        <v>2405</v>
      </c>
      <c r="L284" s="9" t="s">
        <v>42</v>
      </c>
      <c r="M284" s="10">
        <v>1.1064814814814821E-2</v>
      </c>
      <c r="N284" s="9" t="s">
        <v>127</v>
      </c>
      <c r="O284" s="9" t="s">
        <v>2406</v>
      </c>
      <c r="P284" s="9" t="s">
        <v>45</v>
      </c>
      <c r="Q284" s="10">
        <v>7.0601851851851847E-4</v>
      </c>
      <c r="R284" s="9" t="s">
        <v>46</v>
      </c>
      <c r="S284" s="10">
        <v>0.34510416666666671</v>
      </c>
      <c r="T284" s="9">
        <v>37.972999999999999</v>
      </c>
      <c r="U284" s="9">
        <v>7.66</v>
      </c>
      <c r="V284" s="10">
        <v>0.2064583333333333</v>
      </c>
      <c r="W284" s="10">
        <v>0.1340625</v>
      </c>
      <c r="X284" s="10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1</v>
      </c>
      <c r="AE284" s="9" t="s">
        <v>139</v>
      </c>
      <c r="AF284" s="9" t="s">
        <v>2407</v>
      </c>
      <c r="AG284" s="9" t="s">
        <v>2408</v>
      </c>
      <c r="AH284" s="9">
        <v>6.2257550000000004</v>
      </c>
      <c r="AI284" s="9">
        <v>-75.599535000000003</v>
      </c>
      <c r="AJ284" s="9" t="s">
        <v>2409</v>
      </c>
      <c r="AK284" s="9">
        <v>6.247738</v>
      </c>
      <c r="AL284" s="9">
        <v>-75.614966999999993</v>
      </c>
      <c r="AM284" s="26">
        <f t="shared" si="4"/>
        <v>0</v>
      </c>
      <c r="AN284" s="9"/>
    </row>
    <row r="285" spans="1:40" ht="15" x14ac:dyDescent="0.25">
      <c r="A285" s="9" t="s">
        <v>2410</v>
      </c>
      <c r="B285" s="9" t="s">
        <v>2411</v>
      </c>
      <c r="C285" s="9" t="s">
        <v>2412</v>
      </c>
      <c r="D285" s="9" t="s">
        <v>2396</v>
      </c>
      <c r="E285" s="9" t="s">
        <v>36</v>
      </c>
      <c r="F285" s="9" t="s">
        <v>37</v>
      </c>
      <c r="G285" s="9" t="s">
        <v>113</v>
      </c>
      <c r="H285" s="9" t="s">
        <v>114</v>
      </c>
      <c r="I285" s="9" t="s">
        <v>40</v>
      </c>
      <c r="J285" s="9">
        <v>2948</v>
      </c>
      <c r="K285" s="9" t="s">
        <v>2413</v>
      </c>
      <c r="L285" s="9" t="s">
        <v>42</v>
      </c>
      <c r="M285" s="10">
        <v>6.9212962962962961E-3</v>
      </c>
      <c r="N285" s="9" t="s">
        <v>65</v>
      </c>
      <c r="O285" s="9" t="s">
        <v>2414</v>
      </c>
      <c r="P285" s="9" t="s">
        <v>45</v>
      </c>
      <c r="Q285" s="10">
        <v>2.840277777777778E-2</v>
      </c>
      <c r="R285" s="9" t="s">
        <v>56</v>
      </c>
      <c r="S285" s="10">
        <v>0.29800925925925931</v>
      </c>
      <c r="T285" s="9">
        <v>39.036999999999999</v>
      </c>
      <c r="U285" s="9">
        <v>5.84</v>
      </c>
      <c r="V285" s="10">
        <v>0.27840277777777778</v>
      </c>
      <c r="W285" s="10">
        <v>0.2053703703703704</v>
      </c>
      <c r="X285" s="10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3</v>
      </c>
      <c r="AE285" s="9" t="s">
        <v>67</v>
      </c>
      <c r="AF285" s="9" t="s">
        <v>2415</v>
      </c>
      <c r="AG285" s="9" t="s">
        <v>2416</v>
      </c>
      <c r="AH285" s="9">
        <v>6.2382249999999999</v>
      </c>
      <c r="AI285" s="9">
        <v>-75.603070000000002</v>
      </c>
      <c r="AJ285" s="9" t="s">
        <v>2417</v>
      </c>
      <c r="AK285" s="9">
        <v>6.2387769999999998</v>
      </c>
      <c r="AL285" s="9">
        <v>-75.603745000000004</v>
      </c>
      <c r="AM285" s="26">
        <f t="shared" si="4"/>
        <v>2.840277777777778E-2</v>
      </c>
      <c r="AN285" s="9"/>
    </row>
    <row r="286" spans="1:40" ht="15" x14ac:dyDescent="0.25">
      <c r="A286" s="9" t="s">
        <v>2418</v>
      </c>
      <c r="B286" s="9" t="s">
        <v>2419</v>
      </c>
      <c r="C286" s="9" t="s">
        <v>2420</v>
      </c>
      <c r="D286" s="9" t="s">
        <v>2396</v>
      </c>
      <c r="E286" s="9" t="s">
        <v>36</v>
      </c>
      <c r="F286" s="9" t="s">
        <v>37</v>
      </c>
      <c r="G286" s="9" t="s">
        <v>62</v>
      </c>
      <c r="H286" s="9" t="s">
        <v>63</v>
      </c>
      <c r="I286" s="9" t="s">
        <v>40</v>
      </c>
      <c r="J286" s="9">
        <v>2091</v>
      </c>
      <c r="K286" s="9" t="s">
        <v>2421</v>
      </c>
      <c r="L286" s="9" t="s">
        <v>42</v>
      </c>
      <c r="M286" s="10">
        <v>3.2523148148148151E-3</v>
      </c>
      <c r="N286" s="9" t="s">
        <v>65</v>
      </c>
      <c r="O286" s="9" t="s">
        <v>2422</v>
      </c>
      <c r="P286" s="9" t="s">
        <v>45</v>
      </c>
      <c r="Q286" s="10">
        <v>0.1107638888888889</v>
      </c>
      <c r="R286" s="9" t="s">
        <v>56</v>
      </c>
      <c r="S286" s="10">
        <v>0.2193171296296296</v>
      </c>
      <c r="T286" s="9">
        <v>26.798999999999999</v>
      </c>
      <c r="U286" s="9">
        <v>10.14</v>
      </c>
      <c r="V286" s="10">
        <v>0.1100694444444444</v>
      </c>
      <c r="W286" s="10">
        <v>6.7951388888888895E-2</v>
      </c>
      <c r="X286" s="10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 t="s">
        <v>67</v>
      </c>
      <c r="AF286" s="9" t="s">
        <v>2423</v>
      </c>
      <c r="AG286" s="9" t="s">
        <v>2424</v>
      </c>
      <c r="AH286" s="9">
        <v>6.2259209999999996</v>
      </c>
      <c r="AI286" s="9">
        <v>-75.599410000000006</v>
      </c>
      <c r="AJ286" s="9" t="s">
        <v>2425</v>
      </c>
      <c r="AK286" s="9">
        <v>6.308389</v>
      </c>
      <c r="AL286" s="9">
        <v>-75.571085999999994</v>
      </c>
      <c r="AM286" s="26">
        <f t="shared" si="4"/>
        <v>0.1107638888888889</v>
      </c>
      <c r="AN286" s="9"/>
    </row>
    <row r="287" spans="1:40" ht="15" x14ac:dyDescent="0.25">
      <c r="A287" s="9" t="s">
        <v>2426</v>
      </c>
      <c r="B287" s="9" t="s">
        <v>2427</v>
      </c>
      <c r="C287" s="9" t="s">
        <v>2428</v>
      </c>
      <c r="D287" s="9" t="s">
        <v>2396</v>
      </c>
      <c r="E287" s="9" t="s">
        <v>36</v>
      </c>
      <c r="F287" s="9" t="s">
        <v>37</v>
      </c>
      <c r="G287" s="9" t="s">
        <v>72</v>
      </c>
      <c r="H287" s="9" t="s">
        <v>73</v>
      </c>
      <c r="I287" s="9" t="s">
        <v>40</v>
      </c>
      <c r="J287" s="9">
        <v>1780</v>
      </c>
      <c r="K287" s="9" t="s">
        <v>2429</v>
      </c>
      <c r="L287" s="9" t="s">
        <v>42</v>
      </c>
      <c r="M287" s="10">
        <v>9.3287037037037036E-3</v>
      </c>
      <c r="N287" s="9" t="s">
        <v>65</v>
      </c>
      <c r="O287" s="9" t="s">
        <v>2430</v>
      </c>
      <c r="P287" s="9" t="s">
        <v>45</v>
      </c>
      <c r="Q287" s="10">
        <v>0.13415509259259259</v>
      </c>
      <c r="R287" s="9" t="s">
        <v>56</v>
      </c>
      <c r="S287" s="10">
        <v>0.189849537037037</v>
      </c>
      <c r="T287" s="9">
        <v>23.821999999999999</v>
      </c>
      <c r="U287" s="9">
        <v>8.61</v>
      </c>
      <c r="V287" s="10">
        <v>0.1153356481481481</v>
      </c>
      <c r="W287" s="10">
        <v>7.7442129629629625E-2</v>
      </c>
      <c r="X287" s="10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1</v>
      </c>
      <c r="AE287" s="9" t="s">
        <v>67</v>
      </c>
      <c r="AF287" s="9" t="s">
        <v>2431</v>
      </c>
      <c r="AG287" s="9" t="s">
        <v>2432</v>
      </c>
      <c r="AH287" s="9">
        <v>6.225841</v>
      </c>
      <c r="AI287" s="9">
        <v>-75.599694</v>
      </c>
      <c r="AJ287" s="9" t="s">
        <v>2433</v>
      </c>
      <c r="AK287" s="9">
        <v>6.2370450000000002</v>
      </c>
      <c r="AL287" s="9">
        <v>-75.558818000000002</v>
      </c>
      <c r="AM287" s="26">
        <f t="shared" si="4"/>
        <v>0.13415509259259259</v>
      </c>
      <c r="AN287" s="9"/>
    </row>
    <row r="288" spans="1:40" ht="15" x14ac:dyDescent="0.25">
      <c r="A288" s="9" t="s">
        <v>2434</v>
      </c>
      <c r="B288" s="9" t="s">
        <v>2435</v>
      </c>
      <c r="C288" s="9" t="s">
        <v>2436</v>
      </c>
      <c r="D288" s="9" t="s">
        <v>2396</v>
      </c>
      <c r="E288" s="9" t="s">
        <v>36</v>
      </c>
      <c r="F288" s="9" t="s">
        <v>37</v>
      </c>
      <c r="G288" s="9" t="s">
        <v>80</v>
      </c>
      <c r="H288" s="9" t="s">
        <v>81</v>
      </c>
      <c r="I288" s="9" t="s">
        <v>40</v>
      </c>
      <c r="J288" s="9">
        <v>4160</v>
      </c>
      <c r="K288" s="9" t="s">
        <v>2437</v>
      </c>
      <c r="L288" s="9" t="s">
        <v>42</v>
      </c>
      <c r="M288" s="10">
        <v>3.8117581018518518E-2</v>
      </c>
      <c r="N288" s="9" t="s">
        <v>43</v>
      </c>
      <c r="O288" s="9" t="s">
        <v>2438</v>
      </c>
      <c r="P288" s="9" t="s">
        <v>45</v>
      </c>
      <c r="Q288" s="10">
        <v>1.1005474537037039E-2</v>
      </c>
      <c r="R288" s="9" t="s">
        <v>56</v>
      </c>
      <c r="S288" s="10">
        <v>0.2842102777777778</v>
      </c>
      <c r="T288" s="9">
        <v>24.449000000000002</v>
      </c>
      <c r="U288" s="9">
        <v>18.23</v>
      </c>
      <c r="V288" s="10">
        <v>5.587763888888881E-2</v>
      </c>
      <c r="W288" s="10">
        <v>3.2076886574074058E-2</v>
      </c>
      <c r="X288" s="10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9</v>
      </c>
      <c r="AE288" s="9" t="s">
        <v>57</v>
      </c>
      <c r="AF288" s="9" t="s">
        <v>2439</v>
      </c>
      <c r="AG288" s="9" t="s">
        <v>2440</v>
      </c>
      <c r="AH288" s="9">
        <v>6.2256619999999998</v>
      </c>
      <c r="AI288" s="9">
        <v>-75.599446</v>
      </c>
      <c r="AJ288" s="9" t="s">
        <v>2441</v>
      </c>
      <c r="AK288" s="9">
        <v>6.2469029999999997</v>
      </c>
      <c r="AL288" s="9">
        <v>-75.554122000000007</v>
      </c>
      <c r="AM288" s="26">
        <f t="shared" si="4"/>
        <v>4.9123055555555559E-2</v>
      </c>
      <c r="AN288" s="9"/>
    </row>
    <row r="289" spans="1:40" ht="15" x14ac:dyDescent="0.25">
      <c r="A289" s="9" t="s">
        <v>2442</v>
      </c>
      <c r="B289" s="9" t="s">
        <v>2443</v>
      </c>
      <c r="C289" s="9" t="s">
        <v>2444</v>
      </c>
      <c r="D289" s="9" t="s">
        <v>2396</v>
      </c>
      <c r="E289" s="9" t="s">
        <v>36</v>
      </c>
      <c r="F289" s="9" t="s">
        <v>37</v>
      </c>
      <c r="G289" s="9" t="s">
        <v>89</v>
      </c>
      <c r="H289" s="9" t="s">
        <v>90</v>
      </c>
      <c r="I289" s="9" t="s">
        <v>40</v>
      </c>
      <c r="J289" s="9">
        <v>3459</v>
      </c>
      <c r="K289" s="9" t="s">
        <v>2445</v>
      </c>
      <c r="L289" s="9" t="s">
        <v>42</v>
      </c>
      <c r="M289" s="10">
        <v>1.3194444444444441E-3</v>
      </c>
      <c r="N289" s="9" t="s">
        <v>65</v>
      </c>
      <c r="O289" s="9" t="s">
        <v>2446</v>
      </c>
      <c r="P289" s="9" t="s">
        <v>45</v>
      </c>
      <c r="Q289" s="10">
        <v>3.3217592592592591E-3</v>
      </c>
      <c r="R289" s="9" t="s">
        <v>46</v>
      </c>
      <c r="S289" s="10">
        <v>0.33797453703703711</v>
      </c>
      <c r="T289" s="9">
        <v>46.457000000000001</v>
      </c>
      <c r="U289" s="9">
        <v>6.24</v>
      </c>
      <c r="V289" s="10">
        <v>0.30996527777777783</v>
      </c>
      <c r="W289" s="10">
        <v>0.22189814814814809</v>
      </c>
      <c r="X289" s="10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4</v>
      </c>
      <c r="AE289" s="9" t="s">
        <v>84</v>
      </c>
      <c r="AF289" s="9" t="s">
        <v>1602</v>
      </c>
      <c r="AG289" s="9" t="s">
        <v>2447</v>
      </c>
      <c r="AH289" s="9">
        <v>6.2266269999999997</v>
      </c>
      <c r="AI289" s="9">
        <v>-75.599292000000005</v>
      </c>
      <c r="AJ289" s="9" t="s">
        <v>2448</v>
      </c>
      <c r="AK289" s="9">
        <v>6.2788810000000002</v>
      </c>
      <c r="AL289" s="9">
        <v>-75.569232</v>
      </c>
      <c r="AM289" s="26">
        <f t="shared" si="4"/>
        <v>0</v>
      </c>
      <c r="AN289" s="9"/>
    </row>
    <row r="290" spans="1:40" ht="15" x14ac:dyDescent="0.25">
      <c r="A290" s="9" t="s">
        <v>2449</v>
      </c>
      <c r="B290" s="9" t="s">
        <v>2450</v>
      </c>
      <c r="C290" s="9" t="s">
        <v>2451</v>
      </c>
      <c r="D290" s="9" t="s">
        <v>2396</v>
      </c>
      <c r="E290" s="9" t="s">
        <v>36</v>
      </c>
      <c r="F290" s="9" t="s">
        <v>37</v>
      </c>
      <c r="G290" s="9" t="s">
        <v>97</v>
      </c>
      <c r="H290" s="9" t="s">
        <v>98</v>
      </c>
      <c r="I290" s="9" t="s">
        <v>40</v>
      </c>
      <c r="J290" s="9">
        <v>2458</v>
      </c>
      <c r="K290" s="9" t="s">
        <v>2452</v>
      </c>
      <c r="L290" s="9" t="s">
        <v>42</v>
      </c>
      <c r="M290" s="10">
        <v>6.7476851851851864E-3</v>
      </c>
      <c r="N290" s="9" t="s">
        <v>65</v>
      </c>
      <c r="O290" s="9" t="s">
        <v>2453</v>
      </c>
      <c r="P290" s="9" t="s">
        <v>45</v>
      </c>
      <c r="Q290" s="10">
        <v>2.1076388888888891E-2</v>
      </c>
      <c r="R290" s="9" t="s">
        <v>56</v>
      </c>
      <c r="S290" s="10">
        <v>0.30550925925925931</v>
      </c>
      <c r="T290" s="9">
        <v>31.143000000000001</v>
      </c>
      <c r="U290" s="9">
        <v>9.49</v>
      </c>
      <c r="V290" s="10">
        <v>0.13670138888888889</v>
      </c>
      <c r="W290" s="10">
        <v>8.1828703703703709E-2</v>
      </c>
      <c r="X290" s="10">
        <v>5.5439814814814813E-3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 t="s">
        <v>67</v>
      </c>
      <c r="AF290" s="9" t="s">
        <v>2454</v>
      </c>
      <c r="AG290" s="9" t="s">
        <v>2455</v>
      </c>
      <c r="AH290" s="9">
        <v>6.2258290000000001</v>
      </c>
      <c r="AI290" s="9">
        <v>-75.599388000000005</v>
      </c>
      <c r="AJ290" s="9" t="s">
        <v>2456</v>
      </c>
      <c r="AK290" s="9">
        <v>6.30783</v>
      </c>
      <c r="AL290" s="9">
        <v>-75.577472</v>
      </c>
      <c r="AM290" s="26">
        <f t="shared" si="4"/>
        <v>2.1076388888888891E-2</v>
      </c>
      <c r="AN290" s="9"/>
    </row>
    <row r="291" spans="1:40" ht="15" x14ac:dyDescent="0.25">
      <c r="A291" s="9" t="s">
        <v>2457</v>
      </c>
      <c r="B291" s="9" t="s">
        <v>2458</v>
      </c>
      <c r="C291" s="9" t="s">
        <v>2459</v>
      </c>
      <c r="D291" s="9" t="s">
        <v>2396</v>
      </c>
      <c r="E291" s="9" t="s">
        <v>36</v>
      </c>
      <c r="F291" s="9" t="s">
        <v>37</v>
      </c>
      <c r="G291" s="9" t="s">
        <v>105</v>
      </c>
      <c r="H291" s="9" t="s">
        <v>106</v>
      </c>
      <c r="I291" s="9" t="s">
        <v>40</v>
      </c>
      <c r="J291" s="9">
        <v>5114</v>
      </c>
      <c r="K291" s="9" t="s">
        <v>2460</v>
      </c>
      <c r="L291" s="9" t="s">
        <v>42</v>
      </c>
      <c r="M291" s="10">
        <v>1.133101851851852E-2</v>
      </c>
      <c r="N291" s="9" t="s">
        <v>43</v>
      </c>
      <c r="O291" s="9" t="s">
        <v>2461</v>
      </c>
      <c r="P291" s="9" t="s">
        <v>45</v>
      </c>
      <c r="Q291" s="10">
        <v>5.0671296296296298E-2</v>
      </c>
      <c r="R291" s="9" t="s">
        <v>56</v>
      </c>
      <c r="S291" s="10">
        <v>0.27133101851851849</v>
      </c>
      <c r="T291" s="9">
        <v>67.613</v>
      </c>
      <c r="U291" s="9">
        <v>16.8</v>
      </c>
      <c r="V291" s="10">
        <v>0.16769675925925931</v>
      </c>
      <c r="W291" s="10">
        <v>5.5925925925925928E-2</v>
      </c>
      <c r="X291" s="10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 t="s">
        <v>57</v>
      </c>
      <c r="AF291" s="9" t="s">
        <v>2462</v>
      </c>
      <c r="AG291" s="9" t="s">
        <v>2463</v>
      </c>
      <c r="AH291" s="9">
        <v>6.2257850000000001</v>
      </c>
      <c r="AI291" s="9">
        <v>-75.598634000000004</v>
      </c>
      <c r="AJ291" s="9" t="s">
        <v>2464</v>
      </c>
      <c r="AK291" s="9">
        <v>6.2600230000000003</v>
      </c>
      <c r="AL291" s="9">
        <v>-75.621120000000005</v>
      </c>
      <c r="AM291" s="26">
        <f t="shared" si="4"/>
        <v>6.2002314814814816E-2</v>
      </c>
      <c r="AN291" s="9"/>
    </row>
    <row r="292" spans="1:40" ht="15" x14ac:dyDescent="0.25">
      <c r="A292" s="9" t="s">
        <v>2466</v>
      </c>
      <c r="B292" s="9" t="s">
        <v>2467</v>
      </c>
      <c r="C292" s="9" t="s">
        <v>2468</v>
      </c>
      <c r="D292" s="9" t="s">
        <v>2396</v>
      </c>
      <c r="E292" s="9" t="s">
        <v>36</v>
      </c>
      <c r="F292" s="9" t="s">
        <v>37</v>
      </c>
      <c r="G292" s="9" t="s">
        <v>124</v>
      </c>
      <c r="H292" s="9" t="s">
        <v>125</v>
      </c>
      <c r="I292" s="9" t="s">
        <v>115</v>
      </c>
      <c r="J292" s="9">
        <v>3670</v>
      </c>
      <c r="K292" s="9" t="s">
        <v>2469</v>
      </c>
      <c r="L292" s="9" t="s">
        <v>117</v>
      </c>
      <c r="M292" s="10">
        <v>1.6168981481481479E-2</v>
      </c>
      <c r="N292" s="9" t="s">
        <v>127</v>
      </c>
      <c r="O292" s="9" t="s">
        <v>2470</v>
      </c>
      <c r="P292" s="9" t="s">
        <v>119</v>
      </c>
      <c r="Q292" s="10">
        <v>1.402777777777778E-2</v>
      </c>
      <c r="R292" s="9" t="s">
        <v>129</v>
      </c>
      <c r="S292" s="10">
        <v>0.28019675925925919</v>
      </c>
      <c r="T292" s="9">
        <v>47.732999999999997</v>
      </c>
      <c r="U292" s="9">
        <v>9.25</v>
      </c>
      <c r="V292" s="10">
        <v>0.21511574074074069</v>
      </c>
      <c r="W292" s="10">
        <v>0.14226851851851849</v>
      </c>
      <c r="X292" s="10">
        <v>1.1539351851851849E-2</v>
      </c>
      <c r="Y292" s="9">
        <v>1</v>
      </c>
      <c r="Z292" s="9">
        <v>1</v>
      </c>
      <c r="AA292" s="9">
        <v>0</v>
      </c>
      <c r="AB292" s="9">
        <v>0</v>
      </c>
      <c r="AC292" s="9">
        <v>0</v>
      </c>
      <c r="AD292" s="9">
        <v>1</v>
      </c>
      <c r="AE292" s="9" t="s">
        <v>130</v>
      </c>
      <c r="AF292" s="9" t="s">
        <v>2471</v>
      </c>
      <c r="AG292" s="9" t="s">
        <v>2472</v>
      </c>
      <c r="AH292" s="9">
        <v>6.2266050000000002</v>
      </c>
      <c r="AI292" s="9">
        <v>-75.599282000000002</v>
      </c>
      <c r="AJ292" s="9" t="s">
        <v>2473</v>
      </c>
      <c r="AK292" s="9">
        <v>6.2726499999999996</v>
      </c>
      <c r="AL292" s="9">
        <v>-75.601763000000005</v>
      </c>
      <c r="AM292" s="26">
        <f t="shared" si="4"/>
        <v>0</v>
      </c>
      <c r="AN292" s="9"/>
    </row>
    <row r="293" spans="1:40" ht="15" x14ac:dyDescent="0.25">
      <c r="A293" s="9" t="s">
        <v>2474</v>
      </c>
      <c r="B293" s="9" t="s">
        <v>2475</v>
      </c>
      <c r="C293" s="9" t="s">
        <v>2476</v>
      </c>
      <c r="D293" s="9" t="s">
        <v>2396</v>
      </c>
      <c r="E293" s="9" t="s">
        <v>36</v>
      </c>
      <c r="F293" s="9" t="s">
        <v>37</v>
      </c>
      <c r="G293" s="9" t="s">
        <v>135</v>
      </c>
      <c r="H293" s="9" t="s">
        <v>136</v>
      </c>
      <c r="I293" s="9" t="s">
        <v>115</v>
      </c>
      <c r="J293" s="9">
        <v>1820</v>
      </c>
      <c r="K293" s="9" t="s">
        <v>2477</v>
      </c>
      <c r="L293" s="9" t="s">
        <v>117</v>
      </c>
      <c r="M293" s="10">
        <v>4.9212962962962972E-2</v>
      </c>
      <c r="N293" s="9" t="s">
        <v>127</v>
      </c>
      <c r="O293" s="9" t="s">
        <v>2478</v>
      </c>
      <c r="P293" s="9" t="s">
        <v>119</v>
      </c>
      <c r="Q293" s="10">
        <v>5.6944444444444447E-3</v>
      </c>
      <c r="R293" s="9" t="s">
        <v>46</v>
      </c>
      <c r="S293" s="10">
        <v>0.29351851851851851</v>
      </c>
      <c r="T293" s="9">
        <v>29.579000000000001</v>
      </c>
      <c r="U293" s="9">
        <v>13.31</v>
      </c>
      <c r="V293" s="10">
        <v>9.256944444444444E-2</v>
      </c>
      <c r="W293" s="10">
        <v>5.451388888888889E-2</v>
      </c>
      <c r="X293" s="10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7</v>
      </c>
      <c r="AE293" s="9" t="s">
        <v>139</v>
      </c>
      <c r="AF293" s="9" t="s">
        <v>2479</v>
      </c>
      <c r="AG293" s="9" t="s">
        <v>2480</v>
      </c>
      <c r="AH293" s="9">
        <v>6.2255729999999998</v>
      </c>
      <c r="AI293" s="9">
        <v>-75.599451999999999</v>
      </c>
      <c r="AJ293" s="9" t="s">
        <v>2481</v>
      </c>
      <c r="AK293" s="9">
        <v>6.2761139999999997</v>
      </c>
      <c r="AL293" s="9">
        <v>-75.572663000000006</v>
      </c>
      <c r="AM293" s="26">
        <f t="shared" si="4"/>
        <v>0</v>
      </c>
      <c r="AN293" s="9"/>
    </row>
    <row r="294" spans="1:40" ht="15" x14ac:dyDescent="0.25">
      <c r="A294" s="9" t="s">
        <v>2482</v>
      </c>
      <c r="B294" s="9" t="s">
        <v>2483</v>
      </c>
      <c r="C294" s="9" t="s">
        <v>2484</v>
      </c>
      <c r="D294" s="9" t="s">
        <v>2396</v>
      </c>
      <c r="E294" s="9" t="s">
        <v>36</v>
      </c>
      <c r="F294" s="9" t="s">
        <v>37</v>
      </c>
      <c r="G294" s="9" t="s">
        <v>144</v>
      </c>
      <c r="H294" s="9" t="s">
        <v>145</v>
      </c>
      <c r="I294" s="9" t="s">
        <v>115</v>
      </c>
      <c r="J294" s="9">
        <v>3767</v>
      </c>
      <c r="K294" s="9" t="s">
        <v>2485</v>
      </c>
      <c r="L294" s="9" t="s">
        <v>117</v>
      </c>
      <c r="M294" s="10">
        <v>1.9143518518518522E-2</v>
      </c>
      <c r="N294" s="9" t="s">
        <v>127</v>
      </c>
      <c r="O294" s="9" t="s">
        <v>2486</v>
      </c>
      <c r="P294" s="9" t="s">
        <v>119</v>
      </c>
      <c r="Q294" s="10">
        <v>2.2337962962962958E-3</v>
      </c>
      <c r="R294" s="9" t="s">
        <v>46</v>
      </c>
      <c r="S294" s="10">
        <v>0.2669097222222222</v>
      </c>
      <c r="T294" s="9">
        <v>50.171999999999997</v>
      </c>
      <c r="U294" s="9">
        <v>12.08</v>
      </c>
      <c r="V294" s="10">
        <v>0.17307870370370371</v>
      </c>
      <c r="W294" s="10">
        <v>8.9861111111111114E-2</v>
      </c>
      <c r="X294" s="10">
        <v>8.6458333333333335E-3</v>
      </c>
      <c r="Y294" s="9">
        <v>1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 t="s">
        <v>139</v>
      </c>
      <c r="AF294" s="9" t="s">
        <v>2487</v>
      </c>
      <c r="AG294" s="9" t="s">
        <v>2488</v>
      </c>
      <c r="AH294" s="9">
        <v>6.22682</v>
      </c>
      <c r="AI294" s="9">
        <v>-75.599361000000002</v>
      </c>
      <c r="AJ294" s="9" t="s">
        <v>2489</v>
      </c>
      <c r="AK294" s="9">
        <v>6.2903929999999999</v>
      </c>
      <c r="AL294" s="9">
        <v>-75.546638000000002</v>
      </c>
      <c r="AM294" s="26">
        <f t="shared" si="4"/>
        <v>0</v>
      </c>
      <c r="AN294" s="9"/>
    </row>
    <row r="295" spans="1:40" ht="15" x14ac:dyDescent="0.25">
      <c r="A295" s="9" t="s">
        <v>2490</v>
      </c>
      <c r="B295" s="9" t="s">
        <v>2491</v>
      </c>
      <c r="C295" s="9" t="s">
        <v>2492</v>
      </c>
      <c r="D295" s="9" t="s">
        <v>2396</v>
      </c>
      <c r="E295" s="9" t="s">
        <v>36</v>
      </c>
      <c r="F295" s="9" t="s">
        <v>37</v>
      </c>
      <c r="G295" s="9" t="s">
        <v>152</v>
      </c>
      <c r="H295" s="9" t="s">
        <v>153</v>
      </c>
      <c r="I295" s="9" t="s">
        <v>115</v>
      </c>
      <c r="J295" s="9">
        <v>3530</v>
      </c>
      <c r="K295" s="9" t="s">
        <v>2493</v>
      </c>
      <c r="L295" s="9" t="s">
        <v>117</v>
      </c>
      <c r="M295" s="10">
        <v>4.6203703703703712E-2</v>
      </c>
      <c r="N295" s="9" t="s">
        <v>127</v>
      </c>
      <c r="O295" s="9" t="s">
        <v>2494</v>
      </c>
      <c r="P295" s="9" t="s">
        <v>119</v>
      </c>
      <c r="Q295" s="10">
        <v>0.1083564814814815</v>
      </c>
      <c r="R295" s="9" t="s">
        <v>56</v>
      </c>
      <c r="S295" s="10">
        <v>0.18784722222222219</v>
      </c>
      <c r="T295" s="9">
        <v>46.927</v>
      </c>
      <c r="U295" s="9">
        <v>11.72</v>
      </c>
      <c r="V295" s="10">
        <v>0.1668402777777778</v>
      </c>
      <c r="W295" s="10">
        <v>8.4050925925925932E-2</v>
      </c>
      <c r="X295" s="10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1</v>
      </c>
      <c r="AE295" s="9" t="s">
        <v>139</v>
      </c>
      <c r="AF295" s="9" t="s">
        <v>2495</v>
      </c>
      <c r="AG295" s="9" t="s">
        <v>2496</v>
      </c>
      <c r="AH295" s="9">
        <v>6.225657</v>
      </c>
      <c r="AI295" s="9">
        <v>-75.599422000000004</v>
      </c>
      <c r="AJ295" s="9" t="s">
        <v>2497</v>
      </c>
      <c r="AK295" s="9">
        <v>6.2518250000000002</v>
      </c>
      <c r="AL295" s="9">
        <v>-75.551900000000003</v>
      </c>
      <c r="AM295" s="26">
        <f t="shared" si="4"/>
        <v>0.1083564814814815</v>
      </c>
      <c r="AN295" s="9"/>
    </row>
    <row r="296" spans="1:40" ht="15" x14ac:dyDescent="0.25">
      <c r="A296" s="9" t="s">
        <v>2498</v>
      </c>
      <c r="B296" s="9" t="s">
        <v>2499</v>
      </c>
      <c r="C296" s="9" t="s">
        <v>2500</v>
      </c>
      <c r="D296" s="9" t="s">
        <v>2396</v>
      </c>
      <c r="E296" s="9" t="s">
        <v>36</v>
      </c>
      <c r="F296" s="9" t="s">
        <v>37</v>
      </c>
      <c r="G296" s="9" t="s">
        <v>160</v>
      </c>
      <c r="H296" s="9" t="s">
        <v>161</v>
      </c>
      <c r="I296" s="9" t="s">
        <v>115</v>
      </c>
      <c r="J296" s="9">
        <v>6725</v>
      </c>
      <c r="K296" s="9" t="s">
        <v>2501</v>
      </c>
      <c r="L296" s="9" t="s">
        <v>117</v>
      </c>
      <c r="M296" s="10">
        <v>1.545329861111111E-2</v>
      </c>
      <c r="N296" s="9" t="s">
        <v>127</v>
      </c>
      <c r="O296" s="9" t="s">
        <v>2502</v>
      </c>
      <c r="P296" s="9" t="s">
        <v>119</v>
      </c>
      <c r="Q296" s="10">
        <v>3.748078703703704E-3</v>
      </c>
      <c r="R296" s="9" t="s">
        <v>46</v>
      </c>
      <c r="S296" s="10">
        <v>0.2692013773148148</v>
      </c>
      <c r="T296" s="9">
        <v>38.064</v>
      </c>
      <c r="U296" s="9">
        <v>8.99</v>
      </c>
      <c r="V296" s="10">
        <v>0.17641278935185181</v>
      </c>
      <c r="W296" s="10">
        <v>0.1398386458333333</v>
      </c>
      <c r="X296" s="10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5</v>
      </c>
      <c r="AE296" s="9" t="s">
        <v>139</v>
      </c>
      <c r="AF296" s="9" t="s">
        <v>2503</v>
      </c>
      <c r="AG296" s="9" t="s">
        <v>2504</v>
      </c>
      <c r="AH296" s="9">
        <v>6.2273050000000003</v>
      </c>
      <c r="AI296" s="9">
        <v>-75.599289999999996</v>
      </c>
      <c r="AJ296" s="9" t="s">
        <v>2505</v>
      </c>
      <c r="AK296" s="9">
        <v>6.26851</v>
      </c>
      <c r="AL296" s="9">
        <v>-75.599528000000007</v>
      </c>
      <c r="AM296" s="26">
        <f t="shared" si="4"/>
        <v>0</v>
      </c>
      <c r="AN296" s="9"/>
    </row>
    <row r="297" spans="1:40" ht="15" x14ac:dyDescent="0.25">
      <c r="A297" s="9" t="s">
        <v>2506</v>
      </c>
      <c r="B297" s="9" t="s">
        <v>2507</v>
      </c>
      <c r="C297" s="9" t="s">
        <v>2508</v>
      </c>
      <c r="D297" s="9" t="s">
        <v>2509</v>
      </c>
      <c r="E297" s="9" t="s">
        <v>36</v>
      </c>
      <c r="F297" s="9" t="s">
        <v>169</v>
      </c>
      <c r="G297" s="9" t="s">
        <v>38</v>
      </c>
      <c r="H297" s="9" t="s">
        <v>39</v>
      </c>
      <c r="I297" s="9" t="s">
        <v>40</v>
      </c>
      <c r="J297" s="9">
        <v>5005</v>
      </c>
      <c r="K297" s="9" t="s">
        <v>2510</v>
      </c>
      <c r="L297" s="9" t="s">
        <v>42</v>
      </c>
      <c r="M297" s="10">
        <v>5.1577337962962967E-2</v>
      </c>
      <c r="N297" s="9" t="s">
        <v>43</v>
      </c>
      <c r="O297" s="9" t="s">
        <v>2511</v>
      </c>
      <c r="P297" s="9" t="s">
        <v>45</v>
      </c>
      <c r="Q297" s="10">
        <v>1.3672569444444439E-3</v>
      </c>
      <c r="R297" s="9" t="s">
        <v>46</v>
      </c>
      <c r="S297" s="10">
        <v>0.28312325231481478</v>
      </c>
      <c r="T297" s="9">
        <v>39.552999999999997</v>
      </c>
      <c r="U297" s="9">
        <v>34.33</v>
      </c>
      <c r="V297" s="10">
        <v>4.8002847222222277E-2</v>
      </c>
      <c r="W297" s="10">
        <v>8.6759837962962945E-3</v>
      </c>
      <c r="X297" s="10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4</v>
      </c>
      <c r="AE297" s="9" t="s">
        <v>47</v>
      </c>
      <c r="AF297" s="9" t="s">
        <v>2512</v>
      </c>
      <c r="AG297" s="9" t="s">
        <v>2513</v>
      </c>
      <c r="AH297" s="9">
        <v>6.2217380000000002</v>
      </c>
      <c r="AI297" s="9">
        <v>-75.593903999999995</v>
      </c>
      <c r="AJ297" s="9" t="s">
        <v>2514</v>
      </c>
      <c r="AK297" s="9">
        <v>6.2455569999999998</v>
      </c>
      <c r="AL297" s="9">
        <v>-75.583618999999999</v>
      </c>
      <c r="AM297" s="26">
        <f t="shared" si="4"/>
        <v>5.1577337962962967E-2</v>
      </c>
      <c r="AN297" s="9"/>
    </row>
    <row r="298" spans="1:40" ht="15" x14ac:dyDescent="0.25">
      <c r="A298" s="9" t="s">
        <v>2515</v>
      </c>
      <c r="B298" s="9" t="s">
        <v>2516</v>
      </c>
      <c r="C298" s="9" t="s">
        <v>2517</v>
      </c>
      <c r="D298" s="9" t="s">
        <v>2509</v>
      </c>
      <c r="E298" s="9" t="s">
        <v>36</v>
      </c>
      <c r="F298" s="9" t="s">
        <v>169</v>
      </c>
      <c r="G298" s="9" t="s">
        <v>52</v>
      </c>
      <c r="H298" s="9" t="s">
        <v>53</v>
      </c>
      <c r="I298" s="9" t="s">
        <v>40</v>
      </c>
      <c r="J298" s="9">
        <v>2590</v>
      </c>
      <c r="K298" s="9" t="s">
        <v>2518</v>
      </c>
      <c r="L298" s="9" t="s">
        <v>42</v>
      </c>
      <c r="M298" s="10">
        <v>9.3518518518518525E-3</v>
      </c>
      <c r="N298" s="9" t="s">
        <v>65</v>
      </c>
      <c r="O298" s="9" t="s">
        <v>2519</v>
      </c>
      <c r="P298" s="9" t="s">
        <v>45</v>
      </c>
      <c r="Q298" s="10">
        <v>6.3171296296296295E-2</v>
      </c>
      <c r="R298" s="9" t="s">
        <v>129</v>
      </c>
      <c r="S298" s="10">
        <v>0.40585648148148151</v>
      </c>
      <c r="T298" s="9">
        <v>33.085000000000001</v>
      </c>
      <c r="U298" s="9">
        <v>3.92</v>
      </c>
      <c r="V298" s="10">
        <v>0.35123842592592591</v>
      </c>
      <c r="W298" s="10">
        <v>0.27349537037037042</v>
      </c>
      <c r="X298" s="10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5</v>
      </c>
      <c r="AE298" s="9" t="s">
        <v>130</v>
      </c>
      <c r="AF298" s="9" t="s">
        <v>2520</v>
      </c>
      <c r="AG298" s="9" t="s">
        <v>2521</v>
      </c>
      <c r="AH298" s="9">
        <v>6.2256660000000004</v>
      </c>
      <c r="AI298" s="9">
        <v>-75.599402999999995</v>
      </c>
      <c r="AJ298" s="9" t="s">
        <v>2522</v>
      </c>
      <c r="AK298" s="9">
        <v>6.2477580000000001</v>
      </c>
      <c r="AL298" s="9">
        <v>-75.614985000000004</v>
      </c>
      <c r="AM298" s="26">
        <f t="shared" si="4"/>
        <v>0</v>
      </c>
      <c r="AN298" s="9"/>
    </row>
    <row r="299" spans="1:40" ht="15" x14ac:dyDescent="0.25">
      <c r="A299" s="9" t="s">
        <v>2523</v>
      </c>
      <c r="B299" s="9" t="s">
        <v>2524</v>
      </c>
      <c r="C299" s="9" t="s">
        <v>2525</v>
      </c>
      <c r="D299" s="9" t="s">
        <v>2509</v>
      </c>
      <c r="E299" s="9" t="s">
        <v>36</v>
      </c>
      <c r="F299" s="9" t="s">
        <v>169</v>
      </c>
      <c r="G299" s="9" t="s">
        <v>113</v>
      </c>
      <c r="H299" s="9" t="s">
        <v>114</v>
      </c>
      <c r="I299" s="9" t="s">
        <v>40</v>
      </c>
      <c r="J299" s="9">
        <v>4689</v>
      </c>
      <c r="K299" s="9" t="s">
        <v>2526</v>
      </c>
      <c r="L299" s="9" t="s">
        <v>42</v>
      </c>
      <c r="M299" s="10">
        <v>6.5856481481481478E-3</v>
      </c>
      <c r="N299" s="9" t="s">
        <v>65</v>
      </c>
      <c r="O299" s="9" t="s">
        <v>2527</v>
      </c>
      <c r="P299" s="9" t="s">
        <v>45</v>
      </c>
      <c r="Q299" s="10">
        <v>1.3310185185185181E-3</v>
      </c>
      <c r="R299" s="9" t="s">
        <v>46</v>
      </c>
      <c r="S299" s="10">
        <v>0.32807870370370368</v>
      </c>
      <c r="T299" s="9">
        <v>63.694000000000003</v>
      </c>
      <c r="U299" s="9">
        <v>8.93</v>
      </c>
      <c r="V299" s="10">
        <v>0.29726851851851849</v>
      </c>
      <c r="W299" s="10">
        <v>0.1940277777777778</v>
      </c>
      <c r="X299" s="10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2</v>
      </c>
      <c r="AE299" s="9" t="s">
        <v>84</v>
      </c>
      <c r="AF299" s="9" t="s">
        <v>1384</v>
      </c>
      <c r="AG299" s="9" t="s">
        <v>2528</v>
      </c>
      <c r="AH299" s="9">
        <v>6.2255500000000001</v>
      </c>
      <c r="AI299" s="9">
        <v>-75.599417000000003</v>
      </c>
      <c r="AJ299" s="9" t="s">
        <v>2529</v>
      </c>
      <c r="AK299" s="9">
        <v>6.2379579999999999</v>
      </c>
      <c r="AL299" s="9">
        <v>-75.577248999999995</v>
      </c>
      <c r="AM299" s="26">
        <f t="shared" si="4"/>
        <v>0</v>
      </c>
      <c r="AN299" s="9"/>
    </row>
    <row r="300" spans="1:40" ht="15" x14ac:dyDescent="0.25">
      <c r="A300" s="9" t="s">
        <v>2530</v>
      </c>
      <c r="B300" s="9" t="s">
        <v>2531</v>
      </c>
      <c r="C300" s="9" t="s">
        <v>2532</v>
      </c>
      <c r="D300" s="9" t="s">
        <v>2509</v>
      </c>
      <c r="E300" s="9" t="s">
        <v>36</v>
      </c>
      <c r="F300" s="9" t="s">
        <v>169</v>
      </c>
      <c r="G300" s="9" t="s">
        <v>62</v>
      </c>
      <c r="H300" s="9" t="s">
        <v>63</v>
      </c>
      <c r="I300" s="9" t="s">
        <v>40</v>
      </c>
      <c r="J300" s="9">
        <v>1705</v>
      </c>
      <c r="K300" s="9" t="s">
        <v>2533</v>
      </c>
      <c r="L300" s="9" t="s">
        <v>42</v>
      </c>
      <c r="M300" s="10">
        <v>1.216435185185185E-2</v>
      </c>
      <c r="N300" s="9" t="s">
        <v>43</v>
      </c>
      <c r="O300" s="9" t="s">
        <v>2534</v>
      </c>
      <c r="P300" s="9" t="s">
        <v>45</v>
      </c>
      <c r="Q300" s="10">
        <v>9.6585648148148143E-2</v>
      </c>
      <c r="R300" s="9" t="s">
        <v>56</v>
      </c>
      <c r="S300" s="10">
        <v>0.2245833333333333</v>
      </c>
      <c r="T300" s="9">
        <v>21.669</v>
      </c>
      <c r="U300" s="9">
        <v>10.51</v>
      </c>
      <c r="V300" s="10">
        <v>8.5925925925925919E-2</v>
      </c>
      <c r="W300" s="10">
        <v>5.033564814814815E-2</v>
      </c>
      <c r="X300" s="10">
        <v>1.981481481481482E-2</v>
      </c>
      <c r="Y300" s="9">
        <v>1</v>
      </c>
      <c r="Z300" s="9">
        <v>1</v>
      </c>
      <c r="AA300" s="9">
        <v>0</v>
      </c>
      <c r="AB300" s="9">
        <v>0</v>
      </c>
      <c r="AC300" s="9">
        <v>0</v>
      </c>
      <c r="AD300" s="9">
        <v>0</v>
      </c>
      <c r="AE300" s="9" t="s">
        <v>57</v>
      </c>
      <c r="AF300" s="9" t="s">
        <v>2535</v>
      </c>
      <c r="AG300" s="9" t="s">
        <v>2536</v>
      </c>
      <c r="AH300" s="9">
        <v>6.225625</v>
      </c>
      <c r="AI300" s="9">
        <v>-75.599011000000004</v>
      </c>
      <c r="AJ300" s="9" t="s">
        <v>2537</v>
      </c>
      <c r="AK300" s="9">
        <v>6.2977610000000004</v>
      </c>
      <c r="AL300" s="9">
        <v>-75.572980000000001</v>
      </c>
      <c r="AM300" s="26">
        <f t="shared" si="4"/>
        <v>0.10874999999999999</v>
      </c>
      <c r="AN300" s="9"/>
    </row>
    <row r="301" spans="1:40" ht="15" x14ac:dyDescent="0.25">
      <c r="A301" s="9" t="s">
        <v>2538</v>
      </c>
      <c r="B301" s="9" t="s">
        <v>2539</v>
      </c>
      <c r="C301" s="9" t="s">
        <v>2540</v>
      </c>
      <c r="D301" s="9" t="s">
        <v>2509</v>
      </c>
      <c r="E301" s="9" t="s">
        <v>36</v>
      </c>
      <c r="F301" s="9" t="s">
        <v>169</v>
      </c>
      <c r="G301" s="9" t="s">
        <v>72</v>
      </c>
      <c r="H301" s="9" t="s">
        <v>73</v>
      </c>
      <c r="I301" s="9" t="s">
        <v>40</v>
      </c>
      <c r="J301" s="9">
        <v>1555</v>
      </c>
      <c r="K301" s="9" t="s">
        <v>2541</v>
      </c>
      <c r="L301" s="9" t="s">
        <v>42</v>
      </c>
      <c r="M301" s="10">
        <v>3.1712962962962962E-3</v>
      </c>
      <c r="N301" s="9" t="s">
        <v>65</v>
      </c>
      <c r="O301" s="9" t="s">
        <v>2542</v>
      </c>
      <c r="P301" s="9" t="s">
        <v>45</v>
      </c>
      <c r="Q301" s="10">
        <v>0.18982638888888889</v>
      </c>
      <c r="R301" s="9" t="s">
        <v>56</v>
      </c>
      <c r="S301" s="10">
        <v>0.14033564814814811</v>
      </c>
      <c r="T301" s="9">
        <v>21.213000000000001</v>
      </c>
      <c r="U301" s="9">
        <v>6.77</v>
      </c>
      <c r="V301" s="10">
        <v>0.1305324074074074</v>
      </c>
      <c r="W301" s="10">
        <v>0.1002314814814815</v>
      </c>
      <c r="X301" s="10">
        <v>5.9837962962962961E-3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1</v>
      </c>
      <c r="AE301" s="9" t="s">
        <v>67</v>
      </c>
      <c r="AF301" s="9" t="s">
        <v>2543</v>
      </c>
      <c r="AG301" s="9" t="s">
        <v>2544</v>
      </c>
      <c r="AH301" s="9">
        <v>6.2240200000000003</v>
      </c>
      <c r="AI301" s="9">
        <v>-75.601588000000007</v>
      </c>
      <c r="AJ301" s="9" t="s">
        <v>2545</v>
      </c>
      <c r="AK301" s="9">
        <v>6.241441</v>
      </c>
      <c r="AL301" s="9">
        <v>-75.559989999999999</v>
      </c>
      <c r="AM301" s="26">
        <f t="shared" si="4"/>
        <v>0.18982638888888889</v>
      </c>
      <c r="AN301" s="9"/>
    </row>
    <row r="302" spans="1:40" ht="15" x14ac:dyDescent="0.25">
      <c r="A302" s="9" t="s">
        <v>2546</v>
      </c>
      <c r="B302" s="9" t="s">
        <v>2547</v>
      </c>
      <c r="C302" s="9" t="s">
        <v>2548</v>
      </c>
      <c r="D302" s="9" t="s">
        <v>2509</v>
      </c>
      <c r="E302" s="9" t="s">
        <v>36</v>
      </c>
      <c r="F302" s="9" t="s">
        <v>169</v>
      </c>
      <c r="G302" s="9" t="s">
        <v>80</v>
      </c>
      <c r="H302" s="9" t="s">
        <v>81</v>
      </c>
      <c r="I302" s="9" t="s">
        <v>40</v>
      </c>
      <c r="J302" s="9">
        <v>4265</v>
      </c>
      <c r="K302" s="9" t="s">
        <v>2549</v>
      </c>
      <c r="L302" s="9" t="s">
        <v>42</v>
      </c>
      <c r="M302" s="10">
        <v>4.5843865740740741E-3</v>
      </c>
      <c r="N302" s="9" t="s">
        <v>65</v>
      </c>
      <c r="O302" s="9" t="s">
        <v>2550</v>
      </c>
      <c r="P302" s="9" t="s">
        <v>45</v>
      </c>
      <c r="Q302" s="10">
        <v>7.6608796296296299E-4</v>
      </c>
      <c r="R302" s="9" t="s">
        <v>46</v>
      </c>
      <c r="S302" s="10">
        <v>0.32798285879629629</v>
      </c>
      <c r="T302" s="9">
        <v>33.555</v>
      </c>
      <c r="U302" s="9">
        <v>21.06</v>
      </c>
      <c r="V302" s="10">
        <v>6.6391805555555614E-2</v>
      </c>
      <c r="W302" s="10">
        <v>2.978425925925926E-2</v>
      </c>
      <c r="X302" s="10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14</v>
      </c>
      <c r="AE302" s="9" t="s">
        <v>84</v>
      </c>
      <c r="AF302" s="9" t="s">
        <v>1881</v>
      </c>
      <c r="AG302" s="9" t="s">
        <v>2551</v>
      </c>
      <c r="AH302" s="9">
        <v>6.2256619999999998</v>
      </c>
      <c r="AI302" s="9">
        <v>-75.599354000000005</v>
      </c>
      <c r="AJ302" s="9" t="s">
        <v>2552</v>
      </c>
      <c r="AK302" s="9">
        <v>6.2592290000000004</v>
      </c>
      <c r="AL302" s="9">
        <v>-75.62097</v>
      </c>
      <c r="AM302" s="26">
        <f t="shared" si="4"/>
        <v>0</v>
      </c>
      <c r="AN302" s="9"/>
    </row>
    <row r="303" spans="1:40" ht="15" x14ac:dyDescent="0.25">
      <c r="A303" s="9" t="s">
        <v>2553</v>
      </c>
      <c r="B303" s="9" t="s">
        <v>2554</v>
      </c>
      <c r="C303" s="9" t="s">
        <v>2555</v>
      </c>
      <c r="D303" s="9" t="s">
        <v>2509</v>
      </c>
      <c r="E303" s="9" t="s">
        <v>36</v>
      </c>
      <c r="F303" s="9" t="s">
        <v>169</v>
      </c>
      <c r="G303" s="9" t="s">
        <v>97</v>
      </c>
      <c r="H303" s="9" t="s">
        <v>98</v>
      </c>
      <c r="I303" s="9" t="s">
        <v>40</v>
      </c>
      <c r="J303" s="9">
        <v>3586</v>
      </c>
      <c r="K303" s="9" t="s">
        <v>2556</v>
      </c>
      <c r="L303" s="9" t="s">
        <v>42</v>
      </c>
      <c r="M303" s="10">
        <v>3.0902777777777782E-3</v>
      </c>
      <c r="N303" s="9" t="s">
        <v>65</v>
      </c>
      <c r="O303" s="9" t="s">
        <v>2557</v>
      </c>
      <c r="P303" s="9" t="s">
        <v>45</v>
      </c>
      <c r="Q303" s="10">
        <v>3.9583333333333337E-3</v>
      </c>
      <c r="R303" s="9" t="s">
        <v>46</v>
      </c>
      <c r="S303" s="10">
        <v>0.32628472222222221</v>
      </c>
      <c r="T303" s="9">
        <v>47.747999999999998</v>
      </c>
      <c r="U303" s="9">
        <v>11.04</v>
      </c>
      <c r="V303" s="10">
        <v>0.18016203703703701</v>
      </c>
      <c r="W303" s="10">
        <v>0.1007986111111111</v>
      </c>
      <c r="X303" s="10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 t="s">
        <v>84</v>
      </c>
      <c r="AF303" s="9" t="s">
        <v>352</v>
      </c>
      <c r="AG303" s="9" t="s">
        <v>2558</v>
      </c>
      <c r="AH303" s="9">
        <v>6.2255750000000001</v>
      </c>
      <c r="AI303" s="9">
        <v>-75.599417000000003</v>
      </c>
      <c r="AJ303" s="9" t="s">
        <v>2559</v>
      </c>
      <c r="AK303" s="9">
        <v>6.3052210000000004</v>
      </c>
      <c r="AL303" s="9">
        <v>-75.581879000000001</v>
      </c>
      <c r="AM303" s="26">
        <f t="shared" si="4"/>
        <v>0</v>
      </c>
      <c r="AN303" s="9"/>
    </row>
    <row r="304" spans="1:40" ht="15" x14ac:dyDescent="0.25">
      <c r="A304" s="9" t="s">
        <v>2560</v>
      </c>
      <c r="B304" s="9" t="s">
        <v>2561</v>
      </c>
      <c r="C304" s="9" t="s">
        <v>2562</v>
      </c>
      <c r="D304" s="9" t="s">
        <v>2509</v>
      </c>
      <c r="E304" s="9" t="s">
        <v>36</v>
      </c>
      <c r="F304" s="9" t="s">
        <v>169</v>
      </c>
      <c r="G304" s="9" t="s">
        <v>105</v>
      </c>
      <c r="H304" s="9" t="s">
        <v>106</v>
      </c>
      <c r="I304" s="9" t="s">
        <v>40</v>
      </c>
      <c r="J304" s="9">
        <v>1566</v>
      </c>
      <c r="K304" s="9" t="s">
        <v>2563</v>
      </c>
      <c r="L304" s="9" t="s">
        <v>42</v>
      </c>
      <c r="M304" s="10">
        <v>7.3611111111111108E-3</v>
      </c>
      <c r="N304" s="9" t="s">
        <v>65</v>
      </c>
      <c r="O304" s="9" t="s">
        <v>2564</v>
      </c>
      <c r="P304" s="9" t="s">
        <v>45</v>
      </c>
      <c r="Q304" s="10">
        <v>1.7326388888888891E-2</v>
      </c>
      <c r="R304" s="9" t="s">
        <v>56</v>
      </c>
      <c r="S304" s="10">
        <v>0.30864583333333329</v>
      </c>
      <c r="T304" s="9">
        <v>21.155999999999999</v>
      </c>
      <c r="U304" s="9">
        <v>3.59</v>
      </c>
      <c r="V304" s="10">
        <v>0.24562500000000001</v>
      </c>
      <c r="W304" s="10">
        <v>0.21510416666666671</v>
      </c>
      <c r="X304" s="10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5</v>
      </c>
      <c r="AE304" s="9" t="s">
        <v>67</v>
      </c>
      <c r="AF304" s="9" t="s">
        <v>2565</v>
      </c>
      <c r="AG304" s="9" t="s">
        <v>2566</v>
      </c>
      <c r="AH304" s="9">
        <v>6.2254779999999998</v>
      </c>
      <c r="AI304" s="9">
        <v>-75.598913999999994</v>
      </c>
      <c r="AJ304" s="9" t="s">
        <v>2567</v>
      </c>
      <c r="AK304" s="9">
        <v>6.2586899999999996</v>
      </c>
      <c r="AL304" s="9">
        <v>-75.616228000000007</v>
      </c>
      <c r="AM304" s="26">
        <f t="shared" si="4"/>
        <v>1.7326388888888891E-2</v>
      </c>
      <c r="AN304" s="9"/>
    </row>
    <row r="305" spans="1:40" ht="15" x14ac:dyDescent="0.2">
      <c r="A305" s="36" t="s">
        <v>2568</v>
      </c>
      <c r="B305" s="36" t="s">
        <v>2574</v>
      </c>
      <c r="C305" s="36" t="s">
        <v>2569</v>
      </c>
      <c r="D305" s="36" t="s">
        <v>2509</v>
      </c>
      <c r="E305" s="36" t="s">
        <v>36</v>
      </c>
      <c r="F305" s="36" t="s">
        <v>169</v>
      </c>
      <c r="G305" s="36" t="s">
        <v>89</v>
      </c>
      <c r="H305" s="36" t="s">
        <v>90</v>
      </c>
      <c r="I305" s="36" t="s">
        <v>40</v>
      </c>
      <c r="J305" s="36">
        <v>3416</v>
      </c>
      <c r="K305" s="36" t="s">
        <v>2570</v>
      </c>
      <c r="L305" s="36" t="s">
        <v>42</v>
      </c>
      <c r="M305" s="37">
        <v>8.5532407407407415E-3</v>
      </c>
      <c r="N305" s="36" t="s">
        <v>65</v>
      </c>
      <c r="O305" s="36" t="s">
        <v>2571</v>
      </c>
      <c r="P305" s="36" t="s">
        <v>45</v>
      </c>
      <c r="Q305" s="37">
        <v>4.8842592592592592E-3</v>
      </c>
      <c r="R305" s="36" t="s">
        <v>46</v>
      </c>
      <c r="S305" s="37">
        <v>0.32966435185185178</v>
      </c>
      <c r="T305" s="36">
        <v>43.552</v>
      </c>
      <c r="U305" s="36">
        <v>8.18</v>
      </c>
      <c r="V305" s="37">
        <v>0.22182870370370369</v>
      </c>
      <c r="W305" s="37">
        <v>0.14332175925925919</v>
      </c>
      <c r="X305" s="37">
        <v>0</v>
      </c>
      <c r="Y305" s="36">
        <v>0</v>
      </c>
      <c r="Z305" s="36">
        <v>0</v>
      </c>
      <c r="AA305" s="36">
        <v>0</v>
      </c>
      <c r="AB305" s="36">
        <v>0</v>
      </c>
      <c r="AC305" s="36">
        <v>0</v>
      </c>
      <c r="AD305" s="36">
        <v>0</v>
      </c>
      <c r="AE305" s="36" t="s">
        <v>84</v>
      </c>
      <c r="AF305" s="36" t="s">
        <v>352</v>
      </c>
      <c r="AG305" s="36" t="s">
        <v>2572</v>
      </c>
      <c r="AH305" s="36">
        <v>6.2303540000000002</v>
      </c>
      <c r="AI305" s="36">
        <v>-75.596052</v>
      </c>
      <c r="AJ305" s="36" t="s">
        <v>2573</v>
      </c>
      <c r="AK305" s="36">
        <v>6.2790949999999999</v>
      </c>
      <c r="AL305" s="36">
        <v>-75.569125999999997</v>
      </c>
      <c r="AM305" s="26">
        <f t="shared" si="4"/>
        <v>0</v>
      </c>
      <c r="AN305" s="9"/>
    </row>
    <row r="306" spans="1:40" ht="15" x14ac:dyDescent="0.25">
      <c r="A306" s="9" t="s">
        <v>2575</v>
      </c>
      <c r="B306" s="9" t="s">
        <v>2576</v>
      </c>
      <c r="C306" s="9" t="s">
        <v>2577</v>
      </c>
      <c r="D306" s="9" t="s">
        <v>2509</v>
      </c>
      <c r="E306" s="9" t="s">
        <v>36</v>
      </c>
      <c r="F306" s="9" t="s">
        <v>169</v>
      </c>
      <c r="G306" s="9" t="s">
        <v>124</v>
      </c>
      <c r="H306" s="9" t="s">
        <v>125</v>
      </c>
      <c r="I306" s="9" t="s">
        <v>115</v>
      </c>
      <c r="J306" s="9">
        <v>5364</v>
      </c>
      <c r="K306" s="9" t="s">
        <v>2578</v>
      </c>
      <c r="L306" s="9" t="s">
        <v>117</v>
      </c>
      <c r="M306" s="10">
        <v>8.4953703703703701E-3</v>
      </c>
      <c r="N306" s="9" t="s">
        <v>65</v>
      </c>
      <c r="O306" s="9" t="s">
        <v>2579</v>
      </c>
      <c r="P306" s="9" t="s">
        <v>119</v>
      </c>
      <c r="Q306" s="10">
        <v>2.388888888888889E-2</v>
      </c>
      <c r="R306" s="9" t="s">
        <v>129</v>
      </c>
      <c r="S306" s="10">
        <v>0.28238425925925931</v>
      </c>
      <c r="T306" s="9">
        <v>75.686000000000007</v>
      </c>
      <c r="U306" s="9">
        <v>18.39</v>
      </c>
      <c r="V306" s="10">
        <v>0.17146990740740739</v>
      </c>
      <c r="W306" s="10">
        <v>4.9664351851851848E-2</v>
      </c>
      <c r="X306" s="10">
        <v>2.311342592592593E-2</v>
      </c>
      <c r="Y306" s="9">
        <v>1</v>
      </c>
      <c r="Z306" s="9">
        <v>1</v>
      </c>
      <c r="AA306" s="9">
        <v>1</v>
      </c>
      <c r="AB306" s="9">
        <v>0</v>
      </c>
      <c r="AC306" s="9">
        <v>0</v>
      </c>
      <c r="AD306" s="9">
        <v>0</v>
      </c>
      <c r="AE306" s="9" t="s">
        <v>130</v>
      </c>
      <c r="AF306" s="9" t="s">
        <v>2580</v>
      </c>
      <c r="AG306" s="9" t="s">
        <v>2581</v>
      </c>
      <c r="AH306" s="9">
        <v>6.2288119999999996</v>
      </c>
      <c r="AI306" s="9">
        <v>-75.597750000000005</v>
      </c>
      <c r="AJ306" s="9" t="s">
        <v>2582</v>
      </c>
      <c r="AK306" s="9">
        <v>6.2726949999999997</v>
      </c>
      <c r="AL306" s="9">
        <v>-75.602035999999998</v>
      </c>
      <c r="AM306" s="26">
        <f t="shared" si="4"/>
        <v>0</v>
      </c>
      <c r="AN306" s="9"/>
    </row>
    <row r="307" spans="1:40" ht="15" x14ac:dyDescent="0.25">
      <c r="A307" s="9" t="s">
        <v>2583</v>
      </c>
      <c r="B307" s="9" t="s">
        <v>2584</v>
      </c>
      <c r="C307" s="9" t="s">
        <v>2585</v>
      </c>
      <c r="D307" s="9" t="s">
        <v>2509</v>
      </c>
      <c r="E307" s="9" t="s">
        <v>36</v>
      </c>
      <c r="F307" s="9" t="s">
        <v>169</v>
      </c>
      <c r="G307" s="9" t="s">
        <v>135</v>
      </c>
      <c r="H307" s="9" t="s">
        <v>136</v>
      </c>
      <c r="I307" s="9" t="s">
        <v>115</v>
      </c>
      <c r="J307" s="9">
        <v>1269</v>
      </c>
      <c r="K307" s="9" t="s">
        <v>2586</v>
      </c>
      <c r="L307" s="9" t="s">
        <v>117</v>
      </c>
      <c r="M307" s="10">
        <v>4.9583333333333333E-2</v>
      </c>
      <c r="N307" s="9" t="s">
        <v>127</v>
      </c>
      <c r="O307" s="9" t="s">
        <v>2587</v>
      </c>
      <c r="P307" s="9" t="s">
        <v>119</v>
      </c>
      <c r="Q307" s="10">
        <v>3.2638888888888891E-3</v>
      </c>
      <c r="R307" s="9" t="s">
        <v>46</v>
      </c>
      <c r="S307" s="10">
        <v>0.29631944444444452</v>
      </c>
      <c r="T307" s="9">
        <v>22.690999999999999</v>
      </c>
      <c r="U307" s="9">
        <v>11.47</v>
      </c>
      <c r="V307" s="10">
        <v>8.2395833333333335E-2</v>
      </c>
      <c r="W307" s="10">
        <v>5.2974537037037042E-2</v>
      </c>
      <c r="X307" s="10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5</v>
      </c>
      <c r="AE307" s="9" t="s">
        <v>139</v>
      </c>
      <c r="AF307" s="9" t="s">
        <v>2588</v>
      </c>
      <c r="AG307" s="9" t="s">
        <v>2589</v>
      </c>
      <c r="AH307" s="9">
        <v>6.2255700000000003</v>
      </c>
      <c r="AI307" s="9">
        <v>-75.599332000000004</v>
      </c>
      <c r="AJ307" s="9" t="s">
        <v>2590</v>
      </c>
      <c r="AK307" s="9">
        <v>6.2941710000000004</v>
      </c>
      <c r="AL307" s="9">
        <v>-75.582819999999998</v>
      </c>
      <c r="AM307" s="26">
        <f t="shared" si="4"/>
        <v>0</v>
      </c>
      <c r="AN307" s="9"/>
    </row>
    <row r="308" spans="1:40" ht="15" x14ac:dyDescent="0.25">
      <c r="A308" s="9" t="s">
        <v>2591</v>
      </c>
      <c r="B308" s="9" t="s">
        <v>2592</v>
      </c>
      <c r="C308" s="9" t="s">
        <v>2593</v>
      </c>
      <c r="D308" s="9" t="s">
        <v>2509</v>
      </c>
      <c r="E308" s="9" t="s">
        <v>36</v>
      </c>
      <c r="F308" s="9" t="s">
        <v>169</v>
      </c>
      <c r="G308" s="9" t="s">
        <v>144</v>
      </c>
      <c r="H308" s="9" t="s">
        <v>145</v>
      </c>
      <c r="I308" s="9" t="s">
        <v>115</v>
      </c>
      <c r="J308" s="9">
        <v>5331</v>
      </c>
      <c r="K308" s="9" t="s">
        <v>2594</v>
      </c>
      <c r="L308" s="9" t="s">
        <v>117</v>
      </c>
      <c r="M308" s="10">
        <v>3.650462962962963E-2</v>
      </c>
      <c r="N308" s="9" t="s">
        <v>127</v>
      </c>
      <c r="O308" s="9" t="s">
        <v>2595</v>
      </c>
      <c r="P308" s="9" t="s">
        <v>119</v>
      </c>
      <c r="Q308" s="10">
        <v>1.2048611111111111E-2</v>
      </c>
      <c r="R308" s="9" t="s">
        <v>129</v>
      </c>
      <c r="S308" s="10">
        <v>0.29855324074074069</v>
      </c>
      <c r="T308" s="9">
        <v>72.417000000000002</v>
      </c>
      <c r="U308" s="9">
        <v>15.48</v>
      </c>
      <c r="V308" s="10">
        <v>0.19491898148148151</v>
      </c>
      <c r="W308" s="10">
        <v>8.2314814814814813E-2</v>
      </c>
      <c r="X308" s="10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 t="s">
        <v>130</v>
      </c>
      <c r="AF308" s="9" t="s">
        <v>2596</v>
      </c>
      <c r="AG308" s="9" t="s">
        <v>2597</v>
      </c>
      <c r="AH308" s="9">
        <v>6.2268239999999997</v>
      </c>
      <c r="AI308" s="9">
        <v>-75.599194999999995</v>
      </c>
      <c r="AJ308" s="9" t="s">
        <v>2598</v>
      </c>
      <c r="AK308" s="9">
        <v>6.2904270000000002</v>
      </c>
      <c r="AL308" s="9">
        <v>-75.546575000000004</v>
      </c>
      <c r="AM308" s="26">
        <f t="shared" si="4"/>
        <v>0</v>
      </c>
      <c r="AN308" s="9"/>
    </row>
    <row r="309" spans="1:40" ht="15" x14ac:dyDescent="0.25">
      <c r="A309" s="9" t="s">
        <v>2599</v>
      </c>
      <c r="B309" s="9" t="s">
        <v>2600</v>
      </c>
      <c r="C309" s="9" t="s">
        <v>2601</v>
      </c>
      <c r="D309" s="9" t="s">
        <v>2509</v>
      </c>
      <c r="E309" s="9" t="s">
        <v>36</v>
      </c>
      <c r="F309" s="9" t="s">
        <v>169</v>
      </c>
      <c r="G309" s="9" t="s">
        <v>152</v>
      </c>
      <c r="H309" s="9" t="s">
        <v>153</v>
      </c>
      <c r="I309" s="9" t="s">
        <v>115</v>
      </c>
      <c r="J309" s="9">
        <v>1487</v>
      </c>
      <c r="K309" s="9" t="s">
        <v>2602</v>
      </c>
      <c r="L309" s="9" t="s">
        <v>117</v>
      </c>
      <c r="M309" s="10">
        <v>2.7893518518518519E-2</v>
      </c>
      <c r="N309" s="9" t="s">
        <v>127</v>
      </c>
      <c r="O309" s="9" t="s">
        <v>2603</v>
      </c>
      <c r="P309" s="9" t="s">
        <v>119</v>
      </c>
      <c r="Q309" s="10">
        <v>0.1075231481481481</v>
      </c>
      <c r="R309" s="9" t="s">
        <v>56</v>
      </c>
      <c r="S309" s="10">
        <v>0.17037037037037039</v>
      </c>
      <c r="T309" s="9">
        <v>19.724</v>
      </c>
      <c r="U309" s="9">
        <v>9.84</v>
      </c>
      <c r="V309" s="10">
        <v>8.3530092592592586E-2</v>
      </c>
      <c r="W309" s="10">
        <v>5.9131944444444452E-2</v>
      </c>
      <c r="X309" s="10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9" t="s">
        <v>139</v>
      </c>
      <c r="AF309" s="9" t="s">
        <v>2604</v>
      </c>
      <c r="AG309" s="9" t="s">
        <v>2605</v>
      </c>
      <c r="AH309" s="9">
        <v>6.2280550000000003</v>
      </c>
      <c r="AI309" s="9">
        <v>-75.599642000000003</v>
      </c>
      <c r="AJ309" s="9" t="s">
        <v>2606</v>
      </c>
      <c r="AK309" s="9">
        <v>6.2517969999999998</v>
      </c>
      <c r="AL309" s="9">
        <v>-75.551833000000002</v>
      </c>
      <c r="AM309" s="26">
        <f t="shared" si="4"/>
        <v>0.1075231481481481</v>
      </c>
      <c r="AN309" s="9"/>
    </row>
    <row r="310" spans="1:40" ht="15" x14ac:dyDescent="0.25">
      <c r="A310" s="9" t="s">
        <v>2607</v>
      </c>
      <c r="B310" s="9" t="s">
        <v>2608</v>
      </c>
      <c r="C310" s="9" t="s">
        <v>2609</v>
      </c>
      <c r="D310" s="9" t="s">
        <v>2509</v>
      </c>
      <c r="E310" s="9" t="s">
        <v>36</v>
      </c>
      <c r="F310" s="9" t="s">
        <v>169</v>
      </c>
      <c r="G310" s="9" t="s">
        <v>160</v>
      </c>
      <c r="H310" s="9" t="s">
        <v>161</v>
      </c>
      <c r="I310" s="9" t="s">
        <v>115</v>
      </c>
      <c r="J310" s="9">
        <v>5449</v>
      </c>
      <c r="K310" s="9" t="s">
        <v>2610</v>
      </c>
      <c r="L310" s="9" t="s">
        <v>117</v>
      </c>
      <c r="M310" s="10">
        <v>1.460140046296296E-2</v>
      </c>
      <c r="N310" s="9" t="s">
        <v>127</v>
      </c>
      <c r="O310" s="9" t="s">
        <v>2611</v>
      </c>
      <c r="P310" s="9" t="s">
        <v>119</v>
      </c>
      <c r="Q310" s="10">
        <v>1.2538194444444451E-4</v>
      </c>
      <c r="R310" s="9" t="s">
        <v>46</v>
      </c>
      <c r="S310" s="10">
        <v>0.26472678240740738</v>
      </c>
      <c r="T310" s="9">
        <v>37.631</v>
      </c>
      <c r="U310" s="9">
        <v>9.4700000000000006</v>
      </c>
      <c r="V310" s="10">
        <v>0.16553550925925911</v>
      </c>
      <c r="W310" s="10">
        <v>0.12789334490740731</v>
      </c>
      <c r="X310" s="10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3</v>
      </c>
      <c r="AE310" s="9" t="s">
        <v>139</v>
      </c>
      <c r="AF310" s="9" t="s">
        <v>2612</v>
      </c>
      <c r="AG310" s="9" t="s">
        <v>2613</v>
      </c>
      <c r="AH310" s="9">
        <v>6.2267869999999998</v>
      </c>
      <c r="AI310" s="9">
        <v>-75.599261999999996</v>
      </c>
      <c r="AJ310" s="9" t="s">
        <v>2614</v>
      </c>
      <c r="AK310" s="9">
        <v>6.2601699999999996</v>
      </c>
      <c r="AL310" s="9">
        <v>-75.590198000000001</v>
      </c>
      <c r="AM310" s="26">
        <f t="shared" si="4"/>
        <v>0</v>
      </c>
      <c r="AN310" s="9"/>
    </row>
    <row r="311" spans="1:40" ht="15" x14ac:dyDescent="0.25">
      <c r="A311" s="9" t="s">
        <v>2615</v>
      </c>
      <c r="B311" s="9" t="s">
        <v>2616</v>
      </c>
      <c r="C311" s="9" t="s">
        <v>2617</v>
      </c>
      <c r="D311" s="9" t="s">
        <v>2618</v>
      </c>
      <c r="E311" s="9" t="s">
        <v>2619</v>
      </c>
      <c r="F311" s="9" t="s">
        <v>315</v>
      </c>
      <c r="G311" s="9" t="s">
        <v>38</v>
      </c>
      <c r="H311" s="9" t="s">
        <v>39</v>
      </c>
      <c r="I311" s="9" t="s">
        <v>40</v>
      </c>
      <c r="J311" s="9">
        <v>7442</v>
      </c>
      <c r="K311" s="9" t="s">
        <v>2620</v>
      </c>
      <c r="L311" s="9" t="s">
        <v>42</v>
      </c>
      <c r="M311" s="10">
        <v>4.4482939814814812E-2</v>
      </c>
      <c r="N311" s="9" t="s">
        <v>43</v>
      </c>
      <c r="O311" s="9" t="s">
        <v>2621</v>
      </c>
      <c r="P311" s="9" t="s">
        <v>45</v>
      </c>
      <c r="Q311" s="10">
        <v>2.3925057870370369E-2</v>
      </c>
      <c r="R311" s="9" t="s">
        <v>129</v>
      </c>
      <c r="S311" s="10">
        <v>0.3127754513888889</v>
      </c>
      <c r="T311" s="9">
        <v>39.548000000000002</v>
      </c>
      <c r="U311" s="9">
        <v>20.02</v>
      </c>
      <c r="V311" s="10">
        <v>8.2330046296296311E-2</v>
      </c>
      <c r="W311" s="10">
        <v>3.7823252314814808E-2</v>
      </c>
      <c r="X311" s="10">
        <v>2.7823807870370369E-2</v>
      </c>
      <c r="Y311" s="9">
        <v>1</v>
      </c>
      <c r="Z311" s="9">
        <v>1</v>
      </c>
      <c r="AA311" s="9">
        <v>1</v>
      </c>
      <c r="AB311" s="9">
        <v>1</v>
      </c>
      <c r="AC311" s="9">
        <v>0</v>
      </c>
      <c r="AD311" s="9">
        <v>4</v>
      </c>
      <c r="AE311" s="9" t="s">
        <v>130</v>
      </c>
      <c r="AF311" s="9" t="s">
        <v>2622</v>
      </c>
      <c r="AG311" s="9" t="s">
        <v>2623</v>
      </c>
      <c r="AH311" s="9">
        <v>6.2032970000000001</v>
      </c>
      <c r="AI311" s="9">
        <v>-75.600990999999993</v>
      </c>
      <c r="AJ311" s="9" t="s">
        <v>2624</v>
      </c>
      <c r="AK311" s="9">
        <v>6.2255520000000004</v>
      </c>
      <c r="AL311" s="9">
        <v>-75.599130000000002</v>
      </c>
      <c r="AM311" s="26">
        <f t="shared" si="4"/>
        <v>4.4482939814814812E-2</v>
      </c>
      <c r="AN311" s="9" t="s">
        <v>2689</v>
      </c>
    </row>
    <row r="312" spans="1:40" ht="15" x14ac:dyDescent="0.25">
      <c r="A312" s="9" t="s">
        <v>2625</v>
      </c>
      <c r="B312" s="9" t="s">
        <v>2626</v>
      </c>
      <c r="C312" s="9" t="s">
        <v>2627</v>
      </c>
      <c r="D312" s="9" t="s">
        <v>2618</v>
      </c>
      <c r="E312" s="9" t="s">
        <v>2619</v>
      </c>
      <c r="F312" s="9" t="s">
        <v>315</v>
      </c>
      <c r="G312" s="9" t="s">
        <v>52</v>
      </c>
      <c r="H312" s="9" t="s">
        <v>53</v>
      </c>
      <c r="I312" s="9" t="s">
        <v>40</v>
      </c>
      <c r="J312" s="9">
        <v>3776</v>
      </c>
      <c r="K312" s="9" t="s">
        <v>2628</v>
      </c>
      <c r="L312" s="9" t="s">
        <v>42</v>
      </c>
      <c r="M312" s="10">
        <v>2.4143518518518519E-2</v>
      </c>
      <c r="N312" s="9" t="s">
        <v>43</v>
      </c>
      <c r="O312" s="9" t="s">
        <v>2629</v>
      </c>
      <c r="P312" s="9" t="s">
        <v>45</v>
      </c>
      <c r="Q312" s="10">
        <v>8.86574074074074E-3</v>
      </c>
      <c r="R312" s="9" t="s">
        <v>46</v>
      </c>
      <c r="S312" s="10">
        <v>0.30032407407407408</v>
      </c>
      <c r="T312" s="9">
        <v>50.17</v>
      </c>
      <c r="U312" s="9">
        <v>9.19</v>
      </c>
      <c r="V312" s="10">
        <v>0.22748842592592591</v>
      </c>
      <c r="W312" s="10">
        <v>0.13734953703703701</v>
      </c>
      <c r="X312" s="10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2</v>
      </c>
      <c r="AE312" s="9" t="s">
        <v>47</v>
      </c>
      <c r="AF312" s="9" t="s">
        <v>2630</v>
      </c>
      <c r="AG312" s="9" t="s">
        <v>2631</v>
      </c>
      <c r="AH312" s="9">
        <v>6.2256309999999999</v>
      </c>
      <c r="AI312" s="9">
        <v>-75.599384999999998</v>
      </c>
      <c r="AJ312" s="9" t="s">
        <v>2632</v>
      </c>
      <c r="AK312" s="9">
        <v>6.2477470000000004</v>
      </c>
      <c r="AL312" s="9">
        <v>-75.615037000000001</v>
      </c>
      <c r="AM312" s="26">
        <f t="shared" si="4"/>
        <v>2.4143518518518519E-2</v>
      </c>
      <c r="AN312" s="9" t="s">
        <v>2689</v>
      </c>
    </row>
    <row r="313" spans="1:40" ht="15" x14ac:dyDescent="0.25">
      <c r="A313" s="9" t="s">
        <v>2633</v>
      </c>
      <c r="B313" s="9" t="s">
        <v>2634</v>
      </c>
      <c r="C313" s="9" t="s">
        <v>2635</v>
      </c>
      <c r="D313" s="9" t="s">
        <v>2618</v>
      </c>
      <c r="E313" s="9" t="s">
        <v>2619</v>
      </c>
      <c r="F313" s="9" t="s">
        <v>315</v>
      </c>
      <c r="G313" s="9" t="s">
        <v>113</v>
      </c>
      <c r="H313" s="9" t="s">
        <v>114</v>
      </c>
      <c r="I313" s="9" t="s">
        <v>40</v>
      </c>
      <c r="J313" s="9">
        <v>2659</v>
      </c>
      <c r="K313" s="9" t="s">
        <v>2636</v>
      </c>
      <c r="L313" s="9" t="s">
        <v>42</v>
      </c>
      <c r="M313" s="10">
        <v>4.071759259259259E-2</v>
      </c>
      <c r="N313" s="9" t="s">
        <v>43</v>
      </c>
      <c r="O313" s="9" t="s">
        <v>2637</v>
      </c>
      <c r="P313" s="9" t="s">
        <v>45</v>
      </c>
      <c r="Q313" s="10">
        <v>4.1666666666666669E-4</v>
      </c>
      <c r="R313" s="9" t="s">
        <v>46</v>
      </c>
      <c r="S313" s="10">
        <v>0.29219907407407408</v>
      </c>
      <c r="T313" s="9">
        <v>34.234000000000002</v>
      </c>
      <c r="U313" s="9">
        <v>6.26</v>
      </c>
      <c r="V313" s="10">
        <v>0.2277777777777778</v>
      </c>
      <c r="W313" s="10">
        <v>0.16596064814814809</v>
      </c>
      <c r="X313" s="10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2</v>
      </c>
      <c r="AE313" s="9" t="s">
        <v>47</v>
      </c>
      <c r="AF313" s="9" t="s">
        <v>2638</v>
      </c>
      <c r="AG313" s="9" t="s">
        <v>2639</v>
      </c>
      <c r="AH313" s="9">
        <v>6.2269769999999998</v>
      </c>
      <c r="AI313" s="9">
        <v>-75.601635000000002</v>
      </c>
      <c r="AJ313" s="9" t="s">
        <v>2640</v>
      </c>
      <c r="AK313" s="9">
        <v>6.2636779999999996</v>
      </c>
      <c r="AL313" s="9">
        <v>-75.597012000000007</v>
      </c>
      <c r="AM313" s="26">
        <f t="shared" si="4"/>
        <v>4.071759259259259E-2</v>
      </c>
      <c r="AN313" s="9" t="s">
        <v>2689</v>
      </c>
    </row>
    <row r="314" spans="1:40" ht="15" x14ac:dyDescent="0.25">
      <c r="A314" s="9" t="s">
        <v>2641</v>
      </c>
      <c r="B314" s="9" t="s">
        <v>2642</v>
      </c>
      <c r="C314" s="9" t="s">
        <v>2643</v>
      </c>
      <c r="D314" s="9" t="s">
        <v>2618</v>
      </c>
      <c r="E314" s="9" t="s">
        <v>2619</v>
      </c>
      <c r="F314" s="9" t="s">
        <v>315</v>
      </c>
      <c r="G314" s="9" t="s">
        <v>62</v>
      </c>
      <c r="H314" s="9" t="s">
        <v>63</v>
      </c>
      <c r="I314" s="9" t="s">
        <v>40</v>
      </c>
      <c r="J314" s="9">
        <v>3570</v>
      </c>
      <c r="K314" s="9" t="s">
        <v>2644</v>
      </c>
      <c r="L314" s="9" t="s">
        <v>42</v>
      </c>
      <c r="M314" s="10">
        <v>3.1342592592592602E-2</v>
      </c>
      <c r="N314" s="9" t="s">
        <v>43</v>
      </c>
      <c r="O314" s="9" t="s">
        <v>2645</v>
      </c>
      <c r="P314" s="9" t="s">
        <v>45</v>
      </c>
      <c r="Q314" s="10">
        <v>8.2511574074074071E-2</v>
      </c>
      <c r="R314" s="9" t="s">
        <v>56</v>
      </c>
      <c r="S314" s="10">
        <v>0.2194791666666667</v>
      </c>
      <c r="T314" s="9">
        <v>47.231000000000002</v>
      </c>
      <c r="U314" s="9">
        <v>16.149999999999999</v>
      </c>
      <c r="V314" s="10">
        <v>0.12185185185185191</v>
      </c>
      <c r="W314" s="10">
        <v>3.3229166666666657E-2</v>
      </c>
      <c r="X314" s="10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 t="s">
        <v>57</v>
      </c>
      <c r="AF314" s="9" t="s">
        <v>2646</v>
      </c>
      <c r="AG314" s="9" t="s">
        <v>2647</v>
      </c>
      <c r="AH314" s="9">
        <v>6.2258899999999997</v>
      </c>
      <c r="AI314" s="9">
        <v>-75.599390999999997</v>
      </c>
      <c r="AJ314" s="9" t="s">
        <v>2648</v>
      </c>
      <c r="AK314" s="9">
        <v>6.3046550000000003</v>
      </c>
      <c r="AL314" s="9">
        <v>-75.569092999999995</v>
      </c>
      <c r="AM314" s="26">
        <f t="shared" si="4"/>
        <v>0.11385416666666667</v>
      </c>
      <c r="AN314" s="9" t="s">
        <v>2689</v>
      </c>
    </row>
    <row r="315" spans="1:40" ht="15" x14ac:dyDescent="0.25">
      <c r="A315" s="9" t="s">
        <v>2649</v>
      </c>
      <c r="B315" s="9" t="s">
        <v>2650</v>
      </c>
      <c r="C315" s="9" t="s">
        <v>2651</v>
      </c>
      <c r="D315" s="9" t="s">
        <v>2618</v>
      </c>
      <c r="E315" s="9" t="s">
        <v>2619</v>
      </c>
      <c r="F315" s="9" t="s">
        <v>315</v>
      </c>
      <c r="G315" s="9" t="s">
        <v>72</v>
      </c>
      <c r="H315" s="9" t="s">
        <v>73</v>
      </c>
      <c r="I315" s="9" t="s">
        <v>40</v>
      </c>
      <c r="J315" s="9">
        <v>3095</v>
      </c>
      <c r="K315" s="9" t="s">
        <v>2652</v>
      </c>
      <c r="L315" s="9" t="s">
        <v>42</v>
      </c>
      <c r="M315" s="10">
        <v>2.2743055555555551E-2</v>
      </c>
      <c r="N315" s="9" t="s">
        <v>43</v>
      </c>
      <c r="O315" s="9" t="s">
        <v>2653</v>
      </c>
      <c r="P315" s="9" t="s">
        <v>45</v>
      </c>
      <c r="Q315" s="10">
        <v>0.1496875</v>
      </c>
      <c r="R315" s="9" t="s">
        <v>56</v>
      </c>
      <c r="S315" s="10">
        <v>0.16090277777777781</v>
      </c>
      <c r="T315" s="9">
        <v>41.935000000000002</v>
      </c>
      <c r="U315" s="9">
        <v>13.15</v>
      </c>
      <c r="V315" s="10">
        <v>0.13289351851851849</v>
      </c>
      <c r="W315" s="10">
        <v>6.913194444444444E-2</v>
      </c>
      <c r="X315" s="10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9" t="s">
        <v>57</v>
      </c>
      <c r="AF315" s="9" t="s">
        <v>2654</v>
      </c>
      <c r="AG315" s="9" t="s">
        <v>2655</v>
      </c>
      <c r="AH315" s="9">
        <v>6.2255039999999999</v>
      </c>
      <c r="AI315" s="9">
        <v>-75.599469999999997</v>
      </c>
      <c r="AJ315" s="9" t="s">
        <v>2656</v>
      </c>
      <c r="AK315" s="9">
        <v>6.2366400000000004</v>
      </c>
      <c r="AL315" s="9">
        <v>-75.559618</v>
      </c>
      <c r="AM315" s="26">
        <f t="shared" si="4"/>
        <v>0.17243055555555556</v>
      </c>
      <c r="AN315" s="9" t="s">
        <v>2689</v>
      </c>
    </row>
    <row r="316" spans="1:40" ht="15" x14ac:dyDescent="0.25">
      <c r="A316" s="9" t="s">
        <v>2657</v>
      </c>
      <c r="B316" s="9" t="s">
        <v>2658</v>
      </c>
      <c r="C316" s="9" t="s">
        <v>2659</v>
      </c>
      <c r="D316" s="9" t="s">
        <v>2618</v>
      </c>
      <c r="E316" s="9" t="s">
        <v>2619</v>
      </c>
      <c r="F316" s="9" t="s">
        <v>315</v>
      </c>
      <c r="G316" s="9" t="s">
        <v>80</v>
      </c>
      <c r="H316" s="9" t="s">
        <v>81</v>
      </c>
      <c r="I316" s="9" t="s">
        <v>40</v>
      </c>
      <c r="J316" s="9">
        <v>5113</v>
      </c>
      <c r="K316" s="9" t="s">
        <v>2660</v>
      </c>
      <c r="L316" s="9" t="s">
        <v>42</v>
      </c>
      <c r="M316" s="10">
        <v>3.0107025462962959E-2</v>
      </c>
      <c r="N316" s="9" t="s">
        <v>43</v>
      </c>
      <c r="O316" s="9" t="s">
        <v>2661</v>
      </c>
      <c r="P316" s="9" t="s">
        <v>45</v>
      </c>
      <c r="Q316" s="10">
        <v>7.2680555555555552E-4</v>
      </c>
      <c r="R316" s="9" t="s">
        <v>46</v>
      </c>
      <c r="S316" s="10">
        <v>0.3039531134259259</v>
      </c>
      <c r="T316" s="9">
        <v>37.741</v>
      </c>
      <c r="U316" s="9">
        <v>32.47</v>
      </c>
      <c r="V316" s="10">
        <v>4.8433564814814811E-2</v>
      </c>
      <c r="W316" s="10">
        <v>5.2889120370370364E-3</v>
      </c>
      <c r="X316" s="10">
        <v>5.5164699074074074E-3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12</v>
      </c>
      <c r="AE316" s="9" t="s">
        <v>47</v>
      </c>
      <c r="AF316" s="9" t="s">
        <v>2662</v>
      </c>
      <c r="AG316" s="9" t="s">
        <v>2663</v>
      </c>
      <c r="AH316" s="9">
        <v>6.2255770000000004</v>
      </c>
      <c r="AI316" s="9">
        <v>-75.599402999999995</v>
      </c>
      <c r="AJ316" s="9" t="s">
        <v>2664</v>
      </c>
      <c r="AK316" s="9">
        <v>6.2577879999999997</v>
      </c>
      <c r="AL316" s="9">
        <v>-75.614191000000005</v>
      </c>
      <c r="AM316" s="26">
        <f t="shared" si="4"/>
        <v>3.0107025462962959E-2</v>
      </c>
      <c r="AN316" s="9" t="s">
        <v>2689</v>
      </c>
    </row>
    <row r="317" spans="1:40" ht="15" x14ac:dyDescent="0.25">
      <c r="A317" s="9" t="s">
        <v>2665</v>
      </c>
      <c r="B317" s="9" t="s">
        <v>2666</v>
      </c>
      <c r="C317" s="9" t="s">
        <v>2667</v>
      </c>
      <c r="D317" s="9" t="s">
        <v>2618</v>
      </c>
      <c r="E317" s="9" t="s">
        <v>2619</v>
      </c>
      <c r="F317" s="9" t="s">
        <v>315</v>
      </c>
      <c r="G317" s="9" t="s">
        <v>89</v>
      </c>
      <c r="H317" s="9" t="s">
        <v>90</v>
      </c>
      <c r="I317" s="9" t="s">
        <v>40</v>
      </c>
      <c r="J317" s="9">
        <v>3328</v>
      </c>
      <c r="K317" s="9" t="s">
        <v>2668</v>
      </c>
      <c r="L317" s="9" t="s">
        <v>42</v>
      </c>
      <c r="M317" s="10">
        <v>3.2997685185185192E-2</v>
      </c>
      <c r="N317" s="9" t="s">
        <v>43</v>
      </c>
      <c r="O317" s="9" t="s">
        <v>2669</v>
      </c>
      <c r="P317" s="9" t="s">
        <v>45</v>
      </c>
      <c r="Q317" s="10">
        <v>5.0231481481481481E-3</v>
      </c>
      <c r="R317" s="9" t="s">
        <v>46</v>
      </c>
      <c r="S317" s="10">
        <v>0.30535879629629631</v>
      </c>
      <c r="T317" s="9">
        <v>40.808999999999997</v>
      </c>
      <c r="U317" s="9">
        <v>7.4</v>
      </c>
      <c r="V317" s="10">
        <v>0.22973379629629631</v>
      </c>
      <c r="W317" s="10">
        <v>0.1222569444444444</v>
      </c>
      <c r="X317" s="10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 t="s">
        <v>47</v>
      </c>
      <c r="AF317" s="9" t="s">
        <v>2670</v>
      </c>
      <c r="AG317" s="9" t="s">
        <v>2671</v>
      </c>
      <c r="AH317" s="9">
        <v>6.2265670000000002</v>
      </c>
      <c r="AI317" s="9">
        <v>-75.599172999999993</v>
      </c>
      <c r="AJ317" s="9" t="s">
        <v>2672</v>
      </c>
      <c r="AK317" s="9">
        <v>6.2801179999999999</v>
      </c>
      <c r="AL317" s="9">
        <v>-75.572308000000007</v>
      </c>
      <c r="AM317" s="26">
        <f t="shared" si="4"/>
        <v>3.2997685185185192E-2</v>
      </c>
      <c r="AN317" s="9" t="s">
        <v>2689</v>
      </c>
    </row>
    <row r="318" spans="1:40" ht="15" x14ac:dyDescent="0.25">
      <c r="A318" s="9" t="s">
        <v>2673</v>
      </c>
      <c r="B318" s="9" t="s">
        <v>2674</v>
      </c>
      <c r="C318" s="9" t="s">
        <v>2675</v>
      </c>
      <c r="D318" s="9" t="s">
        <v>2618</v>
      </c>
      <c r="E318" s="9" t="s">
        <v>2619</v>
      </c>
      <c r="F318" s="9" t="s">
        <v>315</v>
      </c>
      <c r="G318" s="9" t="s">
        <v>97</v>
      </c>
      <c r="H318" s="9" t="s">
        <v>98</v>
      </c>
      <c r="I318" s="9" t="s">
        <v>40</v>
      </c>
      <c r="J318" s="9">
        <v>4910</v>
      </c>
      <c r="K318" s="9" t="s">
        <v>2676</v>
      </c>
      <c r="L318" s="9" t="s">
        <v>42</v>
      </c>
      <c r="M318" s="10">
        <v>2.072916666666667E-2</v>
      </c>
      <c r="N318" s="9" t="s">
        <v>43</v>
      </c>
      <c r="O318" s="9" t="s">
        <v>2677</v>
      </c>
      <c r="P318" s="9" t="s">
        <v>45</v>
      </c>
      <c r="Q318" s="10">
        <v>1.1342592592592589E-3</v>
      </c>
      <c r="R318" s="9" t="s">
        <v>46</v>
      </c>
      <c r="S318" s="10">
        <v>0.31146990740740738</v>
      </c>
      <c r="T318" s="9">
        <v>68.269000000000005</v>
      </c>
      <c r="U318" s="9">
        <v>15.51</v>
      </c>
      <c r="V318" s="10">
        <v>0.1834375</v>
      </c>
      <c r="W318" s="10">
        <v>8.4004629629629624E-2</v>
      </c>
      <c r="X318" s="10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 t="s">
        <v>47</v>
      </c>
      <c r="AF318" s="9" t="s">
        <v>2678</v>
      </c>
      <c r="AG318" s="9" t="s">
        <v>2679</v>
      </c>
      <c r="AH318" s="9">
        <v>6.2256739999999997</v>
      </c>
      <c r="AI318" s="9">
        <v>-75.599473000000003</v>
      </c>
      <c r="AJ318" s="9" t="s">
        <v>2680</v>
      </c>
      <c r="AK318" s="9">
        <v>6.3041270000000003</v>
      </c>
      <c r="AL318" s="9">
        <v>-75.581996000000004</v>
      </c>
      <c r="AM318" s="26">
        <f t="shared" si="4"/>
        <v>2.072916666666667E-2</v>
      </c>
      <c r="AN318" s="9" t="s">
        <v>2689</v>
      </c>
    </row>
    <row r="319" spans="1:40" ht="15" x14ac:dyDescent="0.25">
      <c r="A319" s="9" t="s">
        <v>2681</v>
      </c>
      <c r="B319" s="9" t="s">
        <v>2682</v>
      </c>
      <c r="C319" s="9" t="s">
        <v>2683</v>
      </c>
      <c r="D319" s="9" t="s">
        <v>2618</v>
      </c>
      <c r="E319" s="9" t="s">
        <v>2619</v>
      </c>
      <c r="F319" s="9" t="s">
        <v>315</v>
      </c>
      <c r="G319" s="9" t="s">
        <v>105</v>
      </c>
      <c r="H319" s="9" t="s">
        <v>106</v>
      </c>
      <c r="I319" s="9" t="s">
        <v>40</v>
      </c>
      <c r="J319" s="9">
        <v>982</v>
      </c>
      <c r="K319" s="9" t="s">
        <v>2684</v>
      </c>
      <c r="L319" s="9" t="s">
        <v>42</v>
      </c>
      <c r="M319" s="10">
        <v>1.46412037037037E-2</v>
      </c>
      <c r="N319" s="9" t="s">
        <v>43</v>
      </c>
      <c r="O319" s="9" t="s">
        <v>2685</v>
      </c>
      <c r="P319" s="9" t="s">
        <v>45</v>
      </c>
      <c r="Q319" s="10">
        <v>1.9756944444444448E-2</v>
      </c>
      <c r="R319" s="9" t="s">
        <v>56</v>
      </c>
      <c r="S319" s="10">
        <v>0.29893518518518519</v>
      </c>
      <c r="T319" s="9">
        <v>22.599</v>
      </c>
      <c r="U319" s="9">
        <v>3.21</v>
      </c>
      <c r="V319" s="10">
        <v>0.29296296296296298</v>
      </c>
      <c r="W319" s="10">
        <v>0.27302083333333332</v>
      </c>
      <c r="X319" s="10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1</v>
      </c>
      <c r="AE319" s="9" t="s">
        <v>57</v>
      </c>
      <c r="AF319" s="9" t="s">
        <v>2686</v>
      </c>
      <c r="AG319" s="9" t="s">
        <v>2687</v>
      </c>
      <c r="AH319" s="9">
        <v>6.2255260000000003</v>
      </c>
      <c r="AI319" s="9">
        <v>-75.599444000000005</v>
      </c>
      <c r="AJ319" s="9" t="s">
        <v>2688</v>
      </c>
      <c r="AK319" s="9">
        <v>6.2581959999999999</v>
      </c>
      <c r="AL319" s="9">
        <v>-75.615995999999996</v>
      </c>
      <c r="AM319" s="26">
        <f t="shared" si="4"/>
        <v>3.439814814814815E-2</v>
      </c>
      <c r="AN319" s="9" t="s">
        <v>2689</v>
      </c>
    </row>
    <row r="320" spans="1:40" ht="15" x14ac:dyDescent="0.25">
      <c r="A320" s="9" t="s">
        <v>2690</v>
      </c>
      <c r="B320" s="9" t="s">
        <v>2691</v>
      </c>
      <c r="C320" s="9" t="s">
        <v>2692</v>
      </c>
      <c r="D320" s="9" t="s">
        <v>2618</v>
      </c>
      <c r="E320" s="9" t="s">
        <v>2619</v>
      </c>
      <c r="F320" s="9" t="s">
        <v>315</v>
      </c>
      <c r="G320" s="9" t="s">
        <v>124</v>
      </c>
      <c r="H320" s="9" t="s">
        <v>125</v>
      </c>
      <c r="I320" s="9" t="s">
        <v>115</v>
      </c>
      <c r="J320" s="9">
        <v>4038</v>
      </c>
      <c r="K320" s="9" t="s">
        <v>2693</v>
      </c>
      <c r="L320" s="9" t="s">
        <v>117</v>
      </c>
      <c r="M320" s="10">
        <v>5.0486111111111107E-2</v>
      </c>
      <c r="N320" s="9" t="s">
        <v>127</v>
      </c>
      <c r="O320" s="9" t="s">
        <v>2694</v>
      </c>
      <c r="P320" s="9" t="s">
        <v>119</v>
      </c>
      <c r="Q320" s="10">
        <v>1.263888888888889E-2</v>
      </c>
      <c r="R320" s="9" t="s">
        <v>129</v>
      </c>
      <c r="S320" s="10">
        <v>0.31312499999999999</v>
      </c>
      <c r="T320" s="9">
        <v>49.478000000000002</v>
      </c>
      <c r="U320" s="9">
        <v>8.48</v>
      </c>
      <c r="V320" s="10">
        <v>0.24300925925925931</v>
      </c>
      <c r="W320" s="10">
        <v>0.1121412037037037</v>
      </c>
      <c r="X320" s="10">
        <v>9.571759259259259E-3</v>
      </c>
      <c r="Y320" s="9">
        <v>1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 t="s">
        <v>130</v>
      </c>
      <c r="AF320" s="9" t="s">
        <v>2695</v>
      </c>
      <c r="AG320" s="9" t="s">
        <v>2696</v>
      </c>
      <c r="AH320" s="9">
        <v>6.2259589999999996</v>
      </c>
      <c r="AI320" s="9">
        <v>-75.599346999999995</v>
      </c>
      <c r="AJ320" s="9" t="s">
        <v>2697</v>
      </c>
      <c r="AK320" s="9">
        <v>6.2726090000000001</v>
      </c>
      <c r="AL320" s="9">
        <v>-75.602417000000003</v>
      </c>
      <c r="AM320" s="26">
        <f t="shared" si="4"/>
        <v>0</v>
      </c>
      <c r="AN320" s="9"/>
    </row>
    <row r="321" spans="1:40" ht="15" x14ac:dyDescent="0.25">
      <c r="A321" s="9" t="s">
        <v>2698</v>
      </c>
      <c r="B321" s="9" t="s">
        <v>2699</v>
      </c>
      <c r="C321" s="9" t="s">
        <v>2700</v>
      </c>
      <c r="D321" s="9" t="s">
        <v>2618</v>
      </c>
      <c r="E321" s="9" t="s">
        <v>2619</v>
      </c>
      <c r="F321" s="9" t="s">
        <v>315</v>
      </c>
      <c r="G321" s="9" t="s">
        <v>135</v>
      </c>
      <c r="H321" s="9" t="s">
        <v>136</v>
      </c>
      <c r="I321" s="9" t="s">
        <v>115</v>
      </c>
      <c r="J321" s="9">
        <v>1405</v>
      </c>
      <c r="K321" s="9" t="s">
        <v>2701</v>
      </c>
      <c r="L321" s="9" t="s">
        <v>117</v>
      </c>
      <c r="M321" s="10">
        <v>4.2002314814814812E-2</v>
      </c>
      <c r="N321" s="9" t="s">
        <v>127</v>
      </c>
      <c r="O321" s="9" t="s">
        <v>2702</v>
      </c>
      <c r="P321" s="9" t="s">
        <v>119</v>
      </c>
      <c r="Q321" s="10">
        <v>1.217592592592593E-2</v>
      </c>
      <c r="R321" s="9" t="s">
        <v>56</v>
      </c>
      <c r="S321" s="10">
        <v>0.27982638888888889</v>
      </c>
      <c r="T321" s="9">
        <v>20.927</v>
      </c>
      <c r="U321" s="9">
        <v>9.2899999999999991</v>
      </c>
      <c r="V321" s="10">
        <v>9.3865740740740736E-2</v>
      </c>
      <c r="W321" s="10">
        <v>5.6828703703703701E-2</v>
      </c>
      <c r="X321" s="10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2</v>
      </c>
      <c r="AE321" s="9" t="s">
        <v>139</v>
      </c>
      <c r="AF321" s="9" t="s">
        <v>2703</v>
      </c>
      <c r="AG321" s="9" t="s">
        <v>2704</v>
      </c>
      <c r="AH321" s="9">
        <v>6.2257049999999996</v>
      </c>
      <c r="AI321" s="9">
        <v>-75.599189999999993</v>
      </c>
      <c r="AJ321" s="9" t="s">
        <v>2705</v>
      </c>
      <c r="AK321" s="9">
        <v>6.2951839999999999</v>
      </c>
      <c r="AL321" s="9">
        <v>-75.554969999999997</v>
      </c>
      <c r="AM321" s="26">
        <f t="shared" si="4"/>
        <v>1.217592592592593E-2</v>
      </c>
      <c r="AN321" s="9"/>
    </row>
    <row r="322" spans="1:40" ht="15" x14ac:dyDescent="0.25">
      <c r="A322" s="9" t="s">
        <v>2706</v>
      </c>
      <c r="B322" s="9" t="s">
        <v>2707</v>
      </c>
      <c r="C322" s="9" t="s">
        <v>2708</v>
      </c>
      <c r="D322" s="9" t="s">
        <v>2618</v>
      </c>
      <c r="E322" s="9" t="s">
        <v>2619</v>
      </c>
      <c r="F322" s="9" t="s">
        <v>315</v>
      </c>
      <c r="G322" s="9" t="s">
        <v>144</v>
      </c>
      <c r="H322" s="9" t="s">
        <v>145</v>
      </c>
      <c r="I322" s="9" t="s">
        <v>115</v>
      </c>
      <c r="J322" s="9">
        <v>6739</v>
      </c>
      <c r="K322" s="9" t="s">
        <v>2709</v>
      </c>
      <c r="L322" s="9" t="s">
        <v>117</v>
      </c>
      <c r="M322" s="10">
        <v>1.8576388888888889E-2</v>
      </c>
      <c r="N322" s="9" t="s">
        <v>127</v>
      </c>
      <c r="O322" s="9" t="s">
        <v>2710</v>
      </c>
      <c r="P322" s="9" t="s">
        <v>119</v>
      </c>
      <c r="Q322" s="10">
        <v>4.3541666666666673E-2</v>
      </c>
      <c r="R322" s="9" t="s">
        <v>129</v>
      </c>
      <c r="S322" s="10">
        <v>0.31211805555555561</v>
      </c>
      <c r="T322" s="9">
        <v>101.31100000000001</v>
      </c>
      <c r="U322" s="9">
        <v>19.34</v>
      </c>
      <c r="V322" s="10">
        <v>0.218287037037037</v>
      </c>
      <c r="W322" s="10">
        <v>6.0520833333333343E-2</v>
      </c>
      <c r="X322" s="10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9" t="s">
        <v>130</v>
      </c>
      <c r="AF322" s="9" t="s">
        <v>2711</v>
      </c>
      <c r="AG322" s="9" t="s">
        <v>2712</v>
      </c>
      <c r="AH322" s="9">
        <v>6.2268650000000001</v>
      </c>
      <c r="AI322" s="9">
        <v>-75.599376000000007</v>
      </c>
      <c r="AJ322" s="9" t="s">
        <v>2713</v>
      </c>
      <c r="AK322" s="9">
        <v>6.2904039999999997</v>
      </c>
      <c r="AL322" s="9">
        <v>-75.546580000000006</v>
      </c>
      <c r="AM322" s="26">
        <f t="shared" si="4"/>
        <v>0</v>
      </c>
      <c r="AN322" s="9"/>
    </row>
    <row r="323" spans="1:40" ht="15" x14ac:dyDescent="0.25">
      <c r="A323" s="9" t="s">
        <v>2714</v>
      </c>
      <c r="B323" s="9" t="s">
        <v>2715</v>
      </c>
      <c r="C323" s="9" t="s">
        <v>2716</v>
      </c>
      <c r="D323" s="9" t="s">
        <v>2618</v>
      </c>
      <c r="E323" s="9" t="s">
        <v>2619</v>
      </c>
      <c r="F323" s="9" t="s">
        <v>315</v>
      </c>
      <c r="G323" s="9" t="s">
        <v>152</v>
      </c>
      <c r="H323" s="9" t="s">
        <v>153</v>
      </c>
      <c r="I323" s="9" t="s">
        <v>115</v>
      </c>
      <c r="J323" s="9">
        <v>1420</v>
      </c>
      <c r="K323" s="9" t="s">
        <v>2717</v>
      </c>
      <c r="L323" s="9" t="s">
        <v>117</v>
      </c>
      <c r="M323" s="10">
        <v>3.1724537037037037E-2</v>
      </c>
      <c r="N323" s="9" t="s">
        <v>127</v>
      </c>
      <c r="O323" s="9" t="s">
        <v>2718</v>
      </c>
      <c r="P323" s="9" t="s">
        <v>119</v>
      </c>
      <c r="Q323" s="10">
        <v>0.1288194444444444</v>
      </c>
      <c r="R323" s="9" t="s">
        <v>56</v>
      </c>
      <c r="S323" s="10">
        <v>0.15290509259259261</v>
      </c>
      <c r="T323" s="9">
        <v>18.783999999999999</v>
      </c>
      <c r="U323" s="9">
        <v>7.74</v>
      </c>
      <c r="V323" s="10">
        <v>0.1010763888888889</v>
      </c>
      <c r="W323" s="10">
        <v>6.9780092592592588E-2</v>
      </c>
      <c r="X323" s="10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1</v>
      </c>
      <c r="AE323" s="9" t="s">
        <v>139</v>
      </c>
      <c r="AF323" s="9" t="s">
        <v>2719</v>
      </c>
      <c r="AG323" s="9" t="s">
        <v>2720</v>
      </c>
      <c r="AH323" s="9">
        <v>6.2260249999999999</v>
      </c>
      <c r="AI323" s="9">
        <v>-75.599369999999993</v>
      </c>
      <c r="AJ323" s="9" t="s">
        <v>2721</v>
      </c>
      <c r="AK323" s="9">
        <v>6.2517670000000001</v>
      </c>
      <c r="AL323" s="9">
        <v>-75.551829999999995</v>
      </c>
      <c r="AM323" s="26">
        <f t="shared" ref="AM323:AM325" si="5">IF(N323="INICIO TARDÍO",M323,0)+IF(R323="TERMINÓ ANTES",Q323,0)</f>
        <v>0.1288194444444444</v>
      </c>
      <c r="AN323" s="9"/>
    </row>
    <row r="324" spans="1:40" ht="15" x14ac:dyDescent="0.25">
      <c r="A324" s="9" t="s">
        <v>2722</v>
      </c>
      <c r="B324" s="9" t="s">
        <v>2723</v>
      </c>
      <c r="C324" s="9" t="s">
        <v>2724</v>
      </c>
      <c r="D324" s="9" t="s">
        <v>2618</v>
      </c>
      <c r="E324" s="9" t="s">
        <v>2619</v>
      </c>
      <c r="F324" s="9" t="s">
        <v>315</v>
      </c>
      <c r="G324" s="9" t="s">
        <v>160</v>
      </c>
      <c r="H324" s="9" t="s">
        <v>161</v>
      </c>
      <c r="I324" s="9" t="s">
        <v>115</v>
      </c>
      <c r="J324" s="9">
        <v>9563</v>
      </c>
      <c r="K324" s="9" t="s">
        <v>2725</v>
      </c>
      <c r="L324" s="9" t="s">
        <v>117</v>
      </c>
      <c r="M324" s="10">
        <v>1.9616215277777779E-2</v>
      </c>
      <c r="N324" s="9" t="s">
        <v>127</v>
      </c>
      <c r="O324" s="9" t="s">
        <v>2726</v>
      </c>
      <c r="P324" s="9" t="s">
        <v>119</v>
      </c>
      <c r="Q324" s="10">
        <v>1.4685555555555559E-2</v>
      </c>
      <c r="R324" s="9" t="s">
        <v>129</v>
      </c>
      <c r="S324" s="10">
        <v>0.2843017708333333</v>
      </c>
      <c r="T324" s="9">
        <v>55.212000000000003</v>
      </c>
      <c r="U324" s="9">
        <v>13.09</v>
      </c>
      <c r="V324" s="10">
        <v>0.17577624999999991</v>
      </c>
      <c r="W324" s="10">
        <v>0.12171476851851851</v>
      </c>
      <c r="X324" s="10">
        <v>5.9606134259259256E-3</v>
      </c>
      <c r="Y324" s="9">
        <v>0</v>
      </c>
      <c r="Z324" s="9">
        <v>0</v>
      </c>
      <c r="AA324" s="9">
        <v>0</v>
      </c>
      <c r="AB324" s="9">
        <v>0</v>
      </c>
      <c r="AC324" s="9">
        <v>0</v>
      </c>
      <c r="AD324" s="9">
        <v>3</v>
      </c>
      <c r="AE324" s="9" t="s">
        <v>130</v>
      </c>
      <c r="AF324" s="9" t="s">
        <v>2727</v>
      </c>
      <c r="AG324" s="9" t="s">
        <v>2728</v>
      </c>
      <c r="AH324" s="9">
        <v>6.2264699999999999</v>
      </c>
      <c r="AI324" s="9">
        <v>-75.599547999999999</v>
      </c>
      <c r="AJ324" s="9" t="s">
        <v>2729</v>
      </c>
      <c r="AK324" s="9">
        <v>6.2684319999999998</v>
      </c>
      <c r="AL324" s="9">
        <v>-75.599476999999993</v>
      </c>
      <c r="AM324" s="26">
        <f t="shared" si="5"/>
        <v>0</v>
      </c>
      <c r="AN324" s="9"/>
    </row>
    <row r="325" spans="1:40" ht="15" x14ac:dyDescent="0.25">
      <c r="A325" s="9" t="s">
        <v>2730</v>
      </c>
      <c r="B325" s="9" t="s">
        <v>2731</v>
      </c>
      <c r="C325" s="9" t="s">
        <v>2732</v>
      </c>
      <c r="D325" s="9" t="s">
        <v>2733</v>
      </c>
      <c r="E325" s="9" t="s">
        <v>2619</v>
      </c>
      <c r="F325" s="9" t="s">
        <v>406</v>
      </c>
      <c r="G325" s="9" t="s">
        <v>38</v>
      </c>
      <c r="H325" s="9" t="s">
        <v>39</v>
      </c>
      <c r="I325" s="9" t="s">
        <v>40</v>
      </c>
      <c r="J325" s="9">
        <v>7959</v>
      </c>
      <c r="K325" s="9" t="s">
        <v>2734</v>
      </c>
      <c r="L325" s="9" t="s">
        <v>42</v>
      </c>
      <c r="M325" s="10">
        <v>1.377377314814815E-2</v>
      </c>
      <c r="N325" s="9" t="s">
        <v>43</v>
      </c>
      <c r="O325" s="9" t="s">
        <v>2735</v>
      </c>
      <c r="P325" s="9" t="s">
        <v>413</v>
      </c>
      <c r="Q325" s="10">
        <v>5.5670601851851853E-3</v>
      </c>
      <c r="R325" s="9" t="s">
        <v>46</v>
      </c>
      <c r="S325" s="10">
        <v>0.29315916666666669</v>
      </c>
      <c r="T325" s="9">
        <v>52.771999999999998</v>
      </c>
      <c r="U325" s="9">
        <v>21.83</v>
      </c>
      <c r="V325" s="10">
        <v>0.10070980324074071</v>
      </c>
      <c r="W325" s="10">
        <v>3.478936342592593E-2</v>
      </c>
      <c r="X325" s="10">
        <v>0</v>
      </c>
      <c r="Y325" s="9">
        <v>0</v>
      </c>
      <c r="Z325" s="9">
        <v>0</v>
      </c>
      <c r="AA325" s="9">
        <v>0</v>
      </c>
      <c r="AB325" s="9">
        <v>0</v>
      </c>
      <c r="AC325" s="9">
        <v>0</v>
      </c>
      <c r="AD325" s="9">
        <v>6</v>
      </c>
      <c r="AE325" s="9" t="s">
        <v>47</v>
      </c>
      <c r="AF325" s="9" t="s">
        <v>2736</v>
      </c>
      <c r="AG325" s="9" t="s">
        <v>2737</v>
      </c>
      <c r="AH325" s="9">
        <v>6.2217750000000001</v>
      </c>
      <c r="AI325" s="9">
        <v>-75.593822000000003</v>
      </c>
      <c r="AJ325" s="9" t="s">
        <v>2738</v>
      </c>
      <c r="AK325" s="9">
        <v>6.2217039999999999</v>
      </c>
      <c r="AL325" s="9">
        <v>-75.593849000000006</v>
      </c>
      <c r="AM325" s="26">
        <f t="shared" si="5"/>
        <v>1.377377314814815E-2</v>
      </c>
      <c r="AN325" s="9"/>
    </row>
    <row r="326" spans="1:40" ht="15" x14ac:dyDescent="0.25">
      <c r="A326" s="9" t="s">
        <v>2739</v>
      </c>
      <c r="B326" s="9" t="s">
        <v>2740</v>
      </c>
      <c r="C326" s="9" t="s">
        <v>2741</v>
      </c>
      <c r="D326" s="9" t="s">
        <v>2733</v>
      </c>
      <c r="E326" s="9" t="s">
        <v>2619</v>
      </c>
      <c r="F326" s="9" t="s">
        <v>406</v>
      </c>
      <c r="G326" s="9" t="s">
        <v>52</v>
      </c>
      <c r="H326" s="9" t="s">
        <v>53</v>
      </c>
      <c r="I326" s="9" t="s">
        <v>40</v>
      </c>
      <c r="J326" s="9">
        <v>3894</v>
      </c>
      <c r="K326" s="9" t="s">
        <v>2742</v>
      </c>
      <c r="L326" s="9" t="s">
        <v>42</v>
      </c>
      <c r="M326" s="10">
        <v>1.608796296296296E-2</v>
      </c>
      <c r="N326" s="9" t="s">
        <v>127</v>
      </c>
      <c r="O326" s="9" t="s">
        <v>2743</v>
      </c>
      <c r="P326" s="9" t="s">
        <v>413</v>
      </c>
      <c r="Q326" s="10">
        <v>1.631944444444445E-3</v>
      </c>
      <c r="R326" s="9" t="s">
        <v>46</v>
      </c>
      <c r="S326" s="10">
        <v>0.33021990740740742</v>
      </c>
      <c r="T326" s="9">
        <v>55.936999999999998</v>
      </c>
      <c r="U326" s="9">
        <v>8.2899999999999991</v>
      </c>
      <c r="V326" s="10">
        <v>0.28120370370370368</v>
      </c>
      <c r="W326" s="10">
        <v>0.18986111111111109</v>
      </c>
      <c r="X326" s="10">
        <v>0</v>
      </c>
      <c r="Y326" s="9">
        <v>0</v>
      </c>
      <c r="Z326" s="9">
        <v>0</v>
      </c>
      <c r="AA326" s="9">
        <v>0</v>
      </c>
      <c r="AB326" s="9">
        <v>0</v>
      </c>
      <c r="AC326" s="9">
        <v>0</v>
      </c>
      <c r="AD326" s="9">
        <v>3</v>
      </c>
      <c r="AE326" s="9" t="s">
        <v>139</v>
      </c>
      <c r="AF326" s="9" t="s">
        <v>2744</v>
      </c>
      <c r="AG326" s="9" t="s">
        <v>2745</v>
      </c>
      <c r="AH326" s="9">
        <v>6.225841</v>
      </c>
      <c r="AI326" s="9">
        <v>-75.599310000000003</v>
      </c>
      <c r="AJ326" s="9" t="s">
        <v>2746</v>
      </c>
      <c r="AK326" s="9">
        <v>6.2477780000000003</v>
      </c>
      <c r="AL326" s="9">
        <v>-75.614999999999995</v>
      </c>
      <c r="AM326" s="26">
        <f t="shared" ref="AM326:AM388" si="6">IF(N326="INICIO TARDÍO",M326,0)+IF(R326="TERMINÓ ANTES",Q326,0)</f>
        <v>0</v>
      </c>
    </row>
    <row r="327" spans="1:40" ht="15" x14ac:dyDescent="0.25">
      <c r="A327" s="9" t="s">
        <v>2747</v>
      </c>
      <c r="B327" s="9" t="s">
        <v>2748</v>
      </c>
      <c r="C327" s="9" t="s">
        <v>2749</v>
      </c>
      <c r="D327" s="9" t="s">
        <v>2733</v>
      </c>
      <c r="E327" s="9" t="s">
        <v>2619</v>
      </c>
      <c r="F327" s="9" t="s">
        <v>406</v>
      </c>
      <c r="G327" s="9" t="s">
        <v>113</v>
      </c>
      <c r="H327" s="9" t="s">
        <v>114</v>
      </c>
      <c r="I327" s="9" t="s">
        <v>40</v>
      </c>
      <c r="J327" s="9">
        <v>2444</v>
      </c>
      <c r="K327" s="9" t="s">
        <v>2750</v>
      </c>
      <c r="L327" s="9" t="s">
        <v>42</v>
      </c>
      <c r="M327" s="10">
        <v>1.711805555555556E-2</v>
      </c>
      <c r="N327" s="9" t="s">
        <v>43</v>
      </c>
      <c r="O327" s="9" t="s">
        <v>2751</v>
      </c>
      <c r="P327" s="9" t="s">
        <v>413</v>
      </c>
      <c r="Q327" s="10">
        <v>2.9953703703703701E-2</v>
      </c>
      <c r="R327" s="9" t="s">
        <v>56</v>
      </c>
      <c r="S327" s="10">
        <v>0.26542824074074067</v>
      </c>
      <c r="T327" s="9">
        <v>32.552</v>
      </c>
      <c r="U327" s="9">
        <v>6.43</v>
      </c>
      <c r="V327" s="10">
        <v>0.21079861111111109</v>
      </c>
      <c r="W327" s="10">
        <v>0.15156249999999999</v>
      </c>
      <c r="X327" s="10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2</v>
      </c>
      <c r="AE327" s="9" t="s">
        <v>57</v>
      </c>
      <c r="AF327" s="9" t="s">
        <v>2752</v>
      </c>
      <c r="AG327" s="9" t="s">
        <v>2753</v>
      </c>
      <c r="AH327" s="9">
        <v>6.22675</v>
      </c>
      <c r="AI327" s="9">
        <v>-75.601354000000001</v>
      </c>
      <c r="AJ327" s="9" t="s">
        <v>2754</v>
      </c>
      <c r="AK327" s="9">
        <v>6.2511450000000002</v>
      </c>
      <c r="AL327" s="9">
        <v>-75.602317999999997</v>
      </c>
      <c r="AM327" s="26">
        <f t="shared" si="6"/>
        <v>4.7071759259259258E-2</v>
      </c>
    </row>
    <row r="328" spans="1:40" ht="15" x14ac:dyDescent="0.25">
      <c r="A328" s="9" t="s">
        <v>2755</v>
      </c>
      <c r="B328" s="9" t="s">
        <v>2756</v>
      </c>
      <c r="C328" s="9" t="s">
        <v>2757</v>
      </c>
      <c r="D328" s="9" t="s">
        <v>2733</v>
      </c>
      <c r="E328" s="9" t="s">
        <v>2619</v>
      </c>
      <c r="F328" s="9" t="s">
        <v>406</v>
      </c>
      <c r="G328" s="9" t="s">
        <v>62</v>
      </c>
      <c r="H328" s="9" t="s">
        <v>63</v>
      </c>
      <c r="I328" s="9" t="s">
        <v>40</v>
      </c>
      <c r="J328" s="9">
        <v>3262</v>
      </c>
      <c r="K328" s="9" t="s">
        <v>2758</v>
      </c>
      <c r="L328" s="9" t="s">
        <v>42</v>
      </c>
      <c r="M328" s="10">
        <v>2.945601851851852E-2</v>
      </c>
      <c r="N328" s="9" t="s">
        <v>43</v>
      </c>
      <c r="O328" s="9" t="s">
        <v>2759</v>
      </c>
      <c r="P328" s="9" t="s">
        <v>413</v>
      </c>
      <c r="Q328" s="10">
        <v>9.6030092592592597E-2</v>
      </c>
      <c r="R328" s="9" t="s">
        <v>56</v>
      </c>
      <c r="S328" s="10">
        <v>0.1870138888888889</v>
      </c>
      <c r="T328" s="9">
        <v>44.158999999999999</v>
      </c>
      <c r="U328" s="9">
        <v>15.18</v>
      </c>
      <c r="V328" s="10">
        <v>0.12119212962962959</v>
      </c>
      <c r="W328" s="10">
        <v>4.5902777777777778E-2</v>
      </c>
      <c r="X328" s="10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9" t="s">
        <v>57</v>
      </c>
      <c r="AF328" s="9" t="s">
        <v>2760</v>
      </c>
      <c r="AG328" s="9" t="s">
        <v>2761</v>
      </c>
      <c r="AH328" s="9">
        <v>6.2352509999999999</v>
      </c>
      <c r="AI328" s="9">
        <v>-75.600564000000006</v>
      </c>
      <c r="AJ328" s="9" t="s">
        <v>2762</v>
      </c>
      <c r="AK328" s="9">
        <v>6.300592</v>
      </c>
      <c r="AL328" s="9">
        <v>-75.568960000000004</v>
      </c>
      <c r="AM328" s="26">
        <f t="shared" si="6"/>
        <v>0.12548611111111113</v>
      </c>
    </row>
    <row r="329" spans="1:40" ht="15" x14ac:dyDescent="0.25">
      <c r="A329" s="9" t="s">
        <v>2763</v>
      </c>
      <c r="B329" s="9" t="s">
        <v>2764</v>
      </c>
      <c r="C329" s="9" t="s">
        <v>2765</v>
      </c>
      <c r="D329" s="9" t="s">
        <v>2733</v>
      </c>
      <c r="E329" s="9" t="s">
        <v>2619</v>
      </c>
      <c r="F329" s="9" t="s">
        <v>406</v>
      </c>
      <c r="G329" s="9" t="s">
        <v>80</v>
      </c>
      <c r="H329" s="9" t="s">
        <v>81</v>
      </c>
      <c r="I329" s="9" t="s">
        <v>40</v>
      </c>
      <c r="J329" s="9">
        <v>6000</v>
      </c>
      <c r="K329" s="9" t="s">
        <v>2766</v>
      </c>
      <c r="L329" s="9" t="s">
        <v>42</v>
      </c>
      <c r="M329" s="10">
        <v>3.102303240740741E-3</v>
      </c>
      <c r="N329" s="9" t="s">
        <v>65</v>
      </c>
      <c r="O329" s="9" t="s">
        <v>2767</v>
      </c>
      <c r="P329" s="9" t="s">
        <v>413</v>
      </c>
      <c r="Q329" s="10">
        <v>2.086569444444444E-2</v>
      </c>
      <c r="R329" s="9" t="s">
        <v>129</v>
      </c>
      <c r="S329" s="10">
        <v>0.33026339120370368</v>
      </c>
      <c r="T329" s="9">
        <v>39.268000000000001</v>
      </c>
      <c r="U329" s="9">
        <v>18.03</v>
      </c>
      <c r="V329" s="10">
        <v>9.0739675925925883E-2</v>
      </c>
      <c r="W329" s="10">
        <v>4.3603831018518523E-2</v>
      </c>
      <c r="X329" s="10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14</v>
      </c>
      <c r="AE329" s="9" t="s">
        <v>130</v>
      </c>
      <c r="AF329" s="9" t="s">
        <v>2768</v>
      </c>
      <c r="AG329" s="9" t="s">
        <v>2769</v>
      </c>
      <c r="AH329" s="9">
        <v>6.2256489999999998</v>
      </c>
      <c r="AI329" s="9">
        <v>-75.599413999999996</v>
      </c>
      <c r="AJ329" s="9" t="s">
        <v>2770</v>
      </c>
      <c r="AK329" s="9">
        <v>6.2468830000000004</v>
      </c>
      <c r="AL329" s="9">
        <v>-75.554148999999995</v>
      </c>
      <c r="AM329" s="26">
        <f t="shared" si="6"/>
        <v>0</v>
      </c>
    </row>
    <row r="330" spans="1:40" ht="15" x14ac:dyDescent="0.25">
      <c r="A330" s="9" t="s">
        <v>2771</v>
      </c>
      <c r="B330" s="9" t="s">
        <v>2772</v>
      </c>
      <c r="C330" s="9" t="s">
        <v>2773</v>
      </c>
      <c r="D330" s="9" t="s">
        <v>2733</v>
      </c>
      <c r="E330" s="9" t="s">
        <v>2619</v>
      </c>
      <c r="F330" s="9" t="s">
        <v>406</v>
      </c>
      <c r="G330" s="9" t="s">
        <v>89</v>
      </c>
      <c r="H330" s="9" t="s">
        <v>90</v>
      </c>
      <c r="I330" s="9" t="s">
        <v>40</v>
      </c>
      <c r="J330" s="9">
        <v>4031</v>
      </c>
      <c r="K330" s="9" t="s">
        <v>2774</v>
      </c>
      <c r="L330" s="9" t="s">
        <v>42</v>
      </c>
      <c r="M330" s="10">
        <v>1.805555555555555E-3</v>
      </c>
      <c r="N330" s="9" t="s">
        <v>65</v>
      </c>
      <c r="O330" s="9" t="s">
        <v>2775</v>
      </c>
      <c r="P330" s="9" t="s">
        <v>413</v>
      </c>
      <c r="Q330" s="10">
        <v>9.432870370370371E-3</v>
      </c>
      <c r="R330" s="9" t="s">
        <v>46</v>
      </c>
      <c r="S330" s="10">
        <v>0.30126157407407411</v>
      </c>
      <c r="T330" s="9">
        <v>49.186999999999998</v>
      </c>
      <c r="U330" s="9">
        <v>8.08</v>
      </c>
      <c r="V330" s="10">
        <v>0.25365740740740739</v>
      </c>
      <c r="W330" s="10">
        <v>0.12096064814814821</v>
      </c>
      <c r="X330" s="10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0</v>
      </c>
      <c r="AD330" s="9">
        <v>0</v>
      </c>
      <c r="AE330" s="9" t="s">
        <v>84</v>
      </c>
      <c r="AF330" s="9" t="s">
        <v>352</v>
      </c>
      <c r="AG330" s="9" t="s">
        <v>2776</v>
      </c>
      <c r="AH330" s="9">
        <v>6.2268699999999999</v>
      </c>
      <c r="AI330" s="9">
        <v>-75.599140000000006</v>
      </c>
      <c r="AJ330" s="9" t="s">
        <v>2777</v>
      </c>
      <c r="AK330" s="9">
        <v>6.2794489999999996</v>
      </c>
      <c r="AL330" s="9">
        <v>-75.569809000000006</v>
      </c>
      <c r="AM330" s="26">
        <f t="shared" si="6"/>
        <v>0</v>
      </c>
    </row>
    <row r="331" spans="1:40" ht="15" x14ac:dyDescent="0.25">
      <c r="A331" s="9" t="s">
        <v>2778</v>
      </c>
      <c r="B331" s="9" t="s">
        <v>2779</v>
      </c>
      <c r="C331" s="9" t="s">
        <v>2780</v>
      </c>
      <c r="D331" s="9" t="s">
        <v>2733</v>
      </c>
      <c r="E331" s="9" t="s">
        <v>2619</v>
      </c>
      <c r="F331" s="9" t="s">
        <v>406</v>
      </c>
      <c r="G331" s="9" t="s">
        <v>97</v>
      </c>
      <c r="H331" s="9" t="s">
        <v>98</v>
      </c>
      <c r="I331" s="9" t="s">
        <v>40</v>
      </c>
      <c r="J331" s="9">
        <v>4983</v>
      </c>
      <c r="K331" s="9" t="s">
        <v>2781</v>
      </c>
      <c r="L331" s="9" t="s">
        <v>42</v>
      </c>
      <c r="M331" s="10">
        <v>8.5532407407407415E-3</v>
      </c>
      <c r="N331" s="9" t="s">
        <v>65</v>
      </c>
      <c r="O331" s="9" t="s">
        <v>2782</v>
      </c>
      <c r="P331" s="9" t="s">
        <v>413</v>
      </c>
      <c r="Q331" s="10">
        <v>4.9247685185185193E-2</v>
      </c>
      <c r="R331" s="9" t="s">
        <v>56</v>
      </c>
      <c r="S331" s="10">
        <v>0.25469907407407399</v>
      </c>
      <c r="T331" s="9">
        <v>67.352000000000004</v>
      </c>
      <c r="U331" s="9">
        <v>15.17</v>
      </c>
      <c r="V331" s="10">
        <v>0.1850347222222222</v>
      </c>
      <c r="W331" s="10">
        <v>9.3159722222222227E-2</v>
      </c>
      <c r="X331" s="10">
        <v>4.3518518518518524E-3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9">
        <v>1</v>
      </c>
      <c r="AE331" s="9" t="s">
        <v>67</v>
      </c>
      <c r="AF331" s="9" t="s">
        <v>2783</v>
      </c>
      <c r="AG331" s="9" t="s">
        <v>2784</v>
      </c>
      <c r="AH331" s="9">
        <v>6.2257360000000004</v>
      </c>
      <c r="AI331" s="9">
        <v>-75.599547000000001</v>
      </c>
      <c r="AJ331" s="9" t="s">
        <v>2785</v>
      </c>
      <c r="AK331" s="9">
        <v>6.3070430000000002</v>
      </c>
      <c r="AL331" s="9">
        <v>-75.555594999999997</v>
      </c>
      <c r="AM331" s="26">
        <f t="shared" si="6"/>
        <v>4.9247685185185193E-2</v>
      </c>
    </row>
    <row r="332" spans="1:40" ht="15" x14ac:dyDescent="0.25">
      <c r="A332" s="9" t="s">
        <v>2786</v>
      </c>
      <c r="B332" s="9" t="s">
        <v>2787</v>
      </c>
      <c r="C332" s="9" t="s">
        <v>2788</v>
      </c>
      <c r="D332" s="9" t="s">
        <v>2733</v>
      </c>
      <c r="E332" s="9" t="s">
        <v>2619</v>
      </c>
      <c r="F332" s="9" t="s">
        <v>406</v>
      </c>
      <c r="G332" s="9" t="s">
        <v>105</v>
      </c>
      <c r="H332" s="9" t="s">
        <v>106</v>
      </c>
      <c r="I332" s="9" t="s">
        <v>40</v>
      </c>
      <c r="J332" s="9">
        <v>2153</v>
      </c>
      <c r="K332" s="9" t="s">
        <v>2789</v>
      </c>
      <c r="L332" s="9" t="s">
        <v>42</v>
      </c>
      <c r="M332" s="10">
        <v>2.210648148148148E-2</v>
      </c>
      <c r="N332" s="9" t="s">
        <v>43</v>
      </c>
      <c r="O332" s="9" t="s">
        <v>2790</v>
      </c>
      <c r="P332" s="9" t="s">
        <v>413</v>
      </c>
      <c r="Q332" s="10">
        <v>7.6273148148148151E-3</v>
      </c>
      <c r="R332" s="9" t="s">
        <v>46</v>
      </c>
      <c r="S332" s="10">
        <v>0.29802083333333329</v>
      </c>
      <c r="T332" s="9">
        <v>27.184999999999999</v>
      </c>
      <c r="U332" s="9">
        <v>9.01</v>
      </c>
      <c r="V332" s="10">
        <v>0.1257638888888889</v>
      </c>
      <c r="W332" s="10">
        <v>8.6365740740740743E-2</v>
      </c>
      <c r="X332" s="10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1</v>
      </c>
      <c r="AE332" s="9" t="s">
        <v>47</v>
      </c>
      <c r="AF332" s="9" t="s">
        <v>2791</v>
      </c>
      <c r="AG332" s="9" t="s">
        <v>2792</v>
      </c>
      <c r="AH332" s="9">
        <v>6.2257860000000003</v>
      </c>
      <c r="AI332" s="9">
        <v>-75.599468000000002</v>
      </c>
      <c r="AJ332" s="9" t="s">
        <v>2793</v>
      </c>
      <c r="AK332" s="9">
        <v>6.2319110000000002</v>
      </c>
      <c r="AL332" s="9">
        <v>-75.603089999999995</v>
      </c>
      <c r="AM332" s="26">
        <f t="shared" si="6"/>
        <v>2.210648148148148E-2</v>
      </c>
    </row>
    <row r="333" spans="1:40" ht="15" x14ac:dyDescent="0.25">
      <c r="A333" s="9" t="s">
        <v>2794</v>
      </c>
      <c r="B333" s="9" t="s">
        <v>2795</v>
      </c>
      <c r="C333" s="9" t="s">
        <v>2796</v>
      </c>
      <c r="D333" s="9" t="s">
        <v>2797</v>
      </c>
      <c r="E333" s="9" t="s">
        <v>2619</v>
      </c>
      <c r="F333" s="9" t="s">
        <v>455</v>
      </c>
      <c r="G333" s="9" t="s">
        <v>52</v>
      </c>
      <c r="H333" s="9" t="s">
        <v>53</v>
      </c>
      <c r="I333" s="9" t="s">
        <v>40</v>
      </c>
      <c r="J333" s="9">
        <v>3130</v>
      </c>
      <c r="K333" s="9" t="s">
        <v>2798</v>
      </c>
      <c r="L333" s="9" t="s">
        <v>42</v>
      </c>
      <c r="M333" s="10">
        <v>1.380787037037037E-2</v>
      </c>
      <c r="N333" s="9" t="s">
        <v>43</v>
      </c>
      <c r="O333" s="9" t="s">
        <v>2799</v>
      </c>
      <c r="P333" s="9" t="s">
        <v>413</v>
      </c>
      <c r="Q333" s="10">
        <v>1.819444444444444E-2</v>
      </c>
      <c r="R333" s="9" t="s">
        <v>56</v>
      </c>
      <c r="S333" s="10">
        <v>0.2804976851851852</v>
      </c>
      <c r="T333" s="9">
        <v>40.445</v>
      </c>
      <c r="U333" s="9">
        <v>7.65</v>
      </c>
      <c r="V333" s="10">
        <v>0.22027777777777779</v>
      </c>
      <c r="W333" s="10">
        <v>0.1456365740740741</v>
      </c>
      <c r="X333" s="10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2</v>
      </c>
      <c r="AE333" s="9" t="s">
        <v>57</v>
      </c>
      <c r="AF333" s="9" t="s">
        <v>2800</v>
      </c>
      <c r="AG333" s="9" t="s">
        <v>2801</v>
      </c>
      <c r="AH333" s="9">
        <v>6.2478400000000001</v>
      </c>
      <c r="AI333" s="9">
        <v>-75.615064000000004</v>
      </c>
      <c r="AJ333" s="9" t="s">
        <v>2802</v>
      </c>
      <c r="AK333" s="9">
        <v>6.2288399999999999</v>
      </c>
      <c r="AL333" s="9">
        <v>-75.578445000000002</v>
      </c>
      <c r="AM333" s="26">
        <f t="shared" si="6"/>
        <v>3.200231481481481E-2</v>
      </c>
    </row>
    <row r="334" spans="1:40" ht="15" x14ac:dyDescent="0.25">
      <c r="A334" s="9" t="s">
        <v>2803</v>
      </c>
      <c r="B334" s="9" t="s">
        <v>2804</v>
      </c>
      <c r="C334" s="9" t="s">
        <v>2805</v>
      </c>
      <c r="D334" s="9" t="s">
        <v>2797</v>
      </c>
      <c r="E334" s="9" t="s">
        <v>2619</v>
      </c>
      <c r="F334" s="9" t="s">
        <v>455</v>
      </c>
      <c r="G334" s="9" t="s">
        <v>113</v>
      </c>
      <c r="H334" s="9" t="s">
        <v>114</v>
      </c>
      <c r="I334" s="9" t="s">
        <v>40</v>
      </c>
      <c r="J334" s="9">
        <v>2471</v>
      </c>
      <c r="K334" s="9" t="s">
        <v>2806</v>
      </c>
      <c r="L334" s="9" t="s">
        <v>42</v>
      </c>
      <c r="M334" s="10">
        <v>3.6030092592592593E-2</v>
      </c>
      <c r="N334" s="9" t="s">
        <v>43</v>
      </c>
      <c r="O334" s="9" t="s">
        <v>2807</v>
      </c>
      <c r="P334" s="9" t="s">
        <v>413</v>
      </c>
      <c r="Q334" s="10">
        <v>2.266203703703704E-2</v>
      </c>
      <c r="R334" s="9" t="s">
        <v>56</v>
      </c>
      <c r="S334" s="10">
        <v>0.25380787037037039</v>
      </c>
      <c r="T334" s="9">
        <v>30.024999999999999</v>
      </c>
      <c r="U334" s="9">
        <v>6.81</v>
      </c>
      <c r="V334" s="10">
        <v>0.1837847222222222</v>
      </c>
      <c r="W334" s="10">
        <v>0.1191435185185185</v>
      </c>
      <c r="X334" s="10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9">
        <v>1</v>
      </c>
      <c r="AE334" s="9" t="s">
        <v>57</v>
      </c>
      <c r="AF334" s="9" t="s">
        <v>2808</v>
      </c>
      <c r="AG334" s="9" t="s">
        <v>2809</v>
      </c>
      <c r="AH334" s="9">
        <v>6.2504619999999997</v>
      </c>
      <c r="AI334" s="9">
        <v>-75.601303999999999</v>
      </c>
      <c r="AJ334" s="9" t="s">
        <v>2810</v>
      </c>
      <c r="AK334" s="9">
        <v>6.2432840000000001</v>
      </c>
      <c r="AL334" s="9">
        <v>-75.602463999999998</v>
      </c>
      <c r="AM334" s="26">
        <f t="shared" si="6"/>
        <v>5.8692129629629636E-2</v>
      </c>
    </row>
    <row r="335" spans="1:40" ht="15" x14ac:dyDescent="0.25">
      <c r="A335" s="9" t="s">
        <v>2811</v>
      </c>
      <c r="B335" s="9" t="s">
        <v>2812</v>
      </c>
      <c r="C335" s="9" t="s">
        <v>2813</v>
      </c>
      <c r="D335" s="9" t="s">
        <v>2733</v>
      </c>
      <c r="E335" s="9" t="s">
        <v>2619</v>
      </c>
      <c r="F335" s="9" t="s">
        <v>406</v>
      </c>
      <c r="G335" s="9" t="s">
        <v>72</v>
      </c>
      <c r="H335" s="9" t="s">
        <v>73</v>
      </c>
      <c r="I335" s="9" t="s">
        <v>40</v>
      </c>
      <c r="J335" s="9">
        <v>4157</v>
      </c>
      <c r="K335" s="9" t="s">
        <v>2814</v>
      </c>
      <c r="L335" s="9" t="s">
        <v>42</v>
      </c>
      <c r="M335" s="10">
        <v>9.6296296296296303E-3</v>
      </c>
      <c r="N335" s="9" t="s">
        <v>65</v>
      </c>
      <c r="O335" s="9" t="s">
        <v>2815</v>
      </c>
      <c r="P335" s="9" t="s">
        <v>413</v>
      </c>
      <c r="Q335" s="10">
        <v>7.1435185185185185E-2</v>
      </c>
      <c r="R335" s="9" t="s">
        <v>56</v>
      </c>
      <c r="S335" s="10">
        <v>0.25069444444444439</v>
      </c>
      <c r="T335" s="9">
        <v>57.838000000000001</v>
      </c>
      <c r="U335" s="9">
        <v>9.67</v>
      </c>
      <c r="V335" s="10">
        <v>0.24929398148148149</v>
      </c>
      <c r="W335" s="10">
        <v>0.15414351851851851</v>
      </c>
      <c r="X335" s="10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3</v>
      </c>
      <c r="AE335" s="9" t="s">
        <v>67</v>
      </c>
      <c r="AF335" s="9" t="s">
        <v>2816</v>
      </c>
      <c r="AG335" s="9" t="s">
        <v>2817</v>
      </c>
      <c r="AH335" s="9">
        <v>6.2249990000000004</v>
      </c>
      <c r="AI335" s="9">
        <v>-75.598747000000003</v>
      </c>
      <c r="AJ335" s="9" t="s">
        <v>2818</v>
      </c>
      <c r="AK335" s="9">
        <v>6.2369199999999996</v>
      </c>
      <c r="AL335" s="9">
        <v>-75.558722000000003</v>
      </c>
      <c r="AM335" s="26">
        <f t="shared" si="6"/>
        <v>7.1435185185185185E-2</v>
      </c>
    </row>
    <row r="336" spans="1:40" ht="15" x14ac:dyDescent="0.25">
      <c r="A336" s="9" t="s">
        <v>2819</v>
      </c>
      <c r="B336" s="9" t="s">
        <v>2820</v>
      </c>
      <c r="C336" s="9" t="s">
        <v>2821</v>
      </c>
      <c r="D336" s="9" t="s">
        <v>2733</v>
      </c>
      <c r="E336" s="9" t="s">
        <v>2619</v>
      </c>
      <c r="F336" s="9" t="s">
        <v>406</v>
      </c>
      <c r="G336" s="9" t="s">
        <v>124</v>
      </c>
      <c r="H336" s="9" t="s">
        <v>125</v>
      </c>
      <c r="I336" s="9" t="s">
        <v>115</v>
      </c>
      <c r="J336" s="9">
        <v>3739</v>
      </c>
      <c r="K336" s="9" t="s">
        <v>2822</v>
      </c>
      <c r="L336" s="9" t="s">
        <v>117</v>
      </c>
      <c r="M336" s="10">
        <v>6.2962962962962964E-3</v>
      </c>
      <c r="N336" s="9" t="s">
        <v>65</v>
      </c>
      <c r="O336" s="9" t="s">
        <v>2823</v>
      </c>
      <c r="P336" s="9" t="s">
        <v>119</v>
      </c>
      <c r="Q336" s="10">
        <v>1.9861111111111111E-2</v>
      </c>
      <c r="R336" s="9" t="s">
        <v>129</v>
      </c>
      <c r="S336" s="10">
        <v>0.27615740740740741</v>
      </c>
      <c r="T336" s="9">
        <v>46.383000000000003</v>
      </c>
      <c r="U336" s="9">
        <v>9.67</v>
      </c>
      <c r="V336" s="10">
        <v>0.19993055555555561</v>
      </c>
      <c r="W336" s="10">
        <v>9.3611111111111117E-2</v>
      </c>
      <c r="X336" s="10">
        <v>2.8310185185185181E-2</v>
      </c>
      <c r="Y336" s="9">
        <v>1</v>
      </c>
      <c r="Z336" s="9">
        <v>1</v>
      </c>
      <c r="AA336" s="9">
        <v>1</v>
      </c>
      <c r="AB336" s="9">
        <v>1</v>
      </c>
      <c r="AC336" s="9">
        <v>0</v>
      </c>
      <c r="AD336" s="9">
        <v>0</v>
      </c>
      <c r="AE336" s="9" t="s">
        <v>130</v>
      </c>
      <c r="AF336" s="9" t="s">
        <v>2824</v>
      </c>
      <c r="AG336" s="9" t="s">
        <v>2825</v>
      </c>
      <c r="AH336" s="9">
        <v>6.2727029999999999</v>
      </c>
      <c r="AI336" s="9">
        <v>-75.602028000000004</v>
      </c>
      <c r="AJ336" s="9" t="s">
        <v>2826</v>
      </c>
      <c r="AK336" s="9">
        <v>6.272627</v>
      </c>
      <c r="AL336" s="9">
        <v>-75.602096000000003</v>
      </c>
      <c r="AM336" s="26">
        <f t="shared" si="6"/>
        <v>0</v>
      </c>
    </row>
    <row r="337" spans="1:39" ht="15" x14ac:dyDescent="0.25">
      <c r="A337" s="9" t="s">
        <v>2827</v>
      </c>
      <c r="B337" s="9" t="s">
        <v>2828</v>
      </c>
      <c r="C337" s="9" t="s">
        <v>2829</v>
      </c>
      <c r="D337" s="9" t="s">
        <v>2733</v>
      </c>
      <c r="E337" s="9" t="s">
        <v>2619</v>
      </c>
      <c r="F337" s="9" t="s">
        <v>406</v>
      </c>
      <c r="G337" s="9" t="s">
        <v>135</v>
      </c>
      <c r="H337" s="9" t="s">
        <v>136</v>
      </c>
      <c r="I337" s="9" t="s">
        <v>115</v>
      </c>
      <c r="J337" s="9">
        <v>2046</v>
      </c>
      <c r="K337" s="9" t="s">
        <v>2830</v>
      </c>
      <c r="L337" s="9" t="s">
        <v>117</v>
      </c>
      <c r="M337" s="10">
        <v>7.1296296296296299E-3</v>
      </c>
      <c r="N337" s="9" t="s">
        <v>65</v>
      </c>
      <c r="O337" s="9" t="s">
        <v>2831</v>
      </c>
      <c r="P337" s="9" t="s">
        <v>119</v>
      </c>
      <c r="Q337" s="10">
        <v>4.0509259259259258E-4</v>
      </c>
      <c r="R337" s="9" t="s">
        <v>46</v>
      </c>
      <c r="S337" s="10">
        <v>0.25672453703703701</v>
      </c>
      <c r="T337" s="9">
        <v>49.902999999999999</v>
      </c>
      <c r="U337" s="9">
        <v>18.760000000000002</v>
      </c>
      <c r="V337" s="10">
        <v>0.11081018518518521</v>
      </c>
      <c r="W337" s="10">
        <v>5.3761574074074073E-2</v>
      </c>
      <c r="X337" s="10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0</v>
      </c>
      <c r="AD337" s="9">
        <v>7</v>
      </c>
      <c r="AE337" s="9" t="s">
        <v>84</v>
      </c>
      <c r="AF337" s="9" t="s">
        <v>2832</v>
      </c>
      <c r="AG337" s="9" t="s">
        <v>2833</v>
      </c>
      <c r="AH337" s="9">
        <v>6.1896180000000003</v>
      </c>
      <c r="AI337" s="9">
        <v>-75.580875000000006</v>
      </c>
      <c r="AJ337" s="9" t="s">
        <v>2834</v>
      </c>
      <c r="AK337" s="9">
        <v>6.2493990000000004</v>
      </c>
      <c r="AL337" s="9">
        <v>-75.591261000000003</v>
      </c>
      <c r="AM337" s="26">
        <f t="shared" si="6"/>
        <v>0</v>
      </c>
    </row>
    <row r="338" spans="1:39" ht="15" x14ac:dyDescent="0.25">
      <c r="A338" s="9" t="s">
        <v>2835</v>
      </c>
      <c r="B338" s="9" t="s">
        <v>2836</v>
      </c>
      <c r="C338" s="9" t="s">
        <v>2837</v>
      </c>
      <c r="D338" s="9" t="s">
        <v>2733</v>
      </c>
      <c r="E338" s="9" t="s">
        <v>2619</v>
      </c>
      <c r="F338" s="9" t="s">
        <v>406</v>
      </c>
      <c r="G338" s="9" t="s">
        <v>144</v>
      </c>
      <c r="H338" s="9" t="s">
        <v>145</v>
      </c>
      <c r="I338" s="9" t="s">
        <v>115</v>
      </c>
      <c r="J338" s="9">
        <v>7038</v>
      </c>
      <c r="K338" s="9" t="s">
        <v>2838</v>
      </c>
      <c r="L338" s="9" t="s">
        <v>117</v>
      </c>
      <c r="M338" s="10">
        <v>4.6354166666666669E-2</v>
      </c>
      <c r="N338" s="9" t="s">
        <v>43</v>
      </c>
      <c r="O338" s="9" t="s">
        <v>2839</v>
      </c>
      <c r="P338" s="9" t="s">
        <v>119</v>
      </c>
      <c r="Q338" s="10">
        <v>1.423611111111111E-3</v>
      </c>
      <c r="R338" s="9" t="s">
        <v>46</v>
      </c>
      <c r="S338" s="10">
        <v>0.20222222222222219</v>
      </c>
      <c r="T338" s="9">
        <v>94.42</v>
      </c>
      <c r="U338" s="9">
        <v>23.33</v>
      </c>
      <c r="V338" s="10">
        <v>0.1686111111111111</v>
      </c>
      <c r="W338" s="10">
        <v>3.5972222222222218E-2</v>
      </c>
      <c r="X338" s="10">
        <v>0</v>
      </c>
      <c r="Y338" s="9">
        <v>0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9" t="s">
        <v>47</v>
      </c>
      <c r="AF338" s="9" t="s">
        <v>2840</v>
      </c>
      <c r="AG338" s="9" t="s">
        <v>2841</v>
      </c>
      <c r="AH338" s="9">
        <v>6.2906500000000003</v>
      </c>
      <c r="AI338" s="9">
        <v>-75.546368999999999</v>
      </c>
      <c r="AJ338" s="9" t="s">
        <v>2842</v>
      </c>
      <c r="AK338" s="9">
        <v>6.2905110000000004</v>
      </c>
      <c r="AL338" s="9">
        <v>-75.546474000000003</v>
      </c>
      <c r="AM338" s="26">
        <f t="shared" si="6"/>
        <v>4.6354166666666669E-2</v>
      </c>
    </row>
    <row r="339" spans="1:39" ht="15" x14ac:dyDescent="0.25">
      <c r="A339" s="9" t="s">
        <v>2843</v>
      </c>
      <c r="B339" s="9" t="s">
        <v>2844</v>
      </c>
      <c r="C339" s="9" t="s">
        <v>2845</v>
      </c>
      <c r="D339" s="9" t="s">
        <v>2733</v>
      </c>
      <c r="E339" s="9" t="s">
        <v>2619</v>
      </c>
      <c r="F339" s="9" t="s">
        <v>406</v>
      </c>
      <c r="G339" s="9" t="s">
        <v>152</v>
      </c>
      <c r="H339" s="9" t="s">
        <v>153</v>
      </c>
      <c r="I339" s="9" t="s">
        <v>115</v>
      </c>
      <c r="J339" s="9">
        <v>2286</v>
      </c>
      <c r="K339" s="9" t="s">
        <v>2846</v>
      </c>
      <c r="L339" s="9" t="s">
        <v>117</v>
      </c>
      <c r="M339" s="10">
        <v>9.5833333333333326E-3</v>
      </c>
      <c r="N339" s="9" t="s">
        <v>65</v>
      </c>
      <c r="O339" s="9" t="s">
        <v>2847</v>
      </c>
      <c r="P339" s="9" t="s">
        <v>119</v>
      </c>
      <c r="Q339" s="10">
        <v>5.6261574074074068E-2</v>
      </c>
      <c r="R339" s="9" t="s">
        <v>56</v>
      </c>
      <c r="S339" s="10">
        <v>0.2033217592592593</v>
      </c>
      <c r="T339" s="9">
        <v>29.177</v>
      </c>
      <c r="U339" s="9">
        <v>9.42</v>
      </c>
      <c r="V339" s="10">
        <v>0.12908564814814821</v>
      </c>
      <c r="W339" s="10">
        <v>7.8333333333333338E-2</v>
      </c>
      <c r="X339" s="10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 s="9">
        <v>0</v>
      </c>
      <c r="AE339" s="9" t="s">
        <v>67</v>
      </c>
      <c r="AF339" s="9" t="s">
        <v>2848</v>
      </c>
      <c r="AG339" s="9" t="s">
        <v>2849</v>
      </c>
      <c r="AH339" s="9">
        <v>6.3070700000000004</v>
      </c>
      <c r="AI339" s="9">
        <v>-75.565537000000006</v>
      </c>
      <c r="AJ339" s="9" t="s">
        <v>2850</v>
      </c>
      <c r="AK339" s="9">
        <v>6.2518799999999999</v>
      </c>
      <c r="AL339" s="9">
        <v>-75.551851999999997</v>
      </c>
      <c r="AM339" s="26">
        <f t="shared" si="6"/>
        <v>5.6261574074074068E-2</v>
      </c>
    </row>
    <row r="340" spans="1:39" ht="15" x14ac:dyDescent="0.25">
      <c r="A340" s="9" t="s">
        <v>2851</v>
      </c>
      <c r="B340" s="9" t="s">
        <v>2852</v>
      </c>
      <c r="C340" s="9" t="s">
        <v>2853</v>
      </c>
      <c r="D340" s="9" t="s">
        <v>2733</v>
      </c>
      <c r="E340" s="9" t="s">
        <v>2619</v>
      </c>
      <c r="F340" s="9" t="s">
        <v>406</v>
      </c>
      <c r="G340" s="9" t="s">
        <v>160</v>
      </c>
      <c r="H340" s="9" t="s">
        <v>161</v>
      </c>
      <c r="I340" s="9" t="s">
        <v>115</v>
      </c>
      <c r="J340" s="9">
        <v>9937</v>
      </c>
      <c r="K340" s="9" t="s">
        <v>2854</v>
      </c>
      <c r="L340" s="9" t="s">
        <v>117</v>
      </c>
      <c r="M340" s="10">
        <v>9.1107523148148146E-3</v>
      </c>
      <c r="N340" s="9" t="s">
        <v>65</v>
      </c>
      <c r="O340" s="9" t="s">
        <v>2855</v>
      </c>
      <c r="P340" s="9" t="s">
        <v>119</v>
      </c>
      <c r="Q340" s="10">
        <v>1.5373958333333331E-3</v>
      </c>
      <c r="R340" s="9" t="s">
        <v>46</v>
      </c>
      <c r="S340" s="10">
        <v>0.26064814814814807</v>
      </c>
      <c r="T340" s="9">
        <v>46.326999999999998</v>
      </c>
      <c r="U340" s="9">
        <v>14.25</v>
      </c>
      <c r="V340" s="10">
        <v>0.13541670138888889</v>
      </c>
      <c r="W340" s="10">
        <v>0.10228023148148151</v>
      </c>
      <c r="X340" s="10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1</v>
      </c>
      <c r="AE340" s="9" t="s">
        <v>84</v>
      </c>
      <c r="AF340" s="9" t="s">
        <v>324</v>
      </c>
      <c r="AG340" s="9" t="s">
        <v>2856</v>
      </c>
      <c r="AH340" s="9">
        <v>6.267468</v>
      </c>
      <c r="AI340" s="9">
        <v>-75.597284999999999</v>
      </c>
      <c r="AJ340" s="9" t="s">
        <v>2857</v>
      </c>
      <c r="AK340" s="9">
        <v>6.2682219999999997</v>
      </c>
      <c r="AL340" s="9">
        <v>-75.598875000000007</v>
      </c>
      <c r="AM340" s="26">
        <f t="shared" si="6"/>
        <v>0</v>
      </c>
    </row>
    <row r="341" spans="1:39" ht="15" x14ac:dyDescent="0.25">
      <c r="A341" s="9" t="s">
        <v>2858</v>
      </c>
      <c r="B341" s="9" t="s">
        <v>2859</v>
      </c>
      <c r="C341" s="9" t="s">
        <v>2860</v>
      </c>
      <c r="D341" s="9" t="s">
        <v>2797</v>
      </c>
      <c r="E341" s="9" t="s">
        <v>2619</v>
      </c>
      <c r="F341" s="9" t="s">
        <v>455</v>
      </c>
      <c r="G341" s="9" t="s">
        <v>135</v>
      </c>
      <c r="H341" s="9" t="s">
        <v>136</v>
      </c>
      <c r="I341" s="9" t="s">
        <v>115</v>
      </c>
      <c r="J341" s="9">
        <v>3994</v>
      </c>
      <c r="K341" s="9" t="s">
        <v>2861</v>
      </c>
      <c r="L341" s="9" t="s">
        <v>117</v>
      </c>
      <c r="M341" s="10">
        <v>2.8888888888888891E-2</v>
      </c>
      <c r="N341" s="9" t="s">
        <v>127</v>
      </c>
      <c r="O341" s="9" t="s">
        <v>2862</v>
      </c>
      <c r="P341" s="9" t="s">
        <v>119</v>
      </c>
      <c r="Q341" s="10">
        <v>2.5000000000000001E-3</v>
      </c>
      <c r="R341" s="9" t="s">
        <v>46</v>
      </c>
      <c r="S341" s="10">
        <v>0.27638888888888891</v>
      </c>
      <c r="T341" s="9">
        <v>57.478000000000002</v>
      </c>
      <c r="U341" s="9">
        <v>12.57</v>
      </c>
      <c r="V341" s="10">
        <v>0.1905324074074074</v>
      </c>
      <c r="W341" s="10">
        <v>7.2245370370370376E-2</v>
      </c>
      <c r="X341" s="10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2</v>
      </c>
      <c r="AE341" s="9" t="s">
        <v>139</v>
      </c>
      <c r="AF341" s="9" t="s">
        <v>2863</v>
      </c>
      <c r="AG341" s="9" t="s">
        <v>2864</v>
      </c>
      <c r="AH341" s="9">
        <v>6.2722100000000003</v>
      </c>
      <c r="AI341" s="9">
        <v>-75.541079999999994</v>
      </c>
      <c r="AJ341" s="9" t="s">
        <v>2865</v>
      </c>
      <c r="AK341" s="9">
        <v>6.2708820000000003</v>
      </c>
      <c r="AL341" s="9">
        <v>-75.575441999999995</v>
      </c>
      <c r="AM341" s="26">
        <f t="shared" si="6"/>
        <v>0</v>
      </c>
    </row>
    <row r="342" spans="1:39" ht="15" x14ac:dyDescent="0.25">
      <c r="A342" s="9" t="s">
        <v>2872</v>
      </c>
      <c r="B342" s="9" t="s">
        <v>2873</v>
      </c>
      <c r="C342" s="9" t="s">
        <v>2874</v>
      </c>
      <c r="D342" s="9" t="s">
        <v>2875</v>
      </c>
      <c r="E342" s="9" t="s">
        <v>2619</v>
      </c>
      <c r="F342" s="9" t="s">
        <v>508</v>
      </c>
      <c r="G342" s="9" t="s">
        <v>38</v>
      </c>
      <c r="H342" s="9" t="s">
        <v>39</v>
      </c>
      <c r="I342" s="9" t="s">
        <v>40</v>
      </c>
      <c r="J342" s="9">
        <v>4802</v>
      </c>
      <c r="K342" s="9" t="s">
        <v>2876</v>
      </c>
      <c r="L342" s="9" t="s">
        <v>42</v>
      </c>
      <c r="M342" s="10">
        <v>2.472304398148148E-2</v>
      </c>
      <c r="N342" s="9" t="s">
        <v>43</v>
      </c>
      <c r="O342" s="9" t="s">
        <v>2877</v>
      </c>
      <c r="P342" s="9" t="s">
        <v>45</v>
      </c>
      <c r="Q342" s="10">
        <v>6.8415740740740737E-3</v>
      </c>
      <c r="R342" s="9" t="s">
        <v>46</v>
      </c>
      <c r="S342" s="10">
        <v>0.30176871527777782</v>
      </c>
      <c r="T342" s="9">
        <v>39.985999999999997</v>
      </c>
      <c r="U342" s="9">
        <v>9.33</v>
      </c>
      <c r="V342" s="10">
        <v>0.17851856481481501</v>
      </c>
      <c r="W342" s="10">
        <v>0.1334761574074074</v>
      </c>
      <c r="X342" s="10">
        <v>8.5300613425925931E-2</v>
      </c>
      <c r="Y342" s="9">
        <v>1</v>
      </c>
      <c r="Z342" s="9">
        <v>1</v>
      </c>
      <c r="AA342" s="9">
        <v>1</v>
      </c>
      <c r="AB342" s="9">
        <v>1</v>
      </c>
      <c r="AC342" s="9">
        <v>1</v>
      </c>
      <c r="AD342" s="9">
        <v>4</v>
      </c>
      <c r="AE342" s="9" t="s">
        <v>47</v>
      </c>
      <c r="AF342" s="9" t="s">
        <v>2878</v>
      </c>
      <c r="AG342" s="9" t="s">
        <v>2879</v>
      </c>
      <c r="AH342" s="9">
        <v>6.2032809999999996</v>
      </c>
      <c r="AI342" s="9">
        <v>-75.600700000000003</v>
      </c>
      <c r="AJ342" s="9" t="s">
        <v>2880</v>
      </c>
      <c r="AK342" s="9">
        <v>6.2033469999999999</v>
      </c>
      <c r="AL342" s="9">
        <v>-75.600768000000002</v>
      </c>
      <c r="AM342" s="26">
        <f t="shared" si="6"/>
        <v>2.472304398148148E-2</v>
      </c>
    </row>
    <row r="343" spans="1:39" ht="15" x14ac:dyDescent="0.25">
      <c r="A343" s="9" t="s">
        <v>2881</v>
      </c>
      <c r="B343" s="9" t="s">
        <v>2882</v>
      </c>
      <c r="C343" s="9" t="s">
        <v>2883</v>
      </c>
      <c r="D343" s="9" t="s">
        <v>2875</v>
      </c>
      <c r="E343" s="9" t="s">
        <v>2619</v>
      </c>
      <c r="F343" s="9" t="s">
        <v>508</v>
      </c>
      <c r="G343" s="9" t="s">
        <v>52</v>
      </c>
      <c r="H343" s="9" t="s">
        <v>53</v>
      </c>
      <c r="I343" s="9" t="s">
        <v>40</v>
      </c>
      <c r="J343" s="9">
        <v>3159</v>
      </c>
      <c r="K343" s="9" t="s">
        <v>2884</v>
      </c>
      <c r="L343" s="9" t="s">
        <v>42</v>
      </c>
      <c r="M343" s="10">
        <v>2.237268518518519E-2</v>
      </c>
      <c r="N343" s="9" t="s">
        <v>127</v>
      </c>
      <c r="O343" s="9" t="s">
        <v>2885</v>
      </c>
      <c r="P343" s="9" t="s">
        <v>45</v>
      </c>
      <c r="Q343" s="10">
        <v>3.1053240740740739E-2</v>
      </c>
      <c r="R343" s="9" t="s">
        <v>129</v>
      </c>
      <c r="S343" s="10">
        <v>0.38675925925925919</v>
      </c>
      <c r="T343" s="9">
        <v>40.656999999999996</v>
      </c>
      <c r="U343" s="9">
        <v>7.75</v>
      </c>
      <c r="V343" s="10">
        <v>0.21869212962962961</v>
      </c>
      <c r="W343" s="10">
        <v>0.13667824074074081</v>
      </c>
      <c r="X343" s="10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9" t="s">
        <v>130</v>
      </c>
      <c r="AF343" s="9" t="s">
        <v>2886</v>
      </c>
      <c r="AG343" s="9" t="s">
        <v>2887</v>
      </c>
      <c r="AH343" s="9">
        <v>6.2256780000000003</v>
      </c>
      <c r="AI343" s="9">
        <v>-75.598974999999996</v>
      </c>
      <c r="AJ343" s="9" t="s">
        <v>2888</v>
      </c>
      <c r="AK343" s="9">
        <v>6.2477580000000001</v>
      </c>
      <c r="AL343" s="9">
        <v>-75.615007000000006</v>
      </c>
      <c r="AM343" s="26">
        <f t="shared" si="6"/>
        <v>0</v>
      </c>
    </row>
    <row r="344" spans="1:39" ht="15" x14ac:dyDescent="0.25">
      <c r="A344" s="9" t="s">
        <v>2889</v>
      </c>
      <c r="B344" s="9" t="s">
        <v>2890</v>
      </c>
      <c r="C344" s="9" t="s">
        <v>2891</v>
      </c>
      <c r="D344" s="9" t="s">
        <v>2875</v>
      </c>
      <c r="E344" s="9" t="s">
        <v>2619</v>
      </c>
      <c r="F344" s="9" t="s">
        <v>508</v>
      </c>
      <c r="G344" s="9" t="s">
        <v>113</v>
      </c>
      <c r="H344" s="9" t="s">
        <v>114</v>
      </c>
      <c r="I344" s="9" t="s">
        <v>40</v>
      </c>
      <c r="J344" s="9">
        <v>2251</v>
      </c>
      <c r="K344" s="9" t="s">
        <v>2892</v>
      </c>
      <c r="L344" s="9" t="s">
        <v>42</v>
      </c>
      <c r="M344" s="10">
        <v>2.8819444444444439E-3</v>
      </c>
      <c r="N344" s="9" t="s">
        <v>65</v>
      </c>
      <c r="O344" s="9" t="s">
        <v>2893</v>
      </c>
      <c r="P344" s="9" t="s">
        <v>45</v>
      </c>
      <c r="Q344" s="10">
        <v>2.1527777777777782E-3</v>
      </c>
      <c r="R344" s="9" t="s">
        <v>46</v>
      </c>
      <c r="S344" s="10">
        <v>0.32829861111111108</v>
      </c>
      <c r="T344" s="9">
        <v>28.411999999999999</v>
      </c>
      <c r="U344" s="9">
        <v>5.81</v>
      </c>
      <c r="V344" s="10">
        <v>0.2036574074074074</v>
      </c>
      <c r="W344" s="10">
        <v>0.1653125</v>
      </c>
      <c r="X344" s="10">
        <v>5.6585648148148149E-2</v>
      </c>
      <c r="Y344" s="9">
        <v>1</v>
      </c>
      <c r="Z344" s="9">
        <v>1</v>
      </c>
      <c r="AA344" s="9">
        <v>1</v>
      </c>
      <c r="AB344" s="9">
        <v>1</v>
      </c>
      <c r="AC344" s="9">
        <v>1</v>
      </c>
      <c r="AD344" s="9">
        <v>2</v>
      </c>
      <c r="AE344" s="9" t="s">
        <v>84</v>
      </c>
      <c r="AF344" s="9" t="s">
        <v>2894</v>
      </c>
      <c r="AG344" s="9" t="s">
        <v>2895</v>
      </c>
      <c r="AH344" s="9">
        <v>6.2292379999999996</v>
      </c>
      <c r="AI344" s="9">
        <v>-75.602113000000003</v>
      </c>
      <c r="AJ344" s="9" t="s">
        <v>2896</v>
      </c>
      <c r="AK344" s="9">
        <v>6.239096</v>
      </c>
      <c r="AL344" s="9">
        <v>-75.582786999999996</v>
      </c>
      <c r="AM344" s="26">
        <f t="shared" si="6"/>
        <v>0</v>
      </c>
    </row>
    <row r="345" spans="1:39" ht="15" x14ac:dyDescent="0.25">
      <c r="A345" s="9" t="s">
        <v>2897</v>
      </c>
      <c r="B345" s="9" t="s">
        <v>2898</v>
      </c>
      <c r="C345" s="9" t="s">
        <v>2899</v>
      </c>
      <c r="D345" s="9" t="s">
        <v>2875</v>
      </c>
      <c r="E345" s="9" t="s">
        <v>2619</v>
      </c>
      <c r="F345" s="9" t="s">
        <v>508</v>
      </c>
      <c r="G345" s="9" t="s">
        <v>144</v>
      </c>
      <c r="H345" s="9" t="s">
        <v>145</v>
      </c>
      <c r="I345" s="9" t="s">
        <v>40</v>
      </c>
      <c r="J345" s="9">
        <v>5880</v>
      </c>
      <c r="K345" s="9" t="s">
        <v>2900</v>
      </c>
      <c r="L345" s="9" t="s">
        <v>42</v>
      </c>
      <c r="M345" s="10">
        <v>5.1041666666666666E-3</v>
      </c>
      <c r="N345" s="9" t="s">
        <v>65</v>
      </c>
      <c r="O345" s="9" t="s">
        <v>2901</v>
      </c>
      <c r="P345" s="9" t="s">
        <v>45</v>
      </c>
      <c r="Q345" s="10">
        <v>1.9340277777777779E-2</v>
      </c>
      <c r="R345" s="9" t="s">
        <v>56</v>
      </c>
      <c r="S345" s="10">
        <v>0.30888888888888888</v>
      </c>
      <c r="T345" s="9">
        <v>75.355999999999995</v>
      </c>
      <c r="U345" s="9">
        <v>13.71</v>
      </c>
      <c r="V345" s="10">
        <v>0.2290625</v>
      </c>
      <c r="W345" s="10">
        <v>6.653935185185185E-2</v>
      </c>
      <c r="X345" s="10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9">
        <v>0</v>
      </c>
      <c r="AE345" s="9" t="s">
        <v>67</v>
      </c>
      <c r="AF345" s="9" t="s">
        <v>2902</v>
      </c>
      <c r="AG345" s="9" t="s">
        <v>2903</v>
      </c>
      <c r="AH345" s="9">
        <v>6.2255289999999999</v>
      </c>
      <c r="AI345" s="9">
        <v>-75.599312999999995</v>
      </c>
      <c r="AJ345" s="9" t="s">
        <v>2904</v>
      </c>
      <c r="AK345" s="9">
        <v>6.2728400000000004</v>
      </c>
      <c r="AL345" s="9">
        <v>-75.574475000000007</v>
      </c>
      <c r="AM345" s="26">
        <f t="shared" si="6"/>
        <v>1.9340277777777779E-2</v>
      </c>
    </row>
    <row r="346" spans="1:39" ht="15" x14ac:dyDescent="0.25">
      <c r="A346" s="9" t="s">
        <v>2905</v>
      </c>
      <c r="B346" s="9" t="s">
        <v>2906</v>
      </c>
      <c r="C346" s="9" t="s">
        <v>2907</v>
      </c>
      <c r="D346" s="9" t="s">
        <v>2875</v>
      </c>
      <c r="E346" s="9" t="s">
        <v>2619</v>
      </c>
      <c r="F346" s="9" t="s">
        <v>508</v>
      </c>
      <c r="G346" s="9" t="s">
        <v>152</v>
      </c>
      <c r="H346" s="9" t="s">
        <v>153</v>
      </c>
      <c r="I346" s="9" t="s">
        <v>40</v>
      </c>
      <c r="J346" s="9">
        <v>7656</v>
      </c>
      <c r="K346" s="9" t="s">
        <v>2908</v>
      </c>
      <c r="L346" s="9" t="s">
        <v>42</v>
      </c>
      <c r="M346" s="10">
        <v>1.083333333333333E-2</v>
      </c>
      <c r="N346" s="9" t="s">
        <v>43</v>
      </c>
      <c r="O346" s="9" t="s">
        <v>2909</v>
      </c>
      <c r="P346" s="9" t="s">
        <v>45</v>
      </c>
      <c r="Q346" s="10">
        <v>1.096064814814815E-2</v>
      </c>
      <c r="R346" s="9" t="s">
        <v>56</v>
      </c>
      <c r="S346" s="10">
        <v>0.31153935185185178</v>
      </c>
      <c r="T346" s="9">
        <v>98.263999999999996</v>
      </c>
      <c r="U346" s="9">
        <v>15.35</v>
      </c>
      <c r="V346" s="10">
        <v>0.26672453703703702</v>
      </c>
      <c r="W346" s="10">
        <v>8.1215277777777775E-2</v>
      </c>
      <c r="X346" s="10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9" t="s">
        <v>57</v>
      </c>
      <c r="AF346" s="9" t="s">
        <v>2910</v>
      </c>
      <c r="AG346" s="9" t="s">
        <v>2911</v>
      </c>
      <c r="AH346" s="9">
        <v>6.2254750000000003</v>
      </c>
      <c r="AI346" s="9">
        <v>-75.599275000000006</v>
      </c>
      <c r="AJ346" s="9" t="s">
        <v>2912</v>
      </c>
      <c r="AK346" s="9">
        <v>6.251798</v>
      </c>
      <c r="AL346" s="9">
        <v>-75.551810000000003</v>
      </c>
      <c r="AM346" s="26">
        <f t="shared" si="6"/>
        <v>2.179398148148148E-2</v>
      </c>
    </row>
    <row r="347" spans="1:39" ht="15" x14ac:dyDescent="0.25">
      <c r="A347" s="9" t="s">
        <v>2913</v>
      </c>
      <c r="B347" s="9" t="s">
        <v>2914</v>
      </c>
      <c r="C347" s="9" t="s">
        <v>2915</v>
      </c>
      <c r="D347" s="9" t="s">
        <v>2875</v>
      </c>
      <c r="E347" s="9" t="s">
        <v>2619</v>
      </c>
      <c r="F347" s="9" t="s">
        <v>508</v>
      </c>
      <c r="G347" s="9" t="s">
        <v>89</v>
      </c>
      <c r="H347" s="9" t="s">
        <v>90</v>
      </c>
      <c r="I347" s="9" t="s">
        <v>40</v>
      </c>
      <c r="J347" s="9">
        <v>5571</v>
      </c>
      <c r="K347" s="9" t="s">
        <v>2916</v>
      </c>
      <c r="L347" s="9" t="s">
        <v>42</v>
      </c>
      <c r="M347" s="10">
        <v>5.0462962962962961E-3</v>
      </c>
      <c r="N347" s="9" t="s">
        <v>65</v>
      </c>
      <c r="O347" s="9" t="s">
        <v>2917</v>
      </c>
      <c r="P347" s="9" t="s">
        <v>45</v>
      </c>
      <c r="Q347" s="10">
        <v>2.1388888888888891E-2</v>
      </c>
      <c r="R347" s="9" t="s">
        <v>56</v>
      </c>
      <c r="S347" s="10">
        <v>0.31699074074074068</v>
      </c>
      <c r="T347" s="9">
        <v>71.75</v>
      </c>
      <c r="U347" s="9">
        <v>11.71</v>
      </c>
      <c r="V347" s="10">
        <v>0.25528935185185192</v>
      </c>
      <c r="W347" s="10">
        <v>0.1098611111111111</v>
      </c>
      <c r="X347" s="10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 t="s">
        <v>67</v>
      </c>
      <c r="AF347" s="9" t="s">
        <v>2918</v>
      </c>
      <c r="AG347" s="9" t="s">
        <v>2919</v>
      </c>
      <c r="AH347" s="9">
        <v>6.2264520000000001</v>
      </c>
      <c r="AI347" s="9">
        <v>-75.599304000000004</v>
      </c>
      <c r="AJ347" s="9" t="s">
        <v>2920</v>
      </c>
      <c r="AK347" s="9">
        <v>6.2253530000000001</v>
      </c>
      <c r="AL347" s="9">
        <v>-75.599345</v>
      </c>
      <c r="AM347" s="26">
        <f t="shared" si="6"/>
        <v>2.1388888888888891E-2</v>
      </c>
    </row>
    <row r="348" spans="1:39" ht="15" x14ac:dyDescent="0.25">
      <c r="A348" s="9" t="s">
        <v>2921</v>
      </c>
      <c r="B348" s="9" t="s">
        <v>2922</v>
      </c>
      <c r="C348" s="9" t="s">
        <v>2923</v>
      </c>
      <c r="D348" s="9" t="s">
        <v>2875</v>
      </c>
      <c r="E348" s="9" t="s">
        <v>2619</v>
      </c>
      <c r="F348" s="9" t="s">
        <v>508</v>
      </c>
      <c r="G348" s="9" t="s">
        <v>105</v>
      </c>
      <c r="H348" s="9" t="s">
        <v>106</v>
      </c>
      <c r="I348" s="9" t="s">
        <v>40</v>
      </c>
      <c r="J348" s="9">
        <v>4384</v>
      </c>
      <c r="K348" s="9" t="s">
        <v>2924</v>
      </c>
      <c r="L348" s="9" t="s">
        <v>42</v>
      </c>
      <c r="M348" s="10">
        <v>2.430555555555556E-3</v>
      </c>
      <c r="N348" s="9" t="s">
        <v>65</v>
      </c>
      <c r="O348" s="9" t="s">
        <v>2925</v>
      </c>
      <c r="P348" s="9" t="s">
        <v>45</v>
      </c>
      <c r="Q348" s="10">
        <v>4.9976851851851849E-2</v>
      </c>
      <c r="R348" s="9" t="s">
        <v>129</v>
      </c>
      <c r="S348" s="10">
        <v>0.38574074074074072</v>
      </c>
      <c r="T348" s="9">
        <v>57.83</v>
      </c>
      <c r="U348" s="9">
        <v>12.99</v>
      </c>
      <c r="V348" s="10">
        <v>0.185462962962963</v>
      </c>
      <c r="W348" s="10">
        <v>0.102037037037037</v>
      </c>
      <c r="X348" s="10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9" t="s">
        <v>130</v>
      </c>
      <c r="AF348" s="9" t="s">
        <v>2926</v>
      </c>
      <c r="AG348" s="9" t="s">
        <v>2927</v>
      </c>
      <c r="AH348" s="9">
        <v>6.2256489999999998</v>
      </c>
      <c r="AI348" s="9">
        <v>-75.599080999999998</v>
      </c>
      <c r="AJ348" s="9" t="s">
        <v>2928</v>
      </c>
      <c r="AK348" s="9">
        <v>6.2582259999999996</v>
      </c>
      <c r="AL348" s="9">
        <v>-75.615801000000005</v>
      </c>
      <c r="AM348" s="26">
        <f t="shared" si="6"/>
        <v>0</v>
      </c>
    </row>
    <row r="349" spans="1:39" ht="15" x14ac:dyDescent="0.25">
      <c r="A349" s="9" t="s">
        <v>2929</v>
      </c>
      <c r="B349" s="9" t="s">
        <v>2930</v>
      </c>
      <c r="C349" s="9" t="s">
        <v>2931</v>
      </c>
      <c r="D349" s="9" t="s">
        <v>2875</v>
      </c>
      <c r="E349" s="9" t="s">
        <v>2619</v>
      </c>
      <c r="F349" s="9" t="s">
        <v>508</v>
      </c>
      <c r="G349" s="9" t="s">
        <v>124</v>
      </c>
      <c r="H349" s="9" t="s">
        <v>125</v>
      </c>
      <c r="I349" s="9" t="s">
        <v>115</v>
      </c>
      <c r="J349" s="9">
        <v>5271</v>
      </c>
      <c r="K349" s="9" t="s">
        <v>2932</v>
      </c>
      <c r="L349" s="9" t="s">
        <v>117</v>
      </c>
      <c r="M349" s="10">
        <v>2.9490740740740741E-2</v>
      </c>
      <c r="N349" s="9" t="s">
        <v>127</v>
      </c>
      <c r="O349" s="9" t="s">
        <v>2933</v>
      </c>
      <c r="P349" s="9" t="s">
        <v>119</v>
      </c>
      <c r="Q349" s="10">
        <v>8.5532407407407415E-3</v>
      </c>
      <c r="R349" s="9" t="s">
        <v>46</v>
      </c>
      <c r="S349" s="10">
        <v>0.28804398148148153</v>
      </c>
      <c r="T349" s="9">
        <v>67.358000000000004</v>
      </c>
      <c r="U349" s="9">
        <v>11.83</v>
      </c>
      <c r="V349" s="10">
        <v>0.237337962962963</v>
      </c>
      <c r="W349" s="10">
        <v>7.9965277777777774E-2</v>
      </c>
      <c r="X349" s="10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9" t="s">
        <v>139</v>
      </c>
      <c r="AF349" s="9" t="s">
        <v>2934</v>
      </c>
      <c r="AG349" s="9" t="s">
        <v>2935</v>
      </c>
      <c r="AH349" s="9">
        <v>6.229133</v>
      </c>
      <c r="AI349" s="9">
        <v>-75.602097999999998</v>
      </c>
      <c r="AJ349" s="9" t="s">
        <v>2936</v>
      </c>
      <c r="AK349" s="9">
        <v>6.2726949999999997</v>
      </c>
      <c r="AL349" s="9">
        <v>-75.602114</v>
      </c>
      <c r="AM349" s="26">
        <f t="shared" si="6"/>
        <v>0</v>
      </c>
    </row>
    <row r="350" spans="1:39" ht="15" x14ac:dyDescent="0.25">
      <c r="A350" s="9" t="s">
        <v>2937</v>
      </c>
      <c r="B350" s="9" t="s">
        <v>2938</v>
      </c>
      <c r="C350" s="9" t="s">
        <v>2939</v>
      </c>
      <c r="D350" s="9" t="s">
        <v>2875</v>
      </c>
      <c r="E350" s="9" t="s">
        <v>2619</v>
      </c>
      <c r="F350" s="9" t="s">
        <v>508</v>
      </c>
      <c r="G350" s="9" t="s">
        <v>72</v>
      </c>
      <c r="H350" s="9" t="s">
        <v>73</v>
      </c>
      <c r="I350" s="9" t="s">
        <v>115</v>
      </c>
      <c r="J350" s="9">
        <v>2237</v>
      </c>
      <c r="K350" s="9" t="s">
        <v>2940</v>
      </c>
      <c r="L350" s="9" t="s">
        <v>117</v>
      </c>
      <c r="M350" s="10">
        <v>7.3032407407407407E-2</v>
      </c>
      <c r="N350" s="9" t="s">
        <v>127</v>
      </c>
      <c r="O350" s="9" t="s">
        <v>2941</v>
      </c>
      <c r="P350" s="9" t="s">
        <v>119</v>
      </c>
      <c r="Q350" s="10">
        <v>4.9988425925925929E-2</v>
      </c>
      <c r="R350" s="9" t="s">
        <v>56</v>
      </c>
      <c r="S350" s="10">
        <v>0.27304398148148151</v>
      </c>
      <c r="T350" s="9">
        <v>38.756999999999998</v>
      </c>
      <c r="U350" s="9">
        <v>9.94</v>
      </c>
      <c r="V350" s="10">
        <v>0.16240740740740739</v>
      </c>
      <c r="W350" s="10">
        <v>0.10299768518518521</v>
      </c>
      <c r="X350" s="10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 t="s">
        <v>139</v>
      </c>
      <c r="AF350" s="9" t="s">
        <v>2942</v>
      </c>
      <c r="AG350" s="9" t="s">
        <v>2943</v>
      </c>
      <c r="AH350" s="9">
        <v>6.2257309999999997</v>
      </c>
      <c r="AI350" s="9">
        <v>-75.599151000000006</v>
      </c>
      <c r="AJ350" s="9" t="s">
        <v>2944</v>
      </c>
      <c r="AK350" s="9">
        <v>6.2365810000000002</v>
      </c>
      <c r="AL350" s="9">
        <v>-75.558187000000004</v>
      </c>
      <c r="AM350" s="26">
        <f t="shared" si="6"/>
        <v>4.9988425925925929E-2</v>
      </c>
    </row>
    <row r="351" spans="1:39" ht="15" x14ac:dyDescent="0.25">
      <c r="A351" s="9" t="s">
        <v>2945</v>
      </c>
      <c r="B351" s="9" t="s">
        <v>2946</v>
      </c>
      <c r="C351" s="9" t="s">
        <v>2947</v>
      </c>
      <c r="D351" s="9" t="s">
        <v>2875</v>
      </c>
      <c r="E351" s="9" t="s">
        <v>2619</v>
      </c>
      <c r="F351" s="9" t="s">
        <v>508</v>
      </c>
      <c r="G351" s="9" t="s">
        <v>80</v>
      </c>
      <c r="H351" s="9" t="s">
        <v>81</v>
      </c>
      <c r="I351" s="9" t="s">
        <v>115</v>
      </c>
      <c r="J351" s="9">
        <v>5240</v>
      </c>
      <c r="K351" s="9" t="s">
        <v>2948</v>
      </c>
      <c r="L351" s="9" t="s">
        <v>117</v>
      </c>
      <c r="M351" s="10">
        <v>2.0569016203703699E-2</v>
      </c>
      <c r="N351" s="9" t="s">
        <v>127</v>
      </c>
      <c r="O351" s="9" t="s">
        <v>2949</v>
      </c>
      <c r="P351" s="9" t="s">
        <v>119</v>
      </c>
      <c r="Q351" s="10">
        <v>1.8229861111111109E-3</v>
      </c>
      <c r="R351" s="9" t="s">
        <v>46</v>
      </c>
      <c r="S351" s="10">
        <v>0.26874603009259262</v>
      </c>
      <c r="T351" s="9">
        <v>35.654000000000003</v>
      </c>
      <c r="U351" s="9">
        <v>17.940000000000001</v>
      </c>
      <c r="V351" s="10">
        <v>8.282295138888883E-2</v>
      </c>
      <c r="W351" s="10">
        <v>3.6693217592592593E-2</v>
      </c>
      <c r="X351" s="10">
        <v>0</v>
      </c>
      <c r="Y351" s="9">
        <v>0</v>
      </c>
      <c r="Z351" s="9">
        <v>0</v>
      </c>
      <c r="AA351" s="9">
        <v>0</v>
      </c>
      <c r="AB351" s="9">
        <v>0</v>
      </c>
      <c r="AC351" s="9">
        <v>0</v>
      </c>
      <c r="AD351" s="9">
        <v>9</v>
      </c>
      <c r="AE351" s="9" t="s">
        <v>139</v>
      </c>
      <c r="AF351" s="9" t="s">
        <v>2950</v>
      </c>
      <c r="AG351" s="9" t="s">
        <v>2951</v>
      </c>
      <c r="AH351" s="9">
        <v>6.225822</v>
      </c>
      <c r="AI351" s="9">
        <v>-75.599323999999996</v>
      </c>
      <c r="AJ351" s="9" t="s">
        <v>2952</v>
      </c>
      <c r="AK351" s="9">
        <v>6.2592689999999997</v>
      </c>
      <c r="AL351" s="9">
        <v>-75.620921999999993</v>
      </c>
      <c r="AM351" s="26">
        <f t="shared" si="6"/>
        <v>0</v>
      </c>
    </row>
    <row r="352" spans="1:39" ht="15" x14ac:dyDescent="0.25">
      <c r="A352" s="9" t="s">
        <v>2953</v>
      </c>
      <c r="B352" s="9" t="s">
        <v>2954</v>
      </c>
      <c r="C352" s="9" t="s">
        <v>2955</v>
      </c>
      <c r="D352" s="9" t="s">
        <v>2875</v>
      </c>
      <c r="E352" s="9" t="s">
        <v>2619</v>
      </c>
      <c r="F352" s="9" t="s">
        <v>508</v>
      </c>
      <c r="G352" s="9" t="s">
        <v>160</v>
      </c>
      <c r="H352" s="9" t="s">
        <v>161</v>
      </c>
      <c r="I352" s="9" t="s">
        <v>115</v>
      </c>
      <c r="J352" s="9">
        <v>12071</v>
      </c>
      <c r="K352" s="9" t="s">
        <v>2956</v>
      </c>
      <c r="L352" s="9" t="s">
        <v>117</v>
      </c>
      <c r="M352" s="10">
        <v>3.7351469907407397E-2</v>
      </c>
      <c r="N352" s="9" t="s">
        <v>127</v>
      </c>
      <c r="O352" s="9" t="s">
        <v>2957</v>
      </c>
      <c r="P352" s="9" t="s">
        <v>119</v>
      </c>
      <c r="Q352" s="10">
        <v>1.032048611111111E-3</v>
      </c>
      <c r="R352" s="9" t="s">
        <v>46</v>
      </c>
      <c r="S352" s="10">
        <v>0.28631942129629628</v>
      </c>
      <c r="T352" s="9">
        <v>70.233000000000004</v>
      </c>
      <c r="U352" s="9">
        <v>17.25</v>
      </c>
      <c r="V352" s="10">
        <v>0.16968402777777791</v>
      </c>
      <c r="W352" s="10">
        <v>9.995311342592593E-2</v>
      </c>
      <c r="X352" s="10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2</v>
      </c>
      <c r="AE352" s="9" t="s">
        <v>139</v>
      </c>
      <c r="AF352" s="9" t="s">
        <v>2958</v>
      </c>
      <c r="AG352" s="9" t="s">
        <v>2959</v>
      </c>
      <c r="AH352" s="9">
        <v>6.2412669999999997</v>
      </c>
      <c r="AI352" s="9">
        <v>-75.586453000000006</v>
      </c>
      <c r="AJ352" s="9" t="s">
        <v>2960</v>
      </c>
      <c r="AK352" s="9">
        <v>6.2568000000000001</v>
      </c>
      <c r="AL352" s="9">
        <v>-75.580860000000001</v>
      </c>
      <c r="AM352" s="26">
        <f t="shared" si="6"/>
        <v>0</v>
      </c>
    </row>
    <row r="353" spans="1:54" ht="15" x14ac:dyDescent="0.25">
      <c r="A353" s="9" t="s">
        <v>2961</v>
      </c>
      <c r="B353" s="9" t="s">
        <v>2962</v>
      </c>
      <c r="C353" s="9" t="s">
        <v>2963</v>
      </c>
      <c r="D353" s="9" t="s">
        <v>2875</v>
      </c>
      <c r="E353" s="9" t="s">
        <v>2619</v>
      </c>
      <c r="F353" s="9" t="s">
        <v>508</v>
      </c>
      <c r="G353" s="9" t="s">
        <v>97</v>
      </c>
      <c r="H353" s="9" t="s">
        <v>98</v>
      </c>
      <c r="I353" s="9" t="s">
        <v>115</v>
      </c>
      <c r="J353" s="9">
        <v>2045</v>
      </c>
      <c r="K353" s="9" t="s">
        <v>2964</v>
      </c>
      <c r="L353" s="9" t="s">
        <v>117</v>
      </c>
      <c r="M353" s="10">
        <v>1.862268518518519E-2</v>
      </c>
      <c r="N353" s="9" t="s">
        <v>127</v>
      </c>
      <c r="O353" s="9" t="s">
        <v>2965</v>
      </c>
      <c r="P353" s="9" t="s">
        <v>119</v>
      </c>
      <c r="Q353" s="10">
        <v>3.4629629629629628E-2</v>
      </c>
      <c r="R353" s="9" t="s">
        <v>56</v>
      </c>
      <c r="S353" s="10">
        <v>0.23399305555555561</v>
      </c>
      <c r="T353" s="9">
        <v>26.561</v>
      </c>
      <c r="U353" s="9">
        <v>8.34</v>
      </c>
      <c r="V353" s="10">
        <v>0.13269675925925931</v>
      </c>
      <c r="W353" s="10">
        <v>9.2789351851851845E-2</v>
      </c>
      <c r="X353" s="10">
        <v>4.0277777777777777E-3</v>
      </c>
      <c r="Y353" s="9">
        <v>0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9" t="s">
        <v>139</v>
      </c>
      <c r="AF353" s="9" t="s">
        <v>2966</v>
      </c>
      <c r="AG353" s="9" t="s">
        <v>2967</v>
      </c>
      <c r="AH353" s="9">
        <v>6.2257999999999996</v>
      </c>
      <c r="AI353" s="9">
        <v>-75.599362999999997</v>
      </c>
      <c r="AJ353" s="9" t="s">
        <v>2968</v>
      </c>
      <c r="AK353" s="9">
        <v>6.2765709999999997</v>
      </c>
      <c r="AL353" s="9">
        <v>-75.573234999999997</v>
      </c>
      <c r="AM353" s="26">
        <f t="shared" si="6"/>
        <v>3.4629629629629628E-2</v>
      </c>
    </row>
    <row r="354" spans="1:54" ht="15" x14ac:dyDescent="0.25">
      <c r="A354" s="9" t="s">
        <v>2866</v>
      </c>
      <c r="B354" s="9" t="s">
        <v>2969</v>
      </c>
      <c r="C354" s="9" t="s">
        <v>2867</v>
      </c>
      <c r="D354" s="9" t="s">
        <v>2875</v>
      </c>
      <c r="E354" s="9" t="s">
        <v>2619</v>
      </c>
      <c r="F354" s="9" t="s">
        <v>508</v>
      </c>
      <c r="G354" s="9" t="s">
        <v>62</v>
      </c>
      <c r="H354" s="9" t="s">
        <v>63</v>
      </c>
      <c r="I354" s="9" t="s">
        <v>40</v>
      </c>
      <c r="J354" s="9">
        <v>3889</v>
      </c>
      <c r="K354" s="9" t="s">
        <v>2868</v>
      </c>
      <c r="L354" s="9" t="s">
        <v>42</v>
      </c>
      <c r="M354" s="10">
        <v>1.496527777777778E-2</v>
      </c>
      <c r="N354" s="9" t="s">
        <v>43</v>
      </c>
      <c r="O354" s="9" t="s">
        <v>2869</v>
      </c>
      <c r="P354" s="9" t="s">
        <v>45</v>
      </c>
      <c r="Q354" s="10">
        <v>1.6736111111111111E-2</v>
      </c>
      <c r="R354" s="9" t="s">
        <v>56</v>
      </c>
      <c r="S354" s="10">
        <v>0.30163194444444452</v>
      </c>
      <c r="T354" s="9">
        <v>53.493000000000002</v>
      </c>
      <c r="U354" s="9">
        <v>11.85</v>
      </c>
      <c r="V354" s="10">
        <v>0.18815972222222219</v>
      </c>
      <c r="W354" s="10">
        <v>0.11869212962962961</v>
      </c>
      <c r="X354" s="10">
        <v>1.252314814814815E-2</v>
      </c>
      <c r="Y354" s="9">
        <v>1</v>
      </c>
      <c r="Z354" s="9">
        <v>1</v>
      </c>
      <c r="AA354" s="9">
        <v>0</v>
      </c>
      <c r="AB354" s="9">
        <v>0</v>
      </c>
      <c r="AC354" s="9">
        <v>0</v>
      </c>
      <c r="AD354" s="9">
        <v>0</v>
      </c>
      <c r="AE354" s="9" t="s">
        <v>57</v>
      </c>
      <c r="AF354" s="9" t="s">
        <v>2970</v>
      </c>
      <c r="AG354" s="9" t="s">
        <v>2870</v>
      </c>
      <c r="AH354" s="9">
        <v>6.2258089999999999</v>
      </c>
      <c r="AI354" s="9">
        <v>-75.599311</v>
      </c>
      <c r="AJ354" s="9" t="s">
        <v>2871</v>
      </c>
      <c r="AK354" s="9">
        <v>6.2229749999999999</v>
      </c>
      <c r="AL354" s="9">
        <v>-75.597690999999998</v>
      </c>
      <c r="AM354" s="26">
        <f t="shared" si="6"/>
        <v>3.170138888888889E-2</v>
      </c>
    </row>
    <row r="355" spans="1:54" ht="15" x14ac:dyDescent="0.25">
      <c r="A355" s="9" t="s">
        <v>2971</v>
      </c>
      <c r="B355" s="9" t="s">
        <v>2972</v>
      </c>
      <c r="C355" s="9" t="s">
        <v>2973</v>
      </c>
      <c r="D355" s="9" t="s">
        <v>2974</v>
      </c>
      <c r="E355" s="9" t="s">
        <v>2619</v>
      </c>
      <c r="F355" s="9" t="s">
        <v>37</v>
      </c>
      <c r="G355" s="9" t="s">
        <v>38</v>
      </c>
      <c r="H355" s="9" t="s">
        <v>39</v>
      </c>
      <c r="I355" s="9" t="s">
        <v>40</v>
      </c>
      <c r="J355" s="9">
        <v>9411</v>
      </c>
      <c r="K355" s="9" t="s">
        <v>2975</v>
      </c>
      <c r="L355" s="9" t="s">
        <v>42</v>
      </c>
      <c r="M355" s="10">
        <v>2.1525613425925929E-2</v>
      </c>
      <c r="N355" s="9" t="s">
        <v>43</v>
      </c>
      <c r="O355" s="9" t="s">
        <v>2976</v>
      </c>
      <c r="P355" s="9" t="s">
        <v>45</v>
      </c>
      <c r="Q355" s="10">
        <v>2.5210416666666671E-3</v>
      </c>
      <c r="R355" s="9" t="s">
        <v>46</v>
      </c>
      <c r="S355" s="10">
        <v>0.31432876157407408</v>
      </c>
      <c r="T355" s="9">
        <v>67.908000000000001</v>
      </c>
      <c r="U355" s="9">
        <v>17.46</v>
      </c>
      <c r="V355" s="10">
        <v>0.1620192939814814</v>
      </c>
      <c r="W355" s="10">
        <v>7.6907731481481473E-2</v>
      </c>
      <c r="X355" s="10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4</v>
      </c>
      <c r="AE355" s="9" t="s">
        <v>47</v>
      </c>
      <c r="AF355" s="9" t="s">
        <v>2977</v>
      </c>
      <c r="AG355" s="9" t="s">
        <v>2978</v>
      </c>
      <c r="AH355" s="9">
        <v>6.2032439999999998</v>
      </c>
      <c r="AI355" s="9">
        <v>-75.600825999999998</v>
      </c>
      <c r="AJ355" s="9" t="s">
        <v>2979</v>
      </c>
      <c r="AK355" s="9">
        <v>6.2371790000000003</v>
      </c>
      <c r="AL355" s="9">
        <v>-75.569823999999997</v>
      </c>
      <c r="AM355" s="26">
        <f t="shared" si="6"/>
        <v>2.1525613425925929E-2</v>
      </c>
    </row>
    <row r="356" spans="1:54" ht="15" x14ac:dyDescent="0.25">
      <c r="A356" s="9" t="s">
        <v>2980</v>
      </c>
      <c r="B356" s="9" t="s">
        <v>2981</v>
      </c>
      <c r="C356" s="9" t="s">
        <v>2982</v>
      </c>
      <c r="D356" s="9" t="s">
        <v>2974</v>
      </c>
      <c r="E356" s="9" t="s">
        <v>2619</v>
      </c>
      <c r="F356" s="9" t="s">
        <v>37</v>
      </c>
      <c r="G356" s="9" t="s">
        <v>52</v>
      </c>
      <c r="H356" s="9" t="s">
        <v>53</v>
      </c>
      <c r="I356" s="9" t="s">
        <v>40</v>
      </c>
      <c r="J356" s="9">
        <v>3031</v>
      </c>
      <c r="K356" s="9" t="s">
        <v>2983</v>
      </c>
      <c r="L356" s="9" t="s">
        <v>42</v>
      </c>
      <c r="M356" s="10">
        <v>1.2500000000000001E-2</v>
      </c>
      <c r="N356" s="9" t="s">
        <v>127</v>
      </c>
      <c r="O356" s="9" t="s">
        <v>2984</v>
      </c>
      <c r="P356" s="9" t="s">
        <v>45</v>
      </c>
      <c r="Q356" s="10">
        <v>5.8101851851851856E-3</v>
      </c>
      <c r="R356" s="9" t="s">
        <v>46</v>
      </c>
      <c r="S356" s="10">
        <v>0.34002314814814821</v>
      </c>
      <c r="T356" s="9">
        <v>38.945</v>
      </c>
      <c r="U356" s="9">
        <v>9</v>
      </c>
      <c r="V356" s="10">
        <v>0.1803703703703704</v>
      </c>
      <c r="W356" s="10">
        <v>0.12047453703703701</v>
      </c>
      <c r="X356" s="10">
        <v>6.8634259259259256E-3</v>
      </c>
      <c r="Y356" s="9">
        <v>0</v>
      </c>
      <c r="Z356" s="9">
        <v>0</v>
      </c>
      <c r="AA356" s="9">
        <v>0</v>
      </c>
      <c r="AB356" s="9">
        <v>0</v>
      </c>
      <c r="AC356" s="9">
        <v>0</v>
      </c>
      <c r="AD356" s="9">
        <v>0</v>
      </c>
      <c r="AE356" s="9" t="s">
        <v>139</v>
      </c>
      <c r="AF356" s="9" t="s">
        <v>2985</v>
      </c>
      <c r="AG356" s="9" t="s">
        <v>2986</v>
      </c>
      <c r="AH356" s="9">
        <v>6.225562</v>
      </c>
      <c r="AI356" s="9">
        <v>-75.599151000000006</v>
      </c>
      <c r="AJ356" s="9" t="s">
        <v>2987</v>
      </c>
      <c r="AK356" s="9">
        <v>6.2256580000000001</v>
      </c>
      <c r="AL356" s="9">
        <v>-75.599070999999995</v>
      </c>
      <c r="AM356" s="26">
        <f t="shared" si="6"/>
        <v>0</v>
      </c>
    </row>
    <row r="357" spans="1:54" ht="15" x14ac:dyDescent="0.25">
      <c r="A357" s="9" t="s">
        <v>2988</v>
      </c>
      <c r="B357" s="9" t="s">
        <v>2989</v>
      </c>
      <c r="C357" s="9" t="s">
        <v>2990</v>
      </c>
      <c r="D357" s="9" t="s">
        <v>2974</v>
      </c>
      <c r="E357" s="9" t="s">
        <v>2619</v>
      </c>
      <c r="F357" s="9" t="s">
        <v>37</v>
      </c>
      <c r="G357" s="9" t="s">
        <v>113</v>
      </c>
      <c r="H357" s="9" t="s">
        <v>114</v>
      </c>
      <c r="I357" s="9" t="s">
        <v>40</v>
      </c>
      <c r="J357" s="9">
        <v>2513</v>
      </c>
      <c r="K357" s="9" t="s">
        <v>2991</v>
      </c>
      <c r="L357" s="9" t="s">
        <v>42</v>
      </c>
      <c r="M357" s="10">
        <v>2.488425925925926E-3</v>
      </c>
      <c r="N357" s="9" t="s">
        <v>65</v>
      </c>
      <c r="O357" s="9" t="s">
        <v>2992</v>
      </c>
      <c r="P357" s="9" t="s">
        <v>45</v>
      </c>
      <c r="Q357" s="10">
        <v>6.4814814814814813E-4</v>
      </c>
      <c r="R357" s="9" t="s">
        <v>46</v>
      </c>
      <c r="S357" s="10">
        <v>0.3364699074074074</v>
      </c>
      <c r="T357" s="9">
        <v>34.430999999999997</v>
      </c>
      <c r="U357" s="9">
        <v>5.22</v>
      </c>
      <c r="V357" s="10">
        <v>0.27484953703703702</v>
      </c>
      <c r="W357" s="10">
        <v>0.2268634259259259</v>
      </c>
      <c r="X357" s="10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9">
        <v>3</v>
      </c>
      <c r="AE357" s="9" t="s">
        <v>84</v>
      </c>
      <c r="AF357" s="9" t="s">
        <v>292</v>
      </c>
      <c r="AG357" s="9" t="s">
        <v>2993</v>
      </c>
      <c r="AH357" s="9">
        <v>6.2335979999999998</v>
      </c>
      <c r="AI357" s="9">
        <v>-75.602124000000003</v>
      </c>
      <c r="AJ357" s="9" t="s">
        <v>2994</v>
      </c>
      <c r="AK357" s="9">
        <v>6.2388120000000002</v>
      </c>
      <c r="AL357" s="9">
        <v>-75.603425000000001</v>
      </c>
      <c r="AM357" s="26">
        <f t="shared" si="6"/>
        <v>0</v>
      </c>
    </row>
    <row r="358" spans="1:54" ht="15" x14ac:dyDescent="0.25">
      <c r="A358" s="9" t="s">
        <v>2995</v>
      </c>
      <c r="B358" s="9" t="s">
        <v>2996</v>
      </c>
      <c r="C358" s="9" t="s">
        <v>2997</v>
      </c>
      <c r="D358" s="9" t="s">
        <v>2974</v>
      </c>
      <c r="E358" s="9" t="s">
        <v>2619</v>
      </c>
      <c r="F358" s="9" t="s">
        <v>37</v>
      </c>
      <c r="G358" s="9" t="s">
        <v>62</v>
      </c>
      <c r="H358" s="9" t="s">
        <v>63</v>
      </c>
      <c r="I358" s="9" t="s">
        <v>40</v>
      </c>
      <c r="J358" s="9">
        <v>4253</v>
      </c>
      <c r="K358" s="9" t="s">
        <v>2998</v>
      </c>
      <c r="L358" s="9" t="s">
        <v>42</v>
      </c>
      <c r="M358" s="10">
        <v>3.37962962962963E-3</v>
      </c>
      <c r="N358" s="9" t="s">
        <v>65</v>
      </c>
      <c r="O358" s="9" t="s">
        <v>2999</v>
      </c>
      <c r="P358" s="9" t="s">
        <v>45</v>
      </c>
      <c r="Q358" s="10">
        <v>0.10902777777777781</v>
      </c>
      <c r="R358" s="9" t="s">
        <v>56</v>
      </c>
      <c r="S358" s="10">
        <v>0.22768518518518521</v>
      </c>
      <c r="T358" s="9">
        <v>56.817</v>
      </c>
      <c r="U358" s="9">
        <v>12.95</v>
      </c>
      <c r="V358" s="10">
        <v>0.18285879629629631</v>
      </c>
      <c r="W358" s="10">
        <v>7.6597222222222219E-2</v>
      </c>
      <c r="X358" s="10">
        <v>4.0509259259259257E-3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1</v>
      </c>
      <c r="AE358" s="9" t="s">
        <v>67</v>
      </c>
      <c r="AF358" s="9" t="s">
        <v>3000</v>
      </c>
      <c r="AG358" s="9" t="s">
        <v>3001</v>
      </c>
      <c r="AH358" s="9">
        <v>6.2257470000000001</v>
      </c>
      <c r="AI358" s="9">
        <v>-75.599438000000006</v>
      </c>
      <c r="AJ358" s="9" t="s">
        <v>3002</v>
      </c>
      <c r="AK358" s="9">
        <v>6.2354050000000001</v>
      </c>
      <c r="AL358" s="9">
        <v>-75.603436000000002</v>
      </c>
      <c r="AM358" s="26">
        <f t="shared" si="6"/>
        <v>0.10902777777777781</v>
      </c>
    </row>
    <row r="359" spans="1:54" ht="15" x14ac:dyDescent="0.25">
      <c r="A359" s="9" t="s">
        <v>3003</v>
      </c>
      <c r="B359" s="9" t="s">
        <v>3004</v>
      </c>
      <c r="C359" s="9" t="s">
        <v>3005</v>
      </c>
      <c r="D359" s="9" t="s">
        <v>2974</v>
      </c>
      <c r="E359" s="9" t="s">
        <v>2619</v>
      </c>
      <c r="F359" s="9" t="s">
        <v>37</v>
      </c>
      <c r="G359" s="9" t="s">
        <v>135</v>
      </c>
      <c r="H359" s="9" t="s">
        <v>136</v>
      </c>
      <c r="I359" s="9" t="s">
        <v>40</v>
      </c>
      <c r="J359" s="9">
        <v>1583</v>
      </c>
      <c r="K359" s="9" t="s">
        <v>3006</v>
      </c>
      <c r="L359" s="9" t="s">
        <v>42</v>
      </c>
      <c r="M359" s="10">
        <v>5.0810185185185194E-3</v>
      </c>
      <c r="N359" s="9" t="s">
        <v>65</v>
      </c>
      <c r="O359" s="9" t="s">
        <v>3007</v>
      </c>
      <c r="P359" s="9" t="s">
        <v>45</v>
      </c>
      <c r="Q359" s="10">
        <v>2.1990740740740742E-3</v>
      </c>
      <c r="R359" s="9" t="s">
        <v>46</v>
      </c>
      <c r="S359" s="10">
        <v>0.32605324074074082</v>
      </c>
      <c r="T359" s="9">
        <v>23.855</v>
      </c>
      <c r="U359" s="9">
        <v>10.38</v>
      </c>
      <c r="V359" s="10">
        <v>9.571759259259259E-2</v>
      </c>
      <c r="W359" s="10">
        <v>6.4421296296296296E-2</v>
      </c>
      <c r="X359" s="10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0</v>
      </c>
      <c r="AD359" s="9">
        <v>9</v>
      </c>
      <c r="AE359" s="9" t="s">
        <v>84</v>
      </c>
      <c r="AF359" s="9" t="s">
        <v>3008</v>
      </c>
      <c r="AG359" s="9" t="s">
        <v>3009</v>
      </c>
      <c r="AH359" s="9">
        <v>6.2454270000000003</v>
      </c>
      <c r="AI359" s="9">
        <v>-75.601678000000007</v>
      </c>
      <c r="AJ359" s="9" t="s">
        <v>3010</v>
      </c>
      <c r="AK359" s="9">
        <v>6.2672480000000004</v>
      </c>
      <c r="AL359" s="9">
        <v>-75.553901999999994</v>
      </c>
      <c r="AM359" s="26">
        <f t="shared" si="6"/>
        <v>0</v>
      </c>
    </row>
    <row r="360" spans="1:54" ht="15" x14ac:dyDescent="0.25">
      <c r="A360" s="9" t="s">
        <v>3011</v>
      </c>
      <c r="B360" s="9" t="s">
        <v>3012</v>
      </c>
      <c r="C360" s="9" t="s">
        <v>3013</v>
      </c>
      <c r="D360" s="9" t="s">
        <v>2974</v>
      </c>
      <c r="E360" s="9" t="s">
        <v>2619</v>
      </c>
      <c r="F360" s="9" t="s">
        <v>37</v>
      </c>
      <c r="G360" s="9" t="s">
        <v>144</v>
      </c>
      <c r="H360" s="9" t="s">
        <v>145</v>
      </c>
      <c r="I360" s="9" t="s">
        <v>40</v>
      </c>
      <c r="J360" s="9">
        <v>5062</v>
      </c>
      <c r="K360" s="9" t="s">
        <v>3014</v>
      </c>
      <c r="L360" s="9" t="s">
        <v>42</v>
      </c>
      <c r="M360" s="10">
        <v>9.9537037037037042E-4</v>
      </c>
      <c r="N360" s="9" t="s">
        <v>65</v>
      </c>
      <c r="O360" s="9" t="s">
        <v>3015</v>
      </c>
      <c r="P360" s="9" t="s">
        <v>45</v>
      </c>
      <c r="Q360" s="10">
        <v>7.2916666666666668E-3</v>
      </c>
      <c r="R360" s="9" t="s">
        <v>46</v>
      </c>
      <c r="S360" s="10">
        <v>0.32703703703703701</v>
      </c>
      <c r="T360" s="9">
        <v>60.158999999999999</v>
      </c>
      <c r="U360" s="9">
        <v>10.14</v>
      </c>
      <c r="V360" s="10">
        <v>0.24721064814814811</v>
      </c>
      <c r="W360" s="10">
        <v>6.3807870370370376E-2</v>
      </c>
      <c r="X360" s="10">
        <v>4.3750000000000004E-3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 s="9">
        <v>0</v>
      </c>
      <c r="AE360" s="9" t="s">
        <v>84</v>
      </c>
      <c r="AF360" s="9" t="s">
        <v>3016</v>
      </c>
      <c r="AG360" s="9" t="s">
        <v>3017</v>
      </c>
      <c r="AH360" s="9">
        <v>6.2728060000000001</v>
      </c>
      <c r="AI360" s="9">
        <v>-75.574393000000001</v>
      </c>
      <c r="AJ360" s="9" t="s">
        <v>3018</v>
      </c>
      <c r="AK360" s="9">
        <v>6.2728130000000002</v>
      </c>
      <c r="AL360" s="9">
        <v>-75.57441</v>
      </c>
      <c r="AM360" s="26">
        <f t="shared" si="6"/>
        <v>0</v>
      </c>
    </row>
    <row r="361" spans="1:54" ht="15" x14ac:dyDescent="0.25">
      <c r="A361" s="9" t="s">
        <v>3023</v>
      </c>
      <c r="B361" s="9" t="s">
        <v>3024</v>
      </c>
      <c r="C361" s="9" t="s">
        <v>3025</v>
      </c>
      <c r="D361" s="9" t="s">
        <v>2974</v>
      </c>
      <c r="E361" s="9" t="s">
        <v>2619</v>
      </c>
      <c r="F361" s="9" t="s">
        <v>37</v>
      </c>
      <c r="G361" s="9" t="s">
        <v>89</v>
      </c>
      <c r="H361" s="9" t="s">
        <v>90</v>
      </c>
      <c r="I361" s="9" t="s">
        <v>40</v>
      </c>
      <c r="J361" s="9">
        <v>4598</v>
      </c>
      <c r="K361" s="9" t="s">
        <v>3026</v>
      </c>
      <c r="L361" s="9" t="s">
        <v>42</v>
      </c>
      <c r="M361" s="10">
        <v>1.111111111111111E-2</v>
      </c>
      <c r="N361" s="9" t="s">
        <v>127</v>
      </c>
      <c r="O361" s="9" t="s">
        <v>3027</v>
      </c>
      <c r="P361" s="9" t="s">
        <v>45</v>
      </c>
      <c r="Q361" s="10">
        <v>9.7222222222222219E-4</v>
      </c>
      <c r="R361" s="9" t="s">
        <v>46</v>
      </c>
      <c r="S361" s="10">
        <v>0.34541666666666659</v>
      </c>
      <c r="T361" s="9">
        <v>57.073999999999998</v>
      </c>
      <c r="U361" s="9">
        <v>8.51</v>
      </c>
      <c r="V361" s="10">
        <v>0.27959490740740739</v>
      </c>
      <c r="W361" s="10">
        <v>0.1541666666666667</v>
      </c>
      <c r="X361" s="10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9">
        <v>0</v>
      </c>
      <c r="AE361" s="9" t="s">
        <v>139</v>
      </c>
      <c r="AF361" s="9" t="s">
        <v>3028</v>
      </c>
      <c r="AG361" s="9" t="s">
        <v>3029</v>
      </c>
      <c r="AH361" s="9">
        <v>6.2263330000000003</v>
      </c>
      <c r="AI361" s="9">
        <v>-75.599211999999994</v>
      </c>
      <c r="AJ361" s="9" t="s">
        <v>3030</v>
      </c>
      <c r="AK361" s="9">
        <v>6.2801090000000004</v>
      </c>
      <c r="AL361" s="9">
        <v>-75.572558999999998</v>
      </c>
      <c r="AM361" s="26">
        <f t="shared" si="6"/>
        <v>0</v>
      </c>
    </row>
    <row r="362" spans="1:54" ht="15" x14ac:dyDescent="0.25">
      <c r="A362" s="9" t="s">
        <v>3031</v>
      </c>
      <c r="B362" s="9" t="s">
        <v>3032</v>
      </c>
      <c r="C362" s="9" t="s">
        <v>3033</v>
      </c>
      <c r="D362" s="9" t="s">
        <v>2974</v>
      </c>
      <c r="E362" s="9" t="s">
        <v>2619</v>
      </c>
      <c r="F362" s="9" t="s">
        <v>37</v>
      </c>
      <c r="G362" s="9" t="s">
        <v>105</v>
      </c>
      <c r="H362" s="9" t="s">
        <v>106</v>
      </c>
      <c r="I362" s="9" t="s">
        <v>40</v>
      </c>
      <c r="J362" s="9">
        <v>4812</v>
      </c>
      <c r="K362" s="9" t="s">
        <v>3034</v>
      </c>
      <c r="L362" s="9" t="s">
        <v>42</v>
      </c>
      <c r="M362" s="10">
        <v>1.263888888888889E-2</v>
      </c>
      <c r="N362" s="9" t="s">
        <v>127</v>
      </c>
      <c r="O362" s="9" t="s">
        <v>3035</v>
      </c>
      <c r="P362" s="9" t="s">
        <v>45</v>
      </c>
      <c r="Q362" s="10">
        <v>6.9444444444444447E-4</v>
      </c>
      <c r="R362" s="9" t="s">
        <v>46</v>
      </c>
      <c r="S362" s="10">
        <v>0.34666666666666668</v>
      </c>
      <c r="T362" s="9">
        <v>66.102999999999994</v>
      </c>
      <c r="U362" s="9">
        <v>18.64</v>
      </c>
      <c r="V362" s="10">
        <v>0.14780092592592589</v>
      </c>
      <c r="W362" s="10">
        <v>5.7708333333333327E-2</v>
      </c>
      <c r="X362" s="10">
        <v>2.613425925925926E-2</v>
      </c>
      <c r="Y362" s="9">
        <v>1</v>
      </c>
      <c r="Z362" s="9">
        <v>1</v>
      </c>
      <c r="AA362" s="9">
        <v>1</v>
      </c>
      <c r="AB362" s="9">
        <v>0</v>
      </c>
      <c r="AC362" s="9">
        <v>0</v>
      </c>
      <c r="AD362" s="9">
        <v>0</v>
      </c>
      <c r="AE362" s="9" t="s">
        <v>139</v>
      </c>
      <c r="AF362" s="9" t="s">
        <v>3036</v>
      </c>
      <c r="AG362" s="9" t="s">
        <v>3037</v>
      </c>
      <c r="AH362" s="9">
        <v>6.2256340000000003</v>
      </c>
      <c r="AI362" s="9">
        <v>-75.599227999999997</v>
      </c>
      <c r="AJ362" s="9" t="s">
        <v>3038</v>
      </c>
      <c r="AK362" s="9">
        <v>6.2585059999999997</v>
      </c>
      <c r="AL362" s="9">
        <v>-75.616107999999997</v>
      </c>
      <c r="AM362" s="26">
        <f t="shared" si="6"/>
        <v>0</v>
      </c>
    </row>
    <row r="363" spans="1:54" ht="15" x14ac:dyDescent="0.25">
      <c r="A363" s="1" t="s">
        <v>3039</v>
      </c>
      <c r="B363" s="1" t="s">
        <v>3040</v>
      </c>
      <c r="C363" s="1" t="s">
        <v>3041</v>
      </c>
      <c r="D363" s="1" t="s">
        <v>2974</v>
      </c>
      <c r="E363" s="1" t="s">
        <v>2619</v>
      </c>
      <c r="F363" s="1" t="s">
        <v>37</v>
      </c>
      <c r="G363" s="1" t="s">
        <v>152</v>
      </c>
      <c r="H363" s="1" t="s">
        <v>153</v>
      </c>
      <c r="I363" s="1" t="s">
        <v>40</v>
      </c>
      <c r="J363" s="1">
        <v>7652</v>
      </c>
      <c r="K363" s="1" t="s">
        <v>3019</v>
      </c>
      <c r="L363" s="1" t="s">
        <v>42</v>
      </c>
      <c r="M363" s="38">
        <v>6.9444444444444441E-3</v>
      </c>
      <c r="N363" s="1" t="s">
        <v>65</v>
      </c>
      <c r="O363" s="1" t="s">
        <v>3021</v>
      </c>
      <c r="P363" s="1" t="s">
        <v>45</v>
      </c>
      <c r="Q363" s="38">
        <v>1.8252314814814811E-2</v>
      </c>
      <c r="R363" s="1" t="s">
        <v>129</v>
      </c>
      <c r="S363" s="38">
        <v>0.35853009259259261</v>
      </c>
      <c r="T363" s="1">
        <v>99.364000000000004</v>
      </c>
      <c r="U363" s="1">
        <v>13.82</v>
      </c>
      <c r="V363" s="38">
        <v>0.2996064814814815</v>
      </c>
      <c r="W363" s="38">
        <v>0.1025462962962963</v>
      </c>
      <c r="X363" s="38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1</v>
      </c>
      <c r="AE363" s="1" t="s">
        <v>130</v>
      </c>
      <c r="AF363" s="1" t="s">
        <v>3042</v>
      </c>
      <c r="AG363" s="1" t="s">
        <v>3020</v>
      </c>
      <c r="AH363" s="1">
        <v>6.2255469999999997</v>
      </c>
      <c r="AI363" s="1">
        <v>-75.599412000000001</v>
      </c>
      <c r="AJ363" s="1" t="s">
        <v>3022</v>
      </c>
      <c r="AK363" s="1">
        <v>6.2517379999999996</v>
      </c>
      <c r="AL363" s="1">
        <v>-75.551792000000006</v>
      </c>
      <c r="AM363" s="26">
        <f t="shared" si="6"/>
        <v>0</v>
      </c>
      <c r="AY363" s="1"/>
      <c r="AZ363" s="1"/>
      <c r="BA363" s="1"/>
      <c r="BB363" s="1"/>
    </row>
    <row r="364" spans="1:54" ht="15" x14ac:dyDescent="0.25">
      <c r="A364" s="9" t="s">
        <v>3043</v>
      </c>
      <c r="B364" s="9" t="s">
        <v>3044</v>
      </c>
      <c r="C364" s="9" t="s">
        <v>3045</v>
      </c>
      <c r="D364" s="9" t="s">
        <v>2974</v>
      </c>
      <c r="E364" s="9" t="s">
        <v>2619</v>
      </c>
      <c r="F364" s="9" t="s">
        <v>37</v>
      </c>
      <c r="G364" s="9" t="s">
        <v>124</v>
      </c>
      <c r="H364" s="9" t="s">
        <v>125</v>
      </c>
      <c r="I364" s="9" t="s">
        <v>115</v>
      </c>
      <c r="J364" s="9">
        <v>4477</v>
      </c>
      <c r="K364" s="9" t="s">
        <v>3046</v>
      </c>
      <c r="L364" s="9" t="s">
        <v>117</v>
      </c>
      <c r="M364" s="10">
        <v>3.4490740740740738E-2</v>
      </c>
      <c r="N364" s="9" t="s">
        <v>127</v>
      </c>
      <c r="O364" s="9" t="s">
        <v>3047</v>
      </c>
      <c r="P364" s="9" t="s">
        <v>119</v>
      </c>
      <c r="Q364" s="10">
        <v>1.5046296296296301E-2</v>
      </c>
      <c r="R364" s="9" t="s">
        <v>129</v>
      </c>
      <c r="S364" s="10">
        <v>0.29953703703703699</v>
      </c>
      <c r="T364" s="9">
        <v>55.436999999999998</v>
      </c>
      <c r="U364" s="9">
        <v>12.31</v>
      </c>
      <c r="V364" s="10">
        <v>0.18763888888888891</v>
      </c>
      <c r="W364" s="10">
        <v>5.1203703703703703E-2</v>
      </c>
      <c r="X364" s="10">
        <v>1.126157407407407E-2</v>
      </c>
      <c r="Y364" s="9">
        <v>1</v>
      </c>
      <c r="Z364" s="9">
        <v>1</v>
      </c>
      <c r="AA364" s="9">
        <v>0</v>
      </c>
      <c r="AB364" s="9">
        <v>0</v>
      </c>
      <c r="AC364" s="9">
        <v>0</v>
      </c>
      <c r="AD364" s="9">
        <v>0</v>
      </c>
      <c r="AE364" s="9" t="s">
        <v>130</v>
      </c>
      <c r="AF364" s="9" t="s">
        <v>3048</v>
      </c>
      <c r="AG364" s="9" t="s">
        <v>3049</v>
      </c>
      <c r="AH364" s="9">
        <v>6.2284309999999996</v>
      </c>
      <c r="AI364" s="9">
        <v>-75.599153000000001</v>
      </c>
      <c r="AJ364" s="9" t="s">
        <v>3050</v>
      </c>
      <c r="AK364" s="9">
        <v>6.2728580000000003</v>
      </c>
      <c r="AL364" s="9">
        <v>-75.602091999999999</v>
      </c>
      <c r="AM364" s="26">
        <f t="shared" si="6"/>
        <v>0</v>
      </c>
    </row>
    <row r="365" spans="1:54" ht="15" x14ac:dyDescent="0.25">
      <c r="A365" s="9" t="s">
        <v>3051</v>
      </c>
      <c r="B365" s="9" t="s">
        <v>3052</v>
      </c>
      <c r="C365" s="9" t="s">
        <v>3053</v>
      </c>
      <c r="D365" s="9" t="s">
        <v>2974</v>
      </c>
      <c r="E365" s="9" t="s">
        <v>2619</v>
      </c>
      <c r="F365" s="9" t="s">
        <v>37</v>
      </c>
      <c r="G365" s="9" t="s">
        <v>72</v>
      </c>
      <c r="H365" s="9" t="s">
        <v>73</v>
      </c>
      <c r="I365" s="9" t="s">
        <v>115</v>
      </c>
      <c r="J365" s="9">
        <v>2949</v>
      </c>
      <c r="K365" s="9" t="s">
        <v>3054</v>
      </c>
      <c r="L365" s="9" t="s">
        <v>117</v>
      </c>
      <c r="M365" s="10">
        <v>5.7997685185185187E-2</v>
      </c>
      <c r="N365" s="9" t="s">
        <v>127</v>
      </c>
      <c r="O365" s="9" t="s">
        <v>3055</v>
      </c>
      <c r="P365" s="9" t="s">
        <v>119</v>
      </c>
      <c r="Q365" s="10">
        <v>3.8414351851851852E-2</v>
      </c>
      <c r="R365" s="9" t="s">
        <v>56</v>
      </c>
      <c r="S365" s="10">
        <v>0.26958333333333329</v>
      </c>
      <c r="T365" s="9">
        <v>43.320999999999998</v>
      </c>
      <c r="U365" s="9">
        <v>10.7</v>
      </c>
      <c r="V365" s="10">
        <v>0.16875000000000001</v>
      </c>
      <c r="W365" s="10">
        <v>0.10906250000000001</v>
      </c>
      <c r="X365" s="10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 s="9">
        <v>0</v>
      </c>
      <c r="AE365" s="9" t="s">
        <v>139</v>
      </c>
      <c r="AF365" s="9" t="s">
        <v>3056</v>
      </c>
      <c r="AG365" s="9" t="s">
        <v>3057</v>
      </c>
      <c r="AH365" s="9">
        <v>6.2257749999999996</v>
      </c>
      <c r="AI365" s="9">
        <v>-75.598816999999997</v>
      </c>
      <c r="AJ365" s="9" t="s">
        <v>3058</v>
      </c>
      <c r="AK365" s="9">
        <v>6.2370039999999998</v>
      </c>
      <c r="AL365" s="9">
        <v>-75.558803999999995</v>
      </c>
      <c r="AM365" s="26">
        <f t="shared" si="6"/>
        <v>3.8414351851851852E-2</v>
      </c>
    </row>
    <row r="366" spans="1:54" ht="15" x14ac:dyDescent="0.25">
      <c r="A366" s="9" t="s">
        <v>3059</v>
      </c>
      <c r="B366" s="9" t="s">
        <v>3060</v>
      </c>
      <c r="C366" s="9" t="s">
        <v>3061</v>
      </c>
      <c r="D366" s="9" t="s">
        <v>2974</v>
      </c>
      <c r="E366" s="9" t="s">
        <v>2619</v>
      </c>
      <c r="F366" s="9" t="s">
        <v>37</v>
      </c>
      <c r="G366" s="9" t="s">
        <v>80</v>
      </c>
      <c r="H366" s="9" t="s">
        <v>81</v>
      </c>
      <c r="I366" s="9" t="s">
        <v>115</v>
      </c>
      <c r="J366" s="9">
        <v>5232</v>
      </c>
      <c r="K366" s="9" t="s">
        <v>3062</v>
      </c>
      <c r="L366" s="9" t="s">
        <v>117</v>
      </c>
      <c r="M366" s="10">
        <v>1.863108796296296E-2</v>
      </c>
      <c r="N366" s="9" t="s">
        <v>127</v>
      </c>
      <c r="O366" s="9" t="s">
        <v>3063</v>
      </c>
      <c r="P366" s="9" t="s">
        <v>119</v>
      </c>
      <c r="Q366" s="10">
        <v>8.6834490740740743E-3</v>
      </c>
      <c r="R366" s="9" t="s">
        <v>46</v>
      </c>
      <c r="S366" s="10">
        <v>0.25994763888888889</v>
      </c>
      <c r="T366" s="9">
        <v>36.991</v>
      </c>
      <c r="U366" s="9">
        <v>19.579999999999998</v>
      </c>
      <c r="V366" s="10">
        <v>7.8722800925925845E-2</v>
      </c>
      <c r="W366" s="10">
        <v>3.4429942129629632E-2</v>
      </c>
      <c r="X366" s="10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 s="9">
        <v>13</v>
      </c>
      <c r="AE366" s="9" t="s">
        <v>139</v>
      </c>
      <c r="AF366" s="9" t="s">
        <v>3064</v>
      </c>
      <c r="AG366" s="9" t="s">
        <v>3065</v>
      </c>
      <c r="AH366" s="9">
        <v>6.2257280000000002</v>
      </c>
      <c r="AI366" s="9">
        <v>-75.599418</v>
      </c>
      <c r="AJ366" s="9" t="s">
        <v>3066</v>
      </c>
      <c r="AK366" s="9">
        <v>6.2555209999999999</v>
      </c>
      <c r="AL366" s="9">
        <v>-75.620492999999996</v>
      </c>
      <c r="AM366" s="26">
        <f t="shared" si="6"/>
        <v>0</v>
      </c>
    </row>
    <row r="367" spans="1:54" ht="15" x14ac:dyDescent="0.25">
      <c r="A367" s="9" t="s">
        <v>3067</v>
      </c>
      <c r="B367" s="9" t="s">
        <v>3068</v>
      </c>
      <c r="C367" s="9" t="s">
        <v>3069</v>
      </c>
      <c r="D367" s="9" t="s">
        <v>2974</v>
      </c>
      <c r="E367" s="9" t="s">
        <v>2619</v>
      </c>
      <c r="F367" s="9" t="s">
        <v>37</v>
      </c>
      <c r="G367" s="9" t="s">
        <v>160</v>
      </c>
      <c r="H367" s="9" t="s">
        <v>161</v>
      </c>
      <c r="I367" s="9" t="s">
        <v>115</v>
      </c>
      <c r="J367" s="9">
        <v>10628</v>
      </c>
      <c r="K367" s="9" t="s">
        <v>3070</v>
      </c>
      <c r="L367" s="9" t="s">
        <v>117</v>
      </c>
      <c r="M367" s="10">
        <v>2.6019247685185189E-2</v>
      </c>
      <c r="N367" s="9" t="s">
        <v>127</v>
      </c>
      <c r="O367" s="9" t="s">
        <v>3071</v>
      </c>
      <c r="P367" s="9" t="s">
        <v>119</v>
      </c>
      <c r="Q367" s="10">
        <v>2.4040856481481478E-3</v>
      </c>
      <c r="R367" s="9" t="s">
        <v>46</v>
      </c>
      <c r="S367" s="10">
        <v>0.27842333333333341</v>
      </c>
      <c r="T367" s="9">
        <v>53.326000000000001</v>
      </c>
      <c r="U367" s="9">
        <v>13.87</v>
      </c>
      <c r="V367" s="10">
        <v>0.1602309606481481</v>
      </c>
      <c r="W367" s="10">
        <v>0.11474509259259261</v>
      </c>
      <c r="X367" s="10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3</v>
      </c>
      <c r="AE367" s="9" t="s">
        <v>139</v>
      </c>
      <c r="AF367" s="9" t="s">
        <v>3072</v>
      </c>
      <c r="AG367" s="9" t="s">
        <v>3073</v>
      </c>
      <c r="AH367" s="9">
        <v>6.2270880000000002</v>
      </c>
      <c r="AI367" s="9">
        <v>-75.599095000000005</v>
      </c>
      <c r="AJ367" s="9" t="s">
        <v>3074</v>
      </c>
      <c r="AK367" s="9">
        <v>6.2684850000000001</v>
      </c>
      <c r="AL367" s="9">
        <v>-75.599272999999997</v>
      </c>
      <c r="AM367" s="26">
        <f t="shared" si="6"/>
        <v>0</v>
      </c>
    </row>
    <row r="368" spans="1:54" ht="15" x14ac:dyDescent="0.25">
      <c r="A368" s="9" t="s">
        <v>3075</v>
      </c>
      <c r="B368" s="9" t="s">
        <v>3076</v>
      </c>
      <c r="C368" s="9" t="s">
        <v>3077</v>
      </c>
      <c r="D368" s="9" t="s">
        <v>2974</v>
      </c>
      <c r="E368" s="9" t="s">
        <v>2619</v>
      </c>
      <c r="F368" s="9" t="s">
        <v>37</v>
      </c>
      <c r="G368" s="9" t="s">
        <v>97</v>
      </c>
      <c r="H368" s="9" t="s">
        <v>98</v>
      </c>
      <c r="I368" s="9" t="s">
        <v>115</v>
      </c>
      <c r="J368" s="9">
        <v>2278</v>
      </c>
      <c r="K368" s="9" t="s">
        <v>3078</v>
      </c>
      <c r="L368" s="9" t="s">
        <v>117</v>
      </c>
      <c r="M368" s="10">
        <v>2.1122685185185189E-2</v>
      </c>
      <c r="N368" s="9" t="s">
        <v>127</v>
      </c>
      <c r="O368" s="9" t="s">
        <v>3079</v>
      </c>
      <c r="P368" s="9" t="s">
        <v>119</v>
      </c>
      <c r="Q368" s="10">
        <v>2.2141203703703701E-2</v>
      </c>
      <c r="R368" s="9" t="s">
        <v>56</v>
      </c>
      <c r="S368" s="10">
        <v>0.2489814814814815</v>
      </c>
      <c r="T368" s="9">
        <v>30.131</v>
      </c>
      <c r="U368" s="9">
        <v>8.75</v>
      </c>
      <c r="V368" s="10">
        <v>0.14354166666666671</v>
      </c>
      <c r="W368" s="10">
        <v>9.2083333333333336E-2</v>
      </c>
      <c r="X368" s="10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 t="s">
        <v>139</v>
      </c>
      <c r="AF368" s="9" t="s">
        <v>3080</v>
      </c>
      <c r="AG368" s="9" t="s">
        <v>3081</v>
      </c>
      <c r="AH368" s="9">
        <v>6.2258209999999998</v>
      </c>
      <c r="AI368" s="9">
        <v>-75.599391999999995</v>
      </c>
      <c r="AJ368" s="9" t="s">
        <v>3082</v>
      </c>
      <c r="AK368" s="9">
        <v>6.3080090000000002</v>
      </c>
      <c r="AL368" s="9">
        <v>-75.576627999999999</v>
      </c>
      <c r="AM368" s="26">
        <f t="shared" si="6"/>
        <v>2.2141203703703701E-2</v>
      </c>
    </row>
    <row r="369" spans="1:39" ht="15" x14ac:dyDescent="0.25">
      <c r="A369" s="9" t="s">
        <v>3083</v>
      </c>
      <c r="B369" s="9" t="s">
        <v>3084</v>
      </c>
      <c r="C369" s="9" t="s">
        <v>3085</v>
      </c>
      <c r="D369" s="9" t="s">
        <v>3086</v>
      </c>
      <c r="E369" s="9" t="s">
        <v>2619</v>
      </c>
      <c r="F369" s="9" t="s">
        <v>169</v>
      </c>
      <c r="G369" s="9" t="s">
        <v>38</v>
      </c>
      <c r="H369" s="9" t="s">
        <v>39</v>
      </c>
      <c r="I369" s="9" t="s">
        <v>40</v>
      </c>
      <c r="J369" s="9">
        <v>5848</v>
      </c>
      <c r="K369" s="9" t="s">
        <v>3087</v>
      </c>
      <c r="L369" s="9" t="s">
        <v>42</v>
      </c>
      <c r="M369" s="10">
        <v>2.9476909722222219E-2</v>
      </c>
      <c r="N369" s="9" t="s">
        <v>43</v>
      </c>
      <c r="O369" s="9" t="s">
        <v>3088</v>
      </c>
      <c r="P369" s="9" t="s">
        <v>45</v>
      </c>
      <c r="Q369" s="10">
        <v>6.1877256944444438E-2</v>
      </c>
      <c r="R369" s="9" t="s">
        <v>56</v>
      </c>
      <c r="S369" s="10">
        <v>0.24197916666666669</v>
      </c>
      <c r="T369" s="9">
        <v>49.36</v>
      </c>
      <c r="U369" s="9">
        <v>27.33</v>
      </c>
      <c r="V369" s="10">
        <v>7.5249293981481238E-2</v>
      </c>
      <c r="W369" s="10">
        <v>1.364130787037037E-2</v>
      </c>
      <c r="X369" s="10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0</v>
      </c>
      <c r="AD369" s="9">
        <v>4</v>
      </c>
      <c r="AE369" s="9" t="s">
        <v>57</v>
      </c>
      <c r="AF369" s="9" t="s">
        <v>3089</v>
      </c>
      <c r="AG369" s="9" t="s">
        <v>3090</v>
      </c>
      <c r="AH369" s="9">
        <v>6.2033389999999997</v>
      </c>
      <c r="AI369" s="9">
        <v>-75.601051999999996</v>
      </c>
      <c r="AJ369" s="9" t="s">
        <v>3091</v>
      </c>
      <c r="AK369" s="9">
        <v>6.221813</v>
      </c>
      <c r="AL369" s="9">
        <v>-75.593834000000001</v>
      </c>
      <c r="AM369" s="26">
        <f t="shared" si="6"/>
        <v>9.1354166666666653E-2</v>
      </c>
    </row>
    <row r="370" spans="1:39" ht="15" x14ac:dyDescent="0.25">
      <c r="A370" s="9" t="s">
        <v>3092</v>
      </c>
      <c r="B370" s="9" t="s">
        <v>3093</v>
      </c>
      <c r="C370" s="9" t="s">
        <v>3094</v>
      </c>
      <c r="D370" s="9" t="s">
        <v>3086</v>
      </c>
      <c r="E370" s="9" t="s">
        <v>2619</v>
      </c>
      <c r="F370" s="9" t="s">
        <v>169</v>
      </c>
      <c r="G370" s="9" t="s">
        <v>52</v>
      </c>
      <c r="H370" s="9" t="s">
        <v>53</v>
      </c>
      <c r="I370" s="9" t="s">
        <v>40</v>
      </c>
      <c r="J370" s="9">
        <v>3193</v>
      </c>
      <c r="K370" s="9" t="s">
        <v>3095</v>
      </c>
      <c r="L370" s="9" t="s">
        <v>42</v>
      </c>
      <c r="M370" s="10">
        <v>1.956018518518518E-3</v>
      </c>
      <c r="N370" s="9" t="s">
        <v>65</v>
      </c>
      <c r="O370" s="9" t="s">
        <v>3096</v>
      </c>
      <c r="P370" s="9" t="s">
        <v>45</v>
      </c>
      <c r="Q370" s="10">
        <v>7.037037037037037E-3</v>
      </c>
      <c r="R370" s="9" t="s">
        <v>46</v>
      </c>
      <c r="S370" s="10">
        <v>0.3243402777777778</v>
      </c>
      <c r="T370" s="9">
        <v>41.216000000000001</v>
      </c>
      <c r="U370" s="9">
        <v>9.0399999999999991</v>
      </c>
      <c r="V370" s="10">
        <v>0.18989583333333329</v>
      </c>
      <c r="W370" s="10">
        <v>0.1273148148148148</v>
      </c>
      <c r="X370" s="10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 t="s">
        <v>84</v>
      </c>
      <c r="AF370" s="9" t="s">
        <v>352</v>
      </c>
      <c r="AG370" s="9" t="s">
        <v>3097</v>
      </c>
      <c r="AH370" s="9">
        <v>6.2252029999999996</v>
      </c>
      <c r="AI370" s="9">
        <v>-75.599356</v>
      </c>
      <c r="AJ370" s="9" t="s">
        <v>3098</v>
      </c>
      <c r="AK370" s="9">
        <v>6.2258190000000004</v>
      </c>
      <c r="AL370" s="9">
        <v>-75.599131999999997</v>
      </c>
      <c r="AM370" s="26">
        <f t="shared" si="6"/>
        <v>0</v>
      </c>
    </row>
    <row r="371" spans="1:39" ht="15" x14ac:dyDescent="0.25">
      <c r="A371" s="9" t="s">
        <v>3099</v>
      </c>
      <c r="B371" s="9" t="s">
        <v>3100</v>
      </c>
      <c r="C371" s="9" t="s">
        <v>3101</v>
      </c>
      <c r="D371" s="9" t="s">
        <v>3086</v>
      </c>
      <c r="E371" s="9" t="s">
        <v>2619</v>
      </c>
      <c r="F371" s="9" t="s">
        <v>169</v>
      </c>
      <c r="G371" s="9" t="s">
        <v>62</v>
      </c>
      <c r="H371" s="9" t="s">
        <v>63</v>
      </c>
      <c r="I371" s="9" t="s">
        <v>40</v>
      </c>
      <c r="J371" s="9">
        <v>4062</v>
      </c>
      <c r="K371" s="9" t="s">
        <v>3102</v>
      </c>
      <c r="L371" s="9" t="s">
        <v>42</v>
      </c>
      <c r="M371" s="10">
        <v>6.1574074074074066E-3</v>
      </c>
      <c r="N371" s="9" t="s">
        <v>65</v>
      </c>
      <c r="O371" s="9" t="s">
        <v>3103</v>
      </c>
      <c r="P371" s="9" t="s">
        <v>45</v>
      </c>
      <c r="Q371" s="10">
        <v>9.7037037037037033E-2</v>
      </c>
      <c r="R371" s="9" t="s">
        <v>56</v>
      </c>
      <c r="S371" s="10">
        <v>0.23013888888888889</v>
      </c>
      <c r="T371" s="9">
        <v>55.100999999999999</v>
      </c>
      <c r="U371" s="9">
        <v>16.670000000000002</v>
      </c>
      <c r="V371" s="10">
        <v>0.13768518518518519</v>
      </c>
      <c r="W371" s="10">
        <v>4.8634259259259259E-2</v>
      </c>
      <c r="X371" s="10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0</v>
      </c>
      <c r="AE371" s="9" t="s">
        <v>67</v>
      </c>
      <c r="AF371" s="9" t="s">
        <v>3104</v>
      </c>
      <c r="AG371" s="9" t="s">
        <v>3105</v>
      </c>
      <c r="AH371" s="9">
        <v>6.2258199999999997</v>
      </c>
      <c r="AI371" s="9">
        <v>-75.599391999999995</v>
      </c>
      <c r="AJ371" s="9" t="s">
        <v>3106</v>
      </c>
      <c r="AK371" s="9">
        <v>6.2239459999999998</v>
      </c>
      <c r="AL371" s="9">
        <v>-75.606025000000002</v>
      </c>
      <c r="AM371" s="26">
        <f t="shared" si="6"/>
        <v>9.7037037037037033E-2</v>
      </c>
    </row>
    <row r="372" spans="1:39" ht="15" x14ac:dyDescent="0.25">
      <c r="A372" s="9" t="s">
        <v>3107</v>
      </c>
      <c r="B372" s="9" t="s">
        <v>3108</v>
      </c>
      <c r="C372" s="9" t="s">
        <v>3109</v>
      </c>
      <c r="D372" s="9" t="s">
        <v>3086</v>
      </c>
      <c r="E372" s="9" t="s">
        <v>2619</v>
      </c>
      <c r="F372" s="9" t="s">
        <v>169</v>
      </c>
      <c r="G372" s="9" t="s">
        <v>135</v>
      </c>
      <c r="H372" s="9" t="s">
        <v>136</v>
      </c>
      <c r="I372" s="9" t="s">
        <v>40</v>
      </c>
      <c r="J372" s="9">
        <v>2185</v>
      </c>
      <c r="K372" s="9" t="s">
        <v>3110</v>
      </c>
      <c r="L372" s="9" t="s">
        <v>42</v>
      </c>
      <c r="M372" s="10">
        <v>2.453703703703704E-3</v>
      </c>
      <c r="N372" s="9" t="s">
        <v>65</v>
      </c>
      <c r="O372" s="9" t="s">
        <v>3111</v>
      </c>
      <c r="P372" s="9" t="s">
        <v>45</v>
      </c>
      <c r="Q372" s="10">
        <v>4.0162037037037041E-3</v>
      </c>
      <c r="R372" s="9" t="s">
        <v>46</v>
      </c>
      <c r="S372" s="10">
        <v>0.33980324074074081</v>
      </c>
      <c r="T372" s="9">
        <v>65.489999999999995</v>
      </c>
      <c r="U372" s="9">
        <v>26.58</v>
      </c>
      <c r="V372" s="10">
        <v>0.102662037037037</v>
      </c>
      <c r="W372" s="10">
        <v>6.4733796296296303E-2</v>
      </c>
      <c r="X372" s="10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0</v>
      </c>
      <c r="AD372" s="9">
        <v>7</v>
      </c>
      <c r="AE372" s="9" t="s">
        <v>84</v>
      </c>
      <c r="AF372" s="9" t="s">
        <v>2832</v>
      </c>
      <c r="AG372" s="9" t="s">
        <v>3010</v>
      </c>
      <c r="AH372" s="9">
        <v>6.2672480000000004</v>
      </c>
      <c r="AI372" s="9">
        <v>-75.553901999999994</v>
      </c>
      <c r="AJ372" s="9" t="s">
        <v>3112</v>
      </c>
      <c r="AK372" s="9">
        <v>6.2555730000000001</v>
      </c>
      <c r="AL372" s="9">
        <v>-75.571351000000007</v>
      </c>
      <c r="AM372" s="26">
        <f t="shared" si="6"/>
        <v>0</v>
      </c>
    </row>
    <row r="373" spans="1:39" ht="15" x14ac:dyDescent="0.25">
      <c r="A373" s="9" t="s">
        <v>3113</v>
      </c>
      <c r="B373" s="9" t="s">
        <v>3114</v>
      </c>
      <c r="C373" s="9" t="s">
        <v>3115</v>
      </c>
      <c r="D373" s="9" t="s">
        <v>3086</v>
      </c>
      <c r="E373" s="9" t="s">
        <v>2619</v>
      </c>
      <c r="F373" s="9" t="s">
        <v>169</v>
      </c>
      <c r="G373" s="9" t="s">
        <v>144</v>
      </c>
      <c r="H373" s="9" t="s">
        <v>145</v>
      </c>
      <c r="I373" s="9" t="s">
        <v>40</v>
      </c>
      <c r="J373" s="9">
        <v>6432</v>
      </c>
      <c r="K373" s="9" t="s">
        <v>3116</v>
      </c>
      <c r="L373" s="9" t="s">
        <v>42</v>
      </c>
      <c r="M373" s="10">
        <v>3.2291666666666671E-3</v>
      </c>
      <c r="N373" s="9" t="s">
        <v>65</v>
      </c>
      <c r="O373" s="9" t="s">
        <v>3117</v>
      </c>
      <c r="P373" s="9" t="s">
        <v>45</v>
      </c>
      <c r="Q373" s="10">
        <v>1.1087962962962959E-2</v>
      </c>
      <c r="R373" s="9" t="s">
        <v>56</v>
      </c>
      <c r="S373" s="10">
        <v>0.32547453703703699</v>
      </c>
      <c r="T373" s="9">
        <v>82.218999999999994</v>
      </c>
      <c r="U373" s="9">
        <v>13.71</v>
      </c>
      <c r="V373" s="10">
        <v>0.24984953703703711</v>
      </c>
      <c r="W373" s="10">
        <v>6.8310185185185182E-2</v>
      </c>
      <c r="X373" s="10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9" t="s">
        <v>67</v>
      </c>
      <c r="AF373" s="9" t="s">
        <v>3118</v>
      </c>
      <c r="AG373" s="9" t="s">
        <v>3119</v>
      </c>
      <c r="AH373" s="9">
        <v>6.2257350000000002</v>
      </c>
      <c r="AI373" s="9">
        <v>-75.599179000000007</v>
      </c>
      <c r="AJ373" s="9" t="s">
        <v>3120</v>
      </c>
      <c r="AK373" s="9">
        <v>6.2728659999999996</v>
      </c>
      <c r="AL373" s="9">
        <v>-75.574489999999997</v>
      </c>
      <c r="AM373" s="26">
        <f t="shared" si="6"/>
        <v>1.1087962962962959E-2</v>
      </c>
    </row>
    <row r="374" spans="1:39" ht="15" x14ac:dyDescent="0.25">
      <c r="A374" s="9" t="s">
        <v>3121</v>
      </c>
      <c r="B374" s="9" t="s">
        <v>3122</v>
      </c>
      <c r="C374" s="9" t="s">
        <v>3123</v>
      </c>
      <c r="D374" s="9" t="s">
        <v>3086</v>
      </c>
      <c r="E374" s="9" t="s">
        <v>2619</v>
      </c>
      <c r="F374" s="9" t="s">
        <v>169</v>
      </c>
      <c r="G374" s="9" t="s">
        <v>152</v>
      </c>
      <c r="H374" s="9" t="s">
        <v>153</v>
      </c>
      <c r="I374" s="9" t="s">
        <v>40</v>
      </c>
      <c r="J374" s="9">
        <v>4558</v>
      </c>
      <c r="K374" s="9" t="s">
        <v>3124</v>
      </c>
      <c r="L374" s="9" t="s">
        <v>42</v>
      </c>
      <c r="M374" s="10">
        <v>3.7268518518518519E-3</v>
      </c>
      <c r="N374" s="9" t="s">
        <v>65</v>
      </c>
      <c r="O374" s="9" t="s">
        <v>3125</v>
      </c>
      <c r="P374" s="9" t="s">
        <v>45</v>
      </c>
      <c r="Q374" s="10">
        <v>3.6990740740740741E-2</v>
      </c>
      <c r="R374" s="9" t="s">
        <v>129</v>
      </c>
      <c r="S374" s="10">
        <v>0.36659722222222219</v>
      </c>
      <c r="T374" s="9">
        <v>58.271000000000001</v>
      </c>
      <c r="U374" s="9">
        <v>10.65</v>
      </c>
      <c r="V374" s="10">
        <v>0.22795138888888891</v>
      </c>
      <c r="W374" s="10">
        <v>0.11430555555555549</v>
      </c>
      <c r="X374" s="10">
        <v>2.4976851851851851E-2</v>
      </c>
      <c r="Y374" s="9">
        <v>1</v>
      </c>
      <c r="Z374" s="9">
        <v>1</v>
      </c>
      <c r="AA374" s="9">
        <v>1</v>
      </c>
      <c r="AB374" s="9">
        <v>0</v>
      </c>
      <c r="AC374" s="9">
        <v>0</v>
      </c>
      <c r="AD374" s="9">
        <v>1</v>
      </c>
      <c r="AE374" s="9" t="s">
        <v>130</v>
      </c>
      <c r="AF374" s="9" t="s">
        <v>3126</v>
      </c>
      <c r="AG374" s="9" t="s">
        <v>3127</v>
      </c>
      <c r="AH374" s="9">
        <v>6.2256999999999998</v>
      </c>
      <c r="AI374" s="9">
        <v>-75.599428000000003</v>
      </c>
      <c r="AJ374" s="9" t="s">
        <v>3128</v>
      </c>
      <c r="AK374" s="9">
        <v>6.251817</v>
      </c>
      <c r="AL374" s="9">
        <v>-75.551798000000005</v>
      </c>
      <c r="AM374" s="26">
        <f t="shared" si="6"/>
        <v>0</v>
      </c>
    </row>
    <row r="375" spans="1:39" ht="15" x14ac:dyDescent="0.25">
      <c r="A375" s="9" t="s">
        <v>3129</v>
      </c>
      <c r="B375" s="9" t="s">
        <v>3130</v>
      </c>
      <c r="C375" s="9" t="s">
        <v>3131</v>
      </c>
      <c r="D375" s="9" t="s">
        <v>3086</v>
      </c>
      <c r="E375" s="9" t="s">
        <v>2619</v>
      </c>
      <c r="F375" s="9" t="s">
        <v>169</v>
      </c>
      <c r="G375" s="9" t="s">
        <v>89</v>
      </c>
      <c r="H375" s="9" t="s">
        <v>90</v>
      </c>
      <c r="I375" s="9" t="s">
        <v>40</v>
      </c>
      <c r="J375" s="9">
        <v>3930</v>
      </c>
      <c r="K375" s="9" t="s">
        <v>3132</v>
      </c>
      <c r="L375" s="9" t="s">
        <v>42</v>
      </c>
      <c r="M375" s="10">
        <v>1.0543981481481481E-2</v>
      </c>
      <c r="N375" s="9" t="s">
        <v>127</v>
      </c>
      <c r="O375" s="9" t="s">
        <v>3133</v>
      </c>
      <c r="P375" s="9" t="s">
        <v>45</v>
      </c>
      <c r="Q375" s="10">
        <v>0.15349537037037039</v>
      </c>
      <c r="R375" s="9" t="s">
        <v>56</v>
      </c>
      <c r="S375" s="10">
        <v>0.19038194444444451</v>
      </c>
      <c r="T375" s="9">
        <v>50.012</v>
      </c>
      <c r="U375" s="9">
        <v>11.91</v>
      </c>
      <c r="V375" s="10">
        <v>0.17497685185185191</v>
      </c>
      <c r="W375" s="10">
        <v>5.5868055555555553E-2</v>
      </c>
      <c r="X375" s="10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 t="s">
        <v>139</v>
      </c>
      <c r="AF375" s="9" t="s">
        <v>3134</v>
      </c>
      <c r="AG375" s="9" t="s">
        <v>3135</v>
      </c>
      <c r="AH375" s="9">
        <v>6.2265740000000003</v>
      </c>
      <c r="AI375" s="9">
        <v>-75.599252000000007</v>
      </c>
      <c r="AJ375" s="9" t="s">
        <v>3136</v>
      </c>
      <c r="AK375" s="9">
        <v>6.2155360000000002</v>
      </c>
      <c r="AL375" s="9">
        <v>-75.577033</v>
      </c>
      <c r="AM375" s="26">
        <f t="shared" si="6"/>
        <v>0.15349537037037039</v>
      </c>
    </row>
    <row r="376" spans="1:39" ht="15" x14ac:dyDescent="0.25">
      <c r="A376" s="9" t="s">
        <v>3137</v>
      </c>
      <c r="B376" s="9" t="s">
        <v>3138</v>
      </c>
      <c r="C376" s="9" t="s">
        <v>3139</v>
      </c>
      <c r="D376" s="9" t="s">
        <v>3086</v>
      </c>
      <c r="E376" s="9" t="s">
        <v>2619</v>
      </c>
      <c r="F376" s="9" t="s">
        <v>169</v>
      </c>
      <c r="G376" s="9" t="s">
        <v>105</v>
      </c>
      <c r="H376" s="9" t="s">
        <v>106</v>
      </c>
      <c r="I376" s="9" t="s">
        <v>40</v>
      </c>
      <c r="J376" s="9">
        <v>3303</v>
      </c>
      <c r="K376" s="9" t="s">
        <v>3140</v>
      </c>
      <c r="L376" s="9" t="s">
        <v>42</v>
      </c>
      <c r="M376" s="10">
        <v>3.9699074074074072E-3</v>
      </c>
      <c r="N376" s="9" t="s">
        <v>65</v>
      </c>
      <c r="O376" s="9" t="s">
        <v>3141</v>
      </c>
      <c r="P376" s="9" t="s">
        <v>45</v>
      </c>
      <c r="Q376" s="10">
        <v>1.793981481481481E-3</v>
      </c>
      <c r="R376" s="9" t="s">
        <v>46</v>
      </c>
      <c r="S376" s="10">
        <v>0.3311574074074074</v>
      </c>
      <c r="T376" s="9">
        <v>44.533999999999999</v>
      </c>
      <c r="U376" s="9">
        <v>11</v>
      </c>
      <c r="V376" s="10">
        <v>0.16870370370370369</v>
      </c>
      <c r="W376" s="10">
        <v>0.11034722222222219</v>
      </c>
      <c r="X376" s="10">
        <v>4.5844907407407411E-2</v>
      </c>
      <c r="Y376" s="9">
        <v>1</v>
      </c>
      <c r="Z376" s="9">
        <v>1</v>
      </c>
      <c r="AA376" s="9">
        <v>1</v>
      </c>
      <c r="AB376" s="9">
        <v>1</v>
      </c>
      <c r="AC376" s="9">
        <v>1</v>
      </c>
      <c r="AD376" s="9">
        <v>1</v>
      </c>
      <c r="AE376" s="9" t="s">
        <v>84</v>
      </c>
      <c r="AF376" s="9" t="s">
        <v>3142</v>
      </c>
      <c r="AG376" s="9" t="s">
        <v>3143</v>
      </c>
      <c r="AH376" s="9">
        <v>6.2255570000000002</v>
      </c>
      <c r="AI376" s="9">
        <v>-75.599400000000003</v>
      </c>
      <c r="AJ376" s="9" t="s">
        <v>3144</v>
      </c>
      <c r="AK376" s="9">
        <v>6.2588860000000004</v>
      </c>
      <c r="AL376" s="9">
        <v>-75.616541999999995</v>
      </c>
      <c r="AM376" s="26">
        <f t="shared" si="6"/>
        <v>0</v>
      </c>
    </row>
    <row r="377" spans="1:39" ht="15" x14ac:dyDescent="0.25">
      <c r="A377" s="9" t="s">
        <v>3149</v>
      </c>
      <c r="B377" s="9" t="s">
        <v>3150</v>
      </c>
      <c r="C377" s="9" t="s">
        <v>3151</v>
      </c>
      <c r="D377" s="9" t="s">
        <v>3086</v>
      </c>
      <c r="E377" s="9" t="s">
        <v>2619</v>
      </c>
      <c r="F377" s="9" t="s">
        <v>169</v>
      </c>
      <c r="G377" s="9" t="s">
        <v>113</v>
      </c>
      <c r="H377" s="9" t="s">
        <v>114</v>
      </c>
      <c r="I377" s="9" t="s">
        <v>40</v>
      </c>
      <c r="J377" s="9">
        <v>2144</v>
      </c>
      <c r="K377" s="9" t="s">
        <v>3145</v>
      </c>
      <c r="L377" s="9" t="s">
        <v>42</v>
      </c>
      <c r="M377" s="10">
        <v>4.8958333333333336E-3</v>
      </c>
      <c r="N377" s="9" t="s">
        <v>65</v>
      </c>
      <c r="O377" s="9" t="s">
        <v>3146</v>
      </c>
      <c r="P377" s="9" t="s">
        <v>45</v>
      </c>
      <c r="Q377" s="10">
        <v>3.1736111111111111E-2</v>
      </c>
      <c r="R377" s="9" t="s">
        <v>56</v>
      </c>
      <c r="S377" s="10">
        <v>0.29670138888888892</v>
      </c>
      <c r="T377" s="9">
        <v>28.207000000000001</v>
      </c>
      <c r="U377" s="9">
        <v>5.38</v>
      </c>
      <c r="V377" s="10">
        <v>0.21827546296296299</v>
      </c>
      <c r="W377" s="10">
        <v>0.16694444444444451</v>
      </c>
      <c r="X377" s="10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0</v>
      </c>
      <c r="AD377" s="9">
        <v>2</v>
      </c>
      <c r="AE377" s="9" t="s">
        <v>67</v>
      </c>
      <c r="AF377" s="9" t="s">
        <v>3152</v>
      </c>
      <c r="AG377" s="9" t="s">
        <v>3147</v>
      </c>
      <c r="AH377" s="9">
        <v>6.2318179999999996</v>
      </c>
      <c r="AI377" s="9">
        <v>-75.602149999999995</v>
      </c>
      <c r="AJ377" s="9" t="s">
        <v>3148</v>
      </c>
      <c r="AK377" s="9">
        <v>6.2489600000000003</v>
      </c>
      <c r="AL377" s="9">
        <v>-75.587492999999995</v>
      </c>
      <c r="AM377" s="26">
        <f t="shared" si="6"/>
        <v>3.1736111111111111E-2</v>
      </c>
    </row>
    <row r="378" spans="1:39" ht="15" x14ac:dyDescent="0.25">
      <c r="A378" s="9" t="s">
        <v>3153</v>
      </c>
      <c r="B378" s="9" t="s">
        <v>3154</v>
      </c>
      <c r="C378" s="9" t="s">
        <v>3155</v>
      </c>
      <c r="D378" s="9" t="s">
        <v>3086</v>
      </c>
      <c r="E378" s="9" t="s">
        <v>2619</v>
      </c>
      <c r="F378" s="9" t="s">
        <v>169</v>
      </c>
      <c r="G378" s="9" t="s">
        <v>124</v>
      </c>
      <c r="H378" s="9" t="s">
        <v>125</v>
      </c>
      <c r="I378" s="9" t="s">
        <v>115</v>
      </c>
      <c r="J378" s="9">
        <v>4028</v>
      </c>
      <c r="K378" s="9" t="s">
        <v>3156</v>
      </c>
      <c r="L378" s="9" t="s">
        <v>117</v>
      </c>
      <c r="M378" s="10">
        <v>5.115740740740741E-3</v>
      </c>
      <c r="N378" s="9" t="s">
        <v>65</v>
      </c>
      <c r="O378" s="9" t="s">
        <v>3157</v>
      </c>
      <c r="P378" s="9" t="s">
        <v>119</v>
      </c>
      <c r="Q378" s="10">
        <v>7.8240740740740736E-3</v>
      </c>
      <c r="R378" s="9" t="s">
        <v>46</v>
      </c>
      <c r="S378" s="10">
        <v>0.26293981481481482</v>
      </c>
      <c r="T378" s="9">
        <v>54.890999999999998</v>
      </c>
      <c r="U378" s="9">
        <v>14.52</v>
      </c>
      <c r="V378" s="10">
        <v>0.15755787037037039</v>
      </c>
      <c r="W378" s="10">
        <v>7.9178240740740743E-2</v>
      </c>
      <c r="X378" s="10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 t="s">
        <v>84</v>
      </c>
      <c r="AF378" s="9" t="s">
        <v>352</v>
      </c>
      <c r="AG378" s="39" t="s">
        <v>3158</v>
      </c>
      <c r="AH378" s="39">
        <v>6.2264239999999997</v>
      </c>
      <c r="AI378" s="39">
        <v>-75.599276000000003</v>
      </c>
      <c r="AJ378" s="39" t="s">
        <v>3159</v>
      </c>
      <c r="AK378" s="39">
        <v>6.2727360000000001</v>
      </c>
      <c r="AL378" s="39">
        <v>-75.601935999999995</v>
      </c>
      <c r="AM378" s="26">
        <f t="shared" si="6"/>
        <v>0</v>
      </c>
    </row>
    <row r="379" spans="1:39" ht="15" x14ac:dyDescent="0.25">
      <c r="A379" s="9" t="s">
        <v>3160</v>
      </c>
      <c r="B379" s="9" t="s">
        <v>3161</v>
      </c>
      <c r="C379" s="9" t="s">
        <v>3162</v>
      </c>
      <c r="D379" s="9" t="s">
        <v>3086</v>
      </c>
      <c r="E379" s="9" t="s">
        <v>2619</v>
      </c>
      <c r="F379" s="9" t="s">
        <v>169</v>
      </c>
      <c r="G379" s="9" t="s">
        <v>72</v>
      </c>
      <c r="H379" s="9" t="s">
        <v>73</v>
      </c>
      <c r="I379" s="9" t="s">
        <v>115</v>
      </c>
      <c r="J379" s="9">
        <v>2243</v>
      </c>
      <c r="K379" s="9" t="s">
        <v>3163</v>
      </c>
      <c r="L379" s="9" t="s">
        <v>117</v>
      </c>
      <c r="M379" s="10">
        <v>1.951388888888889E-2</v>
      </c>
      <c r="N379" s="9" t="s">
        <v>127</v>
      </c>
      <c r="O379" s="9" t="s">
        <v>3164</v>
      </c>
      <c r="P379" s="9" t="s">
        <v>119</v>
      </c>
      <c r="Q379" s="10">
        <v>5.5393518518518522E-2</v>
      </c>
      <c r="R379" s="9" t="s">
        <v>56</v>
      </c>
      <c r="S379" s="10">
        <v>0.21412037037037041</v>
      </c>
      <c r="T379" s="9">
        <v>30.224</v>
      </c>
      <c r="U379" s="9">
        <v>8.18</v>
      </c>
      <c r="V379" s="10">
        <v>0.153900462962963</v>
      </c>
      <c r="W379" s="10">
        <v>0.105</v>
      </c>
      <c r="X379" s="10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 t="s">
        <v>139</v>
      </c>
      <c r="AF379" s="9" t="s">
        <v>3165</v>
      </c>
      <c r="AG379" s="39" t="s">
        <v>3166</v>
      </c>
      <c r="AH379" s="39">
        <v>6.225981</v>
      </c>
      <c r="AI379" s="39">
        <v>-75.599293000000003</v>
      </c>
      <c r="AJ379" s="39" t="s">
        <v>3167</v>
      </c>
      <c r="AK379" s="39">
        <v>6.2370669999999997</v>
      </c>
      <c r="AL379" s="39">
        <v>-75.558881</v>
      </c>
      <c r="AM379" s="26">
        <f t="shared" si="6"/>
        <v>5.5393518518518522E-2</v>
      </c>
    </row>
    <row r="380" spans="1:39" ht="15" x14ac:dyDescent="0.25">
      <c r="A380" s="9" t="s">
        <v>3168</v>
      </c>
      <c r="B380" s="9" t="s">
        <v>3169</v>
      </c>
      <c r="C380" s="9" t="s">
        <v>3170</v>
      </c>
      <c r="D380" s="9" t="s">
        <v>3086</v>
      </c>
      <c r="E380" s="9" t="s">
        <v>2619</v>
      </c>
      <c r="F380" s="9" t="s">
        <v>169</v>
      </c>
      <c r="G380" s="9" t="s">
        <v>80</v>
      </c>
      <c r="H380" s="9" t="s">
        <v>81</v>
      </c>
      <c r="I380" s="9" t="s">
        <v>115</v>
      </c>
      <c r="J380" s="9">
        <v>5357</v>
      </c>
      <c r="K380" s="9" t="s">
        <v>3171</v>
      </c>
      <c r="L380" s="9" t="s">
        <v>117</v>
      </c>
      <c r="M380" s="10">
        <v>6.0820833333333326E-3</v>
      </c>
      <c r="N380" s="9" t="s">
        <v>65</v>
      </c>
      <c r="O380" s="9" t="s">
        <v>3172</v>
      </c>
      <c r="P380" s="9" t="s">
        <v>119</v>
      </c>
      <c r="Q380" s="10">
        <v>2.2138773148148148E-3</v>
      </c>
      <c r="R380" s="9" t="s">
        <v>46</v>
      </c>
      <c r="S380" s="10">
        <v>0.25386820601851851</v>
      </c>
      <c r="T380" s="9">
        <v>38.408999999999999</v>
      </c>
      <c r="U380" s="9">
        <v>24.08</v>
      </c>
      <c r="V380" s="10">
        <v>6.6464421296296372E-2</v>
      </c>
      <c r="W380" s="10">
        <v>1.7652500000000002E-2</v>
      </c>
      <c r="X380" s="10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10</v>
      </c>
      <c r="AE380" s="9" t="s">
        <v>84</v>
      </c>
      <c r="AF380" s="9" t="s">
        <v>591</v>
      </c>
      <c r="AG380" s="39" t="s">
        <v>3173</v>
      </c>
      <c r="AH380" s="39">
        <v>6.2257009999999999</v>
      </c>
      <c r="AI380" s="39">
        <v>-75.599422000000004</v>
      </c>
      <c r="AJ380" s="39" t="s">
        <v>3174</v>
      </c>
      <c r="AK380" s="39">
        <v>6.2592499999999998</v>
      </c>
      <c r="AL380" s="39">
        <v>-75.620926999999995</v>
      </c>
      <c r="AM380" s="26">
        <f t="shared" si="6"/>
        <v>0</v>
      </c>
    </row>
    <row r="381" spans="1:39" ht="15" x14ac:dyDescent="0.25">
      <c r="A381" s="9" t="s">
        <v>3175</v>
      </c>
      <c r="B381" s="9" t="s">
        <v>3176</v>
      </c>
      <c r="C381" s="9" t="s">
        <v>3177</v>
      </c>
      <c r="D381" s="9" t="s">
        <v>3086</v>
      </c>
      <c r="E381" s="9" t="s">
        <v>2619</v>
      </c>
      <c r="F381" s="9" t="s">
        <v>169</v>
      </c>
      <c r="G381" s="9" t="s">
        <v>160</v>
      </c>
      <c r="H381" s="9" t="s">
        <v>161</v>
      </c>
      <c r="I381" s="9" t="s">
        <v>115</v>
      </c>
      <c r="J381" s="9">
        <v>10883</v>
      </c>
      <c r="K381" s="9" t="s">
        <v>3178</v>
      </c>
      <c r="L381" s="9" t="s">
        <v>117</v>
      </c>
      <c r="M381" s="10">
        <v>1.644640046296296E-2</v>
      </c>
      <c r="N381" s="9" t="s">
        <v>127</v>
      </c>
      <c r="O381" s="9" t="s">
        <v>3179</v>
      </c>
      <c r="P381" s="9" t="s">
        <v>119</v>
      </c>
      <c r="Q381" s="10">
        <v>3.3443518518518518E-3</v>
      </c>
      <c r="R381" s="9" t="s">
        <v>46</v>
      </c>
      <c r="S381" s="10">
        <v>0.26979075231481481</v>
      </c>
      <c r="T381" s="9">
        <v>54.942</v>
      </c>
      <c r="U381" s="9">
        <v>14.85</v>
      </c>
      <c r="V381" s="10">
        <v>0.15410851851851851</v>
      </c>
      <c r="W381" s="10">
        <v>0.1092252083333333</v>
      </c>
      <c r="X381" s="10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0</v>
      </c>
      <c r="AD381" s="9">
        <v>1</v>
      </c>
      <c r="AE381" s="9" t="s">
        <v>139</v>
      </c>
      <c r="AF381" s="9" t="s">
        <v>3180</v>
      </c>
      <c r="AG381" s="39" t="s">
        <v>3181</v>
      </c>
      <c r="AH381" s="39">
        <v>6.229012</v>
      </c>
      <c r="AI381" s="39">
        <v>-75.602047999999996</v>
      </c>
      <c r="AJ381" s="39" t="s">
        <v>3182</v>
      </c>
      <c r="AK381" s="39">
        <v>6.2684329999999999</v>
      </c>
      <c r="AL381" s="39">
        <v>-75.599272999999997</v>
      </c>
      <c r="AM381" s="26">
        <f t="shared" si="6"/>
        <v>0</v>
      </c>
    </row>
    <row r="382" spans="1:39" ht="15" x14ac:dyDescent="0.25">
      <c r="A382" s="1" t="s">
        <v>3183</v>
      </c>
      <c r="B382" s="1" t="s">
        <v>3184</v>
      </c>
      <c r="C382" s="1" t="s">
        <v>3185</v>
      </c>
      <c r="D382" s="1" t="s">
        <v>3086</v>
      </c>
      <c r="E382" s="1" t="s">
        <v>2619</v>
      </c>
      <c r="F382" s="1" t="s">
        <v>169</v>
      </c>
      <c r="G382" s="1" t="s">
        <v>97</v>
      </c>
      <c r="H382" s="1" t="s">
        <v>98</v>
      </c>
      <c r="I382" s="1" t="s">
        <v>115</v>
      </c>
      <c r="J382" s="1">
        <v>1871</v>
      </c>
      <c r="K382" s="1" t="s">
        <v>3186</v>
      </c>
      <c r="L382" s="1" t="s">
        <v>117</v>
      </c>
      <c r="M382" s="38">
        <v>9.6759259259259264E-3</v>
      </c>
      <c r="N382" s="1" t="s">
        <v>65</v>
      </c>
      <c r="O382" s="1" t="s">
        <v>3187</v>
      </c>
      <c r="P382" s="1" t="s">
        <v>119</v>
      </c>
      <c r="Q382" s="38">
        <v>4.0150462962962957E-2</v>
      </c>
      <c r="R382" s="1" t="s">
        <v>56</v>
      </c>
      <c r="S382" s="38">
        <v>0.21952546296296299</v>
      </c>
      <c r="T382" s="1">
        <v>24.082000000000001</v>
      </c>
      <c r="U382" s="1">
        <v>6.1</v>
      </c>
      <c r="V382" s="38">
        <v>0.16457175925925929</v>
      </c>
      <c r="W382" s="38">
        <v>0.12917824074074069</v>
      </c>
      <c r="X382" s="38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 t="s">
        <v>67</v>
      </c>
      <c r="AF382" s="1" t="s">
        <v>3188</v>
      </c>
      <c r="AG382" s="1" t="s">
        <v>3189</v>
      </c>
      <c r="AH382" s="1">
        <v>6.2332830000000001</v>
      </c>
      <c r="AI382" s="1">
        <v>-75.582739000000004</v>
      </c>
      <c r="AJ382" s="1" t="s">
        <v>3190</v>
      </c>
      <c r="AK382" s="1">
        <v>6.3089589999999998</v>
      </c>
      <c r="AL382" s="1">
        <v>-75.582459999999998</v>
      </c>
      <c r="AM382" s="26">
        <f t="shared" si="6"/>
        <v>4.0150462962962957E-2</v>
      </c>
    </row>
    <row r="383" spans="1:39" ht="15" x14ac:dyDescent="0.25">
      <c r="A383" s="9" t="s">
        <v>3196</v>
      </c>
      <c r="B383" s="9" t="s">
        <v>3197</v>
      </c>
      <c r="C383" s="9" t="s">
        <v>3198</v>
      </c>
      <c r="D383" s="9" t="s">
        <v>3191</v>
      </c>
      <c r="E383" s="9" t="s">
        <v>2619</v>
      </c>
      <c r="F383" s="9" t="s">
        <v>315</v>
      </c>
      <c r="G383" s="9" t="s">
        <v>52</v>
      </c>
      <c r="H383" s="9" t="s">
        <v>53</v>
      </c>
      <c r="I383" s="9" t="s">
        <v>40</v>
      </c>
      <c r="J383" s="9">
        <v>2487</v>
      </c>
      <c r="K383" s="9" t="s">
        <v>3199</v>
      </c>
      <c r="L383" s="9" t="s">
        <v>42</v>
      </c>
      <c r="M383" s="10">
        <v>1.8842592592592591E-2</v>
      </c>
      <c r="N383" s="9" t="s">
        <v>127</v>
      </c>
      <c r="O383" s="9" t="s">
        <v>3200</v>
      </c>
      <c r="P383" s="9" t="s">
        <v>45</v>
      </c>
      <c r="Q383" s="10">
        <v>9.4212962962962957E-3</v>
      </c>
      <c r="R383" s="9" t="s">
        <v>46</v>
      </c>
      <c r="S383" s="10">
        <v>0.3427546296296296</v>
      </c>
      <c r="T383" s="9">
        <v>31.291</v>
      </c>
      <c r="U383" s="9">
        <v>8.11</v>
      </c>
      <c r="V383" s="10">
        <v>0.16069444444444439</v>
      </c>
      <c r="W383" s="10">
        <v>0.1083564814814815</v>
      </c>
      <c r="X383" s="10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 t="s">
        <v>139</v>
      </c>
      <c r="AF383" s="9" t="s">
        <v>3201</v>
      </c>
      <c r="AG383" s="9" t="s">
        <v>3202</v>
      </c>
      <c r="AH383" s="9">
        <v>6.2256229999999997</v>
      </c>
      <c r="AI383" s="9">
        <v>-75.598982000000007</v>
      </c>
      <c r="AJ383" s="9" t="s">
        <v>3203</v>
      </c>
      <c r="AK383" s="9">
        <v>6.2253780000000001</v>
      </c>
      <c r="AL383" s="9">
        <v>-75.599233999999996</v>
      </c>
      <c r="AM383" s="26">
        <f t="shared" si="6"/>
        <v>0</v>
      </c>
    </row>
    <row r="384" spans="1:39" ht="15" x14ac:dyDescent="0.25">
      <c r="A384" s="9" t="s">
        <v>3204</v>
      </c>
      <c r="B384" s="9" t="s">
        <v>3205</v>
      </c>
      <c r="C384" s="9" t="s">
        <v>3206</v>
      </c>
      <c r="D384" s="9" t="s">
        <v>3191</v>
      </c>
      <c r="E384" s="9" t="s">
        <v>2619</v>
      </c>
      <c r="F384" s="9" t="s">
        <v>315</v>
      </c>
      <c r="G384" s="9" t="s">
        <v>113</v>
      </c>
      <c r="H384" s="9" t="s">
        <v>114</v>
      </c>
      <c r="I384" s="9" t="s">
        <v>40</v>
      </c>
      <c r="J384" s="9">
        <v>2696</v>
      </c>
      <c r="K384" s="9" t="s">
        <v>3207</v>
      </c>
      <c r="L384" s="9" t="s">
        <v>42</v>
      </c>
      <c r="M384" s="10">
        <v>1.8298611111111109E-2</v>
      </c>
      <c r="N384" s="9" t="s">
        <v>43</v>
      </c>
      <c r="O384" s="9" t="s">
        <v>3208</v>
      </c>
      <c r="P384" s="9" t="s">
        <v>45</v>
      </c>
      <c r="Q384" s="10">
        <v>1.1446759259259261E-2</v>
      </c>
      <c r="R384" s="9" t="s">
        <v>56</v>
      </c>
      <c r="S384" s="10">
        <v>0.30358796296296298</v>
      </c>
      <c r="T384" s="9">
        <v>33.587000000000003</v>
      </c>
      <c r="U384" s="9">
        <v>6.5</v>
      </c>
      <c r="V384" s="10">
        <v>0.21535879629629631</v>
      </c>
      <c r="W384" s="10">
        <v>0.1471064814814815</v>
      </c>
      <c r="X384" s="10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 s="9">
        <v>1</v>
      </c>
      <c r="AE384" s="9" t="s">
        <v>57</v>
      </c>
      <c r="AF384" s="9" t="s">
        <v>3209</v>
      </c>
      <c r="AG384" s="9" t="s">
        <v>3210</v>
      </c>
      <c r="AH384" s="9">
        <v>6.2531059999999998</v>
      </c>
      <c r="AI384" s="9">
        <v>-75.609550999999996</v>
      </c>
      <c r="AJ384" s="9" t="s">
        <v>3211</v>
      </c>
      <c r="AK384" s="9">
        <v>6.239077</v>
      </c>
      <c r="AL384" s="9">
        <v>-75.595442000000006</v>
      </c>
      <c r="AM384" s="26">
        <f t="shared" si="6"/>
        <v>2.974537037037037E-2</v>
      </c>
    </row>
    <row r="385" spans="1:39" ht="15" x14ac:dyDescent="0.25">
      <c r="A385" s="9" t="s">
        <v>3212</v>
      </c>
      <c r="B385" s="9" t="s">
        <v>3213</v>
      </c>
      <c r="C385" s="9" t="s">
        <v>3214</v>
      </c>
      <c r="D385" s="9" t="s">
        <v>3191</v>
      </c>
      <c r="E385" s="9" t="s">
        <v>2619</v>
      </c>
      <c r="F385" s="9" t="s">
        <v>315</v>
      </c>
      <c r="G385" s="9" t="s">
        <v>62</v>
      </c>
      <c r="H385" s="9" t="s">
        <v>63</v>
      </c>
      <c r="I385" s="9" t="s">
        <v>40</v>
      </c>
      <c r="J385" s="9">
        <v>2448</v>
      </c>
      <c r="K385" s="9" t="s">
        <v>3215</v>
      </c>
      <c r="L385" s="9" t="s">
        <v>42</v>
      </c>
      <c r="M385" s="10">
        <v>1.15162037037037E-2</v>
      </c>
      <c r="N385" s="9" t="s">
        <v>127</v>
      </c>
      <c r="O385" s="9" t="s">
        <v>3216</v>
      </c>
      <c r="P385" s="9" t="s">
        <v>45</v>
      </c>
      <c r="Q385" s="10">
        <v>0.1079166666666667</v>
      </c>
      <c r="R385" s="9" t="s">
        <v>56</v>
      </c>
      <c r="S385" s="10">
        <v>0.23693287037037039</v>
      </c>
      <c r="T385" s="9">
        <v>32.279000000000003</v>
      </c>
      <c r="U385" s="9">
        <v>8.56</v>
      </c>
      <c r="V385" s="10">
        <v>0.15710648148148151</v>
      </c>
      <c r="W385" s="10">
        <v>0.1052314814814815</v>
      </c>
      <c r="X385" s="10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1</v>
      </c>
      <c r="AE385" s="9" t="s">
        <v>139</v>
      </c>
      <c r="AF385" s="9" t="s">
        <v>3217</v>
      </c>
      <c r="AG385" s="9" t="s">
        <v>3218</v>
      </c>
      <c r="AH385" s="9">
        <v>6.2258420000000001</v>
      </c>
      <c r="AI385" s="9">
        <v>-75.599386999999993</v>
      </c>
      <c r="AJ385" s="9" t="s">
        <v>3219</v>
      </c>
      <c r="AK385" s="9">
        <v>6.233981</v>
      </c>
      <c r="AL385" s="9">
        <v>-75.606673999999998</v>
      </c>
      <c r="AM385" s="26">
        <f t="shared" si="6"/>
        <v>0.1079166666666667</v>
      </c>
    </row>
    <row r="386" spans="1:39" ht="15" x14ac:dyDescent="0.25">
      <c r="A386" s="9" t="s">
        <v>3220</v>
      </c>
      <c r="B386" s="9" t="s">
        <v>3221</v>
      </c>
      <c r="C386" s="9" t="s">
        <v>3222</v>
      </c>
      <c r="D386" s="9" t="s">
        <v>3191</v>
      </c>
      <c r="E386" s="9" t="s">
        <v>2619</v>
      </c>
      <c r="F386" s="9" t="s">
        <v>315</v>
      </c>
      <c r="G386" s="9" t="s">
        <v>135</v>
      </c>
      <c r="H386" s="9" t="s">
        <v>136</v>
      </c>
      <c r="I386" s="9" t="s">
        <v>40</v>
      </c>
      <c r="J386" s="9">
        <v>1569</v>
      </c>
      <c r="K386" s="9" t="s">
        <v>3223</v>
      </c>
      <c r="L386" s="9" t="s">
        <v>42</v>
      </c>
      <c r="M386" s="10">
        <v>1.3553240740740741E-2</v>
      </c>
      <c r="N386" s="9" t="s">
        <v>127</v>
      </c>
      <c r="O386" s="9" t="s">
        <v>3224</v>
      </c>
      <c r="P386" s="9" t="s">
        <v>45</v>
      </c>
      <c r="Q386" s="10">
        <v>4.2824074074074081E-4</v>
      </c>
      <c r="R386" s="9" t="s">
        <v>46</v>
      </c>
      <c r="S386" s="10">
        <v>0.3473148148148148</v>
      </c>
      <c r="T386" s="9">
        <v>26.782</v>
      </c>
      <c r="U386" s="9">
        <v>10.14</v>
      </c>
      <c r="V386" s="10">
        <v>0.1100347222222222</v>
      </c>
      <c r="W386" s="10">
        <v>8.1793981481481481E-2</v>
      </c>
      <c r="X386" s="10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5</v>
      </c>
      <c r="AE386" s="9" t="s">
        <v>139</v>
      </c>
      <c r="AF386" s="9" t="s">
        <v>3225</v>
      </c>
      <c r="AG386" s="9" t="s">
        <v>3112</v>
      </c>
      <c r="AH386" s="9">
        <v>6.2555730000000001</v>
      </c>
      <c r="AI386" s="9">
        <v>-75.571351000000007</v>
      </c>
      <c r="AJ386" s="9" t="s">
        <v>3226</v>
      </c>
      <c r="AK386" s="9">
        <v>6.2381510000000002</v>
      </c>
      <c r="AL386" s="9">
        <v>-75.547309999999996</v>
      </c>
      <c r="AM386" s="26">
        <f t="shared" si="6"/>
        <v>0</v>
      </c>
    </row>
    <row r="387" spans="1:39" ht="15" x14ac:dyDescent="0.25">
      <c r="A387" s="9" t="s">
        <v>3227</v>
      </c>
      <c r="B387" s="9" t="s">
        <v>3228</v>
      </c>
      <c r="C387" s="9" t="s">
        <v>3229</v>
      </c>
      <c r="D387" s="9" t="s">
        <v>3191</v>
      </c>
      <c r="E387" s="9" t="s">
        <v>2619</v>
      </c>
      <c r="F387" s="9" t="s">
        <v>315</v>
      </c>
      <c r="G387" s="9" t="s">
        <v>144</v>
      </c>
      <c r="H387" s="9" t="s">
        <v>145</v>
      </c>
      <c r="I387" s="9" t="s">
        <v>40</v>
      </c>
      <c r="J387" s="9">
        <v>5956</v>
      </c>
      <c r="K387" s="9" t="s">
        <v>3230</v>
      </c>
      <c r="L387" s="9" t="s">
        <v>42</v>
      </c>
      <c r="M387" s="10">
        <v>6.3888888888888893E-3</v>
      </c>
      <c r="N387" s="9" t="s">
        <v>65</v>
      </c>
      <c r="O387" s="9" t="s">
        <v>3231</v>
      </c>
      <c r="P387" s="9" t="s">
        <v>45</v>
      </c>
      <c r="Q387" s="10">
        <v>2.2002314814814811E-2</v>
      </c>
      <c r="R387" s="9" t="s">
        <v>56</v>
      </c>
      <c r="S387" s="10">
        <v>0.31771990740740741</v>
      </c>
      <c r="T387" s="9">
        <v>76.950999999999993</v>
      </c>
      <c r="U387" s="9">
        <v>13.64</v>
      </c>
      <c r="V387" s="10">
        <v>0.23508101851851851</v>
      </c>
      <c r="W387" s="10">
        <v>7.1747685185185192E-2</v>
      </c>
      <c r="X387" s="10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0</v>
      </c>
      <c r="AE387" s="9" t="s">
        <v>67</v>
      </c>
      <c r="AF387" s="9" t="s">
        <v>3232</v>
      </c>
      <c r="AG387" s="9" t="s">
        <v>3233</v>
      </c>
      <c r="AH387" s="9">
        <v>6.2727430000000002</v>
      </c>
      <c r="AI387" s="9">
        <v>-75.574470000000005</v>
      </c>
      <c r="AJ387" s="9" t="s">
        <v>3234</v>
      </c>
      <c r="AK387" s="9">
        <v>6.2728390000000003</v>
      </c>
      <c r="AL387" s="9">
        <v>-75.574417999999994</v>
      </c>
      <c r="AM387" s="26">
        <f t="shared" si="6"/>
        <v>2.2002314814814811E-2</v>
      </c>
    </row>
    <row r="388" spans="1:39" ht="15" x14ac:dyDescent="0.25">
      <c r="A388" s="9" t="s">
        <v>3235</v>
      </c>
      <c r="B388" s="9" t="s">
        <v>3236</v>
      </c>
      <c r="C388" s="9" t="s">
        <v>3237</v>
      </c>
      <c r="D388" s="9" t="s">
        <v>3191</v>
      </c>
      <c r="E388" s="9" t="s">
        <v>2619</v>
      </c>
      <c r="F388" s="9" t="s">
        <v>315</v>
      </c>
      <c r="G388" s="9" t="s">
        <v>152</v>
      </c>
      <c r="H388" s="9" t="s">
        <v>153</v>
      </c>
      <c r="I388" s="9" t="s">
        <v>40</v>
      </c>
      <c r="J388" s="9">
        <v>5865</v>
      </c>
      <c r="K388" s="9" t="s">
        <v>3238</v>
      </c>
      <c r="L388" s="9" t="s">
        <v>42</v>
      </c>
      <c r="M388" s="10">
        <v>1.101851851851852E-2</v>
      </c>
      <c r="N388" s="9" t="s">
        <v>127</v>
      </c>
      <c r="O388" s="9" t="s">
        <v>3239</v>
      </c>
      <c r="P388" s="9" t="s">
        <v>45</v>
      </c>
      <c r="Q388" s="10">
        <v>3.5925925925925917E-2</v>
      </c>
      <c r="R388" s="9" t="s">
        <v>129</v>
      </c>
      <c r="S388" s="10">
        <v>0.38027777777777783</v>
      </c>
      <c r="T388" s="9">
        <v>74.290000000000006</v>
      </c>
      <c r="U388" s="9">
        <v>9.93</v>
      </c>
      <c r="V388" s="10">
        <v>0.31165509259259261</v>
      </c>
      <c r="W388" s="10">
        <v>0.14983796296296301</v>
      </c>
      <c r="X388" s="10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1</v>
      </c>
      <c r="AE388" s="9" t="s">
        <v>130</v>
      </c>
      <c r="AF388" s="9" t="s">
        <v>3240</v>
      </c>
      <c r="AG388" s="9" t="s">
        <v>3241</v>
      </c>
      <c r="AH388" s="9">
        <v>6.2255900000000004</v>
      </c>
      <c r="AI388" s="9">
        <v>-75.599424999999997</v>
      </c>
      <c r="AJ388" s="9" t="s">
        <v>3242</v>
      </c>
      <c r="AK388" s="9">
        <v>6.3108719999999998</v>
      </c>
      <c r="AL388" s="9">
        <v>-75.565312000000006</v>
      </c>
      <c r="AM388" s="26">
        <f t="shared" si="6"/>
        <v>0</v>
      </c>
    </row>
    <row r="389" spans="1:39" ht="15" x14ac:dyDescent="0.25">
      <c r="A389" s="9" t="s">
        <v>3243</v>
      </c>
      <c r="B389" s="9" t="s">
        <v>3244</v>
      </c>
      <c r="C389" s="9" t="s">
        <v>3245</v>
      </c>
      <c r="D389" s="9" t="s">
        <v>3191</v>
      </c>
      <c r="E389" s="9" t="s">
        <v>2619</v>
      </c>
      <c r="F389" s="9" t="s">
        <v>315</v>
      </c>
      <c r="G389" s="9" t="s">
        <v>89</v>
      </c>
      <c r="H389" s="9" t="s">
        <v>90</v>
      </c>
      <c r="I389" s="9" t="s">
        <v>40</v>
      </c>
      <c r="J389" s="9">
        <v>5871</v>
      </c>
      <c r="K389" s="9" t="s">
        <v>3246</v>
      </c>
      <c r="L389" s="9" t="s">
        <v>42</v>
      </c>
      <c r="M389" s="10">
        <v>6.7245370370370367E-3</v>
      </c>
      <c r="N389" s="9" t="s">
        <v>65</v>
      </c>
      <c r="O389" s="9" t="s">
        <v>3247</v>
      </c>
      <c r="P389" s="9" t="s">
        <v>45</v>
      </c>
      <c r="Q389" s="10">
        <v>9.2013888888888892E-3</v>
      </c>
      <c r="R389" s="9" t="s">
        <v>46</v>
      </c>
      <c r="S389" s="10">
        <v>0.3308564814814815</v>
      </c>
      <c r="T389" s="9">
        <v>77.83</v>
      </c>
      <c r="U389" s="9">
        <v>13.44</v>
      </c>
      <c r="V389" s="10">
        <v>0.24122685185185189</v>
      </c>
      <c r="W389" s="10">
        <v>8.0300925925925928E-2</v>
      </c>
      <c r="X389" s="10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 s="9">
        <v>0</v>
      </c>
      <c r="AE389" s="9" t="s">
        <v>84</v>
      </c>
      <c r="AF389" s="9" t="s">
        <v>352</v>
      </c>
      <c r="AG389" s="9" t="s">
        <v>3248</v>
      </c>
      <c r="AH389" s="9">
        <v>6.2265740000000003</v>
      </c>
      <c r="AI389" s="9">
        <v>-75.599340999999995</v>
      </c>
      <c r="AJ389" s="9" t="s">
        <v>3249</v>
      </c>
      <c r="AK389" s="9">
        <v>6.2796830000000003</v>
      </c>
      <c r="AL389" s="9">
        <v>-75.572063</v>
      </c>
      <c r="AM389" s="26">
        <f t="shared" ref="AM389:AM453" si="7">IF(N389="INICIO TARDÍO",M389,0)+IF(R389="TERMINÓ ANTES",Q389,0)</f>
        <v>0</v>
      </c>
    </row>
    <row r="390" spans="1:39" ht="15" x14ac:dyDescent="0.25">
      <c r="A390" s="17" t="s">
        <v>3250</v>
      </c>
      <c r="B390" s="17" t="s">
        <v>3251</v>
      </c>
      <c r="C390" s="17" t="s">
        <v>3252</v>
      </c>
      <c r="D390" s="17" t="s">
        <v>3191</v>
      </c>
      <c r="E390" s="17" t="s">
        <v>2619</v>
      </c>
      <c r="F390" s="17" t="s">
        <v>315</v>
      </c>
      <c r="G390" s="17" t="s">
        <v>105</v>
      </c>
      <c r="H390" s="17" t="s">
        <v>106</v>
      </c>
      <c r="I390" s="17" t="s">
        <v>40</v>
      </c>
      <c r="J390" s="17">
        <v>4418</v>
      </c>
      <c r="K390" s="17" t="s">
        <v>3253</v>
      </c>
      <c r="L390" s="17" t="s">
        <v>42</v>
      </c>
      <c r="M390" s="18">
        <v>6.6782407407407407E-3</v>
      </c>
      <c r="N390" s="17" t="s">
        <v>65</v>
      </c>
      <c r="O390" s="17" t="s">
        <v>3254</v>
      </c>
      <c r="P390" s="17" t="s">
        <v>45</v>
      </c>
      <c r="Q390" s="18">
        <v>1.3888888888888889E-3</v>
      </c>
      <c r="R390" s="17" t="s">
        <v>46</v>
      </c>
      <c r="S390" s="18">
        <v>0.34140046296296289</v>
      </c>
      <c r="T390" s="17">
        <v>59.905000000000001</v>
      </c>
      <c r="U390" s="17">
        <v>12.75</v>
      </c>
      <c r="V390" s="18">
        <v>0.19575231481481481</v>
      </c>
      <c r="W390" s="18">
        <v>0.1122800925925926</v>
      </c>
      <c r="X390" s="18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 t="s">
        <v>84</v>
      </c>
      <c r="AF390" s="17" t="s">
        <v>352</v>
      </c>
      <c r="AG390" s="17" t="s">
        <v>3255</v>
      </c>
      <c r="AH390" s="17">
        <v>6.225651</v>
      </c>
      <c r="AI390" s="17">
        <v>-75.599123000000006</v>
      </c>
      <c r="AJ390" s="17" t="s">
        <v>3256</v>
      </c>
      <c r="AK390" s="17">
        <v>6.1910360000000004</v>
      </c>
      <c r="AL390" s="17">
        <v>-75.583235999999999</v>
      </c>
      <c r="AM390" s="27">
        <f t="shared" si="7"/>
        <v>0</v>
      </c>
    </row>
    <row r="391" spans="1:39" s="9" customFormat="1" ht="15" x14ac:dyDescent="0.25">
      <c r="A391" s="9" t="s">
        <v>3257</v>
      </c>
      <c r="B391" s="9" t="s">
        <v>3258</v>
      </c>
      <c r="C391" s="9" t="s">
        <v>3259</v>
      </c>
      <c r="D391" s="9" t="s">
        <v>3191</v>
      </c>
      <c r="E391" s="9" t="s">
        <v>2619</v>
      </c>
      <c r="F391" s="9" t="s">
        <v>315</v>
      </c>
      <c r="G391" s="9" t="s">
        <v>38</v>
      </c>
      <c r="H391" s="9" t="s">
        <v>39</v>
      </c>
      <c r="I391" s="9" t="s">
        <v>40</v>
      </c>
      <c r="J391" s="9">
        <v>6165</v>
      </c>
      <c r="K391" s="9" t="s">
        <v>3192</v>
      </c>
      <c r="L391" s="9" t="s">
        <v>42</v>
      </c>
      <c r="M391" s="10">
        <v>1.280594907407407E-2</v>
      </c>
      <c r="N391" s="9" t="s">
        <v>43</v>
      </c>
      <c r="O391" s="9" t="s">
        <v>3193</v>
      </c>
      <c r="P391" s="9" t="s">
        <v>45</v>
      </c>
      <c r="Q391" s="10">
        <v>6.0477581018518523E-2</v>
      </c>
      <c r="R391" s="9" t="s">
        <v>56</v>
      </c>
      <c r="S391" s="10">
        <v>0.26004980324074067</v>
      </c>
      <c r="T391" s="9">
        <v>49.527999999999999</v>
      </c>
      <c r="U391" s="9">
        <v>23.45</v>
      </c>
      <c r="V391" s="10">
        <v>8.8019363425925659E-2</v>
      </c>
      <c r="W391" s="10">
        <v>2.843787037037037E-2</v>
      </c>
      <c r="X391" s="10">
        <v>7.543056712962963E-2</v>
      </c>
      <c r="Y391" s="9">
        <v>1</v>
      </c>
      <c r="Z391" s="9">
        <v>1</v>
      </c>
      <c r="AA391" s="9">
        <v>1</v>
      </c>
      <c r="AB391" s="9">
        <v>1</v>
      </c>
      <c r="AC391" s="9">
        <v>1</v>
      </c>
      <c r="AD391" s="9">
        <v>5</v>
      </c>
      <c r="AE391" s="9" t="s">
        <v>57</v>
      </c>
      <c r="AF391" s="9" t="s">
        <v>3260</v>
      </c>
      <c r="AG391" s="9" t="s">
        <v>3194</v>
      </c>
      <c r="AH391" s="9">
        <v>6.2032670000000003</v>
      </c>
      <c r="AI391" s="9">
        <v>-75.600633000000002</v>
      </c>
      <c r="AJ391" s="9" t="s">
        <v>3195</v>
      </c>
      <c r="AK391" s="9">
        <v>6.221692</v>
      </c>
      <c r="AL391" s="9">
        <v>-75.593850000000003</v>
      </c>
      <c r="AM391" s="26">
        <f t="shared" si="7"/>
        <v>7.3283530092592586E-2</v>
      </c>
    </row>
    <row r="392" spans="1:39" ht="15" x14ac:dyDescent="0.25">
      <c r="A392" s="9" t="s">
        <v>3261</v>
      </c>
      <c r="B392" s="9" t="s">
        <v>3262</v>
      </c>
      <c r="C392" s="9" t="s">
        <v>3263</v>
      </c>
      <c r="D392" s="9" t="s">
        <v>3191</v>
      </c>
      <c r="E392" s="9" t="s">
        <v>2619</v>
      </c>
      <c r="F392" s="9" t="s">
        <v>315</v>
      </c>
      <c r="G392" s="9" t="s">
        <v>124</v>
      </c>
      <c r="H392" s="9" t="s">
        <v>125</v>
      </c>
      <c r="I392" s="9" t="s">
        <v>115</v>
      </c>
      <c r="J392" s="9">
        <v>5047</v>
      </c>
      <c r="K392" s="9" t="s">
        <v>3264</v>
      </c>
      <c r="L392" s="9" t="s">
        <v>117</v>
      </c>
      <c r="M392" s="10">
        <v>2.0474537037037041E-2</v>
      </c>
      <c r="N392" s="9" t="s">
        <v>127</v>
      </c>
      <c r="O392" s="9" t="s">
        <v>3265</v>
      </c>
      <c r="P392" s="9" t="s">
        <v>119</v>
      </c>
      <c r="Q392" s="10">
        <v>1.0393518518518521E-2</v>
      </c>
      <c r="R392" s="9" t="s">
        <v>46</v>
      </c>
      <c r="S392" s="10">
        <v>0.28086805555555561</v>
      </c>
      <c r="T392" s="9">
        <v>63.121000000000002</v>
      </c>
      <c r="U392" s="9">
        <v>12.33</v>
      </c>
      <c r="V392" s="10">
        <v>0.21322916666666669</v>
      </c>
      <c r="W392" s="10">
        <v>5.7291666666666657E-2</v>
      </c>
      <c r="X392" s="10">
        <v>6.030092592592593E-3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0</v>
      </c>
      <c r="AE392" s="9" t="s">
        <v>139</v>
      </c>
      <c r="AF392" s="9" t="s">
        <v>3266</v>
      </c>
      <c r="AG392" s="9" t="s">
        <v>3267</v>
      </c>
      <c r="AH392" s="9">
        <v>6.2263739999999999</v>
      </c>
      <c r="AI392" s="9">
        <v>-75.599348000000006</v>
      </c>
      <c r="AJ392" s="9" t="s">
        <v>3268</v>
      </c>
      <c r="AK392" s="9">
        <v>6.2726470000000001</v>
      </c>
      <c r="AL392" s="9">
        <v>-75.601989000000003</v>
      </c>
      <c r="AM392" s="26">
        <f t="shared" si="7"/>
        <v>0</v>
      </c>
    </row>
    <row r="393" spans="1:39" ht="15" x14ac:dyDescent="0.25">
      <c r="A393" s="9" t="s">
        <v>3269</v>
      </c>
      <c r="B393" s="9" t="s">
        <v>3270</v>
      </c>
      <c r="C393" s="9" t="s">
        <v>3271</v>
      </c>
      <c r="D393" s="9" t="s">
        <v>3191</v>
      </c>
      <c r="E393" s="9" t="s">
        <v>2619</v>
      </c>
      <c r="F393" s="9" t="s">
        <v>315</v>
      </c>
      <c r="G393" s="9" t="s">
        <v>72</v>
      </c>
      <c r="H393" s="9" t="s">
        <v>73</v>
      </c>
      <c r="I393" s="9" t="s">
        <v>115</v>
      </c>
      <c r="J393" s="9">
        <v>1692</v>
      </c>
      <c r="K393" s="9" t="s">
        <v>3272</v>
      </c>
      <c r="L393" s="9" t="s">
        <v>117</v>
      </c>
      <c r="M393" s="10">
        <v>1.5648148148148151E-2</v>
      </c>
      <c r="N393" s="9" t="s">
        <v>127</v>
      </c>
      <c r="O393" s="9" t="s">
        <v>3273</v>
      </c>
      <c r="P393" s="9" t="s">
        <v>119</v>
      </c>
      <c r="Q393" s="10">
        <v>5.4421296296296287E-2</v>
      </c>
      <c r="R393" s="9" t="s">
        <v>56</v>
      </c>
      <c r="S393" s="10">
        <v>0.21122685185185189</v>
      </c>
      <c r="T393" s="9">
        <v>29.631</v>
      </c>
      <c r="U393" s="9">
        <v>8.25</v>
      </c>
      <c r="V393" s="10">
        <v>0.14960648148148151</v>
      </c>
      <c r="W393" s="10">
        <v>0.1054513888888889</v>
      </c>
      <c r="X393" s="10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 t="s">
        <v>139</v>
      </c>
      <c r="AF393" s="9" t="s">
        <v>3274</v>
      </c>
      <c r="AG393" s="9" t="s">
        <v>3275</v>
      </c>
      <c r="AH393" s="9">
        <v>6.2260289999999996</v>
      </c>
      <c r="AI393" s="9">
        <v>-75.599327000000002</v>
      </c>
      <c r="AJ393" s="9" t="s">
        <v>3276</v>
      </c>
      <c r="AK393" s="9">
        <v>6.2370619999999999</v>
      </c>
      <c r="AL393" s="9">
        <v>-75.558768000000001</v>
      </c>
      <c r="AM393" s="26">
        <f t="shared" si="7"/>
        <v>5.4421296296296287E-2</v>
      </c>
    </row>
    <row r="394" spans="1:39" ht="15" x14ac:dyDescent="0.25">
      <c r="A394" s="9" t="s">
        <v>3277</v>
      </c>
      <c r="B394" s="9" t="s">
        <v>3278</v>
      </c>
      <c r="C394" s="9" t="s">
        <v>3279</v>
      </c>
      <c r="D394" s="9" t="s">
        <v>3191</v>
      </c>
      <c r="E394" s="9" t="s">
        <v>2619</v>
      </c>
      <c r="F394" s="9" t="s">
        <v>315</v>
      </c>
      <c r="G394" s="9" t="s">
        <v>80</v>
      </c>
      <c r="H394" s="9" t="s">
        <v>81</v>
      </c>
      <c r="I394" s="9" t="s">
        <v>115</v>
      </c>
      <c r="J394" s="9">
        <v>5643</v>
      </c>
      <c r="K394" s="9" t="s">
        <v>3280</v>
      </c>
      <c r="L394" s="9" t="s">
        <v>117</v>
      </c>
      <c r="M394" s="10">
        <v>1.194197916666667E-2</v>
      </c>
      <c r="N394" s="9" t="s">
        <v>127</v>
      </c>
      <c r="O394" s="9" t="s">
        <v>3281</v>
      </c>
      <c r="P394" s="9" t="s">
        <v>119</v>
      </c>
      <c r="Q394" s="10">
        <v>2.3118402777777781E-3</v>
      </c>
      <c r="R394" s="9" t="s">
        <v>46</v>
      </c>
      <c r="S394" s="10">
        <v>0.25963013888888892</v>
      </c>
      <c r="T394" s="9">
        <v>40.811</v>
      </c>
      <c r="U394" s="9">
        <v>16.11</v>
      </c>
      <c r="V394" s="10">
        <v>0.10552721064814791</v>
      </c>
      <c r="W394" s="10">
        <v>5.2198252314814828E-2</v>
      </c>
      <c r="X394" s="10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11</v>
      </c>
      <c r="AE394" s="9" t="s">
        <v>139</v>
      </c>
      <c r="AF394" s="9" t="s">
        <v>3282</v>
      </c>
      <c r="AG394" s="9" t="s">
        <v>3283</v>
      </c>
      <c r="AH394" s="9">
        <v>6.225644</v>
      </c>
      <c r="AI394" s="9">
        <v>-75.599369999999993</v>
      </c>
      <c r="AJ394" s="9" t="s">
        <v>3284</v>
      </c>
      <c r="AK394" s="9">
        <v>6.2554990000000004</v>
      </c>
      <c r="AL394" s="9">
        <v>-75.620519000000002</v>
      </c>
      <c r="AM394" s="26">
        <f t="shared" si="7"/>
        <v>0</v>
      </c>
    </row>
    <row r="395" spans="1:39" ht="15" x14ac:dyDescent="0.25">
      <c r="A395" s="9" t="s">
        <v>3285</v>
      </c>
      <c r="B395" s="9" t="s">
        <v>3286</v>
      </c>
      <c r="C395" s="9" t="s">
        <v>3287</v>
      </c>
      <c r="D395" s="9" t="s">
        <v>3191</v>
      </c>
      <c r="E395" s="9" t="s">
        <v>2619</v>
      </c>
      <c r="F395" s="9" t="s">
        <v>315</v>
      </c>
      <c r="G395" s="9" t="s">
        <v>160</v>
      </c>
      <c r="H395" s="9" t="s">
        <v>161</v>
      </c>
      <c r="I395" s="9" t="s">
        <v>115</v>
      </c>
      <c r="J395" s="9">
        <v>12071</v>
      </c>
      <c r="K395" s="9" t="s">
        <v>2956</v>
      </c>
      <c r="L395" s="9" t="s">
        <v>117</v>
      </c>
      <c r="M395" s="10">
        <v>3.0373514699074078</v>
      </c>
      <c r="N395" s="9" t="s">
        <v>127</v>
      </c>
      <c r="O395" s="9" t="s">
        <v>2957</v>
      </c>
      <c r="P395" s="9" t="s">
        <v>119</v>
      </c>
      <c r="Q395" s="10">
        <v>3.0010320486111111</v>
      </c>
      <c r="R395" s="9" t="s">
        <v>56</v>
      </c>
      <c r="S395" s="10">
        <v>0.28631942129629628</v>
      </c>
      <c r="T395" s="9">
        <v>70.233000000000004</v>
      </c>
      <c r="U395" s="9">
        <v>17.25</v>
      </c>
      <c r="V395" s="10">
        <v>0.16968402777777791</v>
      </c>
      <c r="W395" s="10">
        <v>9.995311342592593E-2</v>
      </c>
      <c r="X395" s="10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2</v>
      </c>
      <c r="AE395" s="9" t="s">
        <v>139</v>
      </c>
      <c r="AF395" s="9" t="s">
        <v>3288</v>
      </c>
      <c r="AG395" s="9" t="s">
        <v>2959</v>
      </c>
      <c r="AH395" s="9">
        <v>6.2412669999999997</v>
      </c>
      <c r="AI395" s="9">
        <v>-75.586453000000006</v>
      </c>
      <c r="AJ395" s="9" t="s">
        <v>2960</v>
      </c>
      <c r="AK395" s="9">
        <v>6.2568000000000001</v>
      </c>
      <c r="AL395" s="9">
        <v>-75.580860000000001</v>
      </c>
      <c r="AM395" s="26">
        <f t="shared" si="7"/>
        <v>3.0010320486111111</v>
      </c>
    </row>
    <row r="396" spans="1:39" ht="15" x14ac:dyDescent="0.25">
      <c r="A396" s="9" t="s">
        <v>3289</v>
      </c>
      <c r="B396" s="9" t="s">
        <v>3290</v>
      </c>
      <c r="C396" s="9" t="s">
        <v>3291</v>
      </c>
      <c r="D396" s="9" t="s">
        <v>3191</v>
      </c>
      <c r="E396" s="9" t="s">
        <v>2619</v>
      </c>
      <c r="F396" s="9" t="s">
        <v>315</v>
      </c>
      <c r="G396" s="9" t="s">
        <v>97</v>
      </c>
      <c r="H396" s="9" t="s">
        <v>98</v>
      </c>
      <c r="I396" s="9" t="s">
        <v>115</v>
      </c>
      <c r="J396" s="9">
        <v>3687</v>
      </c>
      <c r="K396" s="9" t="s">
        <v>3292</v>
      </c>
      <c r="L396" s="9" t="s">
        <v>117</v>
      </c>
      <c r="M396" s="10">
        <v>1.292824074074074E-2</v>
      </c>
      <c r="N396" s="9" t="s">
        <v>127</v>
      </c>
      <c r="O396" s="9" t="s">
        <v>3293</v>
      </c>
      <c r="P396" s="9" t="s">
        <v>119</v>
      </c>
      <c r="Q396" s="10">
        <v>9.837962962962962E-4</v>
      </c>
      <c r="R396" s="9" t="s">
        <v>46</v>
      </c>
      <c r="S396" s="10">
        <v>0.26194444444444442</v>
      </c>
      <c r="T396" s="9">
        <v>49.853999999999999</v>
      </c>
      <c r="U396" s="9">
        <v>11.54</v>
      </c>
      <c r="V396" s="10">
        <v>0.17996527777777779</v>
      </c>
      <c r="W396" s="10">
        <v>0.1005439814814815</v>
      </c>
      <c r="X396" s="10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0</v>
      </c>
      <c r="AE396" s="9" t="s">
        <v>139</v>
      </c>
      <c r="AF396" s="9" t="s">
        <v>3294</v>
      </c>
      <c r="AG396" s="9" t="s">
        <v>3295</v>
      </c>
      <c r="AH396" s="9">
        <v>6.2256239999999998</v>
      </c>
      <c r="AI396" s="9">
        <v>-75.599417000000003</v>
      </c>
      <c r="AJ396" s="9" t="s">
        <v>3296</v>
      </c>
      <c r="AK396" s="9">
        <v>6.2953029999999996</v>
      </c>
      <c r="AL396" s="9">
        <v>-75.582172</v>
      </c>
      <c r="AM396" s="27">
        <f t="shared" si="7"/>
        <v>0</v>
      </c>
    </row>
    <row r="397" spans="1:39" ht="15" x14ac:dyDescent="0.25">
      <c r="A397" s="9" t="s">
        <v>3297</v>
      </c>
      <c r="B397" s="9" t="s">
        <v>3298</v>
      </c>
      <c r="C397" s="9" t="s">
        <v>3299</v>
      </c>
      <c r="D397" s="9" t="s">
        <v>3300</v>
      </c>
      <c r="E397" s="9" t="s">
        <v>2619</v>
      </c>
      <c r="F397" s="9" t="s">
        <v>406</v>
      </c>
      <c r="G397" s="9" t="s">
        <v>38</v>
      </c>
      <c r="H397" s="9" t="s">
        <v>39</v>
      </c>
      <c r="I397" s="9" t="s">
        <v>40</v>
      </c>
      <c r="J397" s="9">
        <v>7218</v>
      </c>
      <c r="K397" s="9" t="s">
        <v>3301</v>
      </c>
      <c r="L397" s="9" t="s">
        <v>42</v>
      </c>
      <c r="M397" s="10">
        <v>5.2253935185185181E-3</v>
      </c>
      <c r="N397" s="9" t="s">
        <v>65</v>
      </c>
      <c r="O397" s="9" t="s">
        <v>3302</v>
      </c>
      <c r="P397" s="9" t="s">
        <v>413</v>
      </c>
      <c r="Q397" s="10">
        <v>3.8467453703703712E-2</v>
      </c>
      <c r="R397" s="9" t="s">
        <v>56</v>
      </c>
      <c r="S397" s="10">
        <v>0.26880715277777778</v>
      </c>
      <c r="T397" s="9">
        <v>43.122999999999998</v>
      </c>
      <c r="U397" s="9">
        <v>20.98</v>
      </c>
      <c r="V397" s="10">
        <v>8.5647488425925913E-2</v>
      </c>
      <c r="W397" s="10">
        <v>2.9955844907407402E-2</v>
      </c>
      <c r="X397" s="10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0</v>
      </c>
      <c r="AD397" s="9">
        <v>2</v>
      </c>
      <c r="AE397" s="9" t="s">
        <v>67</v>
      </c>
      <c r="AF397" s="9" t="s">
        <v>3303</v>
      </c>
      <c r="AG397" s="9" t="s">
        <v>3304</v>
      </c>
      <c r="AH397" s="9">
        <v>6.2034520000000004</v>
      </c>
      <c r="AI397" s="9">
        <v>-75.600986000000006</v>
      </c>
      <c r="AJ397" s="9" t="s">
        <v>3305</v>
      </c>
      <c r="AK397" s="9">
        <v>6.2028930000000004</v>
      </c>
      <c r="AL397" s="9">
        <v>-75.569176999999996</v>
      </c>
      <c r="AM397" s="26">
        <f t="shared" si="7"/>
        <v>3.8467453703703712E-2</v>
      </c>
    </row>
    <row r="398" spans="1:39" ht="15" x14ac:dyDescent="0.25">
      <c r="A398" s="9" t="s">
        <v>3306</v>
      </c>
      <c r="B398" s="9" t="s">
        <v>3307</v>
      </c>
      <c r="C398" s="9" t="s">
        <v>3308</v>
      </c>
      <c r="D398" s="9" t="s">
        <v>3300</v>
      </c>
      <c r="E398" s="9" t="s">
        <v>2619</v>
      </c>
      <c r="F398" s="9" t="s">
        <v>406</v>
      </c>
      <c r="G398" s="9" t="s">
        <v>52</v>
      </c>
      <c r="H398" s="9" t="s">
        <v>53</v>
      </c>
      <c r="I398" s="9" t="s">
        <v>40</v>
      </c>
      <c r="J398" s="9">
        <v>1734</v>
      </c>
      <c r="K398" s="9" t="s">
        <v>3309</v>
      </c>
      <c r="L398" s="9" t="s">
        <v>42</v>
      </c>
      <c r="M398" s="10">
        <v>4.5370370370370373E-3</v>
      </c>
      <c r="N398" s="9" t="s">
        <v>65</v>
      </c>
      <c r="O398" s="9" t="s">
        <v>3310</v>
      </c>
      <c r="P398" s="9" t="s">
        <v>413</v>
      </c>
      <c r="Q398" s="10">
        <v>5.3356481481481484E-3</v>
      </c>
      <c r="R398" s="9" t="s">
        <v>46</v>
      </c>
      <c r="S398" s="10">
        <v>0.31170138888888888</v>
      </c>
      <c r="T398" s="9">
        <v>22.494</v>
      </c>
      <c r="U398" s="9">
        <v>3.93</v>
      </c>
      <c r="V398" s="10">
        <v>0.2386689814814815</v>
      </c>
      <c r="W398" s="10">
        <v>0.2031597222222222</v>
      </c>
      <c r="X398" s="10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4</v>
      </c>
      <c r="AE398" s="9" t="s">
        <v>84</v>
      </c>
      <c r="AF398" s="9" t="s">
        <v>1602</v>
      </c>
      <c r="AG398" s="9" t="s">
        <v>3311</v>
      </c>
      <c r="AH398" s="9">
        <v>6.2256710000000002</v>
      </c>
      <c r="AI398" s="9">
        <v>-75.599406999999999</v>
      </c>
      <c r="AJ398" s="9" t="s">
        <v>3312</v>
      </c>
      <c r="AK398" s="9">
        <v>6.2522520000000004</v>
      </c>
      <c r="AL398" s="9">
        <v>-75.607341000000005</v>
      </c>
      <c r="AM398" s="26">
        <f t="shared" si="7"/>
        <v>0</v>
      </c>
    </row>
    <row r="399" spans="1:39" ht="15" x14ac:dyDescent="0.25">
      <c r="A399" s="9" t="s">
        <v>3313</v>
      </c>
      <c r="B399" s="9" t="s">
        <v>3314</v>
      </c>
      <c r="C399" s="9" t="s">
        <v>3315</v>
      </c>
      <c r="D399" s="9" t="s">
        <v>3300</v>
      </c>
      <c r="E399" s="9" t="s">
        <v>2619</v>
      </c>
      <c r="F399" s="9" t="s">
        <v>406</v>
      </c>
      <c r="G399" s="9" t="s">
        <v>62</v>
      </c>
      <c r="H399" s="9" t="s">
        <v>63</v>
      </c>
      <c r="I399" s="9" t="s">
        <v>40</v>
      </c>
      <c r="J399" s="9">
        <v>2206</v>
      </c>
      <c r="K399" s="9" t="s">
        <v>3316</v>
      </c>
      <c r="L399" s="9" t="s">
        <v>42</v>
      </c>
      <c r="M399" s="10">
        <v>6.6550925925925927E-3</v>
      </c>
      <c r="N399" s="9" t="s">
        <v>65</v>
      </c>
      <c r="O399" s="9" t="s">
        <v>3317</v>
      </c>
      <c r="P399" s="9" t="s">
        <v>413</v>
      </c>
      <c r="Q399" s="10">
        <v>0.1159027777777778</v>
      </c>
      <c r="R399" s="9" t="s">
        <v>56</v>
      </c>
      <c r="S399" s="10">
        <v>0.18994212962962961</v>
      </c>
      <c r="T399" s="9">
        <v>30.331</v>
      </c>
      <c r="U399" s="9">
        <v>10.07</v>
      </c>
      <c r="V399" s="10">
        <v>0.12550925925925929</v>
      </c>
      <c r="W399" s="10">
        <v>8.414351851851852E-2</v>
      </c>
      <c r="X399" s="10">
        <v>8.4606481481481477E-3</v>
      </c>
      <c r="Y399" s="9">
        <v>1</v>
      </c>
      <c r="Z399" s="9">
        <v>0</v>
      </c>
      <c r="AA399" s="9">
        <v>0</v>
      </c>
      <c r="AB399" s="9">
        <v>0</v>
      </c>
      <c r="AC399" s="9">
        <v>0</v>
      </c>
      <c r="AD399" s="9">
        <v>0</v>
      </c>
      <c r="AE399" s="9" t="s">
        <v>67</v>
      </c>
      <c r="AF399" s="9" t="s">
        <v>3318</v>
      </c>
      <c r="AG399" s="9" t="s">
        <v>3319</v>
      </c>
      <c r="AH399" s="9">
        <v>6.2258329999999997</v>
      </c>
      <c r="AI399" s="9">
        <v>-75.599429000000001</v>
      </c>
      <c r="AJ399" s="9" t="s">
        <v>3320</v>
      </c>
      <c r="AK399" s="9">
        <v>6.2961679999999998</v>
      </c>
      <c r="AL399" s="9">
        <v>-75.585223999999997</v>
      </c>
      <c r="AM399" s="27">
        <f t="shared" si="7"/>
        <v>0.1159027777777778</v>
      </c>
    </row>
    <row r="400" spans="1:39" ht="15" x14ac:dyDescent="0.25">
      <c r="A400" s="9" t="s">
        <v>3321</v>
      </c>
      <c r="B400" s="9" t="s">
        <v>3322</v>
      </c>
      <c r="C400" s="9" t="s">
        <v>3323</v>
      </c>
      <c r="D400" s="9" t="s">
        <v>3300</v>
      </c>
      <c r="E400" s="9" t="s">
        <v>2619</v>
      </c>
      <c r="F400" s="9" t="s">
        <v>406</v>
      </c>
      <c r="G400" s="9" t="s">
        <v>135</v>
      </c>
      <c r="H400" s="9" t="s">
        <v>136</v>
      </c>
      <c r="I400" s="9" t="s">
        <v>40</v>
      </c>
      <c r="J400" s="9">
        <v>3053</v>
      </c>
      <c r="K400" s="9" t="s">
        <v>3324</v>
      </c>
      <c r="L400" s="9" t="s">
        <v>42</v>
      </c>
      <c r="M400" s="10">
        <v>1.6574074074074071E-2</v>
      </c>
      <c r="N400" s="9" t="s">
        <v>127</v>
      </c>
      <c r="O400" s="9" t="s">
        <v>3325</v>
      </c>
      <c r="P400" s="9" t="s">
        <v>413</v>
      </c>
      <c r="Q400" s="10">
        <v>1.481481481481481E-3</v>
      </c>
      <c r="R400" s="9" t="s">
        <v>46</v>
      </c>
      <c r="S400" s="10">
        <v>0.33055555555555549</v>
      </c>
      <c r="T400" s="9">
        <v>47.993000000000002</v>
      </c>
      <c r="U400" s="9">
        <v>15.85</v>
      </c>
      <c r="V400" s="10">
        <v>0.12613425925925931</v>
      </c>
      <c r="W400" s="10">
        <v>6.806712962962963E-2</v>
      </c>
      <c r="X400" s="10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9">
        <v>4</v>
      </c>
      <c r="AE400" s="9" t="s">
        <v>139</v>
      </c>
      <c r="AF400" s="9" t="s">
        <v>3326</v>
      </c>
      <c r="AG400" s="9" t="s">
        <v>3226</v>
      </c>
      <c r="AH400" s="9">
        <v>6.2381510000000002</v>
      </c>
      <c r="AI400" s="9">
        <v>-75.547309999999996</v>
      </c>
      <c r="AJ400" s="9" t="s">
        <v>3327</v>
      </c>
      <c r="AK400" s="9">
        <v>6.2809850000000003</v>
      </c>
      <c r="AL400" s="9">
        <v>-75.545736000000005</v>
      </c>
      <c r="AM400" s="26">
        <f t="shared" si="7"/>
        <v>0</v>
      </c>
    </row>
    <row r="401" spans="1:39" ht="15" x14ac:dyDescent="0.25">
      <c r="A401" s="9" t="s">
        <v>3328</v>
      </c>
      <c r="B401" s="9" t="s">
        <v>3329</v>
      </c>
      <c r="C401" s="9" t="s">
        <v>3330</v>
      </c>
      <c r="D401" s="9" t="s">
        <v>3300</v>
      </c>
      <c r="E401" s="9" t="s">
        <v>2619</v>
      </c>
      <c r="F401" s="9" t="s">
        <v>406</v>
      </c>
      <c r="G401" s="9" t="s">
        <v>144</v>
      </c>
      <c r="H401" s="9" t="s">
        <v>145</v>
      </c>
      <c r="I401" s="9" t="s">
        <v>40</v>
      </c>
      <c r="J401" s="9">
        <v>4010</v>
      </c>
      <c r="K401" s="9" t="s">
        <v>3331</v>
      </c>
      <c r="L401" s="9" t="s">
        <v>42</v>
      </c>
      <c r="M401" s="10">
        <v>2.2175925925925929E-2</v>
      </c>
      <c r="N401" s="9" t="s">
        <v>127</v>
      </c>
      <c r="O401" s="9" t="s">
        <v>3332</v>
      </c>
      <c r="P401" s="9" t="s">
        <v>413</v>
      </c>
      <c r="Q401" s="10">
        <v>0.13746527777777781</v>
      </c>
      <c r="R401" s="9" t="s">
        <v>56</v>
      </c>
      <c r="S401" s="10">
        <v>0.19721064814814809</v>
      </c>
      <c r="T401" s="9">
        <v>52.210999999999999</v>
      </c>
      <c r="U401" s="9">
        <v>13.89</v>
      </c>
      <c r="V401" s="10">
        <v>0.15659722222222219</v>
      </c>
      <c r="W401" s="10">
        <v>4.6215277777777779E-2</v>
      </c>
      <c r="X401" s="10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 t="s">
        <v>139</v>
      </c>
      <c r="AF401" s="9" t="s">
        <v>3333</v>
      </c>
      <c r="AG401" s="9" t="s">
        <v>3334</v>
      </c>
      <c r="AH401" s="9">
        <v>6.2727459999999997</v>
      </c>
      <c r="AI401" s="9">
        <v>-75.574455</v>
      </c>
      <c r="AJ401" s="9" t="s">
        <v>3335</v>
      </c>
      <c r="AK401" s="9">
        <v>6.2394040000000004</v>
      </c>
      <c r="AL401" s="9">
        <v>-75.583635000000001</v>
      </c>
      <c r="AM401" s="26">
        <f t="shared" si="7"/>
        <v>0.13746527777777781</v>
      </c>
    </row>
    <row r="402" spans="1:39" ht="15" x14ac:dyDescent="0.25">
      <c r="A402" s="9" t="s">
        <v>3336</v>
      </c>
      <c r="B402" s="9" t="s">
        <v>3337</v>
      </c>
      <c r="C402" s="9" t="s">
        <v>3338</v>
      </c>
      <c r="D402" s="9" t="s">
        <v>3300</v>
      </c>
      <c r="E402" s="9" t="s">
        <v>2619</v>
      </c>
      <c r="F402" s="9" t="s">
        <v>406</v>
      </c>
      <c r="G402" s="9" t="s">
        <v>152</v>
      </c>
      <c r="H402" s="9" t="s">
        <v>153</v>
      </c>
      <c r="I402" s="9" t="s">
        <v>40</v>
      </c>
      <c r="J402" s="9">
        <v>5663</v>
      </c>
      <c r="K402" s="9" t="s">
        <v>3339</v>
      </c>
      <c r="L402" s="9" t="s">
        <v>42</v>
      </c>
      <c r="M402" s="10">
        <v>2.0821759259259259E-2</v>
      </c>
      <c r="N402" s="9" t="s">
        <v>127</v>
      </c>
      <c r="O402" s="9" t="s">
        <v>3340</v>
      </c>
      <c r="P402" s="9" t="s">
        <v>413</v>
      </c>
      <c r="Q402" s="10">
        <v>1.1759259259259259E-2</v>
      </c>
      <c r="R402" s="9" t="s">
        <v>129</v>
      </c>
      <c r="S402" s="10">
        <v>0.34508101851851852</v>
      </c>
      <c r="T402" s="9">
        <v>73.462999999999994</v>
      </c>
      <c r="U402" s="9">
        <v>11.15</v>
      </c>
      <c r="V402" s="10">
        <v>0.27452546296296299</v>
      </c>
      <c r="W402" s="10">
        <v>0.1188310185185185</v>
      </c>
      <c r="X402" s="10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2</v>
      </c>
      <c r="AE402" s="9" t="s">
        <v>130</v>
      </c>
      <c r="AF402" s="9" t="s">
        <v>3341</v>
      </c>
      <c r="AG402" s="9" t="s">
        <v>3342</v>
      </c>
      <c r="AH402" s="9">
        <v>6.2801130000000001</v>
      </c>
      <c r="AI402" s="9">
        <v>-75.572571999999994</v>
      </c>
      <c r="AJ402" s="9" t="s">
        <v>3343</v>
      </c>
      <c r="AK402" s="9">
        <v>6.2518180000000001</v>
      </c>
      <c r="AL402" s="9">
        <v>-75.551772999999997</v>
      </c>
      <c r="AM402" s="27">
        <f t="shared" si="7"/>
        <v>0</v>
      </c>
    </row>
    <row r="403" spans="1:39" ht="15" x14ac:dyDescent="0.25">
      <c r="A403" s="9" t="s">
        <v>3344</v>
      </c>
      <c r="B403" s="9" t="s">
        <v>3345</v>
      </c>
      <c r="C403" s="9" t="s">
        <v>3346</v>
      </c>
      <c r="D403" s="9" t="s">
        <v>3300</v>
      </c>
      <c r="E403" s="9" t="s">
        <v>2619</v>
      </c>
      <c r="F403" s="9" t="s">
        <v>406</v>
      </c>
      <c r="G403" s="9" t="s">
        <v>89</v>
      </c>
      <c r="H403" s="9" t="s">
        <v>90</v>
      </c>
      <c r="I403" s="9" t="s">
        <v>40</v>
      </c>
      <c r="J403" s="9">
        <v>2633</v>
      </c>
      <c r="K403" s="9" t="s">
        <v>3347</v>
      </c>
      <c r="L403" s="9" t="s">
        <v>42</v>
      </c>
      <c r="M403" s="10">
        <v>1.2129629629629631E-2</v>
      </c>
      <c r="N403" s="9" t="s">
        <v>127</v>
      </c>
      <c r="O403" s="9" t="s">
        <v>3348</v>
      </c>
      <c r="P403" s="9" t="s">
        <v>413</v>
      </c>
      <c r="Q403" s="10">
        <v>1.239583333333333E-2</v>
      </c>
      <c r="R403" s="9" t="s">
        <v>56</v>
      </c>
      <c r="S403" s="10">
        <v>0.31223379629629627</v>
      </c>
      <c r="T403" s="9">
        <v>32.966000000000001</v>
      </c>
      <c r="U403" s="9">
        <v>6.67</v>
      </c>
      <c r="V403" s="10">
        <v>0.20579861111111111</v>
      </c>
      <c r="W403" s="10">
        <v>0.13592592592592589</v>
      </c>
      <c r="X403" s="10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9" t="s">
        <v>139</v>
      </c>
      <c r="AF403" s="9" t="s">
        <v>3349</v>
      </c>
      <c r="AG403" s="9" t="s">
        <v>3350</v>
      </c>
      <c r="AH403" s="9">
        <v>6.2268850000000002</v>
      </c>
      <c r="AI403" s="9">
        <v>-75.599194999999995</v>
      </c>
      <c r="AJ403" s="9" t="s">
        <v>3351</v>
      </c>
      <c r="AK403" s="9">
        <v>6.2794569999999998</v>
      </c>
      <c r="AL403" s="9">
        <v>-75.570402000000001</v>
      </c>
      <c r="AM403" s="26">
        <f t="shared" si="7"/>
        <v>1.239583333333333E-2</v>
      </c>
    </row>
    <row r="404" spans="1:39" ht="15" x14ac:dyDescent="0.25">
      <c r="A404" s="9" t="s">
        <v>3352</v>
      </c>
      <c r="B404" s="9" t="s">
        <v>3353</v>
      </c>
      <c r="C404" s="9" t="s">
        <v>3354</v>
      </c>
      <c r="D404" s="9" t="s">
        <v>3300</v>
      </c>
      <c r="E404" s="9" t="s">
        <v>2619</v>
      </c>
      <c r="F404" s="9" t="s">
        <v>406</v>
      </c>
      <c r="G404" s="9" t="s">
        <v>105</v>
      </c>
      <c r="H404" s="9" t="s">
        <v>106</v>
      </c>
      <c r="I404" s="9" t="s">
        <v>40</v>
      </c>
      <c r="J404" s="9">
        <v>3479</v>
      </c>
      <c r="K404" s="9" t="s">
        <v>3355</v>
      </c>
      <c r="L404" s="9" t="s">
        <v>42</v>
      </c>
      <c r="M404" s="10">
        <v>2.592592592592593E-3</v>
      </c>
      <c r="N404" s="9" t="s">
        <v>65</v>
      </c>
      <c r="O404" s="9" t="s">
        <v>3356</v>
      </c>
      <c r="P404" s="9" t="s">
        <v>413</v>
      </c>
      <c r="Q404" s="10">
        <v>2.3611111111111111E-3</v>
      </c>
      <c r="R404" s="9" t="s">
        <v>46</v>
      </c>
      <c r="S404" s="10">
        <v>0.3122685185185185</v>
      </c>
      <c r="T404" s="9">
        <v>46.468000000000004</v>
      </c>
      <c r="U404" s="9">
        <v>10.09</v>
      </c>
      <c r="V404" s="10">
        <v>0.1918287037037037</v>
      </c>
      <c r="W404" s="10">
        <v>0.1208680555555556</v>
      </c>
      <c r="X404" s="10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1</v>
      </c>
      <c r="AE404" s="9" t="s">
        <v>84</v>
      </c>
      <c r="AF404" s="9" t="s">
        <v>324</v>
      </c>
      <c r="AG404" s="9" t="s">
        <v>3357</v>
      </c>
      <c r="AH404" s="9">
        <v>6.2259659999999997</v>
      </c>
      <c r="AI404" s="9">
        <v>-75.598782</v>
      </c>
      <c r="AJ404" s="9" t="s">
        <v>3358</v>
      </c>
      <c r="AK404" s="9">
        <v>6.2844670000000002</v>
      </c>
      <c r="AL404" s="9">
        <v>-75.57338</v>
      </c>
      <c r="AM404" s="26">
        <f t="shared" si="7"/>
        <v>0</v>
      </c>
    </row>
    <row r="405" spans="1:39" ht="15" x14ac:dyDescent="0.25">
      <c r="A405" s="9" t="s">
        <v>3359</v>
      </c>
      <c r="B405" s="9" t="s">
        <v>3360</v>
      </c>
      <c r="C405" s="9" t="s">
        <v>3361</v>
      </c>
      <c r="D405" s="9" t="s">
        <v>3300</v>
      </c>
      <c r="E405" s="9" t="s">
        <v>2619</v>
      </c>
      <c r="F405" s="9" t="s">
        <v>406</v>
      </c>
      <c r="G405" s="9" t="s">
        <v>113</v>
      </c>
      <c r="H405" s="9" t="s">
        <v>114</v>
      </c>
      <c r="I405" s="9" t="s">
        <v>40</v>
      </c>
      <c r="J405" s="9">
        <v>2250</v>
      </c>
      <c r="K405" s="9" t="s">
        <v>3362</v>
      </c>
      <c r="L405" s="9" t="s">
        <v>42</v>
      </c>
      <c r="M405" s="10">
        <v>1.0648148148148151E-3</v>
      </c>
      <c r="N405" s="9" t="s">
        <v>65</v>
      </c>
      <c r="O405" s="9" t="s">
        <v>3363</v>
      </c>
      <c r="P405" s="9" t="s">
        <v>413</v>
      </c>
      <c r="Q405" s="10">
        <v>2.928240740740741E-2</v>
      </c>
      <c r="R405" s="9" t="s">
        <v>56</v>
      </c>
      <c r="S405" s="10">
        <v>0.2842824074074074</v>
      </c>
      <c r="T405" s="9">
        <v>28.408000000000001</v>
      </c>
      <c r="U405" s="9">
        <v>5.35</v>
      </c>
      <c r="V405" s="10">
        <v>0.22125</v>
      </c>
      <c r="W405" s="10">
        <v>0.16500000000000001</v>
      </c>
      <c r="X405" s="10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0</v>
      </c>
      <c r="AD405" s="9">
        <v>3</v>
      </c>
      <c r="AE405" s="9" t="s">
        <v>67</v>
      </c>
      <c r="AF405" s="9" t="s">
        <v>3364</v>
      </c>
      <c r="AG405" s="9" t="s">
        <v>3365</v>
      </c>
      <c r="AH405" s="9">
        <v>6.2267960000000002</v>
      </c>
      <c r="AI405" s="9">
        <v>-75.601369000000005</v>
      </c>
      <c r="AJ405" s="9" t="s">
        <v>3366</v>
      </c>
      <c r="AK405" s="9">
        <v>6.2480409999999997</v>
      </c>
      <c r="AL405" s="9">
        <v>-75.605260999999999</v>
      </c>
      <c r="AM405" s="26">
        <f t="shared" si="7"/>
        <v>2.928240740740741E-2</v>
      </c>
    </row>
    <row r="406" spans="1:39" ht="15" x14ac:dyDescent="0.25">
      <c r="A406" s="9" t="s">
        <v>3367</v>
      </c>
      <c r="B406" s="9" t="s">
        <v>3368</v>
      </c>
      <c r="C406" s="9" t="s">
        <v>3369</v>
      </c>
      <c r="D406" s="9" t="s">
        <v>3300</v>
      </c>
      <c r="E406" s="9" t="s">
        <v>2619</v>
      </c>
      <c r="F406" s="9" t="s">
        <v>406</v>
      </c>
      <c r="G406" s="9" t="s">
        <v>124</v>
      </c>
      <c r="H406" s="9" t="s">
        <v>125</v>
      </c>
      <c r="I406" s="9" t="s">
        <v>115</v>
      </c>
      <c r="J406" s="9">
        <v>3367</v>
      </c>
      <c r="K406" s="9" t="s">
        <v>3370</v>
      </c>
      <c r="L406" s="9" t="s">
        <v>117</v>
      </c>
      <c r="M406" s="10">
        <v>3.657407407407407E-3</v>
      </c>
      <c r="N406" s="9" t="s">
        <v>65</v>
      </c>
      <c r="O406" s="9" t="s">
        <v>3371</v>
      </c>
      <c r="P406" s="9" t="s">
        <v>119</v>
      </c>
      <c r="Q406" s="10">
        <v>1.101851851851852E-2</v>
      </c>
      <c r="R406" s="9" t="s">
        <v>129</v>
      </c>
      <c r="S406" s="10">
        <v>0.26467592592592593</v>
      </c>
      <c r="T406" s="9">
        <v>40.44</v>
      </c>
      <c r="U406" s="9">
        <v>9.27</v>
      </c>
      <c r="V406" s="10">
        <v>0.18179398148148149</v>
      </c>
      <c r="W406" s="10">
        <v>7.211805555555556E-2</v>
      </c>
      <c r="X406" s="10">
        <v>9.2824074074074076E-3</v>
      </c>
      <c r="Y406" s="9">
        <v>1</v>
      </c>
      <c r="Z406" s="9">
        <v>0</v>
      </c>
      <c r="AA406" s="9">
        <v>0</v>
      </c>
      <c r="AB406" s="9">
        <v>0</v>
      </c>
      <c r="AC406" s="9">
        <v>0</v>
      </c>
      <c r="AD406" s="9">
        <v>0</v>
      </c>
      <c r="AE406" s="9" t="s">
        <v>130</v>
      </c>
      <c r="AF406" s="9" t="s">
        <v>3372</v>
      </c>
      <c r="AG406" s="9" t="s">
        <v>3373</v>
      </c>
      <c r="AH406" s="9">
        <v>6.2702689999999999</v>
      </c>
      <c r="AI406" s="9">
        <v>-75.601671999999994</v>
      </c>
      <c r="AJ406" s="9" t="s">
        <v>3374</v>
      </c>
      <c r="AK406" s="9">
        <v>6.2726160000000002</v>
      </c>
      <c r="AL406" s="9">
        <v>-75.602027000000007</v>
      </c>
      <c r="AM406" s="26">
        <f t="shared" si="7"/>
        <v>0</v>
      </c>
    </row>
    <row r="407" spans="1:39" ht="15" x14ac:dyDescent="0.25">
      <c r="A407" s="9" t="s">
        <v>3375</v>
      </c>
      <c r="B407" s="9" t="s">
        <v>3376</v>
      </c>
      <c r="C407" s="9" t="s">
        <v>3377</v>
      </c>
      <c r="D407" s="9" t="s">
        <v>3300</v>
      </c>
      <c r="E407" s="9" t="s">
        <v>2619</v>
      </c>
      <c r="F407" s="9" t="s">
        <v>406</v>
      </c>
      <c r="G407" s="9" t="s">
        <v>72</v>
      </c>
      <c r="H407" s="9" t="s">
        <v>73</v>
      </c>
      <c r="I407" s="9" t="s">
        <v>115</v>
      </c>
      <c r="J407" s="9">
        <v>1851</v>
      </c>
      <c r="K407" s="9" t="s">
        <v>3378</v>
      </c>
      <c r="L407" s="9" t="s">
        <v>117</v>
      </c>
      <c r="M407" s="10">
        <v>1.622685185185185E-2</v>
      </c>
      <c r="N407" s="9" t="s">
        <v>43</v>
      </c>
      <c r="O407" s="9" t="s">
        <v>3379</v>
      </c>
      <c r="P407" s="9" t="s">
        <v>119</v>
      </c>
      <c r="Q407" s="10">
        <v>0.129212962962963</v>
      </c>
      <c r="R407" s="9" t="s">
        <v>56</v>
      </c>
      <c r="S407" s="10">
        <v>0.1045601851851852</v>
      </c>
      <c r="T407" s="9">
        <v>25.966999999999999</v>
      </c>
      <c r="U407" s="9">
        <v>12.53</v>
      </c>
      <c r="V407" s="10">
        <v>8.6354166666666662E-2</v>
      </c>
      <c r="W407" s="10">
        <v>4.9907407407407407E-2</v>
      </c>
      <c r="X407" s="10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9">
        <v>0</v>
      </c>
      <c r="AE407" s="9" t="s">
        <v>57</v>
      </c>
      <c r="AF407" s="9" t="s">
        <v>3380</v>
      </c>
      <c r="AG407" s="9" t="s">
        <v>3381</v>
      </c>
      <c r="AH407" s="9">
        <v>6.2378</v>
      </c>
      <c r="AI407" s="9">
        <v>-75.559726999999995</v>
      </c>
      <c r="AJ407" s="9" t="s">
        <v>3382</v>
      </c>
      <c r="AK407" s="9">
        <v>6.2393700000000001</v>
      </c>
      <c r="AL407" s="9">
        <v>-75.561121</v>
      </c>
      <c r="AM407" s="27">
        <f t="shared" si="7"/>
        <v>0.14543981481481486</v>
      </c>
    </row>
    <row r="408" spans="1:39" ht="15" x14ac:dyDescent="0.25">
      <c r="A408" s="9" t="s">
        <v>3383</v>
      </c>
      <c r="B408" s="9" t="s">
        <v>3384</v>
      </c>
      <c r="C408" s="9" t="s">
        <v>3385</v>
      </c>
      <c r="D408" s="9" t="s">
        <v>3300</v>
      </c>
      <c r="E408" s="9" t="s">
        <v>2619</v>
      </c>
      <c r="F408" s="9" t="s">
        <v>406</v>
      </c>
      <c r="G408" s="9" t="s">
        <v>80</v>
      </c>
      <c r="H408" s="9" t="s">
        <v>81</v>
      </c>
      <c r="I408" s="9" t="s">
        <v>115</v>
      </c>
      <c r="J408" s="9">
        <v>3791</v>
      </c>
      <c r="K408" s="9" t="s">
        <v>3386</v>
      </c>
      <c r="L408" s="9" t="s">
        <v>117</v>
      </c>
      <c r="M408" s="10">
        <v>5.7237499999999997E-3</v>
      </c>
      <c r="N408" s="9" t="s">
        <v>65</v>
      </c>
      <c r="O408" s="9" t="s">
        <v>3387</v>
      </c>
      <c r="P408" s="9" t="s">
        <v>119</v>
      </c>
      <c r="Q408" s="10">
        <v>4.778009259259259E-4</v>
      </c>
      <c r="R408" s="9" t="s">
        <v>46</v>
      </c>
      <c r="S408" s="10">
        <v>0.24379844907407411</v>
      </c>
      <c r="T408" s="9">
        <v>23.710999999999999</v>
      </c>
      <c r="U408" s="9">
        <v>6.47</v>
      </c>
      <c r="V408" s="10">
        <v>0.15265715277777789</v>
      </c>
      <c r="W408" s="10">
        <v>0.1208300810185185</v>
      </c>
      <c r="X408" s="10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8</v>
      </c>
      <c r="AE408" s="9" t="s">
        <v>84</v>
      </c>
      <c r="AF408" s="9" t="s">
        <v>567</v>
      </c>
      <c r="AG408" s="9" t="s">
        <v>3388</v>
      </c>
      <c r="AH408" s="9">
        <v>6.2570810000000003</v>
      </c>
      <c r="AI408" s="9">
        <v>-75.614457000000002</v>
      </c>
      <c r="AJ408" s="9" t="s">
        <v>3389</v>
      </c>
      <c r="AK408" s="9">
        <v>6.2572799999999997</v>
      </c>
      <c r="AL408" s="9">
        <v>-75.606199000000004</v>
      </c>
      <c r="AM408" s="26">
        <f t="shared" si="7"/>
        <v>0</v>
      </c>
    </row>
    <row r="409" spans="1:39" ht="15" x14ac:dyDescent="0.25">
      <c r="A409" s="9" t="s">
        <v>3390</v>
      </c>
      <c r="B409" s="9" t="s">
        <v>3391</v>
      </c>
      <c r="C409" s="9" t="s">
        <v>3392</v>
      </c>
      <c r="D409" s="9" t="s">
        <v>3300</v>
      </c>
      <c r="E409" s="9" t="s">
        <v>2619</v>
      </c>
      <c r="F409" s="9" t="s">
        <v>406</v>
      </c>
      <c r="G409" s="9" t="s">
        <v>160</v>
      </c>
      <c r="H409" s="9" t="s">
        <v>161</v>
      </c>
      <c r="I409" s="9" t="s">
        <v>115</v>
      </c>
      <c r="J409" s="9">
        <v>6394</v>
      </c>
      <c r="K409" s="9" t="s">
        <v>3393</v>
      </c>
      <c r="L409" s="9" t="s">
        <v>117</v>
      </c>
      <c r="M409" s="10">
        <v>1.9207060185185191E-3</v>
      </c>
      <c r="N409" s="9" t="s">
        <v>65</v>
      </c>
      <c r="O409" s="9" t="s">
        <v>3394</v>
      </c>
      <c r="P409" s="9" t="s">
        <v>119</v>
      </c>
      <c r="Q409" s="10">
        <v>1.5271874999999999E-3</v>
      </c>
      <c r="R409" s="9" t="s">
        <v>46</v>
      </c>
      <c r="S409" s="10">
        <v>0.24960648148148151</v>
      </c>
      <c r="T409" s="9">
        <v>36.551000000000002</v>
      </c>
      <c r="U409" s="9">
        <v>7.89</v>
      </c>
      <c r="V409" s="10">
        <v>0.19309053240740751</v>
      </c>
      <c r="W409" s="10">
        <v>0.15665520833333341</v>
      </c>
      <c r="X409" s="10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9">
        <v>6</v>
      </c>
      <c r="AE409" s="9" t="s">
        <v>84</v>
      </c>
      <c r="AF409" s="9" t="s">
        <v>172</v>
      </c>
      <c r="AG409" s="9" t="s">
        <v>3395</v>
      </c>
      <c r="AH409" s="9">
        <v>6.2680470000000001</v>
      </c>
      <c r="AI409" s="9">
        <v>-75.598332999999997</v>
      </c>
      <c r="AJ409" s="9" t="s">
        <v>3396</v>
      </c>
      <c r="AK409" s="9">
        <v>6.2797429999999999</v>
      </c>
      <c r="AL409" s="9">
        <v>-75.570715000000007</v>
      </c>
      <c r="AM409" s="26">
        <f t="shared" si="7"/>
        <v>0</v>
      </c>
    </row>
    <row r="410" spans="1:39" ht="15" x14ac:dyDescent="0.25">
      <c r="A410" s="9" t="s">
        <v>3397</v>
      </c>
      <c r="B410" s="9" t="s">
        <v>3398</v>
      </c>
      <c r="C410" s="9" t="s">
        <v>3399</v>
      </c>
      <c r="D410" s="9" t="s">
        <v>3300</v>
      </c>
      <c r="E410" s="9" t="s">
        <v>2619</v>
      </c>
      <c r="F410" s="9" t="s">
        <v>406</v>
      </c>
      <c r="G410" s="9" t="s">
        <v>97</v>
      </c>
      <c r="H410" s="9" t="s">
        <v>98</v>
      </c>
      <c r="I410" s="9" t="s">
        <v>115</v>
      </c>
      <c r="J410" s="9">
        <v>1775</v>
      </c>
      <c r="K410" s="9" t="s">
        <v>3400</v>
      </c>
      <c r="L410" s="9" t="s">
        <v>117</v>
      </c>
      <c r="M410" s="10">
        <v>2.3506944444444441E-2</v>
      </c>
      <c r="N410" s="9" t="s">
        <v>43</v>
      </c>
      <c r="O410" s="9" t="s">
        <v>3401</v>
      </c>
      <c r="P410" s="9" t="s">
        <v>119</v>
      </c>
      <c r="Q410" s="10">
        <v>1.6250000000000001E-2</v>
      </c>
      <c r="R410" s="9" t="s">
        <v>56</v>
      </c>
      <c r="S410" s="10">
        <v>0.21024305555555561</v>
      </c>
      <c r="T410" s="9">
        <v>29.274999999999999</v>
      </c>
      <c r="U410" s="9">
        <v>7.7</v>
      </c>
      <c r="V410" s="10">
        <v>0.15840277777777781</v>
      </c>
      <c r="W410" s="10">
        <v>0.1144212962962963</v>
      </c>
      <c r="X410" s="10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0</v>
      </c>
      <c r="AD410" s="9">
        <v>0</v>
      </c>
      <c r="AE410" s="9" t="s">
        <v>57</v>
      </c>
      <c r="AF410" s="9" t="s">
        <v>3402</v>
      </c>
      <c r="AG410" s="9" t="s">
        <v>3403</v>
      </c>
      <c r="AH410" s="9">
        <v>6.3069870000000003</v>
      </c>
      <c r="AI410" s="9">
        <v>-75.576481999999999</v>
      </c>
      <c r="AJ410" s="9" t="s">
        <v>3404</v>
      </c>
      <c r="AK410" s="9">
        <v>6.3068949999999999</v>
      </c>
      <c r="AL410" s="9">
        <v>-75.582076000000001</v>
      </c>
      <c r="AM410" s="27">
        <f t="shared" si="7"/>
        <v>3.9756944444444442E-2</v>
      </c>
    </row>
    <row r="411" spans="1:39" ht="15" x14ac:dyDescent="0.25">
      <c r="A411" s="9" t="s">
        <v>3405</v>
      </c>
      <c r="B411" s="9" t="s">
        <v>3406</v>
      </c>
      <c r="C411" s="9" t="s">
        <v>3407</v>
      </c>
      <c r="D411" s="9" t="s">
        <v>3408</v>
      </c>
      <c r="E411" s="9" t="s">
        <v>2619</v>
      </c>
      <c r="F411" s="9" t="s">
        <v>455</v>
      </c>
      <c r="G411" s="9" t="s">
        <v>113</v>
      </c>
      <c r="H411" s="9" t="s">
        <v>114</v>
      </c>
      <c r="I411" s="9" t="s">
        <v>115</v>
      </c>
      <c r="J411" s="9">
        <v>2899</v>
      </c>
      <c r="K411" s="9" t="s">
        <v>3409</v>
      </c>
      <c r="L411" s="9" t="s">
        <v>117</v>
      </c>
      <c r="M411" s="10">
        <v>3.1620370370370368E-2</v>
      </c>
      <c r="N411" s="9" t="s">
        <v>43</v>
      </c>
      <c r="O411" s="9" t="s">
        <v>3410</v>
      </c>
      <c r="P411" s="9" t="s">
        <v>119</v>
      </c>
      <c r="Q411" s="10">
        <v>7.3958333333333333E-3</v>
      </c>
      <c r="R411" s="9" t="s">
        <v>46</v>
      </c>
      <c r="S411" s="10">
        <v>0.21098379629629629</v>
      </c>
      <c r="T411" s="9">
        <v>43.761000000000003</v>
      </c>
      <c r="U411" s="9">
        <v>11.56</v>
      </c>
      <c r="V411" s="10">
        <v>0.15777777777777779</v>
      </c>
      <c r="W411" s="10">
        <v>7.7986111111111117E-2</v>
      </c>
      <c r="X411" s="10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 t="s">
        <v>47</v>
      </c>
      <c r="AF411" s="9" t="s">
        <v>3411</v>
      </c>
      <c r="AG411" s="9" t="s">
        <v>3412</v>
      </c>
      <c r="AH411" s="9">
        <v>6.2462999999999997</v>
      </c>
      <c r="AI411" s="9">
        <v>-75.613915000000006</v>
      </c>
      <c r="AJ411" s="9" t="s">
        <v>3413</v>
      </c>
      <c r="AK411" s="9">
        <v>6.2478230000000003</v>
      </c>
      <c r="AL411" s="9">
        <v>-75.614999999999995</v>
      </c>
      <c r="AM411" s="26">
        <f t="shared" si="7"/>
        <v>3.1620370370370368E-2</v>
      </c>
    </row>
    <row r="412" spans="1:39" ht="15" x14ac:dyDescent="0.25">
      <c r="A412" s="9" t="s">
        <v>3414</v>
      </c>
      <c r="B412" s="9" t="s">
        <v>3415</v>
      </c>
      <c r="C412" s="9" t="s">
        <v>3416</v>
      </c>
      <c r="D412" s="9" t="s">
        <v>3417</v>
      </c>
      <c r="E412" s="9" t="s">
        <v>2619</v>
      </c>
      <c r="F412" s="9" t="s">
        <v>37</v>
      </c>
      <c r="G412" s="9" t="s">
        <v>38</v>
      </c>
      <c r="H412" s="9" t="s">
        <v>39</v>
      </c>
      <c r="I412" s="9" t="s">
        <v>40</v>
      </c>
      <c r="J412" s="9">
        <v>8315</v>
      </c>
      <c r="K412" s="9" t="s">
        <v>3418</v>
      </c>
      <c r="L412" s="9" t="s">
        <v>42</v>
      </c>
      <c r="M412" s="10">
        <v>2.2327766203703699E-2</v>
      </c>
      <c r="N412" s="9" t="s">
        <v>43</v>
      </c>
      <c r="O412" s="9" t="s">
        <v>3419</v>
      </c>
      <c r="P412" s="9" t="s">
        <v>45</v>
      </c>
      <c r="Q412" s="10">
        <v>2.0525115740740738E-3</v>
      </c>
      <c r="R412" s="9" t="s">
        <v>46</v>
      </c>
      <c r="S412" s="10">
        <v>0.31305807870370372</v>
      </c>
      <c r="T412" s="9">
        <v>52.848999999999997</v>
      </c>
      <c r="U412" s="9">
        <v>16.29</v>
      </c>
      <c r="V412" s="10">
        <v>0.13519214120370379</v>
      </c>
      <c r="W412" s="10">
        <v>7.1308090277777764E-2</v>
      </c>
      <c r="X412" s="10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5</v>
      </c>
      <c r="AE412" s="9" t="s">
        <v>47</v>
      </c>
      <c r="AF412" s="9" t="s">
        <v>3420</v>
      </c>
      <c r="AG412" s="9" t="s">
        <v>3421</v>
      </c>
      <c r="AH412" s="9">
        <v>6.2032569999999998</v>
      </c>
      <c r="AI412" s="9">
        <v>-75.600813000000002</v>
      </c>
      <c r="AJ412" s="9" t="s">
        <v>3422</v>
      </c>
      <c r="AK412" s="9">
        <v>6.2047509999999999</v>
      </c>
      <c r="AL412" s="9">
        <v>-75.581158000000002</v>
      </c>
      <c r="AM412" s="27">
        <f t="shared" si="7"/>
        <v>2.2327766203703699E-2</v>
      </c>
    </row>
    <row r="413" spans="1:39" ht="15" x14ac:dyDescent="0.25">
      <c r="A413" s="9" t="s">
        <v>3423</v>
      </c>
      <c r="B413" s="9" t="s">
        <v>3424</v>
      </c>
      <c r="C413" s="9" t="s">
        <v>3425</v>
      </c>
      <c r="D413" s="9" t="s">
        <v>3417</v>
      </c>
      <c r="E413" s="9" t="s">
        <v>2619</v>
      </c>
      <c r="F413" s="9" t="s">
        <v>37</v>
      </c>
      <c r="G413" s="9" t="s">
        <v>52</v>
      </c>
      <c r="H413" s="9" t="s">
        <v>53</v>
      </c>
      <c r="I413" s="9" t="s">
        <v>40</v>
      </c>
      <c r="J413" s="9">
        <v>3265</v>
      </c>
      <c r="K413" s="9" t="s">
        <v>3426</v>
      </c>
      <c r="L413" s="9" t="s">
        <v>42</v>
      </c>
      <c r="M413" s="10">
        <v>7.0601851851851847E-4</v>
      </c>
      <c r="N413" s="9" t="s">
        <v>65</v>
      </c>
      <c r="O413" s="9" t="s">
        <v>3427</v>
      </c>
      <c r="P413" s="9" t="s">
        <v>45</v>
      </c>
      <c r="Q413" s="10">
        <v>4.4675925925925916E-3</v>
      </c>
      <c r="R413" s="9" t="s">
        <v>46</v>
      </c>
      <c r="S413" s="10">
        <v>0.33850694444444451</v>
      </c>
      <c r="T413" s="9">
        <v>44.6</v>
      </c>
      <c r="U413" s="9">
        <v>8.58</v>
      </c>
      <c r="V413" s="10">
        <v>0.2166666666666667</v>
      </c>
      <c r="W413" s="10">
        <v>0.1438541666666667</v>
      </c>
      <c r="X413" s="10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1</v>
      </c>
      <c r="AE413" s="9" t="s">
        <v>84</v>
      </c>
      <c r="AF413" s="9" t="s">
        <v>324</v>
      </c>
      <c r="AG413" s="9" t="s">
        <v>3428</v>
      </c>
      <c r="AH413" s="9">
        <v>6.2253939999999997</v>
      </c>
      <c r="AI413" s="9">
        <v>-75.599215000000001</v>
      </c>
      <c r="AJ413" s="9" t="s">
        <v>3429</v>
      </c>
      <c r="AK413" s="9">
        <v>6.2267320000000002</v>
      </c>
      <c r="AL413" s="9">
        <v>-75.601241000000002</v>
      </c>
      <c r="AM413" s="26">
        <f t="shared" si="7"/>
        <v>0</v>
      </c>
    </row>
    <row r="414" spans="1:39" ht="15" x14ac:dyDescent="0.25">
      <c r="A414" s="9" t="s">
        <v>3430</v>
      </c>
      <c r="B414" s="9" t="s">
        <v>3431</v>
      </c>
      <c r="C414" s="9" t="s">
        <v>3432</v>
      </c>
      <c r="D414" s="9" t="s">
        <v>3417</v>
      </c>
      <c r="E414" s="9" t="s">
        <v>2619</v>
      </c>
      <c r="F414" s="9" t="s">
        <v>37</v>
      </c>
      <c r="G414" s="9" t="s">
        <v>62</v>
      </c>
      <c r="H414" s="9" t="s">
        <v>63</v>
      </c>
      <c r="I414" s="9" t="s">
        <v>40</v>
      </c>
      <c r="J414" s="9">
        <v>4119</v>
      </c>
      <c r="K414" s="9" t="s">
        <v>3433</v>
      </c>
      <c r="L414" s="9" t="s">
        <v>42</v>
      </c>
      <c r="M414" s="10">
        <v>2.675925925925926E-2</v>
      </c>
      <c r="N414" s="9" t="s">
        <v>43</v>
      </c>
      <c r="O414" s="9" t="s">
        <v>3434</v>
      </c>
      <c r="P414" s="9" t="s">
        <v>45</v>
      </c>
      <c r="Q414" s="10">
        <v>0.1034143518518519</v>
      </c>
      <c r="R414" s="9" t="s">
        <v>56</v>
      </c>
      <c r="S414" s="10">
        <v>0.2031597222222222</v>
      </c>
      <c r="T414" s="9">
        <v>53.850999999999999</v>
      </c>
      <c r="U414" s="9">
        <v>15.7</v>
      </c>
      <c r="V414" s="10">
        <v>0.14295138888888889</v>
      </c>
      <c r="W414" s="10">
        <v>3.4201388888888892E-2</v>
      </c>
      <c r="X414" s="10">
        <v>5.3125000000000004E-3</v>
      </c>
      <c r="Y414" s="9">
        <v>0</v>
      </c>
      <c r="Z414" s="9">
        <v>0</v>
      </c>
      <c r="AA414" s="9">
        <v>0</v>
      </c>
      <c r="AB414" s="9">
        <v>0</v>
      </c>
      <c r="AC414" s="9">
        <v>0</v>
      </c>
      <c r="AD414" s="9">
        <v>0</v>
      </c>
      <c r="AE414" s="9" t="s">
        <v>57</v>
      </c>
      <c r="AF414" s="9" t="s">
        <v>3435</v>
      </c>
      <c r="AG414" s="9" t="s">
        <v>3436</v>
      </c>
      <c r="AH414" s="9">
        <v>6.2261949999999997</v>
      </c>
      <c r="AI414" s="9">
        <v>-75.597046000000006</v>
      </c>
      <c r="AJ414" s="9" t="s">
        <v>3437</v>
      </c>
      <c r="AK414" s="9">
        <v>6.2359369999999998</v>
      </c>
      <c r="AL414" s="9">
        <v>-75.603783000000007</v>
      </c>
      <c r="AM414" s="27">
        <f t="shared" si="7"/>
        <v>0.13017361111111114</v>
      </c>
    </row>
    <row r="415" spans="1:39" ht="15" x14ac:dyDescent="0.25">
      <c r="A415" s="9" t="s">
        <v>3438</v>
      </c>
      <c r="B415" s="9" t="s">
        <v>3439</v>
      </c>
      <c r="C415" s="9" t="s">
        <v>3440</v>
      </c>
      <c r="D415" s="9" t="s">
        <v>3417</v>
      </c>
      <c r="E415" s="9" t="s">
        <v>2619</v>
      </c>
      <c r="F415" s="9" t="s">
        <v>37</v>
      </c>
      <c r="G415" s="9" t="s">
        <v>135</v>
      </c>
      <c r="H415" s="9" t="s">
        <v>136</v>
      </c>
      <c r="I415" s="9" t="s">
        <v>40</v>
      </c>
      <c r="J415" s="9">
        <v>1399</v>
      </c>
      <c r="K415" s="9" t="s">
        <v>3441</v>
      </c>
      <c r="L415" s="9" t="s">
        <v>42</v>
      </c>
      <c r="M415" s="10">
        <v>1.65162037037037E-2</v>
      </c>
      <c r="N415" s="9" t="s">
        <v>127</v>
      </c>
      <c r="O415" s="9" t="s">
        <v>3442</v>
      </c>
      <c r="P415" s="9" t="s">
        <v>45</v>
      </c>
      <c r="Q415" s="10">
        <v>1.030092592592593E-2</v>
      </c>
      <c r="R415" s="9" t="s">
        <v>46</v>
      </c>
      <c r="S415" s="10">
        <v>0.36015046296296288</v>
      </c>
      <c r="T415" s="9">
        <v>43.037999999999997</v>
      </c>
      <c r="U415" s="9">
        <v>19.66</v>
      </c>
      <c r="V415" s="10">
        <v>9.1226851851851851E-2</v>
      </c>
      <c r="W415" s="10">
        <v>4.7986111111111111E-2</v>
      </c>
      <c r="X415" s="10">
        <v>1.125E-2</v>
      </c>
      <c r="Y415" s="9">
        <v>1</v>
      </c>
      <c r="Z415" s="9">
        <v>1</v>
      </c>
      <c r="AA415" s="9">
        <v>0</v>
      </c>
      <c r="AB415" s="9">
        <v>0</v>
      </c>
      <c r="AC415" s="9">
        <v>0</v>
      </c>
      <c r="AD415" s="9">
        <v>5</v>
      </c>
      <c r="AE415" s="9" t="s">
        <v>139</v>
      </c>
      <c r="AF415" s="9" t="s">
        <v>3443</v>
      </c>
      <c r="AG415" s="9" t="s">
        <v>3444</v>
      </c>
      <c r="AH415" s="9">
        <v>6.22593</v>
      </c>
      <c r="AI415" s="9">
        <v>-75.598501999999996</v>
      </c>
      <c r="AJ415" s="9" t="s">
        <v>3445</v>
      </c>
      <c r="AK415" s="9">
        <v>6.2815149999999997</v>
      </c>
      <c r="AL415" s="9">
        <v>-75.539471000000006</v>
      </c>
      <c r="AM415" s="26">
        <f t="shared" si="7"/>
        <v>0</v>
      </c>
    </row>
    <row r="416" spans="1:39" ht="15" x14ac:dyDescent="0.25">
      <c r="A416" s="9" t="s">
        <v>3446</v>
      </c>
      <c r="B416" s="9" t="s">
        <v>3447</v>
      </c>
      <c r="C416" s="9" t="s">
        <v>3448</v>
      </c>
      <c r="D416" s="9" t="s">
        <v>3417</v>
      </c>
      <c r="E416" s="9" t="s">
        <v>2619</v>
      </c>
      <c r="F416" s="9" t="s">
        <v>37</v>
      </c>
      <c r="G416" s="9" t="s">
        <v>144</v>
      </c>
      <c r="H416" s="9" t="s">
        <v>145</v>
      </c>
      <c r="I416" s="9" t="s">
        <v>40</v>
      </c>
      <c r="J416" s="9">
        <v>4943</v>
      </c>
      <c r="K416" s="9" t="s">
        <v>3449</v>
      </c>
      <c r="L416" s="9" t="s">
        <v>42</v>
      </c>
      <c r="M416" s="10">
        <v>1.5069444444444441E-2</v>
      </c>
      <c r="N416" s="9" t="s">
        <v>43</v>
      </c>
      <c r="O416" s="9" t="s">
        <v>3450</v>
      </c>
      <c r="P416" s="9" t="s">
        <v>45</v>
      </c>
      <c r="Q416" s="10">
        <v>1.142361111111111E-2</v>
      </c>
      <c r="R416" s="9" t="s">
        <v>56</v>
      </c>
      <c r="S416" s="10">
        <v>0.30684027777777778</v>
      </c>
      <c r="T416" s="9">
        <v>64.13</v>
      </c>
      <c r="U416" s="9">
        <v>12.42</v>
      </c>
      <c r="V416" s="10">
        <v>0.21510416666666671</v>
      </c>
      <c r="W416" s="10">
        <v>8.2222222222222224E-2</v>
      </c>
      <c r="X416" s="10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0</v>
      </c>
      <c r="AD416" s="9">
        <v>0</v>
      </c>
      <c r="AE416" s="9" t="s">
        <v>57</v>
      </c>
      <c r="AF416" s="9" t="s">
        <v>3451</v>
      </c>
      <c r="AG416" s="9" t="s">
        <v>3452</v>
      </c>
      <c r="AH416" s="9">
        <v>6.2254589999999999</v>
      </c>
      <c r="AI416" s="9">
        <v>-75.598750999999993</v>
      </c>
      <c r="AJ416" s="9" t="s">
        <v>3453</v>
      </c>
      <c r="AK416" s="9">
        <v>6.2252720000000004</v>
      </c>
      <c r="AL416" s="9">
        <v>-75.599226999999999</v>
      </c>
      <c r="AM416" s="27">
        <f t="shared" si="7"/>
        <v>2.6493055555555551E-2</v>
      </c>
    </row>
    <row r="417" spans="1:39" ht="15" x14ac:dyDescent="0.25">
      <c r="A417" s="9" t="s">
        <v>3454</v>
      </c>
      <c r="B417" s="9" t="s">
        <v>3455</v>
      </c>
      <c r="C417" s="9" t="s">
        <v>3456</v>
      </c>
      <c r="D417" s="9" t="s">
        <v>3417</v>
      </c>
      <c r="E417" s="9" t="s">
        <v>2619</v>
      </c>
      <c r="F417" s="9" t="s">
        <v>37</v>
      </c>
      <c r="G417" s="9" t="s">
        <v>152</v>
      </c>
      <c r="H417" s="9" t="s">
        <v>153</v>
      </c>
      <c r="I417" s="9" t="s">
        <v>40</v>
      </c>
      <c r="J417" s="9">
        <v>7517</v>
      </c>
      <c r="K417" s="9" t="s">
        <v>3457</v>
      </c>
      <c r="L417" s="9" t="s">
        <v>42</v>
      </c>
      <c r="M417" s="10">
        <v>3.7962962962962959E-3</v>
      </c>
      <c r="N417" s="9" t="s">
        <v>65</v>
      </c>
      <c r="O417" s="9" t="s">
        <v>3458</v>
      </c>
      <c r="P417" s="9" t="s">
        <v>45</v>
      </c>
      <c r="Q417" s="10">
        <v>4.2592592592592604E-3</v>
      </c>
      <c r="R417" s="9" t="s">
        <v>46</v>
      </c>
      <c r="S417" s="10">
        <v>0.34138888888888891</v>
      </c>
      <c r="T417" s="9">
        <v>97.528999999999996</v>
      </c>
      <c r="U417" s="9">
        <v>13.39</v>
      </c>
      <c r="V417" s="10">
        <v>0.30357638888888888</v>
      </c>
      <c r="W417" s="10">
        <v>0.1067361111111111</v>
      </c>
      <c r="X417" s="10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9">
        <v>2</v>
      </c>
      <c r="AE417" s="9" t="s">
        <v>84</v>
      </c>
      <c r="AF417" s="9" t="s">
        <v>1384</v>
      </c>
      <c r="AG417" s="9" t="s">
        <v>3459</v>
      </c>
      <c r="AH417" s="9">
        <v>6.2255719999999997</v>
      </c>
      <c r="AI417" s="9">
        <v>-75.599402999999995</v>
      </c>
      <c r="AJ417" s="9" t="s">
        <v>3460</v>
      </c>
      <c r="AK417" s="9">
        <v>6.2518050000000001</v>
      </c>
      <c r="AL417" s="9">
        <v>-75.551829999999995</v>
      </c>
      <c r="AM417" s="26">
        <f t="shared" si="7"/>
        <v>0</v>
      </c>
    </row>
    <row r="418" spans="1:39" ht="15" x14ac:dyDescent="0.25">
      <c r="A418" s="9" t="s">
        <v>3461</v>
      </c>
      <c r="B418" s="9" t="s">
        <v>3462</v>
      </c>
      <c r="C418" s="9" t="s">
        <v>3463</v>
      </c>
      <c r="D418" s="9" t="s">
        <v>3417</v>
      </c>
      <c r="E418" s="9" t="s">
        <v>2619</v>
      </c>
      <c r="F418" s="9" t="s">
        <v>37</v>
      </c>
      <c r="G418" s="9" t="s">
        <v>89</v>
      </c>
      <c r="H418" s="9" t="s">
        <v>90</v>
      </c>
      <c r="I418" s="9" t="s">
        <v>40</v>
      </c>
      <c r="J418" s="9">
        <v>5047</v>
      </c>
      <c r="K418" s="9" t="s">
        <v>3464</v>
      </c>
      <c r="L418" s="9" t="s">
        <v>42</v>
      </c>
      <c r="M418" s="10">
        <v>9.4907407407407408E-4</v>
      </c>
      <c r="N418" s="9" t="s">
        <v>65</v>
      </c>
      <c r="O418" s="9" t="s">
        <v>3465</v>
      </c>
      <c r="P418" s="9" t="s">
        <v>45</v>
      </c>
      <c r="Q418" s="10">
        <v>6.1342592592592586E-3</v>
      </c>
      <c r="R418" s="9" t="s">
        <v>46</v>
      </c>
      <c r="S418" s="10">
        <v>0.32814814814814808</v>
      </c>
      <c r="T418" s="9">
        <v>64.667000000000002</v>
      </c>
      <c r="U418" s="9">
        <v>10.61</v>
      </c>
      <c r="V418" s="10">
        <v>0.25392361111111111</v>
      </c>
      <c r="W418" s="10">
        <v>0.1163657407407407</v>
      </c>
      <c r="X418" s="10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0</v>
      </c>
      <c r="AD418" s="9">
        <v>0</v>
      </c>
      <c r="AE418" s="9" t="s">
        <v>84</v>
      </c>
      <c r="AF418" s="9" t="s">
        <v>352</v>
      </c>
      <c r="AG418" s="9" t="s">
        <v>3466</v>
      </c>
      <c r="AH418" s="9">
        <v>6.2266519999999996</v>
      </c>
      <c r="AI418" s="9">
        <v>-75.598450999999997</v>
      </c>
      <c r="AJ418" s="9" t="s">
        <v>3467</v>
      </c>
      <c r="AK418" s="9">
        <v>6.2787579999999998</v>
      </c>
      <c r="AL418" s="9">
        <v>-75.569270000000003</v>
      </c>
      <c r="AM418" s="27">
        <f t="shared" si="7"/>
        <v>0</v>
      </c>
    </row>
    <row r="419" spans="1:39" ht="15" x14ac:dyDescent="0.25">
      <c r="A419" s="9" t="s">
        <v>3468</v>
      </c>
      <c r="B419" s="9" t="s">
        <v>3469</v>
      </c>
      <c r="C419" s="9" t="s">
        <v>3470</v>
      </c>
      <c r="D419" s="9" t="s">
        <v>3417</v>
      </c>
      <c r="E419" s="9" t="s">
        <v>2619</v>
      </c>
      <c r="F419" s="9" t="s">
        <v>37</v>
      </c>
      <c r="G419" s="9" t="s">
        <v>105</v>
      </c>
      <c r="H419" s="9" t="s">
        <v>106</v>
      </c>
      <c r="I419" s="9" t="s">
        <v>40</v>
      </c>
      <c r="J419" s="9">
        <v>4381</v>
      </c>
      <c r="K419" s="9" t="s">
        <v>3471</v>
      </c>
      <c r="L419" s="9" t="s">
        <v>42</v>
      </c>
      <c r="M419" s="10">
        <v>1.5972222222222221E-3</v>
      </c>
      <c r="N419" s="9" t="s">
        <v>65</v>
      </c>
      <c r="O419" s="9" t="s">
        <v>3472</v>
      </c>
      <c r="P419" s="9" t="s">
        <v>45</v>
      </c>
      <c r="Q419" s="10">
        <v>1.423611111111111E-3</v>
      </c>
      <c r="R419" s="9" t="s">
        <v>46</v>
      </c>
      <c r="S419" s="10">
        <v>0.33635416666666668</v>
      </c>
      <c r="T419" s="9">
        <v>55.011000000000003</v>
      </c>
      <c r="U419" s="9">
        <v>10.97</v>
      </c>
      <c r="V419" s="10">
        <v>0.2088541666666667</v>
      </c>
      <c r="W419" s="10">
        <v>8.6365740740740743E-2</v>
      </c>
      <c r="X419" s="10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 s="9">
        <v>1</v>
      </c>
      <c r="AE419" s="9" t="s">
        <v>84</v>
      </c>
      <c r="AF419" s="9" t="s">
        <v>324</v>
      </c>
      <c r="AG419" s="9" t="s">
        <v>3473</v>
      </c>
      <c r="AH419" s="9">
        <v>6.2250899999999998</v>
      </c>
      <c r="AI419" s="9">
        <v>-75.600031000000001</v>
      </c>
      <c r="AJ419" s="9" t="s">
        <v>3474</v>
      </c>
      <c r="AK419" s="9">
        <v>6.2594760000000003</v>
      </c>
      <c r="AL419" s="9">
        <v>-75.616857999999993</v>
      </c>
      <c r="AM419" s="26">
        <f t="shared" si="7"/>
        <v>0</v>
      </c>
    </row>
    <row r="420" spans="1:39" ht="15" x14ac:dyDescent="0.25">
      <c r="A420" s="9" t="s">
        <v>3475</v>
      </c>
      <c r="B420" s="9" t="s">
        <v>3476</v>
      </c>
      <c r="C420" s="9" t="s">
        <v>3477</v>
      </c>
      <c r="D420" s="9" t="s">
        <v>3417</v>
      </c>
      <c r="E420" s="9" t="s">
        <v>2619</v>
      </c>
      <c r="F420" s="9" t="s">
        <v>37</v>
      </c>
      <c r="G420" s="9" t="s">
        <v>124</v>
      </c>
      <c r="H420" s="9" t="s">
        <v>125</v>
      </c>
      <c r="I420" s="9" t="s">
        <v>115</v>
      </c>
      <c r="J420" s="9">
        <v>5056</v>
      </c>
      <c r="K420" s="9" t="s">
        <v>3478</v>
      </c>
      <c r="L420" s="9" t="s">
        <v>117</v>
      </c>
      <c r="M420" s="10">
        <v>3.9027777777777779E-2</v>
      </c>
      <c r="N420" s="9" t="s">
        <v>127</v>
      </c>
      <c r="O420" s="9" t="s">
        <v>3479</v>
      </c>
      <c r="P420" s="9" t="s">
        <v>119</v>
      </c>
      <c r="Q420" s="10">
        <v>1.2291666666666669E-2</v>
      </c>
      <c r="R420" s="9" t="s">
        <v>129</v>
      </c>
      <c r="S420" s="10">
        <v>0.30131944444444442</v>
      </c>
      <c r="T420" s="9">
        <v>61.73</v>
      </c>
      <c r="U420" s="9">
        <v>10.39</v>
      </c>
      <c r="V420" s="10">
        <v>0.2474537037037037</v>
      </c>
      <c r="W420" s="10">
        <v>7.6990740740740735E-2</v>
      </c>
      <c r="X420" s="10">
        <v>1.109953703703704E-2</v>
      </c>
      <c r="Y420" s="9">
        <v>1</v>
      </c>
      <c r="Z420" s="9">
        <v>1</v>
      </c>
      <c r="AA420" s="9">
        <v>0</v>
      </c>
      <c r="AB420" s="9">
        <v>0</v>
      </c>
      <c r="AC420" s="9">
        <v>0</v>
      </c>
      <c r="AD420" s="9">
        <v>0</v>
      </c>
      <c r="AE420" s="9" t="s">
        <v>130</v>
      </c>
      <c r="AF420" s="9" t="s">
        <v>3480</v>
      </c>
      <c r="AG420" s="9" t="s">
        <v>3481</v>
      </c>
      <c r="AH420" s="9">
        <v>6.2259950000000002</v>
      </c>
      <c r="AI420" s="9">
        <v>-75.599416000000005</v>
      </c>
      <c r="AJ420" s="9" t="s">
        <v>3482</v>
      </c>
      <c r="AK420" s="9">
        <v>6.2725860000000004</v>
      </c>
      <c r="AL420" s="9">
        <v>-75.602053999999995</v>
      </c>
      <c r="AM420" s="26">
        <f t="shared" si="7"/>
        <v>0</v>
      </c>
    </row>
    <row r="421" spans="1:39" ht="15" x14ac:dyDescent="0.25">
      <c r="A421" s="9" t="s">
        <v>3483</v>
      </c>
      <c r="B421" s="9" t="s">
        <v>3484</v>
      </c>
      <c r="C421" s="9" t="s">
        <v>3485</v>
      </c>
      <c r="D421" s="9" t="s">
        <v>3417</v>
      </c>
      <c r="E421" s="9" t="s">
        <v>2619</v>
      </c>
      <c r="F421" s="9" t="s">
        <v>37</v>
      </c>
      <c r="G421" s="9" t="s">
        <v>72</v>
      </c>
      <c r="H421" s="9" t="s">
        <v>73</v>
      </c>
      <c r="I421" s="9" t="s">
        <v>115</v>
      </c>
      <c r="J421" s="9">
        <v>1716</v>
      </c>
      <c r="K421" s="9" t="s">
        <v>3486</v>
      </c>
      <c r="L421" s="9" t="s">
        <v>117</v>
      </c>
      <c r="M421" s="10">
        <v>6.3483796296296302E-2</v>
      </c>
      <c r="N421" s="9" t="s">
        <v>127</v>
      </c>
      <c r="O421" s="9" t="s">
        <v>3487</v>
      </c>
      <c r="P421" s="9" t="s">
        <v>119</v>
      </c>
      <c r="Q421" s="10">
        <v>7.5648148148148145E-2</v>
      </c>
      <c r="R421" s="9" t="s">
        <v>56</v>
      </c>
      <c r="S421" s="10">
        <v>0.23783564814814809</v>
      </c>
      <c r="T421" s="9">
        <v>22.574000000000002</v>
      </c>
      <c r="U421" s="9">
        <v>4.51</v>
      </c>
      <c r="V421" s="10">
        <v>0.2084259259259259</v>
      </c>
      <c r="W421" s="10">
        <v>0.1782407407407407</v>
      </c>
      <c r="X421" s="10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0</v>
      </c>
      <c r="AD421" s="9">
        <v>1</v>
      </c>
      <c r="AE421" s="9" t="s">
        <v>139</v>
      </c>
      <c r="AF421" s="9" t="s">
        <v>3488</v>
      </c>
      <c r="AG421" s="9" t="s">
        <v>3489</v>
      </c>
      <c r="AH421" s="9">
        <v>6.2256939999999998</v>
      </c>
      <c r="AI421" s="9">
        <v>-75.598934</v>
      </c>
      <c r="AJ421" s="9" t="s">
        <v>3490</v>
      </c>
      <c r="AK421" s="9">
        <v>6.2370570000000001</v>
      </c>
      <c r="AL421" s="9">
        <v>-75.558852000000002</v>
      </c>
      <c r="AM421" s="27">
        <f t="shared" si="7"/>
        <v>7.5648148148148145E-2</v>
      </c>
    </row>
    <row r="422" spans="1:39" ht="15" x14ac:dyDescent="0.25">
      <c r="A422" s="9" t="s">
        <v>3491</v>
      </c>
      <c r="B422" s="9" t="s">
        <v>3492</v>
      </c>
      <c r="C422" s="9" t="s">
        <v>3493</v>
      </c>
      <c r="D422" s="9" t="s">
        <v>3417</v>
      </c>
      <c r="E422" s="9" t="s">
        <v>2619</v>
      </c>
      <c r="F422" s="9" t="s">
        <v>37</v>
      </c>
      <c r="G422" s="9" t="s">
        <v>80</v>
      </c>
      <c r="H422" s="9" t="s">
        <v>81</v>
      </c>
      <c r="I422" s="9" t="s">
        <v>115</v>
      </c>
      <c r="J422" s="9">
        <v>6990</v>
      </c>
      <c r="K422" s="9" t="s">
        <v>3494</v>
      </c>
      <c r="L422" s="9" t="s">
        <v>117</v>
      </c>
      <c r="M422" s="10">
        <v>3.4270254629629629E-3</v>
      </c>
      <c r="N422" s="9" t="s">
        <v>65</v>
      </c>
      <c r="O422" s="9" t="s">
        <v>3495</v>
      </c>
      <c r="P422" s="9" t="s">
        <v>119</v>
      </c>
      <c r="Q422" s="10">
        <v>5.9399537037037034E-3</v>
      </c>
      <c r="R422" s="9" t="s">
        <v>46</v>
      </c>
      <c r="S422" s="10">
        <v>0.24063302083333329</v>
      </c>
      <c r="T422" s="9">
        <v>42.750999999999998</v>
      </c>
      <c r="U422" s="9">
        <v>19.690000000000001</v>
      </c>
      <c r="V422" s="10">
        <v>9.0459224537036975E-2</v>
      </c>
      <c r="W422" s="10">
        <v>3.5501678240740762E-2</v>
      </c>
      <c r="X422" s="10">
        <v>0</v>
      </c>
      <c r="Y422" s="9">
        <v>0</v>
      </c>
      <c r="Z422" s="9">
        <v>0</v>
      </c>
      <c r="AA422" s="9">
        <v>0</v>
      </c>
      <c r="AB422" s="9">
        <v>0</v>
      </c>
      <c r="AC422" s="9">
        <v>0</v>
      </c>
      <c r="AD422" s="9">
        <v>9</v>
      </c>
      <c r="AE422" s="9" t="s">
        <v>84</v>
      </c>
      <c r="AF422" s="9" t="s">
        <v>3008</v>
      </c>
      <c r="AG422" s="9" t="s">
        <v>3496</v>
      </c>
      <c r="AH422" s="9">
        <v>6.2592850000000002</v>
      </c>
      <c r="AI422" s="9">
        <v>-75.620909999999995</v>
      </c>
      <c r="AJ422" s="9" t="s">
        <v>3497</v>
      </c>
      <c r="AK422" s="9">
        <v>6.2455550000000004</v>
      </c>
      <c r="AL422" s="9">
        <v>-75.596427000000006</v>
      </c>
      <c r="AM422" s="26">
        <f t="shared" si="7"/>
        <v>0</v>
      </c>
    </row>
    <row r="423" spans="1:39" ht="15" x14ac:dyDescent="0.25">
      <c r="A423" s="9" t="s">
        <v>3498</v>
      </c>
      <c r="B423" s="9" t="s">
        <v>3499</v>
      </c>
      <c r="C423" s="9" t="s">
        <v>3500</v>
      </c>
      <c r="D423" s="9" t="s">
        <v>3417</v>
      </c>
      <c r="E423" s="9" t="s">
        <v>2619</v>
      </c>
      <c r="F423" s="9" t="s">
        <v>37</v>
      </c>
      <c r="G423" s="9" t="s">
        <v>160</v>
      </c>
      <c r="H423" s="9" t="s">
        <v>161</v>
      </c>
      <c r="I423" s="9" t="s">
        <v>115</v>
      </c>
      <c r="J423" s="9">
        <v>9642</v>
      </c>
      <c r="K423" s="9" t="s">
        <v>3501</v>
      </c>
      <c r="L423" s="9" t="s">
        <v>117</v>
      </c>
      <c r="M423" s="10">
        <v>2.8580358796296289E-2</v>
      </c>
      <c r="N423" s="9" t="s">
        <v>127</v>
      </c>
      <c r="O423" s="9" t="s">
        <v>3502</v>
      </c>
      <c r="P423" s="9" t="s">
        <v>119</v>
      </c>
      <c r="Q423" s="10">
        <v>1.3502314814814809E-3</v>
      </c>
      <c r="R423" s="9" t="s">
        <v>46</v>
      </c>
      <c r="S423" s="10">
        <v>0.27993059027777778</v>
      </c>
      <c r="T423" s="9">
        <v>42.613999999999997</v>
      </c>
      <c r="U423" s="9">
        <v>11.12</v>
      </c>
      <c r="V423" s="10">
        <v>0.15968719907407411</v>
      </c>
      <c r="W423" s="10">
        <v>0.13379615740740741</v>
      </c>
      <c r="X423" s="10">
        <v>0</v>
      </c>
      <c r="Y423" s="9">
        <v>0</v>
      </c>
      <c r="Z423" s="9">
        <v>0</v>
      </c>
      <c r="AA423" s="9">
        <v>0</v>
      </c>
      <c r="AB423" s="9">
        <v>0</v>
      </c>
      <c r="AC423" s="9">
        <v>0</v>
      </c>
      <c r="AD423" s="9">
        <v>3</v>
      </c>
      <c r="AE423" s="9" t="s">
        <v>139</v>
      </c>
      <c r="AF423" s="9" t="s">
        <v>3503</v>
      </c>
      <c r="AG423" s="9" t="s">
        <v>3504</v>
      </c>
      <c r="AH423" s="9">
        <v>6.2265480000000002</v>
      </c>
      <c r="AI423" s="9">
        <v>-75.599261999999996</v>
      </c>
      <c r="AJ423" s="9" t="s">
        <v>3505</v>
      </c>
      <c r="AK423" s="9">
        <v>6.2688199999999998</v>
      </c>
      <c r="AL423" s="9">
        <v>-75.598403000000005</v>
      </c>
      <c r="AM423" s="26">
        <f t="shared" si="7"/>
        <v>0</v>
      </c>
    </row>
    <row r="424" spans="1:39" ht="15" x14ac:dyDescent="0.25">
      <c r="A424" s="9" t="s">
        <v>3506</v>
      </c>
      <c r="B424" s="9" t="s">
        <v>3507</v>
      </c>
      <c r="C424" s="9" t="s">
        <v>3508</v>
      </c>
      <c r="D424" s="9" t="s">
        <v>3417</v>
      </c>
      <c r="E424" s="9" t="s">
        <v>2619</v>
      </c>
      <c r="F424" s="9" t="s">
        <v>37</v>
      </c>
      <c r="G424" s="9" t="s">
        <v>97</v>
      </c>
      <c r="H424" s="9" t="s">
        <v>98</v>
      </c>
      <c r="I424" s="9" t="s">
        <v>115</v>
      </c>
      <c r="J424" s="9">
        <v>2265</v>
      </c>
      <c r="K424" s="9" t="s">
        <v>3509</v>
      </c>
      <c r="L424" s="9" t="s">
        <v>117</v>
      </c>
      <c r="M424" s="10">
        <v>4.7233796296296288E-2</v>
      </c>
      <c r="N424" s="9" t="s">
        <v>127</v>
      </c>
      <c r="O424" s="9" t="s">
        <v>3510</v>
      </c>
      <c r="P424" s="9" t="s">
        <v>119</v>
      </c>
      <c r="Q424" s="10">
        <v>1.9016203703703709E-2</v>
      </c>
      <c r="R424" s="9" t="s">
        <v>56</v>
      </c>
      <c r="S424" s="10">
        <v>0.2782175925925926</v>
      </c>
      <c r="T424" s="9">
        <v>28.916</v>
      </c>
      <c r="U424" s="9">
        <v>7.11</v>
      </c>
      <c r="V424" s="10">
        <v>0.1695601851851852</v>
      </c>
      <c r="W424" s="10">
        <v>0.1231597222222222</v>
      </c>
      <c r="X424" s="10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0</v>
      </c>
      <c r="AD424" s="9">
        <v>0</v>
      </c>
      <c r="AE424" s="9" t="s">
        <v>139</v>
      </c>
      <c r="AF424" s="9" t="s">
        <v>3511</v>
      </c>
      <c r="AG424" s="9" t="s">
        <v>3512</v>
      </c>
      <c r="AH424" s="9">
        <v>6.2285149999999998</v>
      </c>
      <c r="AI424" s="9">
        <v>-75.598760999999996</v>
      </c>
      <c r="AJ424" s="9" t="s">
        <v>3513</v>
      </c>
      <c r="AK424" s="9">
        <v>6.3065540000000002</v>
      </c>
      <c r="AL424" s="9">
        <v>-75.576627000000002</v>
      </c>
      <c r="AM424" s="27">
        <f t="shared" si="7"/>
        <v>1.9016203703703709E-2</v>
      </c>
    </row>
    <row r="425" spans="1:39" ht="15" x14ac:dyDescent="0.25">
      <c r="A425" s="9" t="s">
        <v>3514</v>
      </c>
      <c r="B425" s="9" t="s">
        <v>3515</v>
      </c>
      <c r="C425" s="9" t="s">
        <v>3516</v>
      </c>
      <c r="D425" s="9" t="s">
        <v>3517</v>
      </c>
      <c r="E425" s="9" t="s">
        <v>2619</v>
      </c>
      <c r="F425" s="9" t="s">
        <v>169</v>
      </c>
      <c r="G425" s="9" t="s">
        <v>38</v>
      </c>
      <c r="H425" s="9" t="s">
        <v>39</v>
      </c>
      <c r="I425" s="9" t="s">
        <v>40</v>
      </c>
      <c r="J425" s="9">
        <v>7435</v>
      </c>
      <c r="K425" s="9" t="s">
        <v>3518</v>
      </c>
      <c r="L425" s="9" t="s">
        <v>42</v>
      </c>
      <c r="M425" s="10">
        <v>1.827121527777778E-2</v>
      </c>
      <c r="N425" s="9" t="s">
        <v>43</v>
      </c>
      <c r="O425" s="9" t="s">
        <v>3519</v>
      </c>
      <c r="P425" s="9" t="s">
        <v>45</v>
      </c>
      <c r="Q425" s="10">
        <v>1.516545138888889E-2</v>
      </c>
      <c r="R425" s="9" t="s">
        <v>129</v>
      </c>
      <c r="S425" s="10">
        <v>0.33022756944444442</v>
      </c>
      <c r="T425" s="9">
        <v>48.103000000000002</v>
      </c>
      <c r="U425" s="9">
        <v>15.13</v>
      </c>
      <c r="V425" s="10">
        <v>0.13248822916666661</v>
      </c>
      <c r="W425" s="10">
        <v>7.4581215277777821E-2</v>
      </c>
      <c r="X425" s="10">
        <v>5.3334155092592588E-2</v>
      </c>
      <c r="Y425" s="9">
        <v>1</v>
      </c>
      <c r="Z425" s="9">
        <v>1</v>
      </c>
      <c r="AA425" s="9">
        <v>1</v>
      </c>
      <c r="AB425" s="9">
        <v>1</v>
      </c>
      <c r="AC425" s="9">
        <v>1</v>
      </c>
      <c r="AD425" s="9">
        <v>3</v>
      </c>
      <c r="AE425" s="9" t="s">
        <v>130</v>
      </c>
      <c r="AF425" s="9" t="s">
        <v>3520</v>
      </c>
      <c r="AG425" s="9" t="s">
        <v>3521</v>
      </c>
      <c r="AH425" s="9">
        <v>6.203227</v>
      </c>
      <c r="AI425" s="9">
        <v>-75.600756000000004</v>
      </c>
      <c r="AJ425" s="9" t="s">
        <v>3522</v>
      </c>
      <c r="AK425" s="9">
        <v>6.2218650000000002</v>
      </c>
      <c r="AL425" s="9">
        <v>-75.593827000000005</v>
      </c>
      <c r="AM425" s="26">
        <f t="shared" si="7"/>
        <v>1.827121527777778E-2</v>
      </c>
    </row>
    <row r="426" spans="1:39" ht="15" x14ac:dyDescent="0.25">
      <c r="A426" s="9" t="s">
        <v>3523</v>
      </c>
      <c r="B426" s="9" t="s">
        <v>3524</v>
      </c>
      <c r="C426" s="9" t="s">
        <v>3525</v>
      </c>
      <c r="D426" s="9" t="s">
        <v>3517</v>
      </c>
      <c r="E426" s="9" t="s">
        <v>2619</v>
      </c>
      <c r="F426" s="9" t="s">
        <v>169</v>
      </c>
      <c r="G426" s="9" t="s">
        <v>52</v>
      </c>
      <c r="H426" s="9" t="s">
        <v>53</v>
      </c>
      <c r="I426" s="9" t="s">
        <v>40</v>
      </c>
      <c r="J426" s="9">
        <v>2440</v>
      </c>
      <c r="K426" s="9" t="s">
        <v>3526</v>
      </c>
      <c r="L426" s="9" t="s">
        <v>42</v>
      </c>
      <c r="M426" s="10">
        <v>1.1458333333333331E-2</v>
      </c>
      <c r="N426" s="9" t="s">
        <v>127</v>
      </c>
      <c r="O426" s="9" t="s">
        <v>3527</v>
      </c>
      <c r="P426" s="9" t="s">
        <v>45</v>
      </c>
      <c r="Q426" s="10">
        <v>4.8437500000000001E-2</v>
      </c>
      <c r="R426" s="9" t="s">
        <v>129</v>
      </c>
      <c r="S426" s="10">
        <v>0.39322916666666669</v>
      </c>
      <c r="T426" s="9">
        <v>30.324000000000002</v>
      </c>
      <c r="U426" s="9">
        <v>6.45</v>
      </c>
      <c r="V426" s="10">
        <v>0.19575231481481481</v>
      </c>
      <c r="W426" s="10">
        <v>0.14230324074074069</v>
      </c>
      <c r="X426" s="10">
        <v>2.4305555555555559E-2</v>
      </c>
      <c r="Y426" s="9">
        <v>1</v>
      </c>
      <c r="Z426" s="9">
        <v>1</v>
      </c>
      <c r="AA426" s="9">
        <v>1</v>
      </c>
      <c r="AB426" s="9">
        <v>0</v>
      </c>
      <c r="AC426" s="9">
        <v>0</v>
      </c>
      <c r="AD426" s="9">
        <v>0</v>
      </c>
      <c r="AE426" s="9" t="s">
        <v>130</v>
      </c>
      <c r="AF426" s="9" t="s">
        <v>3528</v>
      </c>
      <c r="AG426" s="9" t="s">
        <v>3529</v>
      </c>
      <c r="AH426" s="9">
        <v>6.2251859999999999</v>
      </c>
      <c r="AI426" s="9">
        <v>-75.599266</v>
      </c>
      <c r="AJ426" s="9" t="s">
        <v>3530</v>
      </c>
      <c r="AK426" s="9">
        <v>6.24749</v>
      </c>
      <c r="AL426" s="9">
        <v>-75.615098000000003</v>
      </c>
      <c r="AM426" s="27">
        <f t="shared" si="7"/>
        <v>0</v>
      </c>
    </row>
    <row r="427" spans="1:39" ht="15" x14ac:dyDescent="0.25">
      <c r="A427" s="9" t="s">
        <v>3531</v>
      </c>
      <c r="B427" s="9" t="s">
        <v>3532</v>
      </c>
      <c r="C427" s="9" t="s">
        <v>3533</v>
      </c>
      <c r="D427" s="9" t="s">
        <v>3517</v>
      </c>
      <c r="E427" s="9" t="s">
        <v>2619</v>
      </c>
      <c r="F427" s="9" t="s">
        <v>169</v>
      </c>
      <c r="G427" s="9" t="s">
        <v>113</v>
      </c>
      <c r="H427" s="9" t="s">
        <v>114</v>
      </c>
      <c r="I427" s="9" t="s">
        <v>40</v>
      </c>
      <c r="J427" s="9">
        <v>2463</v>
      </c>
      <c r="K427" s="9" t="s">
        <v>3534</v>
      </c>
      <c r="L427" s="9" t="s">
        <v>42</v>
      </c>
      <c r="M427" s="10">
        <v>5.115740740740741E-3</v>
      </c>
      <c r="N427" s="9" t="s">
        <v>65</v>
      </c>
      <c r="O427" s="9" t="s">
        <v>3535</v>
      </c>
      <c r="P427" s="9" t="s">
        <v>45</v>
      </c>
      <c r="Q427" s="10">
        <v>5.7754629629629631E-3</v>
      </c>
      <c r="R427" s="9" t="s">
        <v>46</v>
      </c>
      <c r="S427" s="10">
        <v>0.32244212962962959</v>
      </c>
      <c r="T427" s="9">
        <v>32.902000000000001</v>
      </c>
      <c r="U427" s="9">
        <v>5.07</v>
      </c>
      <c r="V427" s="10">
        <v>0.27060185185185193</v>
      </c>
      <c r="W427" s="10">
        <v>0.2105208333333333</v>
      </c>
      <c r="X427" s="10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9">
        <v>3</v>
      </c>
      <c r="AE427" s="9" t="s">
        <v>84</v>
      </c>
      <c r="AF427" s="9" t="s">
        <v>292</v>
      </c>
      <c r="AG427" s="9" t="s">
        <v>3536</v>
      </c>
      <c r="AH427" s="9">
        <v>6.229101</v>
      </c>
      <c r="AI427" s="9">
        <v>-75.602047999999996</v>
      </c>
      <c r="AJ427" s="9" t="s">
        <v>3537</v>
      </c>
      <c r="AK427" s="9">
        <v>6.2486969999999999</v>
      </c>
      <c r="AL427" s="9">
        <v>-75.583498000000006</v>
      </c>
      <c r="AM427" s="26">
        <f t="shared" si="7"/>
        <v>0</v>
      </c>
    </row>
    <row r="428" spans="1:39" ht="15" x14ac:dyDescent="0.25">
      <c r="A428" s="9" t="s">
        <v>3538</v>
      </c>
      <c r="B428" s="9" t="s">
        <v>3539</v>
      </c>
      <c r="C428" s="9" t="s">
        <v>3540</v>
      </c>
      <c r="D428" s="9" t="s">
        <v>3517</v>
      </c>
      <c r="E428" s="9" t="s">
        <v>2619</v>
      </c>
      <c r="F428" s="9" t="s">
        <v>169</v>
      </c>
      <c r="G428" s="9" t="s">
        <v>62</v>
      </c>
      <c r="H428" s="9" t="s">
        <v>63</v>
      </c>
      <c r="I428" s="9" t="s">
        <v>40</v>
      </c>
      <c r="J428" s="9">
        <v>2258</v>
      </c>
      <c r="K428" s="9" t="s">
        <v>3541</v>
      </c>
      <c r="L428" s="9" t="s">
        <v>42</v>
      </c>
      <c r="M428" s="10">
        <v>1.0879629629629631E-3</v>
      </c>
      <c r="N428" s="9" t="s">
        <v>65</v>
      </c>
      <c r="O428" s="9" t="s">
        <v>3542</v>
      </c>
      <c r="P428" s="9" t="s">
        <v>45</v>
      </c>
      <c r="Q428" s="10">
        <v>0.14372685185185191</v>
      </c>
      <c r="R428" s="9" t="s">
        <v>56</v>
      </c>
      <c r="S428" s="10">
        <v>0.1885185185185185</v>
      </c>
      <c r="T428" s="9">
        <v>29.545000000000002</v>
      </c>
      <c r="U428" s="9">
        <v>8.17</v>
      </c>
      <c r="V428" s="10">
        <v>0.1507060185185185</v>
      </c>
      <c r="W428" s="10">
        <v>0.1017476851851852</v>
      </c>
      <c r="X428" s="10">
        <v>4.386574074074074E-3</v>
      </c>
      <c r="Y428" s="9">
        <v>0</v>
      </c>
      <c r="Z428" s="9">
        <v>0</v>
      </c>
      <c r="AA428" s="9">
        <v>0</v>
      </c>
      <c r="AB428" s="9">
        <v>0</v>
      </c>
      <c r="AC428" s="9">
        <v>0</v>
      </c>
      <c r="AD428" s="9">
        <v>2</v>
      </c>
      <c r="AE428" s="9" t="s">
        <v>67</v>
      </c>
      <c r="AF428" s="9" t="s">
        <v>3543</v>
      </c>
      <c r="AG428" s="9" t="s">
        <v>3544</v>
      </c>
      <c r="AH428" s="9">
        <v>6.2256419999999997</v>
      </c>
      <c r="AI428" s="9">
        <v>-75.599112000000005</v>
      </c>
      <c r="AJ428" s="9" t="s">
        <v>3545</v>
      </c>
      <c r="AK428" s="9">
        <v>6.2347149999999996</v>
      </c>
      <c r="AL428" s="9">
        <v>-75.608236000000005</v>
      </c>
      <c r="AM428" s="26">
        <f t="shared" si="7"/>
        <v>0.14372685185185191</v>
      </c>
    </row>
    <row r="429" spans="1:39" ht="15" x14ac:dyDescent="0.25">
      <c r="A429" s="9" t="s">
        <v>3546</v>
      </c>
      <c r="B429" s="9" t="s">
        <v>3547</v>
      </c>
      <c r="C429" s="9" t="s">
        <v>3548</v>
      </c>
      <c r="D429" s="9" t="s">
        <v>3517</v>
      </c>
      <c r="E429" s="9" t="s">
        <v>2619</v>
      </c>
      <c r="F429" s="9" t="s">
        <v>169</v>
      </c>
      <c r="G429" s="9" t="s">
        <v>135</v>
      </c>
      <c r="H429" s="9" t="s">
        <v>136</v>
      </c>
      <c r="I429" s="9" t="s">
        <v>40</v>
      </c>
      <c r="J429" s="9">
        <v>2042</v>
      </c>
      <c r="K429" s="9" t="s">
        <v>3549</v>
      </c>
      <c r="L429" s="9" t="s">
        <v>42</v>
      </c>
      <c r="M429" s="10">
        <v>5.0231481481481481E-3</v>
      </c>
      <c r="N429" s="9" t="s">
        <v>65</v>
      </c>
      <c r="O429" s="9" t="s">
        <v>3550</v>
      </c>
      <c r="P429" s="9" t="s">
        <v>45</v>
      </c>
      <c r="Q429" s="10">
        <v>7.9861111111111116E-4</v>
      </c>
      <c r="R429" s="9" t="s">
        <v>46</v>
      </c>
      <c r="S429" s="10">
        <v>0.3291087962962963</v>
      </c>
      <c r="T429" s="9">
        <v>34.542999999999999</v>
      </c>
      <c r="U429" s="9">
        <v>14.84</v>
      </c>
      <c r="V429" s="10">
        <v>9.6967592592592591E-2</v>
      </c>
      <c r="W429" s="10">
        <v>4.508101851851852E-2</v>
      </c>
      <c r="X429" s="10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8</v>
      </c>
      <c r="AE429" s="9" t="s">
        <v>84</v>
      </c>
      <c r="AF429" s="9" t="s">
        <v>567</v>
      </c>
      <c r="AG429" s="9" t="s">
        <v>3551</v>
      </c>
      <c r="AH429" s="9">
        <v>6.2253369999999997</v>
      </c>
      <c r="AI429" s="9">
        <v>-75.599442999999994</v>
      </c>
      <c r="AJ429" s="9" t="s">
        <v>3552</v>
      </c>
      <c r="AK429" s="9">
        <v>6.2500159999999996</v>
      </c>
      <c r="AL429" s="9">
        <v>-75.556476000000004</v>
      </c>
      <c r="AM429" s="27">
        <f t="shared" si="7"/>
        <v>0</v>
      </c>
    </row>
    <row r="430" spans="1:39" ht="15" x14ac:dyDescent="0.25">
      <c r="A430" s="9" t="s">
        <v>3553</v>
      </c>
      <c r="B430" s="9" t="s">
        <v>3554</v>
      </c>
      <c r="C430" s="9" t="s">
        <v>3555</v>
      </c>
      <c r="D430" s="9" t="s">
        <v>3517</v>
      </c>
      <c r="E430" s="9" t="s">
        <v>2619</v>
      </c>
      <c r="F430" s="9" t="s">
        <v>169</v>
      </c>
      <c r="G430" s="9" t="s">
        <v>144</v>
      </c>
      <c r="H430" s="9" t="s">
        <v>145</v>
      </c>
      <c r="I430" s="9" t="s">
        <v>40</v>
      </c>
      <c r="J430" s="9">
        <v>10287</v>
      </c>
      <c r="K430" s="9" t="s">
        <v>3556</v>
      </c>
      <c r="L430" s="9" t="s">
        <v>42</v>
      </c>
      <c r="M430" s="10">
        <v>1.8402777777777778E-2</v>
      </c>
      <c r="N430" s="9" t="s">
        <v>127</v>
      </c>
      <c r="O430" s="9" t="s">
        <v>3557</v>
      </c>
      <c r="P430" s="9" t="s">
        <v>45</v>
      </c>
      <c r="Q430" s="10">
        <v>2.2685185185185191E-3</v>
      </c>
      <c r="R430" s="9" t="s">
        <v>46</v>
      </c>
      <c r="S430" s="10">
        <v>0.34946759259259258</v>
      </c>
      <c r="T430" s="9">
        <v>137.78299999999999</v>
      </c>
      <c r="U430" s="9">
        <v>21.29</v>
      </c>
      <c r="V430" s="10">
        <v>0.2696412037037037</v>
      </c>
      <c r="W430" s="10">
        <v>5.0925925925925923E-2</v>
      </c>
      <c r="X430" s="10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0</v>
      </c>
      <c r="AD430" s="9">
        <v>0</v>
      </c>
      <c r="AE430" s="9" t="s">
        <v>139</v>
      </c>
      <c r="AF430" s="9" t="s">
        <v>3558</v>
      </c>
      <c r="AG430" s="9" t="s">
        <v>3559</v>
      </c>
      <c r="AH430" s="9">
        <v>6.2768949999999997</v>
      </c>
      <c r="AI430" s="9">
        <v>-75.573032999999995</v>
      </c>
      <c r="AJ430" s="9" t="s">
        <v>3560</v>
      </c>
      <c r="AK430" s="9">
        <v>6.290654</v>
      </c>
      <c r="AL430" s="9">
        <v>-75.546259000000006</v>
      </c>
      <c r="AM430" s="26">
        <f t="shared" si="7"/>
        <v>0</v>
      </c>
    </row>
    <row r="431" spans="1:39" ht="15" x14ac:dyDescent="0.25">
      <c r="A431" s="9" t="s">
        <v>3561</v>
      </c>
      <c r="B431" s="9" t="s">
        <v>3562</v>
      </c>
      <c r="C431" s="9" t="s">
        <v>3563</v>
      </c>
      <c r="D431" s="9" t="s">
        <v>3517</v>
      </c>
      <c r="E431" s="9" t="s">
        <v>2619</v>
      </c>
      <c r="F431" s="9" t="s">
        <v>169</v>
      </c>
      <c r="G431" s="9" t="s">
        <v>152</v>
      </c>
      <c r="H431" s="9" t="s">
        <v>153</v>
      </c>
      <c r="I431" s="9" t="s">
        <v>40</v>
      </c>
      <c r="J431" s="9">
        <v>4074</v>
      </c>
      <c r="K431" s="9" t="s">
        <v>3564</v>
      </c>
      <c r="L431" s="9" t="s">
        <v>42</v>
      </c>
      <c r="M431" s="10">
        <v>1.157407407407407E-5</v>
      </c>
      <c r="N431" s="9" t="s">
        <v>65</v>
      </c>
      <c r="O431" s="9" t="s">
        <v>3565</v>
      </c>
      <c r="P431" s="9" t="s">
        <v>45</v>
      </c>
      <c r="Q431" s="10">
        <v>2.6064814814814811E-2</v>
      </c>
      <c r="R431" s="9" t="s">
        <v>129</v>
      </c>
      <c r="S431" s="10">
        <v>0.35940972222222223</v>
      </c>
      <c r="T431" s="9">
        <v>54.756</v>
      </c>
      <c r="U431" s="9">
        <v>14.83</v>
      </c>
      <c r="V431" s="10">
        <v>0.15384259259259259</v>
      </c>
      <c r="W431" s="10">
        <v>5.4386574074074073E-2</v>
      </c>
      <c r="X431" s="10">
        <v>0.16236111111111109</v>
      </c>
      <c r="Y431" s="9">
        <v>1</v>
      </c>
      <c r="Z431" s="9">
        <v>1</v>
      </c>
      <c r="AA431" s="9">
        <v>1</v>
      </c>
      <c r="AB431" s="9">
        <v>1</v>
      </c>
      <c r="AC431" s="9">
        <v>1</v>
      </c>
      <c r="AD431" s="9">
        <v>2</v>
      </c>
      <c r="AE431" s="9" t="s">
        <v>130</v>
      </c>
      <c r="AF431" s="9" t="s">
        <v>3566</v>
      </c>
      <c r="AG431" s="9" t="s">
        <v>3567</v>
      </c>
      <c r="AH431" s="9">
        <v>6.225562</v>
      </c>
      <c r="AI431" s="9">
        <v>-75.599442999999994</v>
      </c>
      <c r="AJ431" s="9" t="s">
        <v>3568</v>
      </c>
      <c r="AK431" s="9">
        <v>6.2518099999999999</v>
      </c>
      <c r="AL431" s="9">
        <v>-75.551732000000001</v>
      </c>
      <c r="AM431" s="27">
        <f t="shared" si="7"/>
        <v>0</v>
      </c>
    </row>
    <row r="432" spans="1:39" ht="15" x14ac:dyDescent="0.25">
      <c r="A432" s="9" t="s">
        <v>3569</v>
      </c>
      <c r="B432" s="9" t="s">
        <v>3570</v>
      </c>
      <c r="C432" s="9" t="s">
        <v>3571</v>
      </c>
      <c r="D432" s="9" t="s">
        <v>3517</v>
      </c>
      <c r="E432" s="9" t="s">
        <v>2619</v>
      </c>
      <c r="F432" s="9" t="s">
        <v>169</v>
      </c>
      <c r="G432" s="9" t="s">
        <v>89</v>
      </c>
      <c r="H432" s="9" t="s">
        <v>90</v>
      </c>
      <c r="I432" s="9" t="s">
        <v>40</v>
      </c>
      <c r="J432" s="9">
        <v>3900</v>
      </c>
      <c r="K432" s="9" t="s">
        <v>3572</v>
      </c>
      <c r="L432" s="9" t="s">
        <v>42</v>
      </c>
      <c r="M432" s="10">
        <v>1.447916666666667E-2</v>
      </c>
      <c r="N432" s="9" t="s">
        <v>127</v>
      </c>
      <c r="O432" s="9" t="s">
        <v>3573</v>
      </c>
      <c r="P432" s="9" t="s">
        <v>45</v>
      </c>
      <c r="Q432" s="10">
        <v>9.7453703703703695E-3</v>
      </c>
      <c r="R432" s="9" t="s">
        <v>46</v>
      </c>
      <c r="S432" s="10">
        <v>0.33806712962962959</v>
      </c>
      <c r="T432" s="9">
        <v>49.66</v>
      </c>
      <c r="U432" s="9">
        <v>9.57</v>
      </c>
      <c r="V432" s="10">
        <v>0.21622685185185189</v>
      </c>
      <c r="W432" s="10">
        <v>0.12761574074074081</v>
      </c>
      <c r="X432" s="10">
        <v>0</v>
      </c>
      <c r="Y432" s="9">
        <v>0</v>
      </c>
      <c r="Z432" s="9">
        <v>0</v>
      </c>
      <c r="AA432" s="9">
        <v>0</v>
      </c>
      <c r="AB432" s="9">
        <v>0</v>
      </c>
      <c r="AC432" s="9">
        <v>0</v>
      </c>
      <c r="AD432" s="9">
        <v>0</v>
      </c>
      <c r="AE432" s="9" t="s">
        <v>139</v>
      </c>
      <c r="AF432" s="9" t="s">
        <v>3574</v>
      </c>
      <c r="AG432" s="9" t="s">
        <v>3575</v>
      </c>
      <c r="AH432" s="9">
        <v>6.226667</v>
      </c>
      <c r="AI432" s="9">
        <v>-75.599209000000002</v>
      </c>
      <c r="AJ432" s="9" t="s">
        <v>3576</v>
      </c>
      <c r="AK432" s="9">
        <v>6.2786090000000003</v>
      </c>
      <c r="AL432" s="9">
        <v>-75.569281000000004</v>
      </c>
      <c r="AM432" s="26">
        <f t="shared" si="7"/>
        <v>0</v>
      </c>
    </row>
    <row r="433" spans="1:40" ht="15" x14ac:dyDescent="0.25">
      <c r="A433" s="9" t="s">
        <v>3577</v>
      </c>
      <c r="B433" s="9" t="s">
        <v>3578</v>
      </c>
      <c r="C433" s="9" t="s">
        <v>3579</v>
      </c>
      <c r="D433" s="9" t="s">
        <v>3517</v>
      </c>
      <c r="E433" s="9" t="s">
        <v>2619</v>
      </c>
      <c r="F433" s="9" t="s">
        <v>169</v>
      </c>
      <c r="G433" s="9" t="s">
        <v>105</v>
      </c>
      <c r="H433" s="9" t="s">
        <v>106</v>
      </c>
      <c r="I433" s="9" t="s">
        <v>40</v>
      </c>
      <c r="J433" s="9">
        <v>2874</v>
      </c>
      <c r="K433" s="9" t="s">
        <v>3580</v>
      </c>
      <c r="L433" s="9" t="s">
        <v>42</v>
      </c>
      <c r="M433" s="10">
        <v>2.8599537037037041E-2</v>
      </c>
      <c r="N433" s="9" t="s">
        <v>127</v>
      </c>
      <c r="O433" s="9" t="s">
        <v>3581</v>
      </c>
      <c r="P433" s="9" t="s">
        <v>45</v>
      </c>
      <c r="Q433" s="10">
        <v>1.7951388888888892E-2</v>
      </c>
      <c r="R433" s="9" t="s">
        <v>56</v>
      </c>
      <c r="S433" s="10">
        <v>0.3439814814814815</v>
      </c>
      <c r="T433" s="9">
        <v>44.32</v>
      </c>
      <c r="U433" s="9">
        <v>5.9</v>
      </c>
      <c r="V433" s="10">
        <v>0.31299768518518523</v>
      </c>
      <c r="W433" s="10">
        <v>0.22974537037037041</v>
      </c>
      <c r="X433" s="10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0</v>
      </c>
      <c r="AD433" s="9">
        <v>4</v>
      </c>
      <c r="AE433" s="9" t="s">
        <v>139</v>
      </c>
      <c r="AF433" s="9" t="s">
        <v>3582</v>
      </c>
      <c r="AG433" s="9" t="s">
        <v>3583</v>
      </c>
      <c r="AH433" s="9">
        <v>6.2256359999999997</v>
      </c>
      <c r="AI433" s="9">
        <v>-75.599136000000001</v>
      </c>
      <c r="AJ433" s="9" t="s">
        <v>3584</v>
      </c>
      <c r="AK433" s="9">
        <v>6.2582329999999997</v>
      </c>
      <c r="AL433" s="9">
        <v>-75.615763999999999</v>
      </c>
      <c r="AM433" s="26">
        <f t="shared" si="7"/>
        <v>1.7951388888888892E-2</v>
      </c>
    </row>
    <row r="434" spans="1:40" ht="15" x14ac:dyDescent="0.25">
      <c r="A434" s="9" t="s">
        <v>3585</v>
      </c>
      <c r="B434" s="9" t="s">
        <v>3586</v>
      </c>
      <c r="C434" s="9" t="s">
        <v>3587</v>
      </c>
      <c r="D434" s="9" t="s">
        <v>3517</v>
      </c>
      <c r="E434" s="9" t="s">
        <v>2619</v>
      </c>
      <c r="F434" s="9" t="s">
        <v>169</v>
      </c>
      <c r="G434" s="9" t="s">
        <v>124</v>
      </c>
      <c r="H434" s="9" t="s">
        <v>125</v>
      </c>
      <c r="I434" s="9" t="s">
        <v>115</v>
      </c>
      <c r="J434" s="9">
        <v>4300</v>
      </c>
      <c r="K434" s="9" t="s">
        <v>3588</v>
      </c>
      <c r="L434" s="9" t="s">
        <v>117</v>
      </c>
      <c r="M434" s="10">
        <v>4.1956018518518517E-2</v>
      </c>
      <c r="N434" s="9" t="s">
        <v>127</v>
      </c>
      <c r="O434" s="9" t="s">
        <v>3589</v>
      </c>
      <c r="P434" s="9" t="s">
        <v>119</v>
      </c>
      <c r="Q434" s="10">
        <v>2.4293981481481479E-2</v>
      </c>
      <c r="R434" s="9" t="s">
        <v>129</v>
      </c>
      <c r="S434" s="10">
        <v>0.31624999999999998</v>
      </c>
      <c r="T434" s="9">
        <v>61.747999999999998</v>
      </c>
      <c r="U434" s="9">
        <v>10.79</v>
      </c>
      <c r="V434" s="10">
        <v>0.23841435185185189</v>
      </c>
      <c r="W434" s="10">
        <v>9.3958333333333338E-2</v>
      </c>
      <c r="X434" s="10">
        <v>2.8148148148148151E-2</v>
      </c>
      <c r="Y434" s="9">
        <v>1</v>
      </c>
      <c r="Z434" s="9">
        <v>1</v>
      </c>
      <c r="AA434" s="9">
        <v>1</v>
      </c>
      <c r="AB434" s="9">
        <v>1</v>
      </c>
      <c r="AC434" s="9">
        <v>0</v>
      </c>
      <c r="AD434" s="9">
        <v>0</v>
      </c>
      <c r="AE434" s="9" t="s">
        <v>130</v>
      </c>
      <c r="AF434" s="9" t="s">
        <v>3590</v>
      </c>
      <c r="AG434" s="9" t="s">
        <v>3591</v>
      </c>
      <c r="AH434" s="9">
        <v>6.2267419999999998</v>
      </c>
      <c r="AI434" s="9">
        <v>-75.599952999999999</v>
      </c>
      <c r="AJ434" s="9" t="s">
        <v>3592</v>
      </c>
      <c r="AK434" s="9">
        <v>6.2727170000000001</v>
      </c>
      <c r="AL434" s="9">
        <v>-75.601748000000001</v>
      </c>
      <c r="AM434" s="27">
        <f t="shared" si="7"/>
        <v>0</v>
      </c>
    </row>
    <row r="435" spans="1:40" ht="15" x14ac:dyDescent="0.25">
      <c r="A435" s="9" t="s">
        <v>3593</v>
      </c>
      <c r="B435" s="9" t="s">
        <v>3594</v>
      </c>
      <c r="C435" s="9" t="s">
        <v>3595</v>
      </c>
      <c r="D435" s="9" t="s">
        <v>3517</v>
      </c>
      <c r="E435" s="9" t="s">
        <v>2619</v>
      </c>
      <c r="F435" s="9" t="s">
        <v>169</v>
      </c>
      <c r="G435" s="9" t="s">
        <v>72</v>
      </c>
      <c r="H435" s="9" t="s">
        <v>73</v>
      </c>
      <c r="I435" s="9" t="s">
        <v>115</v>
      </c>
      <c r="J435" s="9">
        <v>2754</v>
      </c>
      <c r="K435" s="9" t="s">
        <v>3596</v>
      </c>
      <c r="L435" s="9" t="s">
        <v>117</v>
      </c>
      <c r="M435" s="10">
        <v>5.0092592592592591E-2</v>
      </c>
      <c r="N435" s="9" t="s">
        <v>127</v>
      </c>
      <c r="O435" s="9" t="s">
        <v>3597</v>
      </c>
      <c r="P435" s="9" t="s">
        <v>119</v>
      </c>
      <c r="Q435" s="10">
        <v>4.0081018518518523E-2</v>
      </c>
      <c r="R435" s="9" t="s">
        <v>56</v>
      </c>
      <c r="S435" s="10">
        <v>0.26001157407407399</v>
      </c>
      <c r="T435" s="9">
        <v>39.378</v>
      </c>
      <c r="U435" s="9">
        <v>7.93</v>
      </c>
      <c r="V435" s="10">
        <v>0.20679398148148151</v>
      </c>
      <c r="W435" s="10">
        <v>0.16332175925925929</v>
      </c>
      <c r="X435" s="10">
        <v>0.12752314814814811</v>
      </c>
      <c r="Y435" s="9">
        <v>1</v>
      </c>
      <c r="Z435" s="9">
        <v>1</v>
      </c>
      <c r="AA435" s="9">
        <v>1</v>
      </c>
      <c r="AB435" s="9">
        <v>1</v>
      </c>
      <c r="AC435" s="9">
        <v>1</v>
      </c>
      <c r="AD435" s="9">
        <v>1</v>
      </c>
      <c r="AE435" s="9" t="s">
        <v>139</v>
      </c>
      <c r="AF435" s="9" t="s">
        <v>3598</v>
      </c>
      <c r="AG435" s="9" t="s">
        <v>3599</v>
      </c>
      <c r="AH435" s="9">
        <v>6.2256910000000003</v>
      </c>
      <c r="AI435" s="9">
        <v>-75.599361000000002</v>
      </c>
      <c r="AJ435" s="9" t="s">
        <v>3600</v>
      </c>
      <c r="AK435" s="9">
        <v>6.237171</v>
      </c>
      <c r="AL435" s="9">
        <v>-75.558699000000004</v>
      </c>
      <c r="AM435" s="26">
        <f t="shared" si="7"/>
        <v>4.0081018518518523E-2</v>
      </c>
    </row>
    <row r="436" spans="1:40" ht="15" x14ac:dyDescent="0.25">
      <c r="A436" s="9" t="s">
        <v>3601</v>
      </c>
      <c r="B436" s="9" t="s">
        <v>3602</v>
      </c>
      <c r="C436" s="9" t="s">
        <v>3603</v>
      </c>
      <c r="D436" s="9" t="s">
        <v>3517</v>
      </c>
      <c r="E436" s="9" t="s">
        <v>2619</v>
      </c>
      <c r="F436" s="9" t="s">
        <v>169</v>
      </c>
      <c r="G436" s="9" t="s">
        <v>80</v>
      </c>
      <c r="H436" s="9" t="s">
        <v>81</v>
      </c>
      <c r="I436" s="9" t="s">
        <v>115</v>
      </c>
      <c r="J436" s="9">
        <v>3896</v>
      </c>
      <c r="K436" s="9" t="s">
        <v>3604</v>
      </c>
      <c r="L436" s="9" t="s">
        <v>117</v>
      </c>
      <c r="M436" s="10">
        <v>7.1931944444444439E-3</v>
      </c>
      <c r="N436" s="9" t="s">
        <v>65</v>
      </c>
      <c r="O436" s="9" t="s">
        <v>3605</v>
      </c>
      <c r="P436" s="9" t="s">
        <v>119</v>
      </c>
      <c r="Q436" s="10">
        <v>4.9714085648148137E-2</v>
      </c>
      <c r="R436" s="9" t="s">
        <v>56</v>
      </c>
      <c r="S436" s="10">
        <v>0.1930927199074074</v>
      </c>
      <c r="T436" s="9">
        <v>25.995999999999999</v>
      </c>
      <c r="U436" s="9">
        <v>31.53</v>
      </c>
      <c r="V436" s="10">
        <v>3.4351481481481448E-2</v>
      </c>
      <c r="W436" s="10">
        <v>1.5496296296296291E-3</v>
      </c>
      <c r="X436" s="10">
        <v>4.1787037037037036E-3</v>
      </c>
      <c r="Y436" s="9">
        <v>0</v>
      </c>
      <c r="Z436" s="9">
        <v>0</v>
      </c>
      <c r="AA436" s="9">
        <v>0</v>
      </c>
      <c r="AB436" s="9">
        <v>0</v>
      </c>
      <c r="AC436" s="9">
        <v>0</v>
      </c>
      <c r="AD436" s="9">
        <v>11</v>
      </c>
      <c r="AE436" s="9" t="s">
        <v>67</v>
      </c>
      <c r="AF436" s="9" t="s">
        <v>3606</v>
      </c>
      <c r="AG436" s="9" t="s">
        <v>3607</v>
      </c>
      <c r="AH436" s="9">
        <v>6.2592449999999999</v>
      </c>
      <c r="AI436" s="9">
        <v>-75.621055999999996</v>
      </c>
      <c r="AJ436" s="9" t="s">
        <v>3608</v>
      </c>
      <c r="AK436" s="9">
        <v>6.2699030000000002</v>
      </c>
      <c r="AL436" s="9">
        <v>-75.653419</v>
      </c>
      <c r="AM436" s="26">
        <f t="shared" si="7"/>
        <v>4.9714085648148137E-2</v>
      </c>
      <c r="AN436" s="1" t="s">
        <v>3625</v>
      </c>
    </row>
    <row r="437" spans="1:40" ht="15" x14ac:dyDescent="0.25">
      <c r="A437" s="9" t="s">
        <v>3609</v>
      </c>
      <c r="B437" s="9" t="s">
        <v>3610</v>
      </c>
      <c r="C437" s="9" t="s">
        <v>3611</v>
      </c>
      <c r="D437" s="9" t="s">
        <v>3517</v>
      </c>
      <c r="E437" s="9" t="s">
        <v>2619</v>
      </c>
      <c r="F437" s="9" t="s">
        <v>169</v>
      </c>
      <c r="G437" s="9" t="s">
        <v>160</v>
      </c>
      <c r="H437" s="9" t="s">
        <v>161</v>
      </c>
      <c r="I437" s="9" t="s">
        <v>115</v>
      </c>
      <c r="J437" s="9">
        <v>9577</v>
      </c>
      <c r="K437" s="9" t="s">
        <v>3612</v>
      </c>
      <c r="L437" s="9" t="s">
        <v>117</v>
      </c>
      <c r="M437" s="10">
        <v>2.5949074074074079E-2</v>
      </c>
      <c r="N437" s="9" t="s">
        <v>127</v>
      </c>
      <c r="O437" s="9" t="s">
        <v>3613</v>
      </c>
      <c r="P437" s="9" t="s">
        <v>119</v>
      </c>
      <c r="Q437" s="10">
        <v>1.689814814814815E-3</v>
      </c>
      <c r="R437" s="9" t="s">
        <v>46</v>
      </c>
      <c r="S437" s="10">
        <v>0.27763888888888888</v>
      </c>
      <c r="T437" s="9">
        <v>63.25</v>
      </c>
      <c r="U437" s="9">
        <v>13.34</v>
      </c>
      <c r="V437" s="10">
        <v>0.19760256944444449</v>
      </c>
      <c r="W437" s="10">
        <v>0.13977430555555559</v>
      </c>
      <c r="X437" s="10">
        <v>0</v>
      </c>
      <c r="Y437" s="9">
        <v>0</v>
      </c>
      <c r="Z437" s="9">
        <v>0</v>
      </c>
      <c r="AA437" s="9">
        <v>0</v>
      </c>
      <c r="AB437" s="9">
        <v>0</v>
      </c>
      <c r="AC437" s="9">
        <v>0</v>
      </c>
      <c r="AD437" s="9">
        <v>4</v>
      </c>
      <c r="AE437" s="9" t="s">
        <v>139</v>
      </c>
      <c r="AF437" s="9" t="s">
        <v>3614</v>
      </c>
      <c r="AG437" s="9" t="s">
        <v>3615</v>
      </c>
      <c r="AH437" s="9">
        <v>6.2601269999999998</v>
      </c>
      <c r="AI437" s="9">
        <v>-75.597471999999996</v>
      </c>
      <c r="AJ437" s="9" t="s">
        <v>3616</v>
      </c>
      <c r="AK437" s="9">
        <v>6.2736099999999997</v>
      </c>
      <c r="AL437" s="9">
        <v>-75.593002999999996</v>
      </c>
      <c r="AM437" s="27">
        <f t="shared" si="7"/>
        <v>0</v>
      </c>
    </row>
    <row r="438" spans="1:40" ht="15" x14ac:dyDescent="0.25">
      <c r="A438" s="9" t="s">
        <v>3617</v>
      </c>
      <c r="B438" s="9" t="s">
        <v>3618</v>
      </c>
      <c r="C438" s="9" t="s">
        <v>3619</v>
      </c>
      <c r="D438" s="9" t="s">
        <v>3517</v>
      </c>
      <c r="E438" s="9" t="s">
        <v>2619</v>
      </c>
      <c r="F438" s="9" t="s">
        <v>169</v>
      </c>
      <c r="G438" s="9" t="s">
        <v>97</v>
      </c>
      <c r="H438" s="9" t="s">
        <v>98</v>
      </c>
      <c r="I438" s="9" t="s">
        <v>115</v>
      </c>
      <c r="J438" s="9">
        <v>2489</v>
      </c>
      <c r="K438" s="9" t="s">
        <v>3620</v>
      </c>
      <c r="L438" s="9" t="s">
        <v>117</v>
      </c>
      <c r="M438" s="10">
        <v>3.3506944444444443E-2</v>
      </c>
      <c r="N438" s="9" t="s">
        <v>127</v>
      </c>
      <c r="O438" s="9" t="s">
        <v>3621</v>
      </c>
      <c r="P438" s="9" t="s">
        <v>119</v>
      </c>
      <c r="Q438" s="10">
        <v>5.8101851851851856E-3</v>
      </c>
      <c r="R438" s="9" t="s">
        <v>46</v>
      </c>
      <c r="S438" s="10">
        <v>0.28931712962962958</v>
      </c>
      <c r="T438" s="9">
        <v>34.802999999999997</v>
      </c>
      <c r="U438" s="9">
        <v>8.58</v>
      </c>
      <c r="V438" s="10">
        <v>0.16898148148148151</v>
      </c>
      <c r="W438" s="10">
        <v>0.1141550925925926</v>
      </c>
      <c r="X438" s="10">
        <v>0</v>
      </c>
      <c r="Y438" s="9">
        <v>0</v>
      </c>
      <c r="Z438" s="9">
        <v>0</v>
      </c>
      <c r="AA438" s="9">
        <v>0</v>
      </c>
      <c r="AB438" s="9">
        <v>0</v>
      </c>
      <c r="AC438" s="9">
        <v>0</v>
      </c>
      <c r="AD438" s="9">
        <v>1</v>
      </c>
      <c r="AE438" s="9" t="s">
        <v>139</v>
      </c>
      <c r="AF438" s="9" t="s">
        <v>3622</v>
      </c>
      <c r="AG438" s="9" t="s">
        <v>3623</v>
      </c>
      <c r="AH438" s="9">
        <v>6.2256330000000002</v>
      </c>
      <c r="AI438" s="9">
        <v>-75.599463999999998</v>
      </c>
      <c r="AJ438" s="9" t="s">
        <v>3624</v>
      </c>
      <c r="AK438" s="9">
        <v>6.304074</v>
      </c>
      <c r="AL438" s="9">
        <v>-75.582063000000005</v>
      </c>
      <c r="AM438" s="26">
        <f t="shared" si="7"/>
        <v>0</v>
      </c>
    </row>
    <row r="439" spans="1:40" ht="15" x14ac:dyDescent="0.25">
      <c r="A439" s="9" t="s">
        <v>3626</v>
      </c>
      <c r="B439" s="9" t="s">
        <v>3627</v>
      </c>
      <c r="C439" s="9" t="s">
        <v>3628</v>
      </c>
      <c r="D439" s="9" t="s">
        <v>3629</v>
      </c>
      <c r="E439" s="9" t="s">
        <v>2619</v>
      </c>
      <c r="F439" s="9" t="s">
        <v>315</v>
      </c>
      <c r="G439" s="9" t="s">
        <v>38</v>
      </c>
      <c r="H439" s="9" t="s">
        <v>39</v>
      </c>
      <c r="I439" s="9" t="s">
        <v>40</v>
      </c>
      <c r="J439" s="9">
        <v>3254</v>
      </c>
      <c r="K439" s="9" t="s">
        <v>3630</v>
      </c>
      <c r="L439" s="9" t="s">
        <v>42</v>
      </c>
      <c r="M439" s="10">
        <v>2.358796296296296E-2</v>
      </c>
      <c r="N439" s="9" t="s">
        <v>43</v>
      </c>
      <c r="O439" s="9" t="s">
        <v>3631</v>
      </c>
      <c r="P439" s="9" t="s">
        <v>45</v>
      </c>
      <c r="Q439" s="10">
        <v>4.409722222222222E-3</v>
      </c>
      <c r="R439" s="9" t="s">
        <v>46</v>
      </c>
      <c r="S439" s="10">
        <v>0.31415509259259261</v>
      </c>
      <c r="T439" s="9">
        <v>43.69</v>
      </c>
      <c r="U439" s="9">
        <v>11.49</v>
      </c>
      <c r="V439" s="10">
        <v>0.1584837962962963</v>
      </c>
      <c r="W439" s="10">
        <v>9.313657407407408E-2</v>
      </c>
      <c r="X439" s="10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9">
        <v>1</v>
      </c>
      <c r="AE439" s="9" t="s">
        <v>47</v>
      </c>
      <c r="AF439" s="9" t="s">
        <v>3632</v>
      </c>
      <c r="AG439" s="9" t="s">
        <v>3633</v>
      </c>
      <c r="AH439" s="9">
        <v>6.2032530000000001</v>
      </c>
      <c r="AI439" s="9">
        <v>-75.600690999999998</v>
      </c>
      <c r="AJ439" s="9" t="s">
        <v>3634</v>
      </c>
      <c r="AK439" s="9">
        <v>6.2300930000000001</v>
      </c>
      <c r="AL439" s="9">
        <v>-75.599960999999993</v>
      </c>
      <c r="AM439" s="26">
        <f t="shared" si="7"/>
        <v>2.358796296296296E-2</v>
      </c>
    </row>
    <row r="440" spans="1:40" ht="15" x14ac:dyDescent="0.25">
      <c r="A440" s="9" t="s">
        <v>3635</v>
      </c>
      <c r="B440" s="9" t="s">
        <v>3636</v>
      </c>
      <c r="C440" s="9" t="s">
        <v>3637</v>
      </c>
      <c r="D440" s="9" t="s">
        <v>3629</v>
      </c>
      <c r="E440" s="9" t="s">
        <v>2619</v>
      </c>
      <c r="F440" s="9" t="s">
        <v>315</v>
      </c>
      <c r="G440" s="9" t="s">
        <v>52</v>
      </c>
      <c r="H440" s="9" t="s">
        <v>53</v>
      </c>
      <c r="I440" s="9" t="s">
        <v>40</v>
      </c>
      <c r="J440" s="9">
        <v>1989</v>
      </c>
      <c r="K440" s="9" t="s">
        <v>3638</v>
      </c>
      <c r="L440" s="9" t="s">
        <v>42</v>
      </c>
      <c r="M440" s="10">
        <v>1.832175925925926E-2</v>
      </c>
      <c r="N440" s="9" t="s">
        <v>127</v>
      </c>
      <c r="O440" s="9" t="s">
        <v>3639</v>
      </c>
      <c r="P440" s="9" t="s">
        <v>45</v>
      </c>
      <c r="Q440" s="10">
        <v>1.6793981481481479E-2</v>
      </c>
      <c r="R440" s="9" t="s">
        <v>129</v>
      </c>
      <c r="S440" s="10">
        <v>0.36844907407407412</v>
      </c>
      <c r="T440" s="9">
        <v>24.337</v>
      </c>
      <c r="U440" s="9">
        <v>6.7</v>
      </c>
      <c r="V440" s="10">
        <v>0.15137731481481481</v>
      </c>
      <c r="W440" s="10">
        <v>0.1083912037037037</v>
      </c>
      <c r="X440" s="10">
        <v>5.0347222222222234E-3</v>
      </c>
      <c r="Y440" s="9">
        <v>0</v>
      </c>
      <c r="Z440" s="9">
        <v>0</v>
      </c>
      <c r="AA440" s="9">
        <v>0</v>
      </c>
      <c r="AB440" s="9">
        <v>0</v>
      </c>
      <c r="AC440" s="9">
        <v>0</v>
      </c>
      <c r="AD440" s="9">
        <v>0</v>
      </c>
      <c r="AE440" s="9" t="s">
        <v>130</v>
      </c>
      <c r="AF440" s="9" t="s">
        <v>3640</v>
      </c>
      <c r="AG440" s="9" t="s">
        <v>3641</v>
      </c>
      <c r="AH440" s="9">
        <v>6.2253959999999999</v>
      </c>
      <c r="AI440" s="9">
        <v>-75.599064999999996</v>
      </c>
      <c r="AJ440" s="9" t="s">
        <v>3642</v>
      </c>
      <c r="AK440" s="9">
        <v>6.2475329999999998</v>
      </c>
      <c r="AL440" s="9">
        <v>-75.614945000000006</v>
      </c>
      <c r="AM440" s="26">
        <f t="shared" si="7"/>
        <v>0</v>
      </c>
    </row>
    <row r="441" spans="1:40" ht="15" x14ac:dyDescent="0.25">
      <c r="A441" s="9" t="s">
        <v>3643</v>
      </c>
      <c r="B441" s="9" t="s">
        <v>3644</v>
      </c>
      <c r="C441" s="9" t="s">
        <v>3645</v>
      </c>
      <c r="D441" s="9" t="s">
        <v>3629</v>
      </c>
      <c r="E441" s="9" t="s">
        <v>2619</v>
      </c>
      <c r="F441" s="9" t="s">
        <v>315</v>
      </c>
      <c r="G441" s="9" t="s">
        <v>62</v>
      </c>
      <c r="H441" s="9" t="s">
        <v>63</v>
      </c>
      <c r="I441" s="9" t="s">
        <v>40</v>
      </c>
      <c r="J441" s="9">
        <v>2866</v>
      </c>
      <c r="K441" s="9" t="s">
        <v>3646</v>
      </c>
      <c r="L441" s="9" t="s">
        <v>42</v>
      </c>
      <c r="M441" s="10">
        <v>6.030092592592593E-3</v>
      </c>
      <c r="N441" s="9" t="s">
        <v>65</v>
      </c>
      <c r="O441" s="9" t="s">
        <v>3647</v>
      </c>
      <c r="P441" s="9" t="s">
        <v>45</v>
      </c>
      <c r="Q441" s="10">
        <v>9.6134259259259253E-2</v>
      </c>
      <c r="R441" s="9" t="s">
        <v>56</v>
      </c>
      <c r="S441" s="10">
        <v>0.24322916666666669</v>
      </c>
      <c r="T441" s="9">
        <v>36.524000000000001</v>
      </c>
      <c r="U441" s="9">
        <v>9.73</v>
      </c>
      <c r="V441" s="10">
        <v>0.15640046296296289</v>
      </c>
      <c r="W441" s="10">
        <v>8.2372685185185188E-2</v>
      </c>
      <c r="X441" s="10">
        <v>0</v>
      </c>
      <c r="Y441" s="9">
        <v>0</v>
      </c>
      <c r="Z441" s="9">
        <v>0</v>
      </c>
      <c r="AA441" s="9">
        <v>0</v>
      </c>
      <c r="AB441" s="9">
        <v>0</v>
      </c>
      <c r="AC441" s="9">
        <v>0</v>
      </c>
      <c r="AD441" s="9">
        <v>1</v>
      </c>
      <c r="AE441" s="9" t="s">
        <v>67</v>
      </c>
      <c r="AF441" s="9" t="s">
        <v>3648</v>
      </c>
      <c r="AG441" s="9" t="s">
        <v>3649</v>
      </c>
      <c r="AH441" s="9">
        <v>6.2258699999999996</v>
      </c>
      <c r="AI441" s="9">
        <v>-75.599429999999998</v>
      </c>
      <c r="AJ441" s="9" t="s">
        <v>3650</v>
      </c>
      <c r="AK441" s="9">
        <v>6.3046309999999997</v>
      </c>
      <c r="AL441" s="9">
        <v>-75.577946999999995</v>
      </c>
      <c r="AM441" s="27">
        <f t="shared" si="7"/>
        <v>9.6134259259259253E-2</v>
      </c>
    </row>
    <row r="442" spans="1:40" ht="15" x14ac:dyDescent="0.25">
      <c r="A442" s="9" t="s">
        <v>3651</v>
      </c>
      <c r="B442" s="9" t="s">
        <v>3652</v>
      </c>
      <c r="C442" s="9" t="s">
        <v>3653</v>
      </c>
      <c r="D442" s="9" t="s">
        <v>3629</v>
      </c>
      <c r="E442" s="9" t="s">
        <v>2619</v>
      </c>
      <c r="F442" s="9" t="s">
        <v>315</v>
      </c>
      <c r="G442" s="9" t="s">
        <v>135</v>
      </c>
      <c r="H442" s="9" t="s">
        <v>136</v>
      </c>
      <c r="I442" s="9" t="s">
        <v>40</v>
      </c>
      <c r="J442" s="9">
        <v>2470</v>
      </c>
      <c r="K442" s="9" t="s">
        <v>3654</v>
      </c>
      <c r="L442" s="9" t="s">
        <v>42</v>
      </c>
      <c r="M442" s="10">
        <v>1.1226851851851849E-3</v>
      </c>
      <c r="N442" s="9" t="s">
        <v>65</v>
      </c>
      <c r="O442" s="9" t="s">
        <v>3655</v>
      </c>
      <c r="P442" s="9" t="s">
        <v>45</v>
      </c>
      <c r="Q442" s="10">
        <v>2.1990740740740742E-3</v>
      </c>
      <c r="R442" s="9" t="s">
        <v>46</v>
      </c>
      <c r="S442" s="10">
        <v>0.33665509259259258</v>
      </c>
      <c r="T442" s="9">
        <v>41.499000000000002</v>
      </c>
      <c r="U442" s="9">
        <v>12.76</v>
      </c>
      <c r="V442" s="10">
        <v>0.13548611111111111</v>
      </c>
      <c r="W442" s="10">
        <v>7.2210648148148149E-2</v>
      </c>
      <c r="X442" s="10">
        <v>0</v>
      </c>
      <c r="Y442" s="9">
        <v>0</v>
      </c>
      <c r="Z442" s="9">
        <v>0</v>
      </c>
      <c r="AA442" s="9">
        <v>0</v>
      </c>
      <c r="AB442" s="9">
        <v>0</v>
      </c>
      <c r="AC442" s="9">
        <v>0</v>
      </c>
      <c r="AD442" s="9">
        <v>7</v>
      </c>
      <c r="AE442" s="9" t="s">
        <v>84</v>
      </c>
      <c r="AF442" s="9" t="s">
        <v>2832</v>
      </c>
      <c r="AG442" s="9" t="s">
        <v>3656</v>
      </c>
      <c r="AH442" s="9">
        <v>6.2447650000000001</v>
      </c>
      <c r="AI442" s="9">
        <v>-75.570937999999998</v>
      </c>
      <c r="AJ442" s="9" t="s">
        <v>3657</v>
      </c>
      <c r="AK442" s="9">
        <v>6.2430890000000003</v>
      </c>
      <c r="AL442" s="9">
        <v>-75.548852999999994</v>
      </c>
      <c r="AM442" s="26">
        <f t="shared" si="7"/>
        <v>0</v>
      </c>
    </row>
    <row r="443" spans="1:40" ht="15" x14ac:dyDescent="0.25">
      <c r="A443" s="9" t="s">
        <v>3658</v>
      </c>
      <c r="B443" s="9" t="s">
        <v>3659</v>
      </c>
      <c r="C443" s="9" t="s">
        <v>3660</v>
      </c>
      <c r="D443" s="9" t="s">
        <v>3629</v>
      </c>
      <c r="E443" s="9" t="s">
        <v>2619</v>
      </c>
      <c r="F443" s="9" t="s">
        <v>315</v>
      </c>
      <c r="G443" s="9" t="s">
        <v>144</v>
      </c>
      <c r="H443" s="9" t="s">
        <v>145</v>
      </c>
      <c r="I443" s="9" t="s">
        <v>40</v>
      </c>
      <c r="J443" s="9">
        <v>7427</v>
      </c>
      <c r="K443" s="9" t="s">
        <v>3661</v>
      </c>
      <c r="L443" s="9" t="s">
        <v>42</v>
      </c>
      <c r="M443" s="10">
        <v>1.5810185185185181E-2</v>
      </c>
      <c r="N443" s="9" t="s">
        <v>127</v>
      </c>
      <c r="O443" s="9" t="s">
        <v>3662</v>
      </c>
      <c r="P443" s="9" t="s">
        <v>45</v>
      </c>
      <c r="Q443" s="10">
        <v>1.172453703703704E-2</v>
      </c>
      <c r="R443" s="9" t="s">
        <v>56</v>
      </c>
      <c r="S443" s="10">
        <v>0.33741898148148147</v>
      </c>
      <c r="T443" s="9">
        <v>98.212999999999994</v>
      </c>
      <c r="U443" s="9">
        <v>15.72</v>
      </c>
      <c r="V443" s="10">
        <v>0.2603935185185185</v>
      </c>
      <c r="W443" s="10">
        <v>7.5127314814814813E-2</v>
      </c>
      <c r="X443" s="10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 s="9">
        <v>0</v>
      </c>
      <c r="AE443" s="9" t="s">
        <v>139</v>
      </c>
      <c r="AF443" s="9" t="s">
        <v>3663</v>
      </c>
      <c r="AG443" s="9" t="s">
        <v>3664</v>
      </c>
      <c r="AH443" s="9">
        <v>6.2728659999999996</v>
      </c>
      <c r="AI443" s="9">
        <v>-75.574477999999999</v>
      </c>
      <c r="AJ443" s="9" t="s">
        <v>3665</v>
      </c>
      <c r="AK443" s="9">
        <v>6.2728700000000002</v>
      </c>
      <c r="AL443" s="9">
        <v>-75.574524999999994</v>
      </c>
      <c r="AM443" s="26">
        <f t="shared" si="7"/>
        <v>1.172453703703704E-2</v>
      </c>
    </row>
    <row r="444" spans="1:40" ht="15" x14ac:dyDescent="0.25">
      <c r="A444" s="9" t="s">
        <v>3666</v>
      </c>
      <c r="B444" s="9" t="s">
        <v>3667</v>
      </c>
      <c r="C444" s="9" t="s">
        <v>3668</v>
      </c>
      <c r="D444" s="9" t="s">
        <v>3629</v>
      </c>
      <c r="E444" s="9" t="s">
        <v>2619</v>
      </c>
      <c r="F444" s="9" t="s">
        <v>315</v>
      </c>
      <c r="G444" s="9" t="s">
        <v>152</v>
      </c>
      <c r="H444" s="9" t="s">
        <v>153</v>
      </c>
      <c r="I444" s="9" t="s">
        <v>40</v>
      </c>
      <c r="J444" s="9">
        <v>2361</v>
      </c>
      <c r="K444" s="9" t="s">
        <v>3669</v>
      </c>
      <c r="L444" s="9" t="s">
        <v>42</v>
      </c>
      <c r="M444" s="10">
        <v>9.9537037037037042E-4</v>
      </c>
      <c r="N444" s="9" t="s">
        <v>65</v>
      </c>
      <c r="O444" s="9" t="s">
        <v>3670</v>
      </c>
      <c r="P444" s="9" t="s">
        <v>45</v>
      </c>
      <c r="Q444" s="10">
        <v>0.16025462962962961</v>
      </c>
      <c r="R444" s="9" t="s">
        <v>56</v>
      </c>
      <c r="S444" s="10">
        <v>0.17208333333333331</v>
      </c>
      <c r="T444" s="9">
        <v>30.536000000000001</v>
      </c>
      <c r="U444" s="9">
        <v>9.1</v>
      </c>
      <c r="V444" s="10">
        <v>0.1398726851851852</v>
      </c>
      <c r="W444" s="10">
        <v>7.9618055555555553E-2</v>
      </c>
      <c r="X444" s="10">
        <v>0</v>
      </c>
      <c r="Y444" s="9">
        <v>0</v>
      </c>
      <c r="Z444" s="9">
        <v>0</v>
      </c>
      <c r="AA444" s="9">
        <v>0</v>
      </c>
      <c r="AB444" s="9">
        <v>0</v>
      </c>
      <c r="AC444" s="9">
        <v>0</v>
      </c>
      <c r="AD444" s="9">
        <v>1</v>
      </c>
      <c r="AE444" s="9" t="s">
        <v>67</v>
      </c>
      <c r="AF444" s="9" t="s">
        <v>3671</v>
      </c>
      <c r="AG444" s="9" t="s">
        <v>3672</v>
      </c>
      <c r="AH444" s="9">
        <v>6.2255229999999999</v>
      </c>
      <c r="AI444" s="9">
        <v>-75.598996999999997</v>
      </c>
      <c r="AJ444" s="9" t="s">
        <v>3673</v>
      </c>
      <c r="AK444" s="9">
        <v>6.2518479999999998</v>
      </c>
      <c r="AL444" s="9">
        <v>-75.551895000000002</v>
      </c>
      <c r="AM444" s="26">
        <f t="shared" si="7"/>
        <v>0.16025462962962961</v>
      </c>
    </row>
    <row r="445" spans="1:40" ht="15" x14ac:dyDescent="0.25">
      <c r="A445" s="9" t="s">
        <v>3674</v>
      </c>
      <c r="B445" s="9" t="s">
        <v>3675</v>
      </c>
      <c r="C445" s="9" t="s">
        <v>3676</v>
      </c>
      <c r="D445" s="9" t="s">
        <v>3629</v>
      </c>
      <c r="E445" s="9" t="s">
        <v>2619</v>
      </c>
      <c r="F445" s="9" t="s">
        <v>315</v>
      </c>
      <c r="G445" s="9" t="s">
        <v>89</v>
      </c>
      <c r="H445" s="9" t="s">
        <v>90</v>
      </c>
      <c r="I445" s="9" t="s">
        <v>40</v>
      </c>
      <c r="J445" s="9">
        <v>2655</v>
      </c>
      <c r="K445" s="9" t="s">
        <v>3677</v>
      </c>
      <c r="L445" s="9" t="s">
        <v>42</v>
      </c>
      <c r="M445" s="10">
        <v>0.15334490740740739</v>
      </c>
      <c r="N445" s="9" t="s">
        <v>43</v>
      </c>
      <c r="O445" s="9" t="s">
        <v>3678</v>
      </c>
      <c r="P445" s="9" t="s">
        <v>45</v>
      </c>
      <c r="Q445" s="10">
        <v>4.3055555555555564E-3</v>
      </c>
      <c r="R445" s="9" t="s">
        <v>46</v>
      </c>
      <c r="S445" s="10">
        <v>0.17568287037037039</v>
      </c>
      <c r="T445" s="9">
        <v>34.792000000000002</v>
      </c>
      <c r="U445" s="9">
        <v>12.26</v>
      </c>
      <c r="V445" s="10">
        <v>0.1182638888888889</v>
      </c>
      <c r="W445" s="10">
        <v>4.4780092592592587E-2</v>
      </c>
      <c r="X445" s="10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0</v>
      </c>
      <c r="AD445" s="9">
        <v>0</v>
      </c>
      <c r="AE445" s="9" t="s">
        <v>47</v>
      </c>
      <c r="AF445" s="9" t="s">
        <v>3679</v>
      </c>
      <c r="AG445" s="9" t="s">
        <v>3680</v>
      </c>
      <c r="AH445" s="9">
        <v>6.2575839999999996</v>
      </c>
      <c r="AI445" s="9">
        <v>-75.561882999999995</v>
      </c>
      <c r="AJ445" s="9" t="s">
        <v>3681</v>
      </c>
      <c r="AK445" s="9">
        <v>6.2783480000000003</v>
      </c>
      <c r="AL445" s="9">
        <v>-75.569460000000007</v>
      </c>
      <c r="AM445" s="27">
        <f t="shared" si="7"/>
        <v>0.15334490740740739</v>
      </c>
    </row>
    <row r="446" spans="1:40" ht="15" x14ac:dyDescent="0.25">
      <c r="A446" s="9" t="s">
        <v>3682</v>
      </c>
      <c r="B446" s="9" t="s">
        <v>3683</v>
      </c>
      <c r="C446" s="9" t="s">
        <v>3684</v>
      </c>
      <c r="D446" s="9" t="s">
        <v>3629</v>
      </c>
      <c r="E446" s="9" t="s">
        <v>2619</v>
      </c>
      <c r="F446" s="9" t="s">
        <v>315</v>
      </c>
      <c r="G446" s="9" t="s">
        <v>105</v>
      </c>
      <c r="H446" s="9" t="s">
        <v>106</v>
      </c>
      <c r="I446" s="9" t="s">
        <v>40</v>
      </c>
      <c r="J446" s="9">
        <v>2645</v>
      </c>
      <c r="K446" s="9" t="s">
        <v>3685</v>
      </c>
      <c r="L446" s="9" t="s">
        <v>42</v>
      </c>
      <c r="M446" s="10">
        <v>1.7326388888888891E-2</v>
      </c>
      <c r="N446" s="9" t="s">
        <v>43</v>
      </c>
      <c r="O446" s="9" t="s">
        <v>3686</v>
      </c>
      <c r="P446" s="9" t="s">
        <v>45</v>
      </c>
      <c r="Q446" s="10">
        <v>3.5763888888888889E-3</v>
      </c>
      <c r="R446" s="9" t="s">
        <v>46</v>
      </c>
      <c r="S446" s="10">
        <v>0.31958333333333327</v>
      </c>
      <c r="T446" s="9">
        <v>33.097000000000001</v>
      </c>
      <c r="U446" s="9">
        <v>5.53</v>
      </c>
      <c r="V446" s="10">
        <v>0.24956018518518519</v>
      </c>
      <c r="W446" s="10">
        <v>0.17658564814814809</v>
      </c>
      <c r="X446" s="10">
        <v>5.5833333333333332E-2</v>
      </c>
      <c r="Y446" s="9">
        <v>1</v>
      </c>
      <c r="Z446" s="9">
        <v>1</v>
      </c>
      <c r="AA446" s="9">
        <v>1</v>
      </c>
      <c r="AB446" s="9">
        <v>1</v>
      </c>
      <c r="AC446" s="9">
        <v>1</v>
      </c>
      <c r="AD446" s="9">
        <v>1</v>
      </c>
      <c r="AE446" s="9" t="s">
        <v>47</v>
      </c>
      <c r="AF446" s="9" t="s">
        <v>3687</v>
      </c>
      <c r="AG446" s="9" t="s">
        <v>3688</v>
      </c>
      <c r="AH446" s="9">
        <v>6.2255500000000001</v>
      </c>
      <c r="AI446" s="9">
        <v>-75.599144999999993</v>
      </c>
      <c r="AJ446" s="9" t="s">
        <v>3689</v>
      </c>
      <c r="AK446" s="9">
        <v>6.2586539999999999</v>
      </c>
      <c r="AL446" s="9">
        <v>-75.616274000000004</v>
      </c>
      <c r="AM446" s="26">
        <f t="shared" si="7"/>
        <v>1.7326388888888891E-2</v>
      </c>
    </row>
    <row r="447" spans="1:40" ht="15" x14ac:dyDescent="0.25">
      <c r="A447" s="9" t="s">
        <v>3690</v>
      </c>
      <c r="B447" s="9" t="s">
        <v>3691</v>
      </c>
      <c r="C447" s="9" t="s">
        <v>3692</v>
      </c>
      <c r="D447" s="9" t="s">
        <v>3629</v>
      </c>
      <c r="E447" s="9" t="s">
        <v>2619</v>
      </c>
      <c r="F447" s="9" t="s">
        <v>315</v>
      </c>
      <c r="G447" s="9" t="s">
        <v>113</v>
      </c>
      <c r="H447" s="9" t="s">
        <v>114</v>
      </c>
      <c r="I447" s="9" t="s">
        <v>40</v>
      </c>
      <c r="J447" s="9">
        <v>2087</v>
      </c>
      <c r="K447" s="9" t="s">
        <v>3693</v>
      </c>
      <c r="L447" s="9" t="s">
        <v>42</v>
      </c>
      <c r="M447" s="10">
        <v>4.8032407407407407E-3</v>
      </c>
      <c r="N447" s="9" t="s">
        <v>65</v>
      </c>
      <c r="O447" s="9" t="s">
        <v>3694</v>
      </c>
      <c r="P447" s="9" t="s">
        <v>45</v>
      </c>
      <c r="Q447" s="10">
        <v>5.9375000000000001E-3</v>
      </c>
      <c r="R447" s="9" t="s">
        <v>46</v>
      </c>
      <c r="S447" s="10">
        <v>0.33219907407407412</v>
      </c>
      <c r="T447" s="9">
        <v>27.123000000000001</v>
      </c>
      <c r="U447" s="9">
        <v>4.01</v>
      </c>
      <c r="V447" s="10">
        <v>0.2817824074074074</v>
      </c>
      <c r="W447" s="10">
        <v>0.22500000000000001</v>
      </c>
      <c r="X447" s="10">
        <v>0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 s="9">
        <v>4</v>
      </c>
      <c r="AE447" s="9" t="s">
        <v>84</v>
      </c>
      <c r="AF447" s="9" t="s">
        <v>1602</v>
      </c>
      <c r="AG447" s="9" t="s">
        <v>3695</v>
      </c>
      <c r="AH447" s="9">
        <v>6.2337309999999997</v>
      </c>
      <c r="AI447" s="9">
        <v>-75.602238</v>
      </c>
      <c r="AJ447" s="9" t="s">
        <v>3696</v>
      </c>
      <c r="AK447" s="9">
        <v>6.2474550000000004</v>
      </c>
      <c r="AL447" s="9">
        <v>-75.578222999999994</v>
      </c>
      <c r="AM447" s="26">
        <f t="shared" si="7"/>
        <v>0</v>
      </c>
    </row>
    <row r="448" spans="1:40" ht="15" x14ac:dyDescent="0.25">
      <c r="A448" s="9" t="s">
        <v>3697</v>
      </c>
      <c r="B448" s="9" t="s">
        <v>3698</v>
      </c>
      <c r="C448" s="9" t="s">
        <v>3699</v>
      </c>
      <c r="D448" s="9" t="s">
        <v>3629</v>
      </c>
      <c r="E448" s="9" t="s">
        <v>2619</v>
      </c>
      <c r="F448" s="9" t="s">
        <v>315</v>
      </c>
      <c r="G448" s="9" t="s">
        <v>124</v>
      </c>
      <c r="H448" s="9" t="s">
        <v>125</v>
      </c>
      <c r="I448" s="9" t="s">
        <v>115</v>
      </c>
      <c r="J448" s="9">
        <v>4583</v>
      </c>
      <c r="K448" s="9" t="s">
        <v>3700</v>
      </c>
      <c r="L448" s="9" t="s">
        <v>117</v>
      </c>
      <c r="M448" s="10">
        <v>3.5856481481481482E-2</v>
      </c>
      <c r="N448" s="9" t="s">
        <v>127</v>
      </c>
      <c r="O448" s="9" t="s">
        <v>3701</v>
      </c>
      <c r="P448" s="9" t="s">
        <v>119</v>
      </c>
      <c r="Q448" s="10">
        <v>6.8055555555555551E-3</v>
      </c>
      <c r="R448" s="9" t="s">
        <v>46</v>
      </c>
      <c r="S448" s="10">
        <v>0.29266203703703703</v>
      </c>
      <c r="T448" s="9">
        <v>57.735999999999997</v>
      </c>
      <c r="U448" s="9">
        <v>11.68</v>
      </c>
      <c r="V448" s="10">
        <v>0.20599537037037041</v>
      </c>
      <c r="W448" s="10">
        <v>7.8113425925925919E-2</v>
      </c>
      <c r="X448" s="10">
        <v>8.9004629629629625E-3</v>
      </c>
      <c r="Y448" s="9">
        <v>1</v>
      </c>
      <c r="Z448" s="9">
        <v>0</v>
      </c>
      <c r="AA448" s="9">
        <v>0</v>
      </c>
      <c r="AB448" s="9">
        <v>0</v>
      </c>
      <c r="AC448" s="9">
        <v>0</v>
      </c>
      <c r="AD448" s="9">
        <v>0</v>
      </c>
      <c r="AE448" s="9" t="s">
        <v>139</v>
      </c>
      <c r="AF448" s="9" t="s">
        <v>3702</v>
      </c>
      <c r="AG448" s="9" t="s">
        <v>3703</v>
      </c>
      <c r="AH448" s="9">
        <v>6.2310679999999996</v>
      </c>
      <c r="AI448" s="9">
        <v>-75.601834999999994</v>
      </c>
      <c r="AJ448" s="9" t="s">
        <v>3704</v>
      </c>
      <c r="AK448" s="9">
        <v>6.2725330000000001</v>
      </c>
      <c r="AL448" s="9">
        <v>-75.601930999999993</v>
      </c>
      <c r="AM448" s="26">
        <f t="shared" si="7"/>
        <v>0</v>
      </c>
    </row>
    <row r="449" spans="1:39" ht="15" x14ac:dyDescent="0.25">
      <c r="A449" s="9" t="s">
        <v>3705</v>
      </c>
      <c r="B449" s="9" t="s">
        <v>3706</v>
      </c>
      <c r="C449" s="9" t="s">
        <v>3707</v>
      </c>
      <c r="D449" s="9" t="s">
        <v>3629</v>
      </c>
      <c r="E449" s="9" t="s">
        <v>2619</v>
      </c>
      <c r="F449" s="9" t="s">
        <v>315</v>
      </c>
      <c r="G449" s="9" t="s">
        <v>72</v>
      </c>
      <c r="H449" s="9" t="s">
        <v>73</v>
      </c>
      <c r="I449" s="9" t="s">
        <v>115</v>
      </c>
      <c r="J449" s="9">
        <v>2268</v>
      </c>
      <c r="K449" s="9" t="s">
        <v>3708</v>
      </c>
      <c r="L449" s="9" t="s">
        <v>117</v>
      </c>
      <c r="M449" s="10">
        <v>5.7418981481481481E-2</v>
      </c>
      <c r="N449" s="9" t="s">
        <v>127</v>
      </c>
      <c r="O449" s="9" t="s">
        <v>3709</v>
      </c>
      <c r="P449" s="9" t="s">
        <v>119</v>
      </c>
      <c r="Q449" s="10">
        <v>0.12162037037037041</v>
      </c>
      <c r="R449" s="9" t="s">
        <v>56</v>
      </c>
      <c r="S449" s="10">
        <v>0.18579861111111109</v>
      </c>
      <c r="T449" s="9">
        <v>31.108000000000001</v>
      </c>
      <c r="U449" s="9">
        <v>9.2899999999999991</v>
      </c>
      <c r="V449" s="10">
        <v>0.13958333333333331</v>
      </c>
      <c r="W449" s="10">
        <v>9.7025462962962966E-2</v>
      </c>
      <c r="X449" s="10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0</v>
      </c>
      <c r="AD449" s="9">
        <v>0</v>
      </c>
      <c r="AE449" s="9" t="s">
        <v>139</v>
      </c>
      <c r="AF449" s="9" t="s">
        <v>3710</v>
      </c>
      <c r="AG449" s="9" t="s">
        <v>3711</v>
      </c>
      <c r="AH449" s="9">
        <v>6.2258310000000003</v>
      </c>
      <c r="AI449" s="9">
        <v>-75.599080000000001</v>
      </c>
      <c r="AJ449" s="9" t="s">
        <v>3712</v>
      </c>
      <c r="AK449" s="9">
        <v>6.2369149999999998</v>
      </c>
      <c r="AL449" s="9">
        <v>-75.558753999999993</v>
      </c>
      <c r="AM449" s="27">
        <f t="shared" si="7"/>
        <v>0.12162037037037041</v>
      </c>
    </row>
    <row r="450" spans="1:39" ht="15" x14ac:dyDescent="0.25">
      <c r="A450" s="9" t="s">
        <v>3715</v>
      </c>
      <c r="B450" s="9" t="s">
        <v>3716</v>
      </c>
      <c r="C450" s="9" t="s">
        <v>3717</v>
      </c>
      <c r="D450" s="9" t="s">
        <v>3629</v>
      </c>
      <c r="E450" s="9" t="s">
        <v>2619</v>
      </c>
      <c r="F450" s="9" t="s">
        <v>315</v>
      </c>
      <c r="G450" s="9" t="s">
        <v>160</v>
      </c>
      <c r="H450" s="9" t="s">
        <v>161</v>
      </c>
      <c r="I450" s="9" t="s">
        <v>115</v>
      </c>
      <c r="J450" s="9">
        <v>10573</v>
      </c>
      <c r="K450" s="9" t="s">
        <v>3718</v>
      </c>
      <c r="L450" s="9" t="s">
        <v>117</v>
      </c>
      <c r="M450" s="10">
        <v>3.6288692129629631E-2</v>
      </c>
      <c r="N450" s="9" t="s">
        <v>127</v>
      </c>
      <c r="O450" s="9" t="s">
        <v>3719</v>
      </c>
      <c r="P450" s="9" t="s">
        <v>119</v>
      </c>
      <c r="Q450" s="10">
        <v>2.6696643518518519E-3</v>
      </c>
      <c r="R450" s="9" t="s">
        <v>46</v>
      </c>
      <c r="S450" s="10">
        <v>0.28895835648148149</v>
      </c>
      <c r="T450" s="9">
        <v>53.040999999999997</v>
      </c>
      <c r="U450" s="9">
        <v>12.73</v>
      </c>
      <c r="V450" s="10">
        <v>0.1736332986111111</v>
      </c>
      <c r="W450" s="10">
        <v>0.12728898148148149</v>
      </c>
      <c r="X450" s="10">
        <v>4.0856597222222223E-3</v>
      </c>
      <c r="Y450" s="9">
        <v>0</v>
      </c>
      <c r="Z450" s="9">
        <v>0</v>
      </c>
      <c r="AA450" s="9">
        <v>0</v>
      </c>
      <c r="AB450" s="9">
        <v>0</v>
      </c>
      <c r="AC450" s="9">
        <v>0</v>
      </c>
      <c r="AD450" s="9">
        <v>2</v>
      </c>
      <c r="AE450" s="9" t="s">
        <v>139</v>
      </c>
      <c r="AF450" s="9" t="s">
        <v>3720</v>
      </c>
      <c r="AG450" s="9" t="s">
        <v>3721</v>
      </c>
      <c r="AH450" s="9">
        <v>6.2266570000000003</v>
      </c>
      <c r="AI450" s="9">
        <v>-75.599265000000003</v>
      </c>
      <c r="AJ450" s="9" t="s">
        <v>3722</v>
      </c>
      <c r="AK450" s="9">
        <v>6.2684519999999999</v>
      </c>
      <c r="AL450" s="9">
        <v>-75.599154999999996</v>
      </c>
      <c r="AM450" s="26">
        <f t="shared" si="7"/>
        <v>0</v>
      </c>
    </row>
    <row r="451" spans="1:39" ht="15" x14ac:dyDescent="0.25">
      <c r="A451" s="9" t="s">
        <v>3723</v>
      </c>
      <c r="B451" s="9" t="s">
        <v>3724</v>
      </c>
      <c r="C451" s="9" t="s">
        <v>3725</v>
      </c>
      <c r="D451" s="9" t="s">
        <v>3629</v>
      </c>
      <c r="E451" s="9" t="s">
        <v>2619</v>
      </c>
      <c r="F451" s="9" t="s">
        <v>315</v>
      </c>
      <c r="G451" s="9" t="s">
        <v>97</v>
      </c>
      <c r="H451" s="9" t="s">
        <v>98</v>
      </c>
      <c r="I451" s="9" t="s">
        <v>115</v>
      </c>
      <c r="J451" s="9">
        <v>1713</v>
      </c>
      <c r="K451" s="9" t="s">
        <v>3726</v>
      </c>
      <c r="L451" s="9" t="s">
        <v>117</v>
      </c>
      <c r="M451" s="10">
        <v>1.8101851851851852E-2</v>
      </c>
      <c r="N451" s="9" t="s">
        <v>43</v>
      </c>
      <c r="O451" s="9" t="s">
        <v>3727</v>
      </c>
      <c r="P451" s="9" t="s">
        <v>119</v>
      </c>
      <c r="Q451" s="10">
        <v>8.9236111111111113E-3</v>
      </c>
      <c r="R451" s="9" t="s">
        <v>46</v>
      </c>
      <c r="S451" s="10">
        <v>0.22297453703703701</v>
      </c>
      <c r="T451" s="9">
        <v>25.247</v>
      </c>
      <c r="U451" s="9">
        <v>7.48</v>
      </c>
      <c r="V451" s="10">
        <v>0.14072916666666671</v>
      </c>
      <c r="W451" s="10">
        <v>9.9722222222222226E-2</v>
      </c>
      <c r="X451" s="10">
        <v>0</v>
      </c>
      <c r="Y451" s="9">
        <v>0</v>
      </c>
      <c r="Z451" s="9">
        <v>0</v>
      </c>
      <c r="AA451" s="9">
        <v>0</v>
      </c>
      <c r="AB451" s="9">
        <v>0</v>
      </c>
      <c r="AC451" s="9">
        <v>0</v>
      </c>
      <c r="AD451" s="9">
        <v>0</v>
      </c>
      <c r="AE451" s="9" t="s">
        <v>47</v>
      </c>
      <c r="AF451" s="9" t="s">
        <v>3728</v>
      </c>
      <c r="AG451" s="9" t="s">
        <v>3729</v>
      </c>
      <c r="AH451" s="9">
        <v>6.2227800000000002</v>
      </c>
      <c r="AI451" s="9">
        <v>-75.598579999999998</v>
      </c>
      <c r="AJ451" s="9" t="s">
        <v>3730</v>
      </c>
      <c r="AK451" s="9">
        <v>6.3050860000000002</v>
      </c>
      <c r="AL451" s="9">
        <v>-75.581832000000006</v>
      </c>
      <c r="AM451" s="26">
        <f t="shared" si="7"/>
        <v>1.8101851851851852E-2</v>
      </c>
    </row>
    <row r="452" spans="1:39" ht="15" x14ac:dyDescent="0.25">
      <c r="A452" s="9" t="s">
        <v>3731</v>
      </c>
      <c r="B452" s="9" t="s">
        <v>3732</v>
      </c>
      <c r="C452" s="9" t="s">
        <v>3733</v>
      </c>
      <c r="D452" s="9" t="s">
        <v>3629</v>
      </c>
      <c r="E452" s="9" t="s">
        <v>2619</v>
      </c>
      <c r="F452" s="9" t="s">
        <v>315</v>
      </c>
      <c r="G452" s="9" t="s">
        <v>80</v>
      </c>
      <c r="H452" s="9" t="s">
        <v>81</v>
      </c>
      <c r="I452" s="9" t="s">
        <v>115</v>
      </c>
      <c r="J452" s="9">
        <v>6057</v>
      </c>
      <c r="K452" s="9" t="s">
        <v>3734</v>
      </c>
      <c r="L452" s="9" t="s">
        <v>117</v>
      </c>
      <c r="M452" s="10">
        <v>4.1765972222222222E-3</v>
      </c>
      <c r="N452" s="9" t="s">
        <v>65</v>
      </c>
      <c r="O452" s="9" t="s">
        <v>3713</v>
      </c>
      <c r="P452" s="9" t="s">
        <v>119</v>
      </c>
      <c r="Q452" s="10">
        <v>4.9383217592592586E-3</v>
      </c>
      <c r="R452" s="9" t="s">
        <v>46</v>
      </c>
      <c r="S452" s="10">
        <v>0.24088508101851849</v>
      </c>
      <c r="T452" s="9">
        <v>44.335000000000001</v>
      </c>
      <c r="U452" s="9">
        <v>19.84</v>
      </c>
      <c r="V452" s="10">
        <v>9.3103379629629904E-2</v>
      </c>
      <c r="W452" s="10">
        <v>3.9449340277777772E-2</v>
      </c>
      <c r="X452" s="10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9">
        <v>11</v>
      </c>
      <c r="AE452" s="9" t="s">
        <v>84</v>
      </c>
      <c r="AF452" s="9" t="s">
        <v>190</v>
      </c>
      <c r="AG452" s="9" t="s">
        <v>3735</v>
      </c>
      <c r="AH452" s="9">
        <v>6.2382499999999999</v>
      </c>
      <c r="AI452" s="9">
        <v>-75.602973000000006</v>
      </c>
      <c r="AJ452" s="9" t="s">
        <v>3714</v>
      </c>
      <c r="AK452" s="9">
        <v>6.2592230000000004</v>
      </c>
      <c r="AL452" s="9">
        <v>-75.620935000000003</v>
      </c>
      <c r="AM452" s="26">
        <f t="shared" si="7"/>
        <v>0</v>
      </c>
    </row>
    <row r="453" spans="1:39" ht="15" x14ac:dyDescent="0.25">
      <c r="A453" s="9" t="s">
        <v>3736</v>
      </c>
      <c r="B453" s="9" t="s">
        <v>3737</v>
      </c>
      <c r="C453" s="9" t="s">
        <v>3738</v>
      </c>
      <c r="D453" s="9" t="s">
        <v>3739</v>
      </c>
      <c r="E453" s="9" t="s">
        <v>2619</v>
      </c>
      <c r="F453" s="9" t="s">
        <v>406</v>
      </c>
      <c r="G453" s="9" t="s">
        <v>52</v>
      </c>
      <c r="H453" s="9" t="s">
        <v>53</v>
      </c>
      <c r="I453" s="9" t="s">
        <v>40</v>
      </c>
      <c r="J453" s="9">
        <v>2879</v>
      </c>
      <c r="K453" s="9" t="s">
        <v>3740</v>
      </c>
      <c r="L453" s="9" t="s">
        <v>42</v>
      </c>
      <c r="M453" s="10">
        <v>5.7638888888888887E-3</v>
      </c>
      <c r="N453" s="9" t="s">
        <v>65</v>
      </c>
      <c r="O453" s="9" t="s">
        <v>3741</v>
      </c>
      <c r="P453" s="9" t="s">
        <v>413</v>
      </c>
      <c r="Q453" s="10">
        <v>9.2245370370370363E-3</v>
      </c>
      <c r="R453" s="9" t="s">
        <v>46</v>
      </c>
      <c r="S453" s="10">
        <v>0.31596064814814823</v>
      </c>
      <c r="T453" s="9">
        <v>37.860999999999997</v>
      </c>
      <c r="U453" s="9">
        <v>5.88</v>
      </c>
      <c r="V453" s="10">
        <v>0.26834490740740741</v>
      </c>
      <c r="W453" s="10">
        <v>0.21083333333333329</v>
      </c>
      <c r="X453" s="10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0</v>
      </c>
      <c r="AD453" s="9">
        <v>2</v>
      </c>
      <c r="AE453" s="9" t="s">
        <v>84</v>
      </c>
      <c r="AF453" s="9" t="s">
        <v>1384</v>
      </c>
      <c r="AG453" s="9" t="s">
        <v>3742</v>
      </c>
      <c r="AH453" s="9">
        <v>6.2256669999999996</v>
      </c>
      <c r="AI453" s="9">
        <v>-75.599476999999993</v>
      </c>
      <c r="AJ453" s="9" t="s">
        <v>3743</v>
      </c>
      <c r="AK453" s="9">
        <v>6.2285339999999998</v>
      </c>
      <c r="AL453" s="9">
        <v>-75.577226999999993</v>
      </c>
      <c r="AM453" s="27">
        <f t="shared" si="7"/>
        <v>0</v>
      </c>
    </row>
    <row r="454" spans="1:39" ht="15" x14ac:dyDescent="0.25">
      <c r="A454" s="9" t="s">
        <v>3744</v>
      </c>
      <c r="B454" s="9" t="s">
        <v>3745</v>
      </c>
      <c r="C454" s="9" t="s">
        <v>3746</v>
      </c>
      <c r="D454" s="9" t="s">
        <v>3739</v>
      </c>
      <c r="E454" s="9" t="s">
        <v>2619</v>
      </c>
      <c r="F454" s="9" t="s">
        <v>406</v>
      </c>
      <c r="G454" s="9" t="s">
        <v>62</v>
      </c>
      <c r="H454" s="9" t="s">
        <v>63</v>
      </c>
      <c r="I454" s="9" t="s">
        <v>40</v>
      </c>
      <c r="J454" s="9">
        <v>3657</v>
      </c>
      <c r="K454" s="9" t="s">
        <v>3747</v>
      </c>
      <c r="L454" s="9" t="s">
        <v>42</v>
      </c>
      <c r="M454" s="10">
        <v>1.3657407407407409E-3</v>
      </c>
      <c r="N454" s="9" t="s">
        <v>65</v>
      </c>
      <c r="O454" s="9" t="s">
        <v>3748</v>
      </c>
      <c r="P454" s="9" t="s">
        <v>413</v>
      </c>
      <c r="Q454" s="10">
        <v>9.2245370370370366E-2</v>
      </c>
      <c r="R454" s="9" t="s">
        <v>56</v>
      </c>
      <c r="S454" s="10">
        <v>0.22162037037037041</v>
      </c>
      <c r="T454" s="9">
        <v>61.594999999999999</v>
      </c>
      <c r="U454" s="9">
        <v>14.46</v>
      </c>
      <c r="V454" s="10">
        <v>0.17753472222222219</v>
      </c>
      <c r="W454" s="10">
        <v>0.1110648148148148</v>
      </c>
      <c r="X454" s="10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2</v>
      </c>
      <c r="AE454" s="9" t="s">
        <v>67</v>
      </c>
      <c r="AF454" s="9" t="s">
        <v>3749</v>
      </c>
      <c r="AG454" s="9" t="s">
        <v>3750</v>
      </c>
      <c r="AH454" s="9">
        <v>6.2258149999999999</v>
      </c>
      <c r="AI454" s="9">
        <v>-75.599408999999994</v>
      </c>
      <c r="AJ454" s="9" t="s">
        <v>3751</v>
      </c>
      <c r="AK454" s="9">
        <v>6.2902979999999999</v>
      </c>
      <c r="AL454" s="9">
        <v>-75.558481999999998</v>
      </c>
      <c r="AM454" s="26">
        <f t="shared" ref="AM454:AM506" si="8">IF(N454="INICIO TARDÍO",M454,0)+IF(R454="TERMINÓ ANTES",Q454,0)</f>
        <v>9.2245370370370366E-2</v>
      </c>
    </row>
    <row r="455" spans="1:39" ht="15" x14ac:dyDescent="0.25">
      <c r="A455" s="9" t="s">
        <v>3752</v>
      </c>
      <c r="B455" s="9" t="s">
        <v>3753</v>
      </c>
      <c r="C455" s="9" t="s">
        <v>3754</v>
      </c>
      <c r="D455" s="9" t="s">
        <v>3739</v>
      </c>
      <c r="E455" s="9" t="s">
        <v>2619</v>
      </c>
      <c r="F455" s="9" t="s">
        <v>406</v>
      </c>
      <c r="G455" s="9" t="s">
        <v>144</v>
      </c>
      <c r="H455" s="9" t="s">
        <v>145</v>
      </c>
      <c r="I455" s="9" t="s">
        <v>40</v>
      </c>
      <c r="J455" s="9">
        <v>8202</v>
      </c>
      <c r="K455" s="9" t="s">
        <v>3755</v>
      </c>
      <c r="L455" s="9" t="s">
        <v>42</v>
      </c>
      <c r="M455" s="10">
        <v>1.6898148148148152E-2</v>
      </c>
      <c r="N455" s="9" t="s">
        <v>127</v>
      </c>
      <c r="O455" s="9" t="s">
        <v>3756</v>
      </c>
      <c r="P455" s="9" t="s">
        <v>413</v>
      </c>
      <c r="Q455" s="10">
        <v>4.1550925925925922E-3</v>
      </c>
      <c r="R455" s="9" t="s">
        <v>46</v>
      </c>
      <c r="S455" s="10">
        <v>0.32524305555555549</v>
      </c>
      <c r="T455" s="9">
        <v>110.121</v>
      </c>
      <c r="U455" s="9">
        <v>17.78</v>
      </c>
      <c r="V455" s="10">
        <v>0.25802083333333331</v>
      </c>
      <c r="W455" s="10">
        <v>6.1759259259259257E-2</v>
      </c>
      <c r="X455" s="10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 s="9">
        <v>0</v>
      </c>
      <c r="AE455" s="9" t="s">
        <v>139</v>
      </c>
      <c r="AF455" s="9" t="s">
        <v>3757</v>
      </c>
      <c r="AG455" s="9" t="s">
        <v>3758</v>
      </c>
      <c r="AH455" s="9">
        <v>6.2727560000000002</v>
      </c>
      <c r="AI455" s="9">
        <v>-75.574511999999999</v>
      </c>
      <c r="AJ455" s="9" t="s">
        <v>3759</v>
      </c>
      <c r="AK455" s="9">
        <v>6.2727890000000004</v>
      </c>
      <c r="AL455" s="9">
        <v>-75.574415999999999</v>
      </c>
      <c r="AM455" s="26">
        <f t="shared" si="8"/>
        <v>0</v>
      </c>
    </row>
    <row r="456" spans="1:39" ht="15" x14ac:dyDescent="0.25">
      <c r="A456" s="9" t="s">
        <v>3760</v>
      </c>
      <c r="B456" s="9" t="s">
        <v>3761</v>
      </c>
      <c r="C456" s="9" t="s">
        <v>3762</v>
      </c>
      <c r="D456" s="9" t="s">
        <v>3739</v>
      </c>
      <c r="E456" s="9" t="s">
        <v>2619</v>
      </c>
      <c r="F456" s="9" t="s">
        <v>406</v>
      </c>
      <c r="G456" s="9" t="s">
        <v>152</v>
      </c>
      <c r="H456" s="9" t="s">
        <v>153</v>
      </c>
      <c r="I456" s="9" t="s">
        <v>40</v>
      </c>
      <c r="J456" s="9">
        <v>2372</v>
      </c>
      <c r="K456" s="9" t="s">
        <v>3763</v>
      </c>
      <c r="L456" s="9" t="s">
        <v>42</v>
      </c>
      <c r="M456" s="10">
        <v>4.2430555555555548E-2</v>
      </c>
      <c r="N456" s="9" t="s">
        <v>127</v>
      </c>
      <c r="O456" s="9" t="s">
        <v>3764</v>
      </c>
      <c r="P456" s="9" t="s">
        <v>413</v>
      </c>
      <c r="Q456" s="10">
        <v>5.5787037037037038E-2</v>
      </c>
      <c r="R456" s="9" t="s">
        <v>56</v>
      </c>
      <c r="S456" s="10">
        <v>0.2991435185185185</v>
      </c>
      <c r="T456" s="9">
        <v>28.603000000000002</v>
      </c>
      <c r="U456" s="9">
        <v>5.0199999999999996</v>
      </c>
      <c r="V456" s="10">
        <v>0.23751157407407411</v>
      </c>
      <c r="W456" s="10">
        <v>0.1792361111111111</v>
      </c>
      <c r="X456" s="10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0</v>
      </c>
      <c r="AD456" s="9">
        <v>0</v>
      </c>
      <c r="AE456" s="9" t="s">
        <v>139</v>
      </c>
      <c r="AF456" s="9" t="s">
        <v>3765</v>
      </c>
      <c r="AG456" s="9" t="s">
        <v>3766</v>
      </c>
      <c r="AH456" s="9">
        <v>6.2539730000000002</v>
      </c>
      <c r="AI456" s="9">
        <v>-75.588212999999996</v>
      </c>
      <c r="AJ456" s="9" t="s">
        <v>3767</v>
      </c>
      <c r="AK456" s="9">
        <v>6.2518599999999998</v>
      </c>
      <c r="AL456" s="9">
        <v>-75.551798000000005</v>
      </c>
      <c r="AM456" s="26">
        <f t="shared" si="8"/>
        <v>5.5787037037037038E-2</v>
      </c>
    </row>
    <row r="457" spans="1:39" ht="15" x14ac:dyDescent="0.25">
      <c r="A457" s="9" t="s">
        <v>3768</v>
      </c>
      <c r="B457" s="9" t="s">
        <v>3769</v>
      </c>
      <c r="C457" s="9" t="s">
        <v>3770</v>
      </c>
      <c r="D457" s="9" t="s">
        <v>3739</v>
      </c>
      <c r="E457" s="9" t="s">
        <v>2619</v>
      </c>
      <c r="F457" s="9" t="s">
        <v>406</v>
      </c>
      <c r="G457" s="9" t="s">
        <v>89</v>
      </c>
      <c r="H457" s="9" t="s">
        <v>90</v>
      </c>
      <c r="I457" s="9" t="s">
        <v>40</v>
      </c>
      <c r="J457" s="9">
        <v>3150</v>
      </c>
      <c r="K457" s="9" t="s">
        <v>3771</v>
      </c>
      <c r="L457" s="9" t="s">
        <v>42</v>
      </c>
      <c r="M457" s="10">
        <v>8.4259259259259253E-3</v>
      </c>
      <c r="N457" s="9" t="s">
        <v>65</v>
      </c>
      <c r="O457" s="9" t="s">
        <v>3772</v>
      </c>
      <c r="P457" s="9" t="s">
        <v>413</v>
      </c>
      <c r="Q457" s="10">
        <v>1.0995370370370371E-3</v>
      </c>
      <c r="R457" s="9" t="s">
        <v>46</v>
      </c>
      <c r="S457" s="10">
        <v>0.31982638888888892</v>
      </c>
      <c r="T457" s="9">
        <v>39.674999999999997</v>
      </c>
      <c r="U457" s="9">
        <v>7.7</v>
      </c>
      <c r="V457" s="10">
        <v>0.21479166666666669</v>
      </c>
      <c r="W457" s="10">
        <v>0.1312615740740741</v>
      </c>
      <c r="X457" s="10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9" t="s">
        <v>84</v>
      </c>
      <c r="AF457" s="9" t="s">
        <v>352</v>
      </c>
      <c r="AG457" s="9" t="s">
        <v>3773</v>
      </c>
      <c r="AH457" s="9">
        <v>6.2266349999999999</v>
      </c>
      <c r="AI457" s="9">
        <v>-75.599202000000005</v>
      </c>
      <c r="AJ457" s="9" t="s">
        <v>3774</v>
      </c>
      <c r="AK457" s="9">
        <v>6.2486269999999999</v>
      </c>
      <c r="AL457" s="9">
        <v>-75.565270999999996</v>
      </c>
      <c r="AM457" s="27">
        <f t="shared" si="8"/>
        <v>0</v>
      </c>
    </row>
    <row r="458" spans="1:39" ht="15" x14ac:dyDescent="0.25">
      <c r="A458" s="9" t="s">
        <v>3775</v>
      </c>
      <c r="B458" s="9" t="s">
        <v>3776</v>
      </c>
      <c r="C458" s="9" t="s">
        <v>3777</v>
      </c>
      <c r="D458" s="9" t="s">
        <v>3778</v>
      </c>
      <c r="E458" s="9" t="s">
        <v>2619</v>
      </c>
      <c r="F458" s="9" t="s">
        <v>455</v>
      </c>
      <c r="G458" s="9" t="s">
        <v>52</v>
      </c>
      <c r="H458" s="9" t="s">
        <v>53</v>
      </c>
      <c r="I458" s="9" t="s">
        <v>40</v>
      </c>
      <c r="J458" s="9">
        <v>2845</v>
      </c>
      <c r="K458" s="9" t="s">
        <v>3779</v>
      </c>
      <c r="L458" s="9" t="s">
        <v>42</v>
      </c>
      <c r="M458" s="10">
        <v>7.7199074074074071E-3</v>
      </c>
      <c r="N458" s="9" t="s">
        <v>65</v>
      </c>
      <c r="O458" s="9" t="s">
        <v>3780</v>
      </c>
      <c r="P458" s="9" t="s">
        <v>413</v>
      </c>
      <c r="Q458" s="10">
        <v>8.9004629629629625E-3</v>
      </c>
      <c r="R458" s="9" t="s">
        <v>46</v>
      </c>
      <c r="S458" s="10">
        <v>0.2958796296296296</v>
      </c>
      <c r="T458" s="9">
        <v>37.237000000000002</v>
      </c>
      <c r="U458" s="9">
        <v>7.14</v>
      </c>
      <c r="V458" s="10">
        <v>0.21743055555555549</v>
      </c>
      <c r="W458" s="10">
        <v>0.1638310185185185</v>
      </c>
      <c r="X458" s="10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9">
        <v>1</v>
      </c>
      <c r="AE458" s="9" t="s">
        <v>84</v>
      </c>
      <c r="AF458" s="9" t="s">
        <v>324</v>
      </c>
      <c r="AG458" s="9" t="s">
        <v>3781</v>
      </c>
      <c r="AH458" s="9">
        <v>6.2475709999999998</v>
      </c>
      <c r="AI458" s="9">
        <v>-75.614759000000006</v>
      </c>
      <c r="AJ458" s="9" t="s">
        <v>3782</v>
      </c>
      <c r="AK458" s="9">
        <v>6.2461289999999998</v>
      </c>
      <c r="AL458" s="9">
        <v>-75.609532999999999</v>
      </c>
      <c r="AM458" s="26">
        <f t="shared" si="8"/>
        <v>0</v>
      </c>
    </row>
    <row r="459" spans="1:39" ht="15" x14ac:dyDescent="0.25">
      <c r="A459" s="9" t="s">
        <v>3783</v>
      </c>
      <c r="B459" s="9" t="s">
        <v>3784</v>
      </c>
      <c r="C459" s="9" t="s">
        <v>3785</v>
      </c>
      <c r="D459" s="9" t="s">
        <v>3739</v>
      </c>
      <c r="E459" s="9" t="s">
        <v>2619</v>
      </c>
      <c r="F459" s="9" t="s">
        <v>406</v>
      </c>
      <c r="G459" s="9" t="s">
        <v>105</v>
      </c>
      <c r="H459" s="9" t="s">
        <v>106</v>
      </c>
      <c r="I459" s="9" t="s">
        <v>40</v>
      </c>
      <c r="J459" s="9">
        <v>1913</v>
      </c>
      <c r="K459" s="9" t="s">
        <v>3786</v>
      </c>
      <c r="L459" s="9" t="s">
        <v>42</v>
      </c>
      <c r="M459" s="10">
        <v>2.704861111111111E-2</v>
      </c>
      <c r="N459" s="9" t="s">
        <v>43</v>
      </c>
      <c r="O459" s="9" t="s">
        <v>3787</v>
      </c>
      <c r="P459" s="9" t="s">
        <v>413</v>
      </c>
      <c r="Q459" s="10">
        <v>2.3495370370370371E-2</v>
      </c>
      <c r="R459" s="9" t="s">
        <v>129</v>
      </c>
      <c r="S459" s="10">
        <v>0.30894675925925918</v>
      </c>
      <c r="T459" s="9">
        <v>26.805</v>
      </c>
      <c r="U459" s="9">
        <v>4.25</v>
      </c>
      <c r="V459" s="10">
        <v>0.26273148148148151</v>
      </c>
      <c r="W459" s="10">
        <v>0.2278472222222222</v>
      </c>
      <c r="X459" s="10">
        <v>3.2233796296296302E-2</v>
      </c>
      <c r="Y459" s="9">
        <v>1</v>
      </c>
      <c r="Z459" s="9">
        <v>1</v>
      </c>
      <c r="AA459" s="9">
        <v>1</v>
      </c>
      <c r="AB459" s="9">
        <v>1</v>
      </c>
      <c r="AC459" s="9">
        <v>0</v>
      </c>
      <c r="AD459" s="9">
        <v>1</v>
      </c>
      <c r="AE459" s="9" t="s">
        <v>130</v>
      </c>
      <c r="AF459" s="9" t="s">
        <v>3788</v>
      </c>
      <c r="AG459" s="9" t="s">
        <v>3789</v>
      </c>
      <c r="AH459" s="9">
        <v>6.2255779999999996</v>
      </c>
      <c r="AI459" s="9">
        <v>-75.599352999999994</v>
      </c>
      <c r="AJ459" s="9" t="s">
        <v>3790</v>
      </c>
      <c r="AK459" s="9">
        <v>6.2585470000000001</v>
      </c>
      <c r="AL459" s="9">
        <v>-75.616319000000004</v>
      </c>
      <c r="AM459" s="26">
        <f t="shared" si="8"/>
        <v>2.704861111111111E-2</v>
      </c>
    </row>
    <row r="460" spans="1:39" ht="15" x14ac:dyDescent="0.25">
      <c r="A460" s="9" t="s">
        <v>3791</v>
      </c>
      <c r="B460" s="9" t="s">
        <v>3792</v>
      </c>
      <c r="C460" s="9" t="s">
        <v>3793</v>
      </c>
      <c r="D460" s="9" t="s">
        <v>3739</v>
      </c>
      <c r="E460" s="9" t="s">
        <v>2619</v>
      </c>
      <c r="F460" s="9" t="s">
        <v>406</v>
      </c>
      <c r="G460" s="9" t="s">
        <v>113</v>
      </c>
      <c r="H460" s="9" t="s">
        <v>114</v>
      </c>
      <c r="I460" s="9" t="s">
        <v>115</v>
      </c>
      <c r="J460" s="9">
        <v>1921</v>
      </c>
      <c r="K460" s="9" t="s">
        <v>3794</v>
      </c>
      <c r="L460" s="9" t="s">
        <v>117</v>
      </c>
      <c r="M460" s="10">
        <v>2.34375E-2</v>
      </c>
      <c r="N460" s="9" t="s">
        <v>43</v>
      </c>
      <c r="O460" s="9" t="s">
        <v>3795</v>
      </c>
      <c r="P460" s="9" t="s">
        <v>119</v>
      </c>
      <c r="Q460" s="10">
        <v>2.704861111111111E-2</v>
      </c>
      <c r="R460" s="9" t="s">
        <v>56</v>
      </c>
      <c r="S460" s="10">
        <v>0.19951388888888891</v>
      </c>
      <c r="T460" s="9">
        <v>26.501999999999999</v>
      </c>
      <c r="U460" s="9">
        <v>9.1199999999999992</v>
      </c>
      <c r="V460" s="10">
        <v>0.1211111111111111</v>
      </c>
      <c r="W460" s="10">
        <v>7.9814814814814811E-2</v>
      </c>
      <c r="X460" s="10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9">
        <v>0</v>
      </c>
      <c r="AE460" s="9" t="s">
        <v>57</v>
      </c>
      <c r="AF460" s="9" t="s">
        <v>3796</v>
      </c>
      <c r="AG460" s="9" t="s">
        <v>3797</v>
      </c>
      <c r="AH460" s="9">
        <v>6.2531860000000004</v>
      </c>
      <c r="AI460" s="9">
        <v>-75.609388999999993</v>
      </c>
      <c r="AJ460" s="9" t="s">
        <v>3798</v>
      </c>
      <c r="AK460" s="9">
        <v>6.2456120000000004</v>
      </c>
      <c r="AL460" s="9">
        <v>-75.616991999999996</v>
      </c>
      <c r="AM460" s="26">
        <f t="shared" si="8"/>
        <v>5.0486111111111107E-2</v>
      </c>
    </row>
    <row r="461" spans="1:39" ht="15" x14ac:dyDescent="0.25">
      <c r="A461" s="9" t="s">
        <v>3799</v>
      </c>
      <c r="B461" s="9" t="s">
        <v>3800</v>
      </c>
      <c r="C461" s="9" t="s">
        <v>3801</v>
      </c>
      <c r="D461" s="9" t="s">
        <v>3739</v>
      </c>
      <c r="E461" s="9" t="s">
        <v>2619</v>
      </c>
      <c r="F461" s="9" t="s">
        <v>406</v>
      </c>
      <c r="G461" s="9" t="s">
        <v>124</v>
      </c>
      <c r="H461" s="9" t="s">
        <v>125</v>
      </c>
      <c r="I461" s="9" t="s">
        <v>115</v>
      </c>
      <c r="J461" s="9">
        <v>4145</v>
      </c>
      <c r="K461" s="9" t="s">
        <v>3802</v>
      </c>
      <c r="L461" s="9" t="s">
        <v>117</v>
      </c>
      <c r="M461" s="10">
        <v>1.005787037037037E-2</v>
      </c>
      <c r="N461" s="9" t="s">
        <v>65</v>
      </c>
      <c r="O461" s="9" t="s">
        <v>3803</v>
      </c>
      <c r="P461" s="9" t="s">
        <v>119</v>
      </c>
      <c r="Q461" s="10">
        <v>6.3888888888888893E-3</v>
      </c>
      <c r="R461" s="9" t="s">
        <v>46</v>
      </c>
      <c r="S461" s="10">
        <v>0.26644675925925931</v>
      </c>
      <c r="T461" s="9">
        <v>52.917999999999999</v>
      </c>
      <c r="U461" s="9">
        <v>12.21</v>
      </c>
      <c r="V461" s="10">
        <v>0.18057870370370371</v>
      </c>
      <c r="W461" s="10">
        <v>6.8483796296296293E-2</v>
      </c>
      <c r="X461" s="10">
        <v>9.9074074074074082E-3</v>
      </c>
      <c r="Y461" s="9">
        <v>1</v>
      </c>
      <c r="Z461" s="9">
        <v>0</v>
      </c>
      <c r="AA461" s="9">
        <v>0</v>
      </c>
      <c r="AB461" s="9">
        <v>0</v>
      </c>
      <c r="AC461" s="9">
        <v>0</v>
      </c>
      <c r="AD461" s="9">
        <v>0</v>
      </c>
      <c r="AE461" s="9" t="s">
        <v>84</v>
      </c>
      <c r="AF461" s="9" t="s">
        <v>3016</v>
      </c>
      <c r="AG461" s="9" t="s">
        <v>3804</v>
      </c>
      <c r="AH461" s="9">
        <v>6.2724849999999996</v>
      </c>
      <c r="AI461" s="9">
        <v>-75.602199999999996</v>
      </c>
      <c r="AJ461" s="9" t="s">
        <v>3805</v>
      </c>
      <c r="AK461" s="9">
        <v>6.2733270000000001</v>
      </c>
      <c r="AL461" s="9">
        <v>-75.602160999999995</v>
      </c>
      <c r="AM461" s="26">
        <f t="shared" si="8"/>
        <v>0</v>
      </c>
    </row>
    <row r="462" spans="1:39" ht="15" x14ac:dyDescent="0.25">
      <c r="A462" s="9" t="s">
        <v>3806</v>
      </c>
      <c r="B462" s="9" t="s">
        <v>3807</v>
      </c>
      <c r="C462" s="9" t="s">
        <v>3808</v>
      </c>
      <c r="D462" s="9" t="s">
        <v>3739</v>
      </c>
      <c r="E462" s="9" t="s">
        <v>2619</v>
      </c>
      <c r="F462" s="9" t="s">
        <v>406</v>
      </c>
      <c r="G462" s="9" t="s">
        <v>135</v>
      </c>
      <c r="H462" s="9" t="s">
        <v>136</v>
      </c>
      <c r="I462" s="9" t="s">
        <v>115</v>
      </c>
      <c r="J462" s="9">
        <v>3996</v>
      </c>
      <c r="K462" s="9" t="s">
        <v>3809</v>
      </c>
      <c r="L462" s="9" t="s">
        <v>117</v>
      </c>
      <c r="M462" s="10">
        <v>7.4548611111111107E-2</v>
      </c>
      <c r="N462" s="9" t="s">
        <v>127</v>
      </c>
      <c r="O462" s="9" t="s">
        <v>3810</v>
      </c>
      <c r="P462" s="9" t="s">
        <v>119</v>
      </c>
      <c r="Q462" s="10">
        <v>4.4444444444444436E-3</v>
      </c>
      <c r="R462" s="9" t="s">
        <v>46</v>
      </c>
      <c r="S462" s="10">
        <v>0.32010416666666669</v>
      </c>
      <c r="T462" s="9">
        <v>57.21</v>
      </c>
      <c r="U462" s="9">
        <v>20.12</v>
      </c>
      <c r="V462" s="10">
        <v>0.1184722222222222</v>
      </c>
      <c r="W462" s="10">
        <v>4.8379629629629627E-2</v>
      </c>
      <c r="X462" s="10">
        <v>0</v>
      </c>
      <c r="Y462" s="9">
        <v>0</v>
      </c>
      <c r="Z462" s="9">
        <v>0</v>
      </c>
      <c r="AA462" s="9">
        <v>0</v>
      </c>
      <c r="AB462" s="9">
        <v>0</v>
      </c>
      <c r="AC462" s="9">
        <v>0</v>
      </c>
      <c r="AD462" s="9">
        <v>3</v>
      </c>
      <c r="AE462" s="9" t="s">
        <v>139</v>
      </c>
      <c r="AF462" s="9" t="s">
        <v>3811</v>
      </c>
      <c r="AG462" s="9" t="s">
        <v>3812</v>
      </c>
      <c r="AH462" s="9">
        <v>6.2746550000000001</v>
      </c>
      <c r="AI462" s="9">
        <v>-75.540584999999993</v>
      </c>
      <c r="AJ462" s="9" t="s">
        <v>3813</v>
      </c>
      <c r="AK462" s="9">
        <v>6.2527340000000002</v>
      </c>
      <c r="AL462" s="9">
        <v>-75.556585999999996</v>
      </c>
      <c r="AM462" s="26">
        <f t="shared" si="8"/>
        <v>0</v>
      </c>
    </row>
    <row r="463" spans="1:39" ht="15" x14ac:dyDescent="0.25">
      <c r="A463" s="9" t="s">
        <v>3814</v>
      </c>
      <c r="B463" s="9" t="s">
        <v>3815</v>
      </c>
      <c r="C463" s="9" t="s">
        <v>3816</v>
      </c>
      <c r="D463" s="9" t="s">
        <v>3739</v>
      </c>
      <c r="E463" s="9" t="s">
        <v>2619</v>
      </c>
      <c r="F463" s="9" t="s">
        <v>406</v>
      </c>
      <c r="G463" s="9" t="s">
        <v>72</v>
      </c>
      <c r="H463" s="9" t="s">
        <v>73</v>
      </c>
      <c r="I463" s="9" t="s">
        <v>115</v>
      </c>
      <c r="J463" s="9">
        <v>1461</v>
      </c>
      <c r="K463" s="9" t="s">
        <v>3817</v>
      </c>
      <c r="L463" s="9" t="s">
        <v>117</v>
      </c>
      <c r="M463" s="10">
        <v>2.9629629629629628E-3</v>
      </c>
      <c r="N463" s="9" t="s">
        <v>65</v>
      </c>
      <c r="O463" s="9" t="s">
        <v>3818</v>
      </c>
      <c r="P463" s="9" t="s">
        <v>119</v>
      </c>
      <c r="Q463" s="10">
        <v>4.386574074074074E-2</v>
      </c>
      <c r="R463" s="9" t="s">
        <v>56</v>
      </c>
      <c r="S463" s="10">
        <v>0.20909722222222221</v>
      </c>
      <c r="T463" s="9">
        <v>22.146999999999998</v>
      </c>
      <c r="U463" s="9">
        <v>6.21</v>
      </c>
      <c r="V463" s="10">
        <v>0.14871527777777779</v>
      </c>
      <c r="W463" s="10">
        <v>0.1218402777777778</v>
      </c>
      <c r="X463" s="10">
        <v>1.6168981481481479E-2</v>
      </c>
      <c r="Y463" s="9">
        <v>1</v>
      </c>
      <c r="Z463" s="9">
        <v>1</v>
      </c>
      <c r="AA463" s="9">
        <v>0</v>
      </c>
      <c r="AB463" s="9">
        <v>0</v>
      </c>
      <c r="AC463" s="9">
        <v>0</v>
      </c>
      <c r="AD463" s="9">
        <v>2</v>
      </c>
      <c r="AE463" s="9" t="s">
        <v>67</v>
      </c>
      <c r="AF463" s="9" t="s">
        <v>3819</v>
      </c>
      <c r="AG463" s="9" t="s">
        <v>3820</v>
      </c>
      <c r="AH463" s="9">
        <v>6.2382650000000002</v>
      </c>
      <c r="AI463" s="9">
        <v>-75.560159999999996</v>
      </c>
      <c r="AJ463" s="9" t="s">
        <v>3821</v>
      </c>
      <c r="AK463" s="9">
        <v>6.2370900000000002</v>
      </c>
      <c r="AL463" s="9">
        <v>-75.558795000000003</v>
      </c>
      <c r="AM463" s="26">
        <f t="shared" si="8"/>
        <v>4.386574074074074E-2</v>
      </c>
    </row>
    <row r="464" spans="1:39" ht="15" x14ac:dyDescent="0.25">
      <c r="A464" s="9" t="s">
        <v>3822</v>
      </c>
      <c r="B464" s="9" t="s">
        <v>3823</v>
      </c>
      <c r="C464" s="9" t="s">
        <v>3824</v>
      </c>
      <c r="D464" s="9" t="s">
        <v>3739</v>
      </c>
      <c r="E464" s="9" t="s">
        <v>2619</v>
      </c>
      <c r="F464" s="9" t="s">
        <v>406</v>
      </c>
      <c r="G464" s="9" t="s">
        <v>80</v>
      </c>
      <c r="H464" s="9" t="s">
        <v>81</v>
      </c>
      <c r="I464" s="9" t="s">
        <v>115</v>
      </c>
      <c r="J464" s="9">
        <v>4420</v>
      </c>
      <c r="K464" s="9" t="s">
        <v>3825</v>
      </c>
      <c r="L464" s="9" t="s">
        <v>117</v>
      </c>
      <c r="M464" s="10">
        <v>9.4690625E-3</v>
      </c>
      <c r="N464" s="9" t="s">
        <v>65</v>
      </c>
      <c r="O464" s="9" t="s">
        <v>3826</v>
      </c>
      <c r="P464" s="9" t="s">
        <v>119</v>
      </c>
      <c r="Q464" s="10">
        <v>4.7883680555555553E-3</v>
      </c>
      <c r="R464" s="9" t="s">
        <v>46</v>
      </c>
      <c r="S464" s="10">
        <v>0.23574256944444441</v>
      </c>
      <c r="T464" s="9">
        <v>30.524000000000001</v>
      </c>
      <c r="U464" s="9">
        <v>18.13</v>
      </c>
      <c r="V464" s="10">
        <v>7.0145706018518647E-2</v>
      </c>
      <c r="W464" s="10">
        <v>2.9791041666666671E-2</v>
      </c>
      <c r="X464" s="10">
        <v>0</v>
      </c>
      <c r="Y464" s="9">
        <v>0</v>
      </c>
      <c r="Z464" s="9">
        <v>0</v>
      </c>
      <c r="AA464" s="9">
        <v>0</v>
      </c>
      <c r="AB464" s="9">
        <v>0</v>
      </c>
      <c r="AC464" s="9">
        <v>0</v>
      </c>
      <c r="AD464" s="9">
        <v>9</v>
      </c>
      <c r="AE464" s="9" t="s">
        <v>84</v>
      </c>
      <c r="AF464" s="9" t="s">
        <v>3008</v>
      </c>
      <c r="AG464" s="9" t="s">
        <v>3827</v>
      </c>
      <c r="AH464" s="9">
        <v>6.2468779999999997</v>
      </c>
      <c r="AI464" s="9">
        <v>-75.554066000000006</v>
      </c>
      <c r="AJ464" s="9" t="s">
        <v>3828</v>
      </c>
      <c r="AK464" s="9">
        <v>6.2554270000000001</v>
      </c>
      <c r="AL464" s="9">
        <v>-75.620604</v>
      </c>
      <c r="AM464" s="26">
        <f t="shared" si="8"/>
        <v>0</v>
      </c>
    </row>
    <row r="465" spans="1:39" ht="15" x14ac:dyDescent="0.25">
      <c r="A465" s="9" t="s">
        <v>3829</v>
      </c>
      <c r="B465" s="9" t="s">
        <v>3830</v>
      </c>
      <c r="C465" s="9" t="s">
        <v>3831</v>
      </c>
      <c r="D465" s="9" t="s">
        <v>3739</v>
      </c>
      <c r="E465" s="9" t="s">
        <v>2619</v>
      </c>
      <c r="F465" s="9" t="s">
        <v>406</v>
      </c>
      <c r="G465" s="9" t="s">
        <v>160</v>
      </c>
      <c r="H465" s="9" t="s">
        <v>161</v>
      </c>
      <c r="I465" s="9" t="s">
        <v>115</v>
      </c>
      <c r="J465" s="9">
        <v>9998</v>
      </c>
      <c r="K465" s="9" t="s">
        <v>3832</v>
      </c>
      <c r="L465" s="9" t="s">
        <v>117</v>
      </c>
      <c r="M465" s="10">
        <v>7.3650694444444441E-3</v>
      </c>
      <c r="N465" s="9" t="s">
        <v>65</v>
      </c>
      <c r="O465" s="9" t="s">
        <v>3833</v>
      </c>
      <c r="P465" s="9" t="s">
        <v>119</v>
      </c>
      <c r="Q465" s="10">
        <v>1.651223379629629E-2</v>
      </c>
      <c r="R465" s="9" t="s">
        <v>129</v>
      </c>
      <c r="S465" s="10">
        <v>0.27387730324074072</v>
      </c>
      <c r="T465" s="9">
        <v>57.17</v>
      </c>
      <c r="U465" s="9">
        <v>12.85</v>
      </c>
      <c r="V465" s="10">
        <v>0.18532579861111109</v>
      </c>
      <c r="W465" s="10">
        <v>0.12942263888888891</v>
      </c>
      <c r="X465" s="10">
        <v>1.2048587962962961E-2</v>
      </c>
      <c r="Y465" s="9">
        <v>1</v>
      </c>
      <c r="Z465" s="9">
        <v>1</v>
      </c>
      <c r="AA465" s="9">
        <v>0</v>
      </c>
      <c r="AB465" s="9">
        <v>0</v>
      </c>
      <c r="AC465" s="9">
        <v>0</v>
      </c>
      <c r="AD465" s="9">
        <v>1</v>
      </c>
      <c r="AE465" s="9" t="s">
        <v>130</v>
      </c>
      <c r="AF465" s="9" t="s">
        <v>3834</v>
      </c>
      <c r="AG465" s="9" t="s">
        <v>3835</v>
      </c>
      <c r="AH465" s="9">
        <v>6.2674969999999997</v>
      </c>
      <c r="AI465" s="9">
        <v>-75.598056999999997</v>
      </c>
      <c r="AJ465" s="9" t="s">
        <v>3836</v>
      </c>
      <c r="AK465" s="9">
        <v>6.2796070000000004</v>
      </c>
      <c r="AL465" s="9">
        <v>-75.570876999999996</v>
      </c>
      <c r="AM465" s="26">
        <f t="shared" si="8"/>
        <v>0</v>
      </c>
    </row>
    <row r="466" spans="1:39" ht="15" x14ac:dyDescent="0.25">
      <c r="A466" s="9" t="s">
        <v>3837</v>
      </c>
      <c r="B466" s="9" t="s">
        <v>3838</v>
      </c>
      <c r="C466" s="9" t="s">
        <v>3839</v>
      </c>
      <c r="D466" s="9" t="s">
        <v>3739</v>
      </c>
      <c r="E466" s="9" t="s">
        <v>2619</v>
      </c>
      <c r="F466" s="9" t="s">
        <v>406</v>
      </c>
      <c r="G466" s="9" t="s">
        <v>97</v>
      </c>
      <c r="H466" s="9" t="s">
        <v>98</v>
      </c>
      <c r="I466" s="9" t="s">
        <v>115</v>
      </c>
      <c r="J466" s="9">
        <v>1850</v>
      </c>
      <c r="K466" s="9" t="s">
        <v>3840</v>
      </c>
      <c r="L466" s="9" t="s">
        <v>117</v>
      </c>
      <c r="M466" s="10">
        <v>6.5277777777777782E-3</v>
      </c>
      <c r="N466" s="9" t="s">
        <v>65</v>
      </c>
      <c r="O466" s="9" t="s">
        <v>3841</v>
      </c>
      <c r="P466" s="9" t="s">
        <v>119</v>
      </c>
      <c r="Q466" s="10">
        <v>1.25462962962963E-2</v>
      </c>
      <c r="R466" s="9" t="s">
        <v>129</v>
      </c>
      <c r="S466" s="10">
        <v>0.25601851851851848</v>
      </c>
      <c r="T466" s="9">
        <v>23.943999999999999</v>
      </c>
      <c r="U466" s="9">
        <v>5.92</v>
      </c>
      <c r="V466" s="10">
        <v>0.1686458333333333</v>
      </c>
      <c r="W466" s="10">
        <v>0.1337962962962963</v>
      </c>
      <c r="X466" s="10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9">
        <v>0</v>
      </c>
      <c r="AE466" s="9" t="s">
        <v>130</v>
      </c>
      <c r="AF466" s="9" t="s">
        <v>3842</v>
      </c>
      <c r="AG466" s="9" t="s">
        <v>3843</v>
      </c>
      <c r="AH466" s="9">
        <v>6.3060479999999997</v>
      </c>
      <c r="AI466" s="9">
        <v>-75.581988999999993</v>
      </c>
      <c r="AJ466" s="9" t="s">
        <v>3844</v>
      </c>
      <c r="AK466" s="9">
        <v>6.3065259999999999</v>
      </c>
      <c r="AL466" s="9">
        <v>-75.581993999999995</v>
      </c>
      <c r="AM466" s="26">
        <f t="shared" si="8"/>
        <v>0</v>
      </c>
    </row>
    <row r="467" spans="1:39" ht="15" x14ac:dyDescent="0.25">
      <c r="A467" s="9" t="s">
        <v>3845</v>
      </c>
      <c r="B467" s="9" t="s">
        <v>3846</v>
      </c>
      <c r="C467" s="9" t="s">
        <v>3847</v>
      </c>
      <c r="D467" s="9" t="s">
        <v>3778</v>
      </c>
      <c r="E467" s="9" t="s">
        <v>2619</v>
      </c>
      <c r="F467" s="9" t="s">
        <v>455</v>
      </c>
      <c r="G467" s="9" t="s">
        <v>152</v>
      </c>
      <c r="H467" s="9" t="s">
        <v>153</v>
      </c>
      <c r="I467" s="9" t="s">
        <v>115</v>
      </c>
      <c r="J467" s="9">
        <v>2462</v>
      </c>
      <c r="K467" s="9" t="s">
        <v>3848</v>
      </c>
      <c r="L467" s="9" t="s">
        <v>117</v>
      </c>
      <c r="M467" s="10">
        <v>4.7916666666666663E-3</v>
      </c>
      <c r="N467" s="9" t="s">
        <v>65</v>
      </c>
      <c r="O467" s="9" t="s">
        <v>3849</v>
      </c>
      <c r="P467" s="9" t="s">
        <v>119</v>
      </c>
      <c r="Q467" s="10">
        <v>2.177083333333333E-2</v>
      </c>
      <c r="R467" s="9" t="s">
        <v>56</v>
      </c>
      <c r="S467" s="10">
        <v>0.22343750000000001</v>
      </c>
      <c r="T467" s="9">
        <v>30.571000000000002</v>
      </c>
      <c r="U467" s="9">
        <v>7.48</v>
      </c>
      <c r="V467" s="10">
        <v>0.17021990740740739</v>
      </c>
      <c r="W467" s="10">
        <v>0.10240740740740741</v>
      </c>
      <c r="X467" s="10">
        <v>0</v>
      </c>
      <c r="Y467" s="9">
        <v>0</v>
      </c>
      <c r="Z467" s="9">
        <v>0</v>
      </c>
      <c r="AA467" s="9">
        <v>0</v>
      </c>
      <c r="AB467" s="9">
        <v>0</v>
      </c>
      <c r="AC467" s="9">
        <v>0</v>
      </c>
      <c r="AD467" s="9">
        <v>0</v>
      </c>
      <c r="AE467" s="9" t="s">
        <v>67</v>
      </c>
      <c r="AF467" s="9" t="s">
        <v>3850</v>
      </c>
      <c r="AG467" s="9" t="s">
        <v>3851</v>
      </c>
      <c r="AH467" s="9">
        <v>6.251703</v>
      </c>
      <c r="AI467" s="9">
        <v>-75.551666999999995</v>
      </c>
      <c r="AJ467" s="9" t="s">
        <v>3852</v>
      </c>
      <c r="AK467" s="9">
        <v>6.3108180000000003</v>
      </c>
      <c r="AL467" s="9">
        <v>-75.566104999999993</v>
      </c>
      <c r="AM467" s="26">
        <f t="shared" si="8"/>
        <v>2.177083333333333E-2</v>
      </c>
    </row>
    <row r="468" spans="1:39" ht="15" x14ac:dyDescent="0.25">
      <c r="A468" s="9" t="s">
        <v>3853</v>
      </c>
      <c r="B468" s="9" t="s">
        <v>3854</v>
      </c>
      <c r="C468" s="9" t="s">
        <v>3855</v>
      </c>
      <c r="D468" s="9" t="s">
        <v>3856</v>
      </c>
      <c r="E468" s="9" t="s">
        <v>2619</v>
      </c>
      <c r="F468" s="9" t="s">
        <v>508</v>
      </c>
      <c r="G468" s="9" t="s">
        <v>38</v>
      </c>
      <c r="H468" s="9" t="s">
        <v>39</v>
      </c>
      <c r="I468" s="9" t="s">
        <v>40</v>
      </c>
      <c r="J468" s="9">
        <v>3246</v>
      </c>
      <c r="K468" s="9" t="s">
        <v>3857</v>
      </c>
      <c r="L468" s="9" t="s">
        <v>42</v>
      </c>
      <c r="M468" s="10">
        <v>1.7175925925925921E-2</v>
      </c>
      <c r="N468" s="9" t="s">
        <v>43</v>
      </c>
      <c r="O468" s="9" t="s">
        <v>3858</v>
      </c>
      <c r="P468" s="9" t="s">
        <v>45</v>
      </c>
      <c r="Q468" s="10">
        <v>1.273148148148148E-3</v>
      </c>
      <c r="R468" s="9" t="s">
        <v>46</v>
      </c>
      <c r="S468" s="10">
        <v>0.31743055555555549</v>
      </c>
      <c r="T468" s="9">
        <v>44.567</v>
      </c>
      <c r="U468" s="9">
        <v>8.93</v>
      </c>
      <c r="V468" s="10">
        <v>0.2078703703703704</v>
      </c>
      <c r="W468" s="10">
        <v>0.14473379629629629</v>
      </c>
      <c r="X468" s="10">
        <v>1.480324074074074E-2</v>
      </c>
      <c r="Y468" s="9">
        <v>1</v>
      </c>
      <c r="Z468" s="9">
        <v>1</v>
      </c>
      <c r="AA468" s="9">
        <v>0</v>
      </c>
      <c r="AB468" s="9">
        <v>0</v>
      </c>
      <c r="AC468" s="9">
        <v>0</v>
      </c>
      <c r="AD468" s="9">
        <v>0</v>
      </c>
      <c r="AE468" s="9" t="s">
        <v>47</v>
      </c>
      <c r="AF468" s="9" t="s">
        <v>3859</v>
      </c>
      <c r="AG468" s="9" t="s">
        <v>3860</v>
      </c>
      <c r="AH468" s="9">
        <v>6.2034229999999999</v>
      </c>
      <c r="AI468" s="9">
        <v>-75.600454999999997</v>
      </c>
      <c r="AJ468" s="9" t="s">
        <v>3861</v>
      </c>
      <c r="AK468" s="9">
        <v>6.2256689999999999</v>
      </c>
      <c r="AL468" s="9">
        <v>-75.599110999999994</v>
      </c>
      <c r="AM468" s="26">
        <f t="shared" si="8"/>
        <v>1.7175925925925921E-2</v>
      </c>
    </row>
    <row r="469" spans="1:39" ht="15" x14ac:dyDescent="0.25">
      <c r="A469" s="9" t="s">
        <v>3862</v>
      </c>
      <c r="B469" s="9" t="s">
        <v>3863</v>
      </c>
      <c r="C469" s="9" t="s">
        <v>3864</v>
      </c>
      <c r="D469" s="9" t="s">
        <v>3856</v>
      </c>
      <c r="E469" s="9" t="s">
        <v>2619</v>
      </c>
      <c r="F469" s="9" t="s">
        <v>508</v>
      </c>
      <c r="G469" s="9" t="s">
        <v>52</v>
      </c>
      <c r="H469" s="9" t="s">
        <v>53</v>
      </c>
      <c r="I469" s="9" t="s">
        <v>40</v>
      </c>
      <c r="J469" s="9">
        <v>1424</v>
      </c>
      <c r="K469" s="9" t="s">
        <v>3865</v>
      </c>
      <c r="L469" s="9" t="s">
        <v>42</v>
      </c>
      <c r="M469" s="10">
        <v>7.2106481481481483E-3</v>
      </c>
      <c r="N469" s="9" t="s">
        <v>65</v>
      </c>
      <c r="O469" s="9" t="s">
        <v>3866</v>
      </c>
      <c r="P469" s="9" t="s">
        <v>45</v>
      </c>
      <c r="Q469" s="10">
        <v>2.488425925925926E-3</v>
      </c>
      <c r="R469" s="9" t="s">
        <v>46</v>
      </c>
      <c r="S469" s="10">
        <v>0.32861111111111108</v>
      </c>
      <c r="T469" s="9">
        <v>21.260999999999999</v>
      </c>
      <c r="U469" s="9">
        <v>4.5</v>
      </c>
      <c r="V469" s="10">
        <v>0.19696759259259261</v>
      </c>
      <c r="W469" s="10">
        <v>0.17226851851851849</v>
      </c>
      <c r="X469" s="10">
        <v>6.5659722222222217E-2</v>
      </c>
      <c r="Y469" s="9">
        <v>1</v>
      </c>
      <c r="Z469" s="9">
        <v>1</v>
      </c>
      <c r="AA469" s="9">
        <v>1</v>
      </c>
      <c r="AB469" s="9">
        <v>1</v>
      </c>
      <c r="AC469" s="9">
        <v>1</v>
      </c>
      <c r="AD469" s="9">
        <v>2</v>
      </c>
      <c r="AE469" s="9" t="s">
        <v>84</v>
      </c>
      <c r="AF469" s="9" t="s">
        <v>2894</v>
      </c>
      <c r="AG469" s="9" t="s">
        <v>3867</v>
      </c>
      <c r="AH469" s="9">
        <v>6.2256390000000001</v>
      </c>
      <c r="AI469" s="9">
        <v>-75.599331000000006</v>
      </c>
      <c r="AJ469" s="9" t="s">
        <v>3868</v>
      </c>
      <c r="AK469" s="9">
        <v>6.2256850000000004</v>
      </c>
      <c r="AL469" s="9">
        <v>-75.599348000000006</v>
      </c>
      <c r="AM469" s="26">
        <f t="shared" si="8"/>
        <v>0</v>
      </c>
    </row>
    <row r="470" spans="1:39" ht="15" x14ac:dyDescent="0.25">
      <c r="A470" s="9" t="s">
        <v>3869</v>
      </c>
      <c r="B470" s="9" t="s">
        <v>3870</v>
      </c>
      <c r="C470" s="9" t="s">
        <v>3871</v>
      </c>
      <c r="D470" s="9" t="s">
        <v>3856</v>
      </c>
      <c r="E470" s="9" t="s">
        <v>2619</v>
      </c>
      <c r="F470" s="9" t="s">
        <v>508</v>
      </c>
      <c r="G470" s="9" t="s">
        <v>62</v>
      </c>
      <c r="H470" s="9" t="s">
        <v>63</v>
      </c>
      <c r="I470" s="9" t="s">
        <v>40</v>
      </c>
      <c r="J470" s="9">
        <v>4292</v>
      </c>
      <c r="K470" s="9" t="s">
        <v>3872</v>
      </c>
      <c r="L470" s="9" t="s">
        <v>42</v>
      </c>
      <c r="M470" s="10">
        <v>1.207175925925926E-2</v>
      </c>
      <c r="N470" s="9" t="s">
        <v>43</v>
      </c>
      <c r="O470" s="9" t="s">
        <v>3873</v>
      </c>
      <c r="P470" s="9" t="s">
        <v>45</v>
      </c>
      <c r="Q470" s="10">
        <v>9.4247685185185184E-2</v>
      </c>
      <c r="R470" s="9" t="s">
        <v>129</v>
      </c>
      <c r="S470" s="10">
        <v>0.41550925925925919</v>
      </c>
      <c r="T470" s="9">
        <v>62.101999999999997</v>
      </c>
      <c r="U470" s="9">
        <v>7.83</v>
      </c>
      <c r="V470" s="10">
        <v>0.33065972222222217</v>
      </c>
      <c r="W470" s="10">
        <v>0.25177083333333328</v>
      </c>
      <c r="X470" s="10">
        <v>5.1041666666666666E-3</v>
      </c>
      <c r="Y470" s="9">
        <v>0</v>
      </c>
      <c r="Z470" s="9">
        <v>0</v>
      </c>
      <c r="AA470" s="9">
        <v>0</v>
      </c>
      <c r="AB470" s="9">
        <v>0</v>
      </c>
      <c r="AC470" s="9">
        <v>0</v>
      </c>
      <c r="AD470" s="9">
        <v>3</v>
      </c>
      <c r="AE470" s="9" t="s">
        <v>130</v>
      </c>
      <c r="AF470" s="9" t="s">
        <v>3874</v>
      </c>
      <c r="AG470" s="9" t="s">
        <v>3875</v>
      </c>
      <c r="AH470" s="9">
        <v>6.2256299999999998</v>
      </c>
      <c r="AI470" s="9">
        <v>-75.599422000000004</v>
      </c>
      <c r="AJ470" s="9" t="s">
        <v>3876</v>
      </c>
      <c r="AK470" s="9">
        <v>6.3102330000000002</v>
      </c>
      <c r="AL470" s="9">
        <v>-75.578072000000006</v>
      </c>
      <c r="AM470" s="26">
        <f t="shared" si="8"/>
        <v>1.207175925925926E-2</v>
      </c>
    </row>
    <row r="471" spans="1:39" ht="15" x14ac:dyDescent="0.25">
      <c r="A471" s="9" t="s">
        <v>3877</v>
      </c>
      <c r="B471" s="9" t="s">
        <v>3878</v>
      </c>
      <c r="C471" s="9" t="s">
        <v>3879</v>
      </c>
      <c r="D471" s="9" t="s">
        <v>3856</v>
      </c>
      <c r="E471" s="9" t="s">
        <v>2619</v>
      </c>
      <c r="F471" s="9" t="s">
        <v>508</v>
      </c>
      <c r="G471" s="9" t="s">
        <v>144</v>
      </c>
      <c r="H471" s="9" t="s">
        <v>145</v>
      </c>
      <c r="I471" s="9" t="s">
        <v>40</v>
      </c>
      <c r="J471" s="9">
        <v>5994</v>
      </c>
      <c r="K471" s="9" t="s">
        <v>3880</v>
      </c>
      <c r="L471" s="9" t="s">
        <v>42</v>
      </c>
      <c r="M471" s="10">
        <v>2.9629629629629628E-3</v>
      </c>
      <c r="N471" s="9" t="s">
        <v>65</v>
      </c>
      <c r="O471" s="9" t="s">
        <v>3881</v>
      </c>
      <c r="P471" s="9" t="s">
        <v>45</v>
      </c>
      <c r="Q471" s="10">
        <v>4.9652777777777777E-3</v>
      </c>
      <c r="R471" s="9" t="s">
        <v>46</v>
      </c>
      <c r="S471" s="10">
        <v>0.33133101851851848</v>
      </c>
      <c r="T471" s="9">
        <v>80.067999999999998</v>
      </c>
      <c r="U471" s="9">
        <v>13.72</v>
      </c>
      <c r="V471" s="10">
        <v>0.24310185185185179</v>
      </c>
      <c r="W471" s="10">
        <v>9.8518518518518519E-2</v>
      </c>
      <c r="X471" s="10">
        <v>0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9">
        <v>0</v>
      </c>
      <c r="AE471" s="9" t="s">
        <v>84</v>
      </c>
      <c r="AF471" s="9" t="s">
        <v>352</v>
      </c>
      <c r="AG471" s="9" t="s">
        <v>3882</v>
      </c>
      <c r="AH471" s="9">
        <v>6.2257020000000001</v>
      </c>
      <c r="AI471" s="9">
        <v>-75.599575000000002</v>
      </c>
      <c r="AJ471" s="9" t="s">
        <v>3883</v>
      </c>
      <c r="AK471" s="9">
        <v>6.2904960000000001</v>
      </c>
      <c r="AL471" s="9">
        <v>-75.546454999999995</v>
      </c>
      <c r="AM471" s="26">
        <f t="shared" si="8"/>
        <v>0</v>
      </c>
    </row>
    <row r="472" spans="1:39" ht="15" x14ac:dyDescent="0.25">
      <c r="A472" s="9" t="s">
        <v>3884</v>
      </c>
      <c r="B472" s="9" t="s">
        <v>3885</v>
      </c>
      <c r="C472" s="9" t="s">
        <v>3886</v>
      </c>
      <c r="D472" s="9" t="s">
        <v>3856</v>
      </c>
      <c r="E472" s="9" t="s">
        <v>2619</v>
      </c>
      <c r="F472" s="9" t="s">
        <v>508</v>
      </c>
      <c r="G472" s="9" t="s">
        <v>89</v>
      </c>
      <c r="H472" s="9" t="s">
        <v>90</v>
      </c>
      <c r="I472" s="9" t="s">
        <v>40</v>
      </c>
      <c r="J472" s="9">
        <v>3233</v>
      </c>
      <c r="K472" s="9" t="s">
        <v>3887</v>
      </c>
      <c r="L472" s="9" t="s">
        <v>42</v>
      </c>
      <c r="M472" s="10">
        <v>6.4583333333333333E-3</v>
      </c>
      <c r="N472" s="9" t="s">
        <v>65</v>
      </c>
      <c r="O472" s="9" t="s">
        <v>3888</v>
      </c>
      <c r="P472" s="9" t="s">
        <v>45</v>
      </c>
      <c r="Q472" s="10">
        <v>0.10381944444444451</v>
      </c>
      <c r="R472" s="9" t="s">
        <v>56</v>
      </c>
      <c r="S472" s="10">
        <v>0.22305555555555559</v>
      </c>
      <c r="T472" s="9">
        <v>42.648000000000003</v>
      </c>
      <c r="U472" s="9">
        <v>10.73</v>
      </c>
      <c r="V472" s="10">
        <v>0.16562499999999999</v>
      </c>
      <c r="W472" s="10">
        <v>8.7974537037037032E-2</v>
      </c>
      <c r="X472" s="10">
        <v>2.4062500000000001E-2</v>
      </c>
      <c r="Y472" s="9">
        <v>1</v>
      </c>
      <c r="Z472" s="9">
        <v>1</v>
      </c>
      <c r="AA472" s="9">
        <v>1</v>
      </c>
      <c r="AB472" s="9">
        <v>0</v>
      </c>
      <c r="AC472" s="9">
        <v>0</v>
      </c>
      <c r="AD472" s="9">
        <v>0</v>
      </c>
      <c r="AE472" s="9" t="s">
        <v>67</v>
      </c>
      <c r="AF472" s="9" t="s">
        <v>3889</v>
      </c>
      <c r="AG472" s="9" t="s">
        <v>3890</v>
      </c>
      <c r="AH472" s="9">
        <v>6.2269459999999999</v>
      </c>
      <c r="AI472" s="9">
        <v>-75.599124000000003</v>
      </c>
      <c r="AJ472" s="9" t="s">
        <v>3891</v>
      </c>
      <c r="AK472" s="9">
        <v>6.282292</v>
      </c>
      <c r="AL472" s="9">
        <v>-75.563462999999999</v>
      </c>
      <c r="AM472" s="26">
        <f t="shared" si="8"/>
        <v>0.10381944444444451</v>
      </c>
    </row>
    <row r="473" spans="1:39" ht="15" x14ac:dyDescent="0.25">
      <c r="A473" s="9" t="s">
        <v>3892</v>
      </c>
      <c r="B473" s="9" t="s">
        <v>3893</v>
      </c>
      <c r="C473" s="9" t="s">
        <v>3894</v>
      </c>
      <c r="D473" s="9" t="s">
        <v>3856</v>
      </c>
      <c r="E473" s="9" t="s">
        <v>2619</v>
      </c>
      <c r="F473" s="9" t="s">
        <v>508</v>
      </c>
      <c r="G473" s="9" t="s">
        <v>113</v>
      </c>
      <c r="H473" s="9" t="s">
        <v>114</v>
      </c>
      <c r="I473" s="9" t="s">
        <v>115</v>
      </c>
      <c r="J473" s="9">
        <v>2587</v>
      </c>
      <c r="K473" s="9" t="s">
        <v>3895</v>
      </c>
      <c r="L473" s="9" t="s">
        <v>117</v>
      </c>
      <c r="M473" s="10">
        <v>9.0856481481481483E-3</v>
      </c>
      <c r="N473" s="9" t="s">
        <v>65</v>
      </c>
      <c r="O473" s="9" t="s">
        <v>3896</v>
      </c>
      <c r="P473" s="9" t="s">
        <v>119</v>
      </c>
      <c r="Q473" s="10">
        <v>1.712962962962963E-3</v>
      </c>
      <c r="R473" s="9" t="s">
        <v>46</v>
      </c>
      <c r="S473" s="10">
        <v>0.23920138888888889</v>
      </c>
      <c r="T473" s="9">
        <v>36.43</v>
      </c>
      <c r="U473" s="9">
        <v>8.6300000000000008</v>
      </c>
      <c r="V473" s="10">
        <v>0.1758912037037037</v>
      </c>
      <c r="W473" s="10">
        <v>0.11684027777777781</v>
      </c>
      <c r="X473" s="10">
        <v>0</v>
      </c>
      <c r="Y473" s="9">
        <v>0</v>
      </c>
      <c r="Z473" s="9">
        <v>0</v>
      </c>
      <c r="AA473" s="9">
        <v>0</v>
      </c>
      <c r="AB473" s="9">
        <v>0</v>
      </c>
      <c r="AC473" s="9">
        <v>0</v>
      </c>
      <c r="AD473" s="9">
        <v>2</v>
      </c>
      <c r="AE473" s="9" t="s">
        <v>84</v>
      </c>
      <c r="AF473" s="9" t="s">
        <v>1384</v>
      </c>
      <c r="AG473" s="9" t="s">
        <v>3897</v>
      </c>
      <c r="AH473" s="9">
        <v>6.2591720000000004</v>
      </c>
      <c r="AI473" s="9">
        <v>-75.600713999999996</v>
      </c>
      <c r="AJ473" s="9" t="s">
        <v>3898</v>
      </c>
      <c r="AK473" s="9">
        <v>6.2478290000000003</v>
      </c>
      <c r="AL473" s="9">
        <v>-75.615061999999995</v>
      </c>
      <c r="AM473" s="26">
        <f t="shared" si="8"/>
        <v>0</v>
      </c>
    </row>
    <row r="474" spans="1:39" ht="15" x14ac:dyDescent="0.25">
      <c r="A474" s="9" t="s">
        <v>3899</v>
      </c>
      <c r="B474" s="9" t="s">
        <v>3900</v>
      </c>
      <c r="C474" s="9" t="s">
        <v>3901</v>
      </c>
      <c r="D474" s="9" t="s">
        <v>3856</v>
      </c>
      <c r="E474" s="9" t="s">
        <v>2619</v>
      </c>
      <c r="F474" s="9" t="s">
        <v>508</v>
      </c>
      <c r="G474" s="9" t="s">
        <v>124</v>
      </c>
      <c r="H474" s="9" t="s">
        <v>125</v>
      </c>
      <c r="I474" s="9" t="s">
        <v>115</v>
      </c>
      <c r="J474" s="9">
        <v>5039</v>
      </c>
      <c r="K474" s="9" t="s">
        <v>3902</v>
      </c>
      <c r="L474" s="9" t="s">
        <v>117</v>
      </c>
      <c r="M474" s="10">
        <v>5.3761574074074073E-2</v>
      </c>
      <c r="N474" s="9" t="s">
        <v>127</v>
      </c>
      <c r="O474" s="9" t="s">
        <v>3903</v>
      </c>
      <c r="P474" s="9" t="s">
        <v>119</v>
      </c>
      <c r="Q474" s="10">
        <v>1.667824074074074E-2</v>
      </c>
      <c r="R474" s="9" t="s">
        <v>129</v>
      </c>
      <c r="S474" s="10">
        <v>0.32043981481481482</v>
      </c>
      <c r="T474" s="9">
        <v>67.727000000000004</v>
      </c>
      <c r="U474" s="9">
        <v>13.5</v>
      </c>
      <c r="V474" s="10">
        <v>0.20905092592592589</v>
      </c>
      <c r="W474" s="10">
        <v>8.9733796296296298E-2</v>
      </c>
      <c r="X474" s="10">
        <v>1.7349537037037038E-2</v>
      </c>
      <c r="Y474" s="9">
        <v>1</v>
      </c>
      <c r="Z474" s="9">
        <v>1</v>
      </c>
      <c r="AA474" s="9">
        <v>0</v>
      </c>
      <c r="AB474" s="9">
        <v>0</v>
      </c>
      <c r="AC474" s="9">
        <v>0</v>
      </c>
      <c r="AD474" s="9">
        <v>0</v>
      </c>
      <c r="AE474" s="9" t="s">
        <v>130</v>
      </c>
      <c r="AF474" s="9" t="s">
        <v>3904</v>
      </c>
      <c r="AG474" s="9" t="s">
        <v>3905</v>
      </c>
      <c r="AH474" s="9">
        <v>6.2278919999999998</v>
      </c>
      <c r="AI474" s="9">
        <v>-75.599327000000002</v>
      </c>
      <c r="AJ474" s="9" t="s">
        <v>3906</v>
      </c>
      <c r="AK474" s="9">
        <v>6.2726980000000001</v>
      </c>
      <c r="AL474" s="9">
        <v>-75.602052</v>
      </c>
      <c r="AM474" s="26">
        <f t="shared" si="8"/>
        <v>0</v>
      </c>
    </row>
    <row r="475" spans="1:39" ht="15" x14ac:dyDescent="0.25">
      <c r="A475" s="9" t="s">
        <v>3907</v>
      </c>
      <c r="B475" s="9" t="s">
        <v>3908</v>
      </c>
      <c r="C475" s="9" t="s">
        <v>3909</v>
      </c>
      <c r="D475" s="9" t="s">
        <v>3856</v>
      </c>
      <c r="E475" s="9" t="s">
        <v>2619</v>
      </c>
      <c r="F475" s="9" t="s">
        <v>508</v>
      </c>
      <c r="G475" s="9" t="s">
        <v>135</v>
      </c>
      <c r="H475" s="9" t="s">
        <v>136</v>
      </c>
      <c r="I475" s="9" t="s">
        <v>115</v>
      </c>
      <c r="J475" s="9">
        <v>1276</v>
      </c>
      <c r="K475" s="9" t="s">
        <v>3910</v>
      </c>
      <c r="L475" s="9" t="s">
        <v>117</v>
      </c>
      <c r="M475" s="10">
        <v>3.4560185185185187E-2</v>
      </c>
      <c r="N475" s="9" t="s">
        <v>127</v>
      </c>
      <c r="O475" s="9" t="s">
        <v>3911</v>
      </c>
      <c r="P475" s="9" t="s">
        <v>119</v>
      </c>
      <c r="Q475" s="10">
        <v>8.86574074074074E-3</v>
      </c>
      <c r="R475" s="9" t="s">
        <v>46</v>
      </c>
      <c r="S475" s="10">
        <v>0.27569444444444452</v>
      </c>
      <c r="T475" s="9">
        <v>35.518999999999998</v>
      </c>
      <c r="U475" s="9">
        <v>8.77</v>
      </c>
      <c r="V475" s="10">
        <v>0.1688078703703704</v>
      </c>
      <c r="W475" s="10">
        <v>9.4421296296296295E-2</v>
      </c>
      <c r="X475" s="10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6</v>
      </c>
      <c r="AE475" s="9" t="s">
        <v>139</v>
      </c>
      <c r="AF475" s="9" t="s">
        <v>3912</v>
      </c>
      <c r="AG475" s="9" t="s">
        <v>3913</v>
      </c>
      <c r="AH475" s="9">
        <v>6.2280410000000002</v>
      </c>
      <c r="AI475" s="9">
        <v>-75.596376000000006</v>
      </c>
      <c r="AJ475" s="9" t="s">
        <v>3914</v>
      </c>
      <c r="AK475" s="9">
        <v>6.2725470000000003</v>
      </c>
      <c r="AL475" s="9">
        <v>-75.540334000000001</v>
      </c>
      <c r="AM475" s="26">
        <f t="shared" si="8"/>
        <v>0</v>
      </c>
    </row>
    <row r="476" spans="1:39" ht="15" x14ac:dyDescent="0.25">
      <c r="A476" s="9" t="s">
        <v>3915</v>
      </c>
      <c r="B476" s="9" t="s">
        <v>3916</v>
      </c>
      <c r="C476" s="9" t="s">
        <v>3917</v>
      </c>
      <c r="D476" s="9" t="s">
        <v>3856</v>
      </c>
      <c r="E476" s="9" t="s">
        <v>2619</v>
      </c>
      <c r="F476" s="9" t="s">
        <v>508</v>
      </c>
      <c r="G476" s="9" t="s">
        <v>72</v>
      </c>
      <c r="H476" s="9" t="s">
        <v>73</v>
      </c>
      <c r="I476" s="9" t="s">
        <v>115</v>
      </c>
      <c r="J476" s="9">
        <v>2385</v>
      </c>
      <c r="K476" s="9" t="s">
        <v>3918</v>
      </c>
      <c r="L476" s="9" t="s">
        <v>117</v>
      </c>
      <c r="M476" s="10">
        <v>5.903935185185185E-2</v>
      </c>
      <c r="N476" s="9" t="s">
        <v>127</v>
      </c>
      <c r="O476" s="9" t="s">
        <v>3919</v>
      </c>
      <c r="P476" s="9" t="s">
        <v>119</v>
      </c>
      <c r="Q476" s="10">
        <v>7.2337962962962965E-2</v>
      </c>
      <c r="R476" s="9" t="s">
        <v>56</v>
      </c>
      <c r="S476" s="10">
        <v>0.23670138888888889</v>
      </c>
      <c r="T476" s="9">
        <v>33.832999999999998</v>
      </c>
      <c r="U476" s="9">
        <v>6.8</v>
      </c>
      <c r="V476" s="10">
        <v>0.20729166666666671</v>
      </c>
      <c r="W476" s="10">
        <v>0.16829861111111111</v>
      </c>
      <c r="X476" s="10">
        <v>0</v>
      </c>
      <c r="Y476" s="9">
        <v>0</v>
      </c>
      <c r="Z476" s="9">
        <v>0</v>
      </c>
      <c r="AA476" s="9">
        <v>0</v>
      </c>
      <c r="AB476" s="9">
        <v>0</v>
      </c>
      <c r="AC476" s="9">
        <v>0</v>
      </c>
      <c r="AD476" s="9">
        <v>1</v>
      </c>
      <c r="AE476" s="9" t="s">
        <v>139</v>
      </c>
      <c r="AF476" s="9" t="s">
        <v>3920</v>
      </c>
      <c r="AG476" s="9" t="s">
        <v>3921</v>
      </c>
      <c r="AH476" s="9">
        <v>6.2259380000000002</v>
      </c>
      <c r="AI476" s="9">
        <v>-75.599412000000001</v>
      </c>
      <c r="AJ476" s="9" t="s">
        <v>3922</v>
      </c>
      <c r="AK476" s="9">
        <v>6.2369620000000001</v>
      </c>
      <c r="AL476" s="9">
        <v>-75.558886000000001</v>
      </c>
      <c r="AM476" s="26">
        <f t="shared" si="8"/>
        <v>7.2337962962962965E-2</v>
      </c>
    </row>
    <row r="477" spans="1:39" ht="15" x14ac:dyDescent="0.25">
      <c r="A477" s="9" t="s">
        <v>3923</v>
      </c>
      <c r="B477" s="9" t="s">
        <v>3924</v>
      </c>
      <c r="C477" s="9" t="s">
        <v>3925</v>
      </c>
      <c r="D477" s="9" t="s">
        <v>3856</v>
      </c>
      <c r="E477" s="9" t="s">
        <v>2619</v>
      </c>
      <c r="F477" s="9" t="s">
        <v>508</v>
      </c>
      <c r="G477" s="9" t="s">
        <v>80</v>
      </c>
      <c r="H477" s="9" t="s">
        <v>81</v>
      </c>
      <c r="I477" s="9" t="s">
        <v>115</v>
      </c>
      <c r="J477" s="9">
        <v>6726</v>
      </c>
      <c r="K477" s="9" t="s">
        <v>3926</v>
      </c>
      <c r="L477" s="9" t="s">
        <v>117</v>
      </c>
      <c r="M477" s="10">
        <v>4.223369212962963E-2</v>
      </c>
      <c r="N477" s="9" t="s">
        <v>127</v>
      </c>
      <c r="O477" s="9" t="s">
        <v>3927</v>
      </c>
      <c r="P477" s="9" t="s">
        <v>119</v>
      </c>
      <c r="Q477" s="10">
        <v>5.0814583333333337E-3</v>
      </c>
      <c r="R477" s="9" t="s">
        <v>46</v>
      </c>
      <c r="S477" s="10">
        <v>0.28715223379629629</v>
      </c>
      <c r="T477" s="9">
        <v>46.881999999999998</v>
      </c>
      <c r="U477" s="9">
        <v>19.25</v>
      </c>
      <c r="V477" s="10">
        <v>0.10148484953703669</v>
      </c>
      <c r="W477" s="10">
        <v>4.2849513888888878E-2</v>
      </c>
      <c r="X477" s="10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13</v>
      </c>
      <c r="AE477" s="9" t="s">
        <v>139</v>
      </c>
      <c r="AF477" s="9" t="s">
        <v>3928</v>
      </c>
      <c r="AG477" s="9" t="s">
        <v>3929</v>
      </c>
      <c r="AH477" s="9">
        <v>6.2257300000000004</v>
      </c>
      <c r="AI477" s="9">
        <v>-75.599359000000007</v>
      </c>
      <c r="AJ477" s="9" t="s">
        <v>3930</v>
      </c>
      <c r="AK477" s="9">
        <v>6.2593240000000003</v>
      </c>
      <c r="AL477" s="9">
        <v>-75.620675000000006</v>
      </c>
      <c r="AM477" s="26">
        <f t="shared" si="8"/>
        <v>0</v>
      </c>
    </row>
    <row r="478" spans="1:39" ht="15" x14ac:dyDescent="0.25">
      <c r="A478" s="9" t="s">
        <v>3931</v>
      </c>
      <c r="B478" s="9" t="s">
        <v>3932</v>
      </c>
      <c r="C478" s="9" t="s">
        <v>3933</v>
      </c>
      <c r="D478" s="9" t="s">
        <v>3856</v>
      </c>
      <c r="E478" s="9" t="s">
        <v>2619</v>
      </c>
      <c r="F478" s="9" t="s">
        <v>508</v>
      </c>
      <c r="G478" s="9" t="s">
        <v>152</v>
      </c>
      <c r="H478" s="9" t="s">
        <v>153</v>
      </c>
      <c r="I478" s="9" t="s">
        <v>115</v>
      </c>
      <c r="J478" s="9">
        <v>5092</v>
      </c>
      <c r="K478" s="9" t="s">
        <v>3934</v>
      </c>
      <c r="L478" s="9" t="s">
        <v>117</v>
      </c>
      <c r="M478" s="10">
        <v>4.5335648148148153E-2</v>
      </c>
      <c r="N478" s="9" t="s">
        <v>127</v>
      </c>
      <c r="O478" s="9" t="s">
        <v>3935</v>
      </c>
      <c r="P478" s="9" t="s">
        <v>119</v>
      </c>
      <c r="Q478" s="10">
        <v>3.7037037037037041E-4</v>
      </c>
      <c r="R478" s="9" t="s">
        <v>46</v>
      </c>
      <c r="S478" s="10">
        <v>0.29570601851851852</v>
      </c>
      <c r="T478" s="9">
        <v>77.704999999999998</v>
      </c>
      <c r="U478" s="9">
        <v>14.9</v>
      </c>
      <c r="V478" s="10">
        <v>0.21728009259259259</v>
      </c>
      <c r="W478" s="10">
        <v>0.1166898148148148</v>
      </c>
      <c r="X478" s="10">
        <v>1.180555555555556E-2</v>
      </c>
      <c r="Y478" s="9">
        <v>1</v>
      </c>
      <c r="Z478" s="9">
        <v>1</v>
      </c>
      <c r="AA478" s="9">
        <v>0</v>
      </c>
      <c r="AB478" s="9">
        <v>0</v>
      </c>
      <c r="AC478" s="9">
        <v>0</v>
      </c>
      <c r="AD478" s="9">
        <v>0</v>
      </c>
      <c r="AE478" s="9" t="s">
        <v>139</v>
      </c>
      <c r="AF478" s="9" t="s">
        <v>3936</v>
      </c>
      <c r="AG478" s="9" t="s">
        <v>3937</v>
      </c>
      <c r="AH478" s="9">
        <v>6.225638</v>
      </c>
      <c r="AI478" s="9">
        <v>-75.599412000000001</v>
      </c>
      <c r="AJ478" s="9" t="s">
        <v>3938</v>
      </c>
      <c r="AK478" s="9">
        <v>6.2518820000000002</v>
      </c>
      <c r="AL478" s="9">
        <v>-75.551742000000004</v>
      </c>
      <c r="AM478" s="26">
        <f t="shared" si="8"/>
        <v>0</v>
      </c>
    </row>
    <row r="479" spans="1:39" ht="15" x14ac:dyDescent="0.25">
      <c r="A479" s="9" t="s">
        <v>3939</v>
      </c>
      <c r="B479" s="9" t="s">
        <v>3940</v>
      </c>
      <c r="C479" s="9" t="s">
        <v>3941</v>
      </c>
      <c r="D479" s="9" t="s">
        <v>3856</v>
      </c>
      <c r="E479" s="9" t="s">
        <v>2619</v>
      </c>
      <c r="F479" s="9" t="s">
        <v>508</v>
      </c>
      <c r="G479" s="9" t="s">
        <v>160</v>
      </c>
      <c r="H479" s="9" t="s">
        <v>161</v>
      </c>
      <c r="I479" s="9" t="s">
        <v>115</v>
      </c>
      <c r="J479" s="9">
        <v>10766</v>
      </c>
      <c r="K479" s="9" t="s">
        <v>3942</v>
      </c>
      <c r="L479" s="9" t="s">
        <v>117</v>
      </c>
      <c r="M479" s="10">
        <v>3.5478287037037037E-2</v>
      </c>
      <c r="N479" s="9" t="s">
        <v>127</v>
      </c>
      <c r="O479" s="9" t="s">
        <v>3943</v>
      </c>
      <c r="P479" s="9" t="s">
        <v>119</v>
      </c>
      <c r="Q479" s="10">
        <v>3.1094907407407408E-3</v>
      </c>
      <c r="R479" s="9" t="s">
        <v>46</v>
      </c>
      <c r="S479" s="10">
        <v>0.28858777777777778</v>
      </c>
      <c r="T479" s="9">
        <v>47.392000000000003</v>
      </c>
      <c r="U479" s="9">
        <v>12.16</v>
      </c>
      <c r="V479" s="10">
        <v>0.16239189814814831</v>
      </c>
      <c r="W479" s="10">
        <v>0.13039340277777781</v>
      </c>
      <c r="X479" s="10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0</v>
      </c>
      <c r="AD479" s="9">
        <v>4</v>
      </c>
      <c r="AE479" s="9" t="s">
        <v>139</v>
      </c>
      <c r="AF479" s="9" t="s">
        <v>3944</v>
      </c>
      <c r="AG479" s="9" t="s">
        <v>3945</v>
      </c>
      <c r="AH479" s="9">
        <v>6.2256099999999996</v>
      </c>
      <c r="AI479" s="9">
        <v>-75.599924999999999</v>
      </c>
      <c r="AJ479" s="9" t="s">
        <v>3946</v>
      </c>
      <c r="AK479" s="9">
        <v>6.2686149999999996</v>
      </c>
      <c r="AL479" s="9">
        <v>-75.599490000000003</v>
      </c>
      <c r="AM479" s="26">
        <f t="shared" si="8"/>
        <v>0</v>
      </c>
    </row>
    <row r="480" spans="1:39" ht="15" x14ac:dyDescent="0.25">
      <c r="A480" s="9" t="s">
        <v>3947</v>
      </c>
      <c r="B480" s="9" t="s">
        <v>3948</v>
      </c>
      <c r="C480" s="9" t="s">
        <v>3949</v>
      </c>
      <c r="D480" s="9" t="s">
        <v>3856</v>
      </c>
      <c r="E480" s="9" t="s">
        <v>2619</v>
      </c>
      <c r="F480" s="9" t="s">
        <v>508</v>
      </c>
      <c r="G480" s="9" t="s">
        <v>97</v>
      </c>
      <c r="H480" s="9" t="s">
        <v>98</v>
      </c>
      <c r="I480" s="9" t="s">
        <v>115</v>
      </c>
      <c r="J480" s="9">
        <v>2086</v>
      </c>
      <c r="K480" s="9" t="s">
        <v>3950</v>
      </c>
      <c r="L480" s="9" t="s">
        <v>117</v>
      </c>
      <c r="M480" s="10">
        <v>1.7650462962962962E-2</v>
      </c>
      <c r="N480" s="9" t="s">
        <v>43</v>
      </c>
      <c r="O480" s="9" t="s">
        <v>3951</v>
      </c>
      <c r="P480" s="9" t="s">
        <v>119</v>
      </c>
      <c r="Q480" s="10">
        <v>3.4930555555555548E-2</v>
      </c>
      <c r="R480" s="9" t="s">
        <v>56</v>
      </c>
      <c r="S480" s="10">
        <v>0.19741898148148149</v>
      </c>
      <c r="T480" s="9">
        <v>28.238</v>
      </c>
      <c r="U480" s="9">
        <v>8.11</v>
      </c>
      <c r="V480" s="10">
        <v>0.14512731481481481</v>
      </c>
      <c r="W480" s="10">
        <v>9.1122685185185182E-2</v>
      </c>
      <c r="X480" s="10">
        <v>0</v>
      </c>
      <c r="Y480" s="9">
        <v>0</v>
      </c>
      <c r="Z480" s="9">
        <v>0</v>
      </c>
      <c r="AA480" s="9">
        <v>0</v>
      </c>
      <c r="AB480" s="9">
        <v>0</v>
      </c>
      <c r="AC480" s="9">
        <v>0</v>
      </c>
      <c r="AD480" s="9">
        <v>1</v>
      </c>
      <c r="AE480" s="9" t="s">
        <v>57</v>
      </c>
      <c r="AF480" s="9" t="s">
        <v>3952</v>
      </c>
      <c r="AG480" s="9" t="s">
        <v>3953</v>
      </c>
      <c r="AH480" s="9">
        <v>6.2228089999999998</v>
      </c>
      <c r="AI480" s="9">
        <v>-75.598541999999995</v>
      </c>
      <c r="AJ480" s="9" t="s">
        <v>3954</v>
      </c>
      <c r="AK480" s="9">
        <v>6.3052380000000001</v>
      </c>
      <c r="AL480" s="9">
        <v>-75.577174999999997</v>
      </c>
      <c r="AM480" s="26">
        <f t="shared" si="8"/>
        <v>5.2581018518518513E-2</v>
      </c>
    </row>
    <row r="481" spans="1:40" ht="15" x14ac:dyDescent="0.25">
      <c r="A481" s="9" t="s">
        <v>3955</v>
      </c>
      <c r="B481" s="9" t="s">
        <v>3956</v>
      </c>
      <c r="C481" s="9" t="s">
        <v>3957</v>
      </c>
      <c r="D481" s="9" t="s">
        <v>3856</v>
      </c>
      <c r="E481" s="9" t="s">
        <v>2619</v>
      </c>
      <c r="F481" s="9" t="s">
        <v>508</v>
      </c>
      <c r="G481" s="9" t="s">
        <v>105</v>
      </c>
      <c r="H481" s="9" t="s">
        <v>106</v>
      </c>
      <c r="I481" s="9" t="s">
        <v>115</v>
      </c>
      <c r="J481" s="9">
        <v>2564</v>
      </c>
      <c r="K481" s="9" t="s">
        <v>3958</v>
      </c>
      <c r="L481" s="9" t="s">
        <v>117</v>
      </c>
      <c r="M481" s="10">
        <v>2.104166666666667E-2</v>
      </c>
      <c r="N481" s="9" t="s">
        <v>43</v>
      </c>
      <c r="O481" s="9" t="s">
        <v>3959</v>
      </c>
      <c r="P481" s="9" t="s">
        <v>119</v>
      </c>
      <c r="Q481" s="10">
        <v>1.006944444444444E-3</v>
      </c>
      <c r="R481" s="9" t="s">
        <v>46</v>
      </c>
      <c r="S481" s="10">
        <v>0.22996527777777781</v>
      </c>
      <c r="T481" s="9">
        <v>68.587999999999994</v>
      </c>
      <c r="U481" s="9">
        <v>19.579999999999998</v>
      </c>
      <c r="V481" s="10">
        <v>0.1459375</v>
      </c>
      <c r="W481" s="10">
        <v>5.8981481481481482E-2</v>
      </c>
      <c r="X481" s="10">
        <v>0</v>
      </c>
      <c r="Y481" s="9">
        <v>0</v>
      </c>
      <c r="Z481" s="9">
        <v>0</v>
      </c>
      <c r="AA481" s="9">
        <v>0</v>
      </c>
      <c r="AB481" s="9">
        <v>0</v>
      </c>
      <c r="AC481" s="9">
        <v>0</v>
      </c>
      <c r="AD481" s="9">
        <v>1</v>
      </c>
      <c r="AE481" s="9" t="s">
        <v>47</v>
      </c>
      <c r="AF481" s="9" t="s">
        <v>3960</v>
      </c>
      <c r="AG481" s="9" t="s">
        <v>3961</v>
      </c>
      <c r="AH481" s="9">
        <v>6.258216</v>
      </c>
      <c r="AI481" s="9">
        <v>-75.622231999999997</v>
      </c>
      <c r="AJ481" s="9" t="s">
        <v>3962</v>
      </c>
      <c r="AK481" s="9">
        <v>6.2584609999999996</v>
      </c>
      <c r="AL481" s="9">
        <v>-75.615835000000004</v>
      </c>
      <c r="AM481" s="26">
        <f t="shared" si="8"/>
        <v>2.104166666666667E-2</v>
      </c>
    </row>
    <row r="482" spans="1:40" ht="15" x14ac:dyDescent="0.25">
      <c r="A482" s="9" t="s">
        <v>3963</v>
      </c>
      <c r="B482" s="9" t="s">
        <v>3964</v>
      </c>
      <c r="C482" s="9" t="s">
        <v>3965</v>
      </c>
      <c r="D482" s="9" t="s">
        <v>3966</v>
      </c>
      <c r="E482" s="9" t="s">
        <v>2619</v>
      </c>
      <c r="F482" s="9" t="s">
        <v>37</v>
      </c>
      <c r="G482" s="9" t="s">
        <v>38</v>
      </c>
      <c r="H482" s="9" t="s">
        <v>39</v>
      </c>
      <c r="I482" s="9" t="s">
        <v>40</v>
      </c>
      <c r="J482" s="9">
        <v>1765</v>
      </c>
      <c r="K482" s="9" t="s">
        <v>3967</v>
      </c>
      <c r="L482" s="9" t="s">
        <v>42</v>
      </c>
      <c r="M482" s="10">
        <v>2.704861111111111E-2</v>
      </c>
      <c r="N482" s="9" t="s">
        <v>127</v>
      </c>
      <c r="O482" s="9" t="s">
        <v>3968</v>
      </c>
      <c r="P482" s="9" t="s">
        <v>45</v>
      </c>
      <c r="Q482" s="10">
        <v>2.0833333333333329E-3</v>
      </c>
      <c r="R482" s="9" t="s">
        <v>46</v>
      </c>
      <c r="S482" s="10">
        <v>0.35829861111111111</v>
      </c>
      <c r="T482" s="9">
        <v>23.791</v>
      </c>
      <c r="U482" s="9">
        <v>3.44</v>
      </c>
      <c r="V482" s="10">
        <v>0.28827546296296302</v>
      </c>
      <c r="W482" s="10">
        <v>0.25462962962962971</v>
      </c>
      <c r="X482" s="10">
        <v>0</v>
      </c>
      <c r="Y482" s="9">
        <v>0</v>
      </c>
      <c r="Z482" s="9">
        <v>0</v>
      </c>
      <c r="AA482" s="9">
        <v>0</v>
      </c>
      <c r="AB482" s="9">
        <v>0</v>
      </c>
      <c r="AC482" s="9">
        <v>0</v>
      </c>
      <c r="AD482" s="9">
        <v>3</v>
      </c>
      <c r="AE482" s="9" t="s">
        <v>139</v>
      </c>
      <c r="AF482" s="9" t="s">
        <v>3969</v>
      </c>
      <c r="AG482" s="9" t="s">
        <v>3970</v>
      </c>
      <c r="AH482" s="9">
        <v>6.2257189999999998</v>
      </c>
      <c r="AI482" s="9">
        <v>-75.599436999999995</v>
      </c>
      <c r="AJ482" s="9" t="s">
        <v>3971</v>
      </c>
      <c r="AK482" s="9">
        <v>6.2503039999999999</v>
      </c>
      <c r="AL482" s="9">
        <v>-75.599763999999993</v>
      </c>
      <c r="AM482" s="26">
        <f t="shared" si="8"/>
        <v>0</v>
      </c>
    </row>
    <row r="483" spans="1:40" ht="15" x14ac:dyDescent="0.25">
      <c r="A483" s="9" t="s">
        <v>3972</v>
      </c>
      <c r="B483" s="9" t="s">
        <v>3973</v>
      </c>
      <c r="C483" s="9" t="s">
        <v>3974</v>
      </c>
      <c r="D483" s="9" t="s">
        <v>3966</v>
      </c>
      <c r="E483" s="9" t="s">
        <v>2619</v>
      </c>
      <c r="F483" s="9" t="s">
        <v>37</v>
      </c>
      <c r="G483" s="9" t="s">
        <v>52</v>
      </c>
      <c r="H483" s="9" t="s">
        <v>53</v>
      </c>
      <c r="I483" s="9" t="s">
        <v>40</v>
      </c>
      <c r="J483" s="9">
        <v>1765</v>
      </c>
      <c r="K483" s="9" t="s">
        <v>3967</v>
      </c>
      <c r="L483" s="9" t="s">
        <v>42</v>
      </c>
      <c r="M483" s="10">
        <v>2.704861111111111E-2</v>
      </c>
      <c r="N483" s="9" t="s">
        <v>127</v>
      </c>
      <c r="O483" s="9" t="s">
        <v>3968</v>
      </c>
      <c r="P483" s="9" t="s">
        <v>45</v>
      </c>
      <c r="Q483" s="10">
        <v>2.0833333333333329E-3</v>
      </c>
      <c r="R483" s="9" t="s">
        <v>46</v>
      </c>
      <c r="S483" s="10">
        <v>0.35829861111111111</v>
      </c>
      <c r="T483" s="9">
        <v>23.791</v>
      </c>
      <c r="U483" s="9">
        <v>3.44</v>
      </c>
      <c r="V483" s="10">
        <v>0.28827546296296302</v>
      </c>
      <c r="W483" s="10">
        <v>0.25462962962962971</v>
      </c>
      <c r="X483" s="10">
        <v>0</v>
      </c>
      <c r="Y483" s="9">
        <v>0</v>
      </c>
      <c r="Z483" s="9">
        <v>0</v>
      </c>
      <c r="AA483" s="9">
        <v>0</v>
      </c>
      <c r="AB483" s="9">
        <v>0</v>
      </c>
      <c r="AC483" s="9">
        <v>0</v>
      </c>
      <c r="AD483" s="9">
        <v>3</v>
      </c>
      <c r="AE483" s="9" t="s">
        <v>139</v>
      </c>
      <c r="AF483" s="9" t="s">
        <v>3969</v>
      </c>
      <c r="AG483" s="9" t="s">
        <v>3970</v>
      </c>
      <c r="AH483" s="9">
        <v>6.2257189999999998</v>
      </c>
      <c r="AI483" s="9">
        <v>-75.599436999999995</v>
      </c>
      <c r="AJ483" s="9" t="s">
        <v>3971</v>
      </c>
      <c r="AK483" s="9">
        <v>6.2503039999999999</v>
      </c>
      <c r="AL483" s="9">
        <v>-75.599763999999993</v>
      </c>
      <c r="AM483" s="26">
        <f t="shared" si="8"/>
        <v>0</v>
      </c>
    </row>
    <row r="484" spans="1:40" ht="15" x14ac:dyDescent="0.25">
      <c r="A484" s="9" t="s">
        <v>3975</v>
      </c>
      <c r="B484" s="9" t="s">
        <v>3976</v>
      </c>
      <c r="C484" s="9" t="s">
        <v>3977</v>
      </c>
      <c r="D484" s="9" t="s">
        <v>3966</v>
      </c>
      <c r="E484" s="9" t="s">
        <v>2619</v>
      </c>
      <c r="F484" s="9" t="s">
        <v>37</v>
      </c>
      <c r="G484" s="9" t="s">
        <v>144</v>
      </c>
      <c r="H484" s="9" t="s">
        <v>145</v>
      </c>
      <c r="I484" s="9" t="s">
        <v>40</v>
      </c>
      <c r="J484" s="9">
        <v>8095</v>
      </c>
      <c r="K484" s="9" t="s">
        <v>3978</v>
      </c>
      <c r="L484" s="9" t="s">
        <v>42</v>
      </c>
      <c r="M484" s="10">
        <v>3.6203703703703703E-2</v>
      </c>
      <c r="N484" s="9" t="s">
        <v>127</v>
      </c>
      <c r="O484" s="9" t="s">
        <v>3979</v>
      </c>
      <c r="P484" s="9" t="s">
        <v>45</v>
      </c>
      <c r="Q484" s="10">
        <v>1.8518518518518519E-3</v>
      </c>
      <c r="R484" s="9" t="s">
        <v>46</v>
      </c>
      <c r="S484" s="10">
        <v>0.36768518518518523</v>
      </c>
      <c r="T484" s="9">
        <v>109.85599999999999</v>
      </c>
      <c r="U484" s="9">
        <v>15.16</v>
      </c>
      <c r="V484" s="10">
        <v>0.30186342592592591</v>
      </c>
      <c r="W484" s="10">
        <v>7.3865740740740746E-2</v>
      </c>
      <c r="X484" s="10">
        <v>0</v>
      </c>
      <c r="Y484" s="9">
        <v>0</v>
      </c>
      <c r="Z484" s="9">
        <v>0</v>
      </c>
      <c r="AA484" s="9">
        <v>0</v>
      </c>
      <c r="AB484" s="9">
        <v>0</v>
      </c>
      <c r="AC484" s="9">
        <v>0</v>
      </c>
      <c r="AD484" s="9">
        <v>1</v>
      </c>
      <c r="AE484" s="9" t="s">
        <v>139</v>
      </c>
      <c r="AF484" s="9" t="s">
        <v>3980</v>
      </c>
      <c r="AG484" s="9" t="s">
        <v>3981</v>
      </c>
      <c r="AH484" s="9">
        <v>6.2905749999999996</v>
      </c>
      <c r="AI484" s="9">
        <v>-75.546308999999994</v>
      </c>
      <c r="AJ484" s="9" t="s">
        <v>3982</v>
      </c>
      <c r="AK484" s="9">
        <v>6.2728120000000001</v>
      </c>
      <c r="AL484" s="9">
        <v>-75.574382</v>
      </c>
      <c r="AM484" s="26">
        <f t="shared" si="8"/>
        <v>0</v>
      </c>
    </row>
    <row r="485" spans="1:40" ht="15" x14ac:dyDescent="0.25">
      <c r="A485" s="9" t="s">
        <v>3983</v>
      </c>
      <c r="B485" s="9" t="s">
        <v>3984</v>
      </c>
      <c r="C485" s="9" t="s">
        <v>3985</v>
      </c>
      <c r="D485" s="9" t="s">
        <v>3966</v>
      </c>
      <c r="E485" s="9" t="s">
        <v>2619</v>
      </c>
      <c r="F485" s="9" t="s">
        <v>37</v>
      </c>
      <c r="G485" s="9" t="s">
        <v>89</v>
      </c>
      <c r="H485" s="9" t="s">
        <v>90</v>
      </c>
      <c r="I485" s="9" t="s">
        <v>40</v>
      </c>
      <c r="J485" s="9">
        <v>3683</v>
      </c>
      <c r="K485" s="9" t="s">
        <v>3986</v>
      </c>
      <c r="L485" s="9" t="s">
        <v>42</v>
      </c>
      <c r="M485" s="10">
        <v>5.3356481481481484E-3</v>
      </c>
      <c r="N485" s="9" t="s">
        <v>65</v>
      </c>
      <c r="O485" s="9" t="s">
        <v>3987</v>
      </c>
      <c r="P485" s="9" t="s">
        <v>45</v>
      </c>
      <c r="Q485" s="10">
        <v>5.3125000000000004E-3</v>
      </c>
      <c r="R485" s="9" t="s">
        <v>46</v>
      </c>
      <c r="S485" s="10">
        <v>0.3439814814814815</v>
      </c>
      <c r="T485" s="9">
        <v>43.228999999999999</v>
      </c>
      <c r="U485" s="9">
        <v>9.1199999999999992</v>
      </c>
      <c r="V485" s="10">
        <v>0.1975462962962963</v>
      </c>
      <c r="W485" s="10">
        <v>0.1106712962962963</v>
      </c>
      <c r="X485" s="10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0</v>
      </c>
      <c r="AD485" s="9">
        <v>1</v>
      </c>
      <c r="AE485" s="9" t="s">
        <v>84</v>
      </c>
      <c r="AF485" s="9" t="s">
        <v>324</v>
      </c>
      <c r="AG485" s="9" t="s">
        <v>3988</v>
      </c>
      <c r="AH485" s="9">
        <v>6.2266640000000004</v>
      </c>
      <c r="AI485" s="9">
        <v>-75.599209999999999</v>
      </c>
      <c r="AJ485" s="9" t="s">
        <v>3989</v>
      </c>
      <c r="AK485" s="9">
        <v>6.2796599999999998</v>
      </c>
      <c r="AL485" s="9">
        <v>-75.572286000000005</v>
      </c>
      <c r="AM485" s="26">
        <f t="shared" si="8"/>
        <v>0</v>
      </c>
    </row>
    <row r="486" spans="1:40" ht="15" x14ac:dyDescent="0.25">
      <c r="A486" s="9" t="s">
        <v>3990</v>
      </c>
      <c r="B486" s="9" t="s">
        <v>3991</v>
      </c>
      <c r="C486" s="9" t="s">
        <v>3992</v>
      </c>
      <c r="D486" s="9" t="s">
        <v>3966</v>
      </c>
      <c r="E486" s="9" t="s">
        <v>2619</v>
      </c>
      <c r="F486" s="9" t="s">
        <v>37</v>
      </c>
      <c r="G486" s="9" t="s">
        <v>113</v>
      </c>
      <c r="H486" s="9" t="s">
        <v>114</v>
      </c>
      <c r="I486" s="9" t="s">
        <v>115</v>
      </c>
      <c r="J486" s="9">
        <v>687</v>
      </c>
      <c r="K486" s="9" t="s">
        <v>3993</v>
      </c>
      <c r="L486" s="9" t="s">
        <v>117</v>
      </c>
      <c r="M486" s="10">
        <v>3.5995370370370369E-3</v>
      </c>
      <c r="N486" s="9" t="s">
        <v>65</v>
      </c>
      <c r="O486" s="9" t="s">
        <v>3994</v>
      </c>
      <c r="P486" s="9" t="s">
        <v>119</v>
      </c>
      <c r="Q486" s="10">
        <v>9.8611111111111108E-2</v>
      </c>
      <c r="R486" s="9" t="s">
        <v>56</v>
      </c>
      <c r="S486" s="10">
        <v>0.14778935185185191</v>
      </c>
      <c r="T486" s="9">
        <v>10.305</v>
      </c>
      <c r="U486" s="9">
        <v>6.32</v>
      </c>
      <c r="V486" s="10">
        <v>6.7962962962962961E-2</v>
      </c>
      <c r="W486" s="10">
        <v>4.7245370370370368E-2</v>
      </c>
      <c r="X486" s="10">
        <v>0</v>
      </c>
      <c r="Y486" s="9">
        <v>0</v>
      </c>
      <c r="Z486" s="9">
        <v>0</v>
      </c>
      <c r="AA486" s="9">
        <v>0</v>
      </c>
      <c r="AB486" s="9">
        <v>0</v>
      </c>
      <c r="AC486" s="9">
        <v>0</v>
      </c>
      <c r="AD486" s="9">
        <v>0</v>
      </c>
      <c r="AE486" s="9" t="s">
        <v>67</v>
      </c>
      <c r="AF486" s="9" t="s">
        <v>3995</v>
      </c>
      <c r="AG486" s="9" t="s">
        <v>3996</v>
      </c>
      <c r="AH486" s="9">
        <v>6.2478800000000003</v>
      </c>
      <c r="AI486" s="9">
        <v>-75.615136000000007</v>
      </c>
      <c r="AJ486" s="9" t="s">
        <v>3997</v>
      </c>
      <c r="AK486" s="9">
        <v>6.2084429999999999</v>
      </c>
      <c r="AL486" s="9">
        <v>-75.591436999999999</v>
      </c>
      <c r="AM486" s="26">
        <f t="shared" si="8"/>
        <v>9.8611111111111108E-2</v>
      </c>
      <c r="AN486" s="1" t="s">
        <v>4061</v>
      </c>
    </row>
    <row r="487" spans="1:40" ht="15" x14ac:dyDescent="0.25">
      <c r="A487" s="9" t="s">
        <v>3998</v>
      </c>
      <c r="B487" s="9" t="s">
        <v>3999</v>
      </c>
      <c r="C487" s="9" t="s">
        <v>4000</v>
      </c>
      <c r="D487" s="9" t="s">
        <v>3966</v>
      </c>
      <c r="E487" s="9" t="s">
        <v>2619</v>
      </c>
      <c r="F487" s="9" t="s">
        <v>37</v>
      </c>
      <c r="G487" s="9" t="s">
        <v>124</v>
      </c>
      <c r="H487" s="9" t="s">
        <v>125</v>
      </c>
      <c r="I487" s="9" t="s">
        <v>115</v>
      </c>
      <c r="J487" s="9">
        <v>3634</v>
      </c>
      <c r="K487" s="9" t="s">
        <v>4001</v>
      </c>
      <c r="L487" s="9" t="s">
        <v>117</v>
      </c>
      <c r="M487" s="10">
        <v>3.7569444444444447E-2</v>
      </c>
      <c r="N487" s="9" t="s">
        <v>127</v>
      </c>
      <c r="O487" s="9" t="s">
        <v>4002</v>
      </c>
      <c r="P487" s="9" t="s">
        <v>119</v>
      </c>
      <c r="Q487" s="10">
        <v>3.123842592592593E-2</v>
      </c>
      <c r="R487" s="9" t="s">
        <v>129</v>
      </c>
      <c r="S487" s="10">
        <v>0.31880787037037039</v>
      </c>
      <c r="T487" s="9">
        <v>42.472999999999999</v>
      </c>
      <c r="U487" s="9">
        <v>9.33</v>
      </c>
      <c r="V487" s="10">
        <v>0.18966435185185179</v>
      </c>
      <c r="W487" s="10">
        <v>5.8761574074074077E-2</v>
      </c>
      <c r="X487" s="10">
        <v>2.778935185185185E-2</v>
      </c>
      <c r="Y487" s="9">
        <v>1</v>
      </c>
      <c r="Z487" s="9">
        <v>1</v>
      </c>
      <c r="AA487" s="9">
        <v>1</v>
      </c>
      <c r="AB487" s="9">
        <v>1</v>
      </c>
      <c r="AC487" s="9">
        <v>0</v>
      </c>
      <c r="AD487" s="9">
        <v>0</v>
      </c>
      <c r="AE487" s="9" t="s">
        <v>130</v>
      </c>
      <c r="AF487" s="9" t="s">
        <v>4003</v>
      </c>
      <c r="AG487" s="9" t="s">
        <v>4004</v>
      </c>
      <c r="AH487" s="9">
        <v>6.2395740000000002</v>
      </c>
      <c r="AI487" s="9">
        <v>-75.576549</v>
      </c>
      <c r="AJ487" s="9" t="s">
        <v>4005</v>
      </c>
      <c r="AK487" s="9">
        <v>6.2729270000000001</v>
      </c>
      <c r="AL487" s="9">
        <v>-75.601972000000004</v>
      </c>
      <c r="AM487" s="26">
        <f t="shared" si="8"/>
        <v>0</v>
      </c>
      <c r="AN487" s="1" t="s">
        <v>4061</v>
      </c>
    </row>
    <row r="488" spans="1:40" ht="15" x14ac:dyDescent="0.25">
      <c r="A488" s="9" t="s">
        <v>4006</v>
      </c>
      <c r="B488" s="9" t="s">
        <v>4007</v>
      </c>
      <c r="C488" s="9" t="s">
        <v>4008</v>
      </c>
      <c r="D488" s="9" t="s">
        <v>3966</v>
      </c>
      <c r="E488" s="9" t="s">
        <v>2619</v>
      </c>
      <c r="F488" s="9" t="s">
        <v>37</v>
      </c>
      <c r="G488" s="9" t="s">
        <v>135</v>
      </c>
      <c r="H488" s="9" t="s">
        <v>136</v>
      </c>
      <c r="I488" s="9" t="s">
        <v>115</v>
      </c>
      <c r="J488" s="9">
        <v>1388</v>
      </c>
      <c r="K488" s="9" t="s">
        <v>4009</v>
      </c>
      <c r="L488" s="9" t="s">
        <v>117</v>
      </c>
      <c r="M488" s="10">
        <v>5.5150462962962957E-2</v>
      </c>
      <c r="N488" s="9" t="s">
        <v>127</v>
      </c>
      <c r="O488" s="9" t="s">
        <v>4010</v>
      </c>
      <c r="P488" s="9" t="s">
        <v>119</v>
      </c>
      <c r="Q488" s="10">
        <v>1.097222222222222E-2</v>
      </c>
      <c r="R488" s="9" t="s">
        <v>56</v>
      </c>
      <c r="S488" s="10">
        <v>0.29417824074074073</v>
      </c>
      <c r="T488" s="9">
        <v>32.619999999999997</v>
      </c>
      <c r="U488" s="9">
        <v>8.5399999999999991</v>
      </c>
      <c r="V488" s="10">
        <v>0.15917824074074069</v>
      </c>
      <c r="W488" s="10">
        <v>0.1160069444444444</v>
      </c>
      <c r="X488" s="10">
        <v>0</v>
      </c>
      <c r="Y488" s="9">
        <v>0</v>
      </c>
      <c r="Z488" s="9">
        <v>0</v>
      </c>
      <c r="AA488" s="9">
        <v>0</v>
      </c>
      <c r="AB488" s="9">
        <v>0</v>
      </c>
      <c r="AC488" s="9">
        <v>0</v>
      </c>
      <c r="AD488" s="9">
        <v>2</v>
      </c>
      <c r="AE488" s="9" t="s">
        <v>139</v>
      </c>
      <c r="AF488" s="9" t="s">
        <v>4011</v>
      </c>
      <c r="AG488" s="9" t="s">
        <v>4012</v>
      </c>
      <c r="AH488" s="9">
        <v>6.2251979999999998</v>
      </c>
      <c r="AI488" s="9">
        <v>-75.599367999999998</v>
      </c>
      <c r="AJ488" s="9" t="s">
        <v>4013</v>
      </c>
      <c r="AK488" s="9">
        <v>6.2782410000000004</v>
      </c>
      <c r="AL488" s="9">
        <v>-75.538990999999996</v>
      </c>
      <c r="AM488" s="26">
        <f t="shared" si="8"/>
        <v>1.097222222222222E-2</v>
      </c>
      <c r="AN488" s="1" t="s">
        <v>4061</v>
      </c>
    </row>
    <row r="489" spans="1:40" ht="15" x14ac:dyDescent="0.25">
      <c r="A489" s="9" t="s">
        <v>4014</v>
      </c>
      <c r="B489" s="9" t="s">
        <v>4015</v>
      </c>
      <c r="C489" s="9" t="s">
        <v>4016</v>
      </c>
      <c r="D489" s="9" t="s">
        <v>3966</v>
      </c>
      <c r="E489" s="9" t="s">
        <v>2619</v>
      </c>
      <c r="F489" s="9" t="s">
        <v>37</v>
      </c>
      <c r="G489" s="9" t="s">
        <v>72</v>
      </c>
      <c r="H489" s="9" t="s">
        <v>73</v>
      </c>
      <c r="I489" s="9" t="s">
        <v>115</v>
      </c>
      <c r="J489" s="9">
        <v>2446</v>
      </c>
      <c r="K489" s="9" t="s">
        <v>4017</v>
      </c>
      <c r="L489" s="9" t="s">
        <v>117</v>
      </c>
      <c r="M489" s="10">
        <v>5.6377314814814818E-2</v>
      </c>
      <c r="N489" s="9" t="s">
        <v>127</v>
      </c>
      <c r="O489" s="9" t="s">
        <v>4018</v>
      </c>
      <c r="P489" s="9" t="s">
        <v>119</v>
      </c>
      <c r="Q489" s="10">
        <v>7.2581018518518517E-2</v>
      </c>
      <c r="R489" s="9" t="s">
        <v>56</v>
      </c>
      <c r="S489" s="10">
        <v>0.23379629629629631</v>
      </c>
      <c r="T489" s="9">
        <v>33.841000000000001</v>
      </c>
      <c r="U489" s="9">
        <v>7.35</v>
      </c>
      <c r="V489" s="10">
        <v>0.1917824074074074</v>
      </c>
      <c r="W489" s="10">
        <v>0.1427083333333333</v>
      </c>
      <c r="X489" s="10">
        <v>0</v>
      </c>
      <c r="Y489" s="9">
        <v>0</v>
      </c>
      <c r="Z489" s="9">
        <v>0</v>
      </c>
      <c r="AA489" s="9">
        <v>0</v>
      </c>
      <c r="AB489" s="9">
        <v>0</v>
      </c>
      <c r="AC489" s="9">
        <v>0</v>
      </c>
      <c r="AD489" s="9">
        <v>1</v>
      </c>
      <c r="AE489" s="9" t="s">
        <v>139</v>
      </c>
      <c r="AF489" s="9" t="s">
        <v>4019</v>
      </c>
      <c r="AG489" s="9" t="s">
        <v>4020</v>
      </c>
      <c r="AH489" s="9">
        <v>6.2256929999999997</v>
      </c>
      <c r="AI489" s="9">
        <v>-75.599402999999995</v>
      </c>
      <c r="AJ489" s="9" t="s">
        <v>4021</v>
      </c>
      <c r="AK489" s="9">
        <v>6.2369880000000002</v>
      </c>
      <c r="AL489" s="9">
        <v>-75.558808999999997</v>
      </c>
      <c r="AM489" s="26">
        <f t="shared" si="8"/>
        <v>7.2581018518518517E-2</v>
      </c>
      <c r="AN489" s="1" t="s">
        <v>4061</v>
      </c>
    </row>
    <row r="490" spans="1:40" ht="15" x14ac:dyDescent="0.25">
      <c r="A490" s="9" t="s">
        <v>4022</v>
      </c>
      <c r="B490" s="9" t="s">
        <v>4023</v>
      </c>
      <c r="C490" s="9" t="s">
        <v>4024</v>
      </c>
      <c r="D490" s="9" t="s">
        <v>3966</v>
      </c>
      <c r="E490" s="9" t="s">
        <v>2619</v>
      </c>
      <c r="F490" s="9" t="s">
        <v>37</v>
      </c>
      <c r="G490" s="9" t="s">
        <v>80</v>
      </c>
      <c r="H490" s="9" t="s">
        <v>81</v>
      </c>
      <c r="I490" s="9" t="s">
        <v>115</v>
      </c>
      <c r="J490" s="9">
        <v>2743</v>
      </c>
      <c r="K490" s="9" t="s">
        <v>4025</v>
      </c>
      <c r="L490" s="9" t="s">
        <v>117</v>
      </c>
      <c r="M490" s="10">
        <v>6.922083333333333E-3</v>
      </c>
      <c r="N490" s="9" t="s">
        <v>65</v>
      </c>
      <c r="O490" s="9" t="s">
        <v>4026</v>
      </c>
      <c r="P490" s="9" t="s">
        <v>119</v>
      </c>
      <c r="Q490" s="10">
        <v>7.4099884259259258E-3</v>
      </c>
      <c r="R490" s="9" t="s">
        <v>46</v>
      </c>
      <c r="S490" s="10">
        <v>0.2356679282407407</v>
      </c>
      <c r="T490" s="9">
        <v>19.832000000000001</v>
      </c>
      <c r="U490" s="9">
        <v>7.34</v>
      </c>
      <c r="V490" s="10">
        <v>0.11260608796296299</v>
      </c>
      <c r="W490" s="10">
        <v>8.8518946759259268E-2</v>
      </c>
      <c r="X490" s="10">
        <v>0</v>
      </c>
      <c r="Y490" s="9">
        <v>0</v>
      </c>
      <c r="Z490" s="9">
        <v>0</v>
      </c>
      <c r="AA490" s="9">
        <v>0</v>
      </c>
      <c r="AB490" s="9">
        <v>0</v>
      </c>
      <c r="AC490" s="9">
        <v>0</v>
      </c>
      <c r="AD490" s="9">
        <v>9</v>
      </c>
      <c r="AE490" s="9" t="s">
        <v>84</v>
      </c>
      <c r="AF490" s="9" t="s">
        <v>3008</v>
      </c>
      <c r="AG490" s="9" t="s">
        <v>4027</v>
      </c>
      <c r="AH490" s="9">
        <v>6.2497939999999996</v>
      </c>
      <c r="AI490" s="9">
        <v>-75.584761</v>
      </c>
      <c r="AJ490" s="9" t="s">
        <v>4028</v>
      </c>
      <c r="AK490" s="9">
        <v>6.2594909999999997</v>
      </c>
      <c r="AL490" s="9">
        <v>-75.620588999999995</v>
      </c>
      <c r="AM490" s="26">
        <f t="shared" si="8"/>
        <v>0</v>
      </c>
      <c r="AN490" s="1" t="s">
        <v>4061</v>
      </c>
    </row>
    <row r="491" spans="1:40" ht="15" x14ac:dyDescent="0.25">
      <c r="A491" s="9" t="s">
        <v>4029</v>
      </c>
      <c r="B491" s="9" t="s">
        <v>4030</v>
      </c>
      <c r="C491" s="9" t="s">
        <v>4031</v>
      </c>
      <c r="D491" s="9" t="s">
        <v>3966</v>
      </c>
      <c r="E491" s="9" t="s">
        <v>2619</v>
      </c>
      <c r="F491" s="9" t="s">
        <v>37</v>
      </c>
      <c r="G491" s="9" t="s">
        <v>152</v>
      </c>
      <c r="H491" s="9" t="s">
        <v>153</v>
      </c>
      <c r="I491" s="9" t="s">
        <v>115</v>
      </c>
      <c r="J491" s="9">
        <v>1733</v>
      </c>
      <c r="K491" s="9" t="s">
        <v>4032</v>
      </c>
      <c r="L491" s="9" t="s">
        <v>117</v>
      </c>
      <c r="M491" s="10">
        <v>2.4560185185185181E-2</v>
      </c>
      <c r="N491" s="9" t="s">
        <v>43</v>
      </c>
      <c r="O491" s="9" t="s">
        <v>4033</v>
      </c>
      <c r="P491" s="9" t="s">
        <v>119</v>
      </c>
      <c r="Q491" s="10">
        <v>1.238425925925926E-3</v>
      </c>
      <c r="R491" s="9" t="s">
        <v>46</v>
      </c>
      <c r="S491" s="10">
        <v>0.22667824074074069</v>
      </c>
      <c r="T491" s="9">
        <v>22.762</v>
      </c>
      <c r="U491" s="9">
        <v>7.37</v>
      </c>
      <c r="V491" s="10">
        <v>0.12864583333333329</v>
      </c>
      <c r="W491" s="10">
        <v>9.2326388888888888E-2</v>
      </c>
      <c r="X491" s="10">
        <v>2.3773148148148151E-2</v>
      </c>
      <c r="Y491" s="9">
        <v>1</v>
      </c>
      <c r="Z491" s="9">
        <v>1</v>
      </c>
      <c r="AA491" s="9">
        <v>1</v>
      </c>
      <c r="AB491" s="9">
        <v>0</v>
      </c>
      <c r="AC491" s="9">
        <v>0</v>
      </c>
      <c r="AD491" s="9">
        <v>0</v>
      </c>
      <c r="AE491" s="9" t="s">
        <v>47</v>
      </c>
      <c r="AF491" s="9" t="s">
        <v>4034</v>
      </c>
      <c r="AG491" s="9" t="s">
        <v>4035</v>
      </c>
      <c r="AH491" s="9">
        <v>6.2517300000000002</v>
      </c>
      <c r="AI491" s="9">
        <v>-75.551739999999995</v>
      </c>
      <c r="AJ491" s="9" t="s">
        <v>4036</v>
      </c>
      <c r="AK491" s="9">
        <v>6.2517500000000004</v>
      </c>
      <c r="AL491" s="9">
        <v>-75.551732000000001</v>
      </c>
      <c r="AM491" s="26">
        <f t="shared" si="8"/>
        <v>2.4560185185185181E-2</v>
      </c>
      <c r="AN491" s="1" t="s">
        <v>4061</v>
      </c>
    </row>
    <row r="492" spans="1:40" ht="15" x14ac:dyDescent="0.25">
      <c r="A492" s="9" t="s">
        <v>4037</v>
      </c>
      <c r="B492" s="9" t="s">
        <v>4038</v>
      </c>
      <c r="C492" s="9" t="s">
        <v>4039</v>
      </c>
      <c r="D492" s="9" t="s">
        <v>3966</v>
      </c>
      <c r="E492" s="9" t="s">
        <v>2619</v>
      </c>
      <c r="F492" s="9" t="s">
        <v>37</v>
      </c>
      <c r="G492" s="9" t="s">
        <v>160</v>
      </c>
      <c r="H492" s="9" t="s">
        <v>161</v>
      </c>
      <c r="I492" s="9" t="s">
        <v>115</v>
      </c>
      <c r="J492" s="9">
        <v>11933</v>
      </c>
      <c r="K492" s="9" t="s">
        <v>4040</v>
      </c>
      <c r="L492" s="9" t="s">
        <v>117</v>
      </c>
      <c r="M492" s="10">
        <v>4.9263182870370369E-2</v>
      </c>
      <c r="N492" s="9" t="s">
        <v>127</v>
      </c>
      <c r="O492" s="9" t="s">
        <v>4041</v>
      </c>
      <c r="P492" s="9" t="s">
        <v>119</v>
      </c>
      <c r="Q492" s="10">
        <v>2.600231481481482E-3</v>
      </c>
      <c r="R492" s="9" t="s">
        <v>46</v>
      </c>
      <c r="S492" s="10">
        <v>0.30186341435185182</v>
      </c>
      <c r="T492" s="9">
        <v>58.390999999999998</v>
      </c>
      <c r="U492" s="9">
        <v>15.05</v>
      </c>
      <c r="V492" s="10">
        <v>0.16161192129629631</v>
      </c>
      <c r="W492" s="10">
        <v>0.11307856481481481</v>
      </c>
      <c r="X492" s="10">
        <v>0</v>
      </c>
      <c r="Y492" s="9">
        <v>0</v>
      </c>
      <c r="Z492" s="9">
        <v>0</v>
      </c>
      <c r="AA492" s="9">
        <v>0</v>
      </c>
      <c r="AB492" s="9">
        <v>0</v>
      </c>
      <c r="AC492" s="9">
        <v>0</v>
      </c>
      <c r="AD492" s="9">
        <v>3</v>
      </c>
      <c r="AE492" s="9" t="s">
        <v>139</v>
      </c>
      <c r="AF492" s="9" t="s">
        <v>4042</v>
      </c>
      <c r="AG492" s="9" t="s">
        <v>4043</v>
      </c>
      <c r="AH492" s="9">
        <v>6.2266649999999997</v>
      </c>
      <c r="AI492" s="9">
        <v>-75.599373</v>
      </c>
      <c r="AJ492" s="9" t="s">
        <v>4044</v>
      </c>
      <c r="AK492" s="9">
        <v>6.2685899999999997</v>
      </c>
      <c r="AL492" s="9">
        <v>-75.599512000000004</v>
      </c>
      <c r="AM492" s="26">
        <f t="shared" si="8"/>
        <v>0</v>
      </c>
      <c r="AN492" s="1" t="s">
        <v>4061</v>
      </c>
    </row>
    <row r="493" spans="1:40" ht="15" x14ac:dyDescent="0.25">
      <c r="A493" s="9" t="s">
        <v>4045</v>
      </c>
      <c r="B493" s="9" t="s">
        <v>4046</v>
      </c>
      <c r="C493" s="9" t="s">
        <v>4047</v>
      </c>
      <c r="D493" s="9" t="s">
        <v>3966</v>
      </c>
      <c r="E493" s="9" t="s">
        <v>2619</v>
      </c>
      <c r="F493" s="9" t="s">
        <v>37</v>
      </c>
      <c r="G493" s="9" t="s">
        <v>97</v>
      </c>
      <c r="H493" s="9" t="s">
        <v>98</v>
      </c>
      <c r="I493" s="9" t="s">
        <v>115</v>
      </c>
      <c r="J493" s="9">
        <v>1895</v>
      </c>
      <c r="K493" s="9" t="s">
        <v>4048</v>
      </c>
      <c r="L493" s="9" t="s">
        <v>117</v>
      </c>
      <c r="M493" s="10">
        <v>5.0462962962962961E-3</v>
      </c>
      <c r="N493" s="9" t="s">
        <v>65</v>
      </c>
      <c r="O493" s="9" t="s">
        <v>4049</v>
      </c>
      <c r="P493" s="9" t="s">
        <v>119</v>
      </c>
      <c r="Q493" s="10">
        <v>5.9201388888888887E-2</v>
      </c>
      <c r="R493" s="9" t="s">
        <v>56</v>
      </c>
      <c r="S493" s="10">
        <v>0.1857523148148148</v>
      </c>
      <c r="T493" s="9">
        <v>23.581</v>
      </c>
      <c r="U493" s="9">
        <v>9.57</v>
      </c>
      <c r="V493" s="10">
        <v>0.102662037037037</v>
      </c>
      <c r="W493" s="10">
        <v>5.6643518518518517E-2</v>
      </c>
      <c r="X493" s="10">
        <v>0</v>
      </c>
      <c r="Y493" s="9">
        <v>0</v>
      </c>
      <c r="Z493" s="9">
        <v>0</v>
      </c>
      <c r="AA493" s="9">
        <v>0</v>
      </c>
      <c r="AB493" s="9">
        <v>0</v>
      </c>
      <c r="AC493" s="9">
        <v>0</v>
      </c>
      <c r="AD493" s="9">
        <v>0</v>
      </c>
      <c r="AE493" s="9" t="s">
        <v>67</v>
      </c>
      <c r="AF493" s="9" t="s">
        <v>4050</v>
      </c>
      <c r="AG493" s="9" t="s">
        <v>4051</v>
      </c>
      <c r="AH493" s="9">
        <v>6.222747</v>
      </c>
      <c r="AI493" s="9">
        <v>-75.598646000000002</v>
      </c>
      <c r="AJ493" s="9" t="s">
        <v>4052</v>
      </c>
      <c r="AK493" s="9">
        <v>6.2405150000000003</v>
      </c>
      <c r="AL493" s="9">
        <v>-75.552284999999998</v>
      </c>
      <c r="AM493" s="26">
        <f t="shared" si="8"/>
        <v>5.9201388888888887E-2</v>
      </c>
      <c r="AN493" s="1" t="s">
        <v>4061</v>
      </c>
    </row>
    <row r="494" spans="1:40" ht="15" x14ac:dyDescent="0.25">
      <c r="A494" s="9" t="s">
        <v>4053</v>
      </c>
      <c r="B494" s="9" t="s">
        <v>4054</v>
      </c>
      <c r="C494" s="9" t="s">
        <v>4055</v>
      </c>
      <c r="D494" s="9" t="s">
        <v>3966</v>
      </c>
      <c r="E494" s="9" t="s">
        <v>2619</v>
      </c>
      <c r="F494" s="9" t="s">
        <v>37</v>
      </c>
      <c r="G494" s="9" t="s">
        <v>105</v>
      </c>
      <c r="H494" s="9" t="s">
        <v>106</v>
      </c>
      <c r="I494" s="9" t="s">
        <v>115</v>
      </c>
      <c r="J494" s="9">
        <v>6</v>
      </c>
      <c r="K494" s="9" t="s">
        <v>4056</v>
      </c>
      <c r="L494" s="9" t="s">
        <v>117</v>
      </c>
      <c r="M494" s="10">
        <v>1.3310185185185181E-3</v>
      </c>
      <c r="N494" s="9" t="s">
        <v>65</v>
      </c>
      <c r="O494" s="9" t="s">
        <v>4057</v>
      </c>
      <c r="P494" s="9" t="s">
        <v>119</v>
      </c>
      <c r="Q494" s="10">
        <v>0.25105324074074081</v>
      </c>
      <c r="R494" s="9" t="s">
        <v>56</v>
      </c>
      <c r="S494" s="10">
        <v>2.7777777777777778E-4</v>
      </c>
      <c r="T494" s="9">
        <v>7.8E-2</v>
      </c>
      <c r="U494" s="9">
        <v>11.75</v>
      </c>
      <c r="V494" s="10">
        <v>2.7777777777777778E-4</v>
      </c>
      <c r="W494" s="10">
        <v>9.2592592592592588E-5</v>
      </c>
      <c r="X494" s="10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9">
        <v>0</v>
      </c>
      <c r="AE494" s="9" t="s">
        <v>67</v>
      </c>
      <c r="AF494" s="9" t="s">
        <v>4058</v>
      </c>
      <c r="AG494" s="9" t="s">
        <v>4059</v>
      </c>
      <c r="AH494" s="9">
        <v>6.258146</v>
      </c>
      <c r="AI494" s="9">
        <v>-75.615330999999998</v>
      </c>
      <c r="AJ494" s="9" t="s">
        <v>4060</v>
      </c>
      <c r="AK494" s="9">
        <v>6.258648</v>
      </c>
      <c r="AL494" s="9">
        <v>-75.615716000000006</v>
      </c>
      <c r="AM494" s="26">
        <f t="shared" si="8"/>
        <v>0.25105324074074081</v>
      </c>
      <c r="AN494" s="1" t="s">
        <v>4061</v>
      </c>
    </row>
    <row r="495" spans="1:40" ht="15" x14ac:dyDescent="0.25">
      <c r="A495" s="9" t="s">
        <v>4062</v>
      </c>
      <c r="B495" s="9" t="s">
        <v>4063</v>
      </c>
      <c r="C495" s="9" t="s">
        <v>4064</v>
      </c>
      <c r="D495" s="9" t="s">
        <v>4065</v>
      </c>
      <c r="E495" s="9" t="s">
        <v>2619</v>
      </c>
      <c r="F495" s="9" t="s">
        <v>169</v>
      </c>
      <c r="G495" s="9" t="s">
        <v>38</v>
      </c>
      <c r="H495" s="9" t="s">
        <v>39</v>
      </c>
      <c r="I495" s="9" t="s">
        <v>40</v>
      </c>
      <c r="J495" s="9">
        <v>3516</v>
      </c>
      <c r="K495" s="9" t="s">
        <v>4066</v>
      </c>
      <c r="L495" s="9" t="s">
        <v>42</v>
      </c>
      <c r="M495" s="10">
        <v>3.2523148148148148E-2</v>
      </c>
      <c r="N495" s="9" t="s">
        <v>43</v>
      </c>
      <c r="O495" s="9" t="s">
        <v>4067</v>
      </c>
      <c r="P495" s="9" t="s">
        <v>45</v>
      </c>
      <c r="Q495" s="10">
        <v>1.3541666666666669E-3</v>
      </c>
      <c r="R495" s="9" t="s">
        <v>46</v>
      </c>
      <c r="S495" s="10">
        <v>0.30216435185185192</v>
      </c>
      <c r="T495" s="9">
        <v>49.67</v>
      </c>
      <c r="U495" s="9">
        <v>10.199999999999999</v>
      </c>
      <c r="V495" s="10">
        <v>0.20281250000000001</v>
      </c>
      <c r="W495" s="10">
        <v>0.12973379629629631</v>
      </c>
      <c r="X495" s="10">
        <v>1.6597222222222222E-2</v>
      </c>
      <c r="Y495" s="9">
        <v>1</v>
      </c>
      <c r="Z495" s="9">
        <v>1</v>
      </c>
      <c r="AA495" s="9">
        <v>0</v>
      </c>
      <c r="AB495" s="9">
        <v>0</v>
      </c>
      <c r="AC495" s="9">
        <v>0</v>
      </c>
      <c r="AD495" s="9">
        <v>1</v>
      </c>
      <c r="AE495" s="9" t="s">
        <v>47</v>
      </c>
      <c r="AF495" s="9" t="s">
        <v>4068</v>
      </c>
      <c r="AG495" s="9" t="s">
        <v>4069</v>
      </c>
      <c r="AH495" s="9">
        <v>6.2032489999999996</v>
      </c>
      <c r="AI495" s="9">
        <v>-75.600742999999994</v>
      </c>
      <c r="AJ495" s="9" t="s">
        <v>4070</v>
      </c>
      <c r="AK495" s="9">
        <v>6.2321739999999997</v>
      </c>
      <c r="AL495" s="9">
        <v>-75.596885999999998</v>
      </c>
      <c r="AM495" s="26">
        <f t="shared" si="8"/>
        <v>3.2523148148148148E-2</v>
      </c>
    </row>
    <row r="496" spans="1:40" ht="15" x14ac:dyDescent="0.25">
      <c r="A496" s="9" t="s">
        <v>4071</v>
      </c>
      <c r="B496" s="9" t="s">
        <v>4072</v>
      </c>
      <c r="C496" s="9" t="s">
        <v>4073</v>
      </c>
      <c r="D496" s="9" t="s">
        <v>4065</v>
      </c>
      <c r="E496" s="9" t="s">
        <v>2619</v>
      </c>
      <c r="F496" s="9" t="s">
        <v>169</v>
      </c>
      <c r="G496" s="9" t="s">
        <v>52</v>
      </c>
      <c r="H496" s="9" t="s">
        <v>53</v>
      </c>
      <c r="I496" s="9" t="s">
        <v>40</v>
      </c>
      <c r="J496" s="9">
        <v>2797</v>
      </c>
      <c r="K496" s="9" t="s">
        <v>4074</v>
      </c>
      <c r="L496" s="9" t="s">
        <v>42</v>
      </c>
      <c r="M496" s="10">
        <v>3.1481481481481482E-3</v>
      </c>
      <c r="N496" s="9" t="s">
        <v>65</v>
      </c>
      <c r="O496" s="9" t="s">
        <v>4075</v>
      </c>
      <c r="P496" s="9" t="s">
        <v>45</v>
      </c>
      <c r="Q496" s="10">
        <v>5.7175925925925927E-3</v>
      </c>
      <c r="R496" s="9" t="s">
        <v>46</v>
      </c>
      <c r="S496" s="10">
        <v>0.33076388888888891</v>
      </c>
      <c r="T496" s="9">
        <v>39.484999999999999</v>
      </c>
      <c r="U496" s="9">
        <v>5.7</v>
      </c>
      <c r="V496" s="10">
        <v>0.28873842592592591</v>
      </c>
      <c r="W496" s="10">
        <v>0.23219907407407411</v>
      </c>
      <c r="X496" s="10">
        <v>0</v>
      </c>
      <c r="Y496" s="9">
        <v>0</v>
      </c>
      <c r="Z496" s="9">
        <v>0</v>
      </c>
      <c r="AA496" s="9">
        <v>0</v>
      </c>
      <c r="AB496" s="9">
        <v>0</v>
      </c>
      <c r="AC496" s="9">
        <v>0</v>
      </c>
      <c r="AD496" s="9">
        <v>3</v>
      </c>
      <c r="AE496" s="9" t="s">
        <v>84</v>
      </c>
      <c r="AF496" s="9" t="s">
        <v>292</v>
      </c>
      <c r="AG496" s="9" t="s">
        <v>4076</v>
      </c>
      <c r="AH496" s="9">
        <v>6.2256819999999999</v>
      </c>
      <c r="AI496" s="9">
        <v>-75.599463</v>
      </c>
      <c r="AJ496" s="9" t="s">
        <v>4077</v>
      </c>
      <c r="AK496" s="9">
        <v>6.2417860000000003</v>
      </c>
      <c r="AL496" s="9">
        <v>-75.607845999999995</v>
      </c>
      <c r="AM496" s="26">
        <f t="shared" si="8"/>
        <v>0</v>
      </c>
    </row>
    <row r="497" spans="1:40" ht="15" x14ac:dyDescent="0.25">
      <c r="A497" s="9" t="s">
        <v>4078</v>
      </c>
      <c r="B497" s="9" t="s">
        <v>4079</v>
      </c>
      <c r="C497" s="9" t="s">
        <v>4080</v>
      </c>
      <c r="D497" s="9" t="s">
        <v>4065</v>
      </c>
      <c r="E497" s="9" t="s">
        <v>2619</v>
      </c>
      <c r="F497" s="9" t="s">
        <v>169</v>
      </c>
      <c r="G497" s="9" t="s">
        <v>144</v>
      </c>
      <c r="H497" s="9" t="s">
        <v>145</v>
      </c>
      <c r="I497" s="9" t="s">
        <v>40</v>
      </c>
      <c r="J497" s="9">
        <v>6988</v>
      </c>
      <c r="K497" s="9" t="s">
        <v>4081</v>
      </c>
      <c r="L497" s="9" t="s">
        <v>42</v>
      </c>
      <c r="M497" s="10">
        <v>1.4120370370370369E-3</v>
      </c>
      <c r="N497" s="9" t="s">
        <v>65</v>
      </c>
      <c r="O497" s="9" t="s">
        <v>4082</v>
      </c>
      <c r="P497" s="9" t="s">
        <v>45</v>
      </c>
      <c r="Q497" s="10">
        <v>1.0856481481481481E-2</v>
      </c>
      <c r="R497" s="9" t="s">
        <v>56</v>
      </c>
      <c r="S497" s="10">
        <v>0.3210648148148148</v>
      </c>
      <c r="T497" s="9">
        <v>93.13</v>
      </c>
      <c r="U497" s="9">
        <v>15.72</v>
      </c>
      <c r="V497" s="10">
        <v>0.24684027777777781</v>
      </c>
      <c r="W497" s="10">
        <v>7.7210648148148153E-2</v>
      </c>
      <c r="X497" s="10">
        <v>0</v>
      </c>
      <c r="Y497" s="9">
        <v>0</v>
      </c>
      <c r="Z497" s="9">
        <v>0</v>
      </c>
      <c r="AA497" s="9">
        <v>0</v>
      </c>
      <c r="AB497" s="9">
        <v>0</v>
      </c>
      <c r="AC497" s="9">
        <v>0</v>
      </c>
      <c r="AD497" s="9">
        <v>0</v>
      </c>
      <c r="AE497" s="9" t="s">
        <v>67</v>
      </c>
      <c r="AF497" s="9" t="s">
        <v>4083</v>
      </c>
      <c r="AG497" s="9" t="s">
        <v>4084</v>
      </c>
      <c r="AH497" s="9">
        <v>6.2542340000000003</v>
      </c>
      <c r="AI497" s="9">
        <v>-75.574906999999996</v>
      </c>
      <c r="AJ497" s="9" t="s">
        <v>4085</v>
      </c>
      <c r="AK497" s="9">
        <v>6.2728339999999996</v>
      </c>
      <c r="AL497" s="9">
        <v>-75.574434999999994</v>
      </c>
      <c r="AM497" s="26">
        <f t="shared" si="8"/>
        <v>1.0856481481481481E-2</v>
      </c>
    </row>
    <row r="498" spans="1:40" ht="15" x14ac:dyDescent="0.25">
      <c r="A498" s="9" t="s">
        <v>4086</v>
      </c>
      <c r="B498" s="9" t="s">
        <v>4087</v>
      </c>
      <c r="C498" s="9" t="s">
        <v>4088</v>
      </c>
      <c r="D498" s="9" t="s">
        <v>4065</v>
      </c>
      <c r="E498" s="9" t="s">
        <v>2619</v>
      </c>
      <c r="F498" s="9" t="s">
        <v>169</v>
      </c>
      <c r="G498" s="9" t="s">
        <v>152</v>
      </c>
      <c r="H498" s="9" t="s">
        <v>153</v>
      </c>
      <c r="I498" s="9" t="s">
        <v>40</v>
      </c>
      <c r="J498" s="9">
        <v>4044</v>
      </c>
      <c r="K498" s="9" t="s">
        <v>4089</v>
      </c>
      <c r="L498" s="9" t="s">
        <v>42</v>
      </c>
      <c r="M498" s="10">
        <v>8.0787037037037043E-3</v>
      </c>
      <c r="N498" s="9" t="s">
        <v>65</v>
      </c>
      <c r="O498" s="9" t="s">
        <v>4090</v>
      </c>
      <c r="P498" s="9" t="s">
        <v>45</v>
      </c>
      <c r="Q498" s="10">
        <v>2.809027777777778E-2</v>
      </c>
      <c r="R498" s="9" t="s">
        <v>56</v>
      </c>
      <c r="S498" s="10">
        <v>0.29716435185185192</v>
      </c>
      <c r="T498" s="9">
        <v>51.698</v>
      </c>
      <c r="U498" s="9">
        <v>8.0500000000000007</v>
      </c>
      <c r="V498" s="10">
        <v>0.26775462962962959</v>
      </c>
      <c r="W498" s="10">
        <v>0.15445601851851851</v>
      </c>
      <c r="X498" s="10">
        <v>0</v>
      </c>
      <c r="Y498" s="9">
        <v>0</v>
      </c>
      <c r="Z498" s="9">
        <v>0</v>
      </c>
      <c r="AA498" s="9">
        <v>0</v>
      </c>
      <c r="AB498" s="9">
        <v>0</v>
      </c>
      <c r="AC498" s="9">
        <v>0</v>
      </c>
      <c r="AD498" s="9">
        <v>2</v>
      </c>
      <c r="AE498" s="9" t="s">
        <v>67</v>
      </c>
      <c r="AF498" s="9" t="s">
        <v>4091</v>
      </c>
      <c r="AG498" s="9" t="s">
        <v>4092</v>
      </c>
      <c r="AH498" s="9">
        <v>6.2256030000000004</v>
      </c>
      <c r="AI498" s="9">
        <v>-75.599320000000006</v>
      </c>
      <c r="AJ498" s="9" t="s">
        <v>4093</v>
      </c>
      <c r="AK498" s="9">
        <v>6.2516920000000002</v>
      </c>
      <c r="AL498" s="9">
        <v>-75.551850000000002</v>
      </c>
      <c r="AM498" s="26">
        <f t="shared" si="8"/>
        <v>2.809027777777778E-2</v>
      </c>
    </row>
    <row r="499" spans="1:40" ht="15" x14ac:dyDescent="0.25">
      <c r="A499" s="17" t="s">
        <v>4094</v>
      </c>
      <c r="B499" s="17" t="s">
        <v>4095</v>
      </c>
      <c r="C499" s="17" t="s">
        <v>4096</v>
      </c>
      <c r="D499" s="17" t="s">
        <v>4065</v>
      </c>
      <c r="E499" s="17" t="s">
        <v>2619</v>
      </c>
      <c r="F499" s="17" t="s">
        <v>169</v>
      </c>
      <c r="G499" s="17" t="s">
        <v>89</v>
      </c>
      <c r="H499" s="17" t="s">
        <v>90</v>
      </c>
      <c r="I499" s="17" t="s">
        <v>40</v>
      </c>
      <c r="J499" s="17">
        <v>996</v>
      </c>
      <c r="K499" s="17" t="s">
        <v>4097</v>
      </c>
      <c r="L499" s="17" t="s">
        <v>42</v>
      </c>
      <c r="M499" s="18">
        <v>9.2592592592592588E-5</v>
      </c>
      <c r="N499" s="17" t="s">
        <v>65</v>
      </c>
      <c r="O499" s="17" t="s">
        <v>4098</v>
      </c>
      <c r="P499" s="17" t="s">
        <v>45</v>
      </c>
      <c r="Q499" s="18">
        <v>0.17484953703703701</v>
      </c>
      <c r="R499" s="17" t="s">
        <v>56</v>
      </c>
      <c r="S499" s="18">
        <v>0.15857638888888889</v>
      </c>
      <c r="T499" s="17">
        <v>12.478999999999999</v>
      </c>
      <c r="U499" s="17">
        <v>3.56</v>
      </c>
      <c r="V499" s="18">
        <v>0.1459722222222222</v>
      </c>
      <c r="W499" s="18">
        <v>0.1218402777777778</v>
      </c>
      <c r="X499" s="18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2</v>
      </c>
      <c r="AE499" s="17" t="s">
        <v>67</v>
      </c>
      <c r="AF499" s="17" t="s">
        <v>4099</v>
      </c>
      <c r="AG499" s="17" t="s">
        <v>4100</v>
      </c>
      <c r="AH499" s="17">
        <v>6.2267219999999996</v>
      </c>
      <c r="AI499" s="17">
        <v>-75.599194999999995</v>
      </c>
      <c r="AJ499" s="17" t="s">
        <v>4101</v>
      </c>
      <c r="AK499" s="17">
        <v>6.2575839999999996</v>
      </c>
      <c r="AL499" s="17">
        <v>-75.565866</v>
      </c>
      <c r="AM499" s="26">
        <f t="shared" si="8"/>
        <v>0.17484953703703701</v>
      </c>
    </row>
    <row r="500" spans="1:40" ht="15" x14ac:dyDescent="0.25">
      <c r="A500" s="9" t="s">
        <v>4102</v>
      </c>
      <c r="B500" s="9" t="s">
        <v>4103</v>
      </c>
      <c r="C500" s="9" t="s">
        <v>4104</v>
      </c>
      <c r="D500" s="9" t="s">
        <v>4065</v>
      </c>
      <c r="E500" s="9" t="s">
        <v>2619</v>
      </c>
      <c r="F500" s="9" t="s">
        <v>169</v>
      </c>
      <c r="G500" s="9" t="s">
        <v>113</v>
      </c>
      <c r="H500" s="9" t="s">
        <v>114</v>
      </c>
      <c r="I500" s="9" t="s">
        <v>115</v>
      </c>
      <c r="J500" s="9">
        <v>2423</v>
      </c>
      <c r="K500" s="9" t="s">
        <v>4105</v>
      </c>
      <c r="L500" s="9" t="s">
        <v>117</v>
      </c>
      <c r="M500" s="10">
        <v>1.008101851851852E-2</v>
      </c>
      <c r="N500" s="9" t="s">
        <v>65</v>
      </c>
      <c r="O500" s="9" t="s">
        <v>4106</v>
      </c>
      <c r="P500" s="9" t="s">
        <v>119</v>
      </c>
      <c r="Q500" s="10">
        <v>2.1134259259259259E-2</v>
      </c>
      <c r="R500" s="9" t="s">
        <v>56</v>
      </c>
      <c r="S500" s="10">
        <v>0.2187847222222222</v>
      </c>
      <c r="T500" s="9">
        <v>32.804000000000002</v>
      </c>
      <c r="U500" s="9">
        <v>8.4700000000000006</v>
      </c>
      <c r="V500" s="10">
        <v>0.16135416666666669</v>
      </c>
      <c r="W500" s="10">
        <v>0.112349537037037</v>
      </c>
      <c r="X500" s="10">
        <v>0</v>
      </c>
      <c r="Y500" s="9">
        <v>0</v>
      </c>
      <c r="Z500" s="9">
        <v>0</v>
      </c>
      <c r="AA500" s="9">
        <v>0</v>
      </c>
      <c r="AB500" s="9">
        <v>0</v>
      </c>
      <c r="AC500" s="9">
        <v>0</v>
      </c>
      <c r="AD500" s="9">
        <v>1</v>
      </c>
      <c r="AE500" s="9" t="s">
        <v>67</v>
      </c>
      <c r="AF500" s="9" t="s">
        <v>4107</v>
      </c>
      <c r="AG500" s="9" t="s">
        <v>4108</v>
      </c>
      <c r="AH500" s="9">
        <v>6.2359679999999997</v>
      </c>
      <c r="AI500" s="9">
        <v>-75.602344000000002</v>
      </c>
      <c r="AJ500" s="9" t="s">
        <v>4109</v>
      </c>
      <c r="AK500" s="9">
        <v>6.2506459999999997</v>
      </c>
      <c r="AL500" s="9">
        <v>-75.602125000000001</v>
      </c>
      <c r="AM500" s="26">
        <f t="shared" si="8"/>
        <v>2.1134259259259259E-2</v>
      </c>
      <c r="AN500" s="1" t="s">
        <v>4061</v>
      </c>
    </row>
    <row r="501" spans="1:40" ht="15" x14ac:dyDescent="0.25">
      <c r="A501" s="9" t="s">
        <v>4110</v>
      </c>
      <c r="B501" s="9" t="s">
        <v>4111</v>
      </c>
      <c r="C501" s="9" t="s">
        <v>4112</v>
      </c>
      <c r="D501" s="9" t="s">
        <v>4065</v>
      </c>
      <c r="E501" s="9" t="s">
        <v>2619</v>
      </c>
      <c r="F501" s="9" t="s">
        <v>169</v>
      </c>
      <c r="G501" s="9" t="s">
        <v>124</v>
      </c>
      <c r="H501" s="9" t="s">
        <v>125</v>
      </c>
      <c r="I501" s="9" t="s">
        <v>115</v>
      </c>
      <c r="J501" s="9">
        <v>5128</v>
      </c>
      <c r="K501" s="9" t="s">
        <v>4113</v>
      </c>
      <c r="L501" s="9" t="s">
        <v>117</v>
      </c>
      <c r="M501" s="10">
        <v>3.5000000000000003E-2</v>
      </c>
      <c r="N501" s="9" t="s">
        <v>127</v>
      </c>
      <c r="O501" s="9" t="s">
        <v>4114</v>
      </c>
      <c r="P501" s="9" t="s">
        <v>119</v>
      </c>
      <c r="Q501" s="10">
        <v>2.179398148148148E-2</v>
      </c>
      <c r="R501" s="9" t="s">
        <v>129</v>
      </c>
      <c r="S501" s="10">
        <v>0.30679398148148151</v>
      </c>
      <c r="T501" s="9">
        <v>65.921000000000006</v>
      </c>
      <c r="U501" s="9">
        <v>13.43</v>
      </c>
      <c r="V501" s="10">
        <v>0.2044560185185185</v>
      </c>
      <c r="W501" s="10">
        <v>6.9039351851851852E-2</v>
      </c>
      <c r="X501" s="10">
        <v>2.1250000000000002E-2</v>
      </c>
      <c r="Y501" s="9">
        <v>1</v>
      </c>
      <c r="Z501" s="9">
        <v>1</v>
      </c>
      <c r="AA501" s="9">
        <v>1</v>
      </c>
      <c r="AB501" s="9">
        <v>0</v>
      </c>
      <c r="AC501" s="9">
        <v>0</v>
      </c>
      <c r="AD501" s="9">
        <v>0</v>
      </c>
      <c r="AE501" s="9" t="s">
        <v>130</v>
      </c>
      <c r="AF501" s="9" t="s">
        <v>4115</v>
      </c>
      <c r="AG501" s="9" t="s">
        <v>4116</v>
      </c>
      <c r="AH501" s="9">
        <v>6.2583909999999996</v>
      </c>
      <c r="AI501" s="9">
        <v>-75.578305999999998</v>
      </c>
      <c r="AJ501" s="9" t="s">
        <v>4117</v>
      </c>
      <c r="AK501" s="9">
        <v>6.2726329999999999</v>
      </c>
      <c r="AL501" s="9">
        <v>-75.602018000000001</v>
      </c>
      <c r="AM501" s="26">
        <f t="shared" si="8"/>
        <v>0</v>
      </c>
      <c r="AN501" s="1" t="s">
        <v>4061</v>
      </c>
    </row>
    <row r="502" spans="1:40" ht="15" x14ac:dyDescent="0.25">
      <c r="A502" s="9" t="s">
        <v>4118</v>
      </c>
      <c r="B502" s="9" t="s">
        <v>4119</v>
      </c>
      <c r="C502" s="9" t="s">
        <v>4120</v>
      </c>
      <c r="D502" s="9" t="s">
        <v>4065</v>
      </c>
      <c r="E502" s="9" t="s">
        <v>2619</v>
      </c>
      <c r="F502" s="9" t="s">
        <v>169</v>
      </c>
      <c r="G502" s="9" t="s">
        <v>135</v>
      </c>
      <c r="H502" s="9" t="s">
        <v>136</v>
      </c>
      <c r="I502" s="9" t="s">
        <v>115</v>
      </c>
      <c r="J502" s="9">
        <v>2877</v>
      </c>
      <c r="K502" s="9" t="s">
        <v>4121</v>
      </c>
      <c r="L502" s="9" t="s">
        <v>117</v>
      </c>
      <c r="M502" s="10">
        <v>2.8912037037037042E-2</v>
      </c>
      <c r="N502" s="9" t="s">
        <v>127</v>
      </c>
      <c r="O502" s="9" t="s">
        <v>4122</v>
      </c>
      <c r="P502" s="9" t="s">
        <v>119</v>
      </c>
      <c r="Q502" s="10">
        <v>8.4837962962962966E-3</v>
      </c>
      <c r="R502" s="9" t="s">
        <v>46</v>
      </c>
      <c r="S502" s="10">
        <v>0.27042824074074068</v>
      </c>
      <c r="T502" s="9">
        <v>35.521000000000001</v>
      </c>
      <c r="U502" s="9">
        <v>6.01</v>
      </c>
      <c r="V502" s="10">
        <v>0.24630787037037041</v>
      </c>
      <c r="W502" s="10">
        <v>0.19563657407407409</v>
      </c>
      <c r="X502" s="10">
        <v>4.3321759259259261E-2</v>
      </c>
      <c r="Y502" s="9">
        <v>1</v>
      </c>
      <c r="Z502" s="9">
        <v>1</v>
      </c>
      <c r="AA502" s="9">
        <v>1</v>
      </c>
      <c r="AB502" s="9">
        <v>1</v>
      </c>
      <c r="AC502" s="9">
        <v>1</v>
      </c>
      <c r="AD502" s="9">
        <v>4</v>
      </c>
      <c r="AE502" s="9" t="s">
        <v>139</v>
      </c>
      <c r="AF502" s="9" t="s">
        <v>4123</v>
      </c>
      <c r="AG502" s="9" t="s">
        <v>4124</v>
      </c>
      <c r="AH502" s="9">
        <v>6.2420349999999996</v>
      </c>
      <c r="AI502" s="9">
        <v>-75.619494000000003</v>
      </c>
      <c r="AJ502" s="9" t="s">
        <v>4125</v>
      </c>
      <c r="AK502" s="9">
        <v>6.2723810000000002</v>
      </c>
      <c r="AL502" s="9">
        <v>-75.540345000000002</v>
      </c>
      <c r="AM502" s="26">
        <f t="shared" si="8"/>
        <v>0</v>
      </c>
      <c r="AN502" s="1" t="s">
        <v>4061</v>
      </c>
    </row>
    <row r="503" spans="1:40" ht="15" x14ac:dyDescent="0.25">
      <c r="A503" s="9" t="s">
        <v>4126</v>
      </c>
      <c r="B503" s="9" t="s">
        <v>4127</v>
      </c>
      <c r="C503" s="9" t="s">
        <v>4128</v>
      </c>
      <c r="D503" s="9" t="s">
        <v>4065</v>
      </c>
      <c r="E503" s="9" t="s">
        <v>2619</v>
      </c>
      <c r="F503" s="9" t="s">
        <v>169</v>
      </c>
      <c r="G503" s="9" t="s">
        <v>72</v>
      </c>
      <c r="H503" s="9" t="s">
        <v>73</v>
      </c>
      <c r="I503" s="9" t="s">
        <v>115</v>
      </c>
      <c r="J503" s="9">
        <v>2521</v>
      </c>
      <c r="K503" s="9" t="s">
        <v>4129</v>
      </c>
      <c r="L503" s="9" t="s">
        <v>117</v>
      </c>
      <c r="M503" s="10">
        <v>5.8969907407407408E-2</v>
      </c>
      <c r="N503" s="9" t="s">
        <v>127</v>
      </c>
      <c r="O503" s="9" t="s">
        <v>4130</v>
      </c>
      <c r="P503" s="9" t="s">
        <v>119</v>
      </c>
      <c r="Q503" s="10">
        <v>0.1003125</v>
      </c>
      <c r="R503" s="9" t="s">
        <v>56</v>
      </c>
      <c r="S503" s="10">
        <v>0.2086574074074074</v>
      </c>
      <c r="T503" s="9">
        <v>39.027000000000001</v>
      </c>
      <c r="U503" s="9">
        <v>10.95</v>
      </c>
      <c r="V503" s="10">
        <v>0.1484375</v>
      </c>
      <c r="W503" s="10">
        <v>0.1052430555555556</v>
      </c>
      <c r="X503" s="10">
        <v>0</v>
      </c>
      <c r="Y503" s="9">
        <v>0</v>
      </c>
      <c r="Z503" s="9">
        <v>0</v>
      </c>
      <c r="AA503" s="9">
        <v>0</v>
      </c>
      <c r="AB503" s="9">
        <v>0</v>
      </c>
      <c r="AC503" s="9">
        <v>0</v>
      </c>
      <c r="AD503" s="9">
        <v>1</v>
      </c>
      <c r="AE503" s="9" t="s">
        <v>139</v>
      </c>
      <c r="AF503" s="9" t="s">
        <v>4131</v>
      </c>
      <c r="AG503" s="9" t="s">
        <v>4132</v>
      </c>
      <c r="AH503" s="9">
        <v>6.2256159999999996</v>
      </c>
      <c r="AI503" s="9">
        <v>-75.599318999999994</v>
      </c>
      <c r="AJ503" s="9" t="s">
        <v>4133</v>
      </c>
      <c r="AK503" s="9">
        <v>6.2370099999999997</v>
      </c>
      <c r="AL503" s="9">
        <v>-75.558869999999999</v>
      </c>
      <c r="AM503" s="26">
        <f t="shared" si="8"/>
        <v>0.1003125</v>
      </c>
      <c r="AN503" s="1" t="s">
        <v>4061</v>
      </c>
    </row>
    <row r="504" spans="1:40" ht="15" x14ac:dyDescent="0.25">
      <c r="A504" s="9" t="s">
        <v>4134</v>
      </c>
      <c r="B504" s="9" t="s">
        <v>4135</v>
      </c>
      <c r="C504" s="9" t="s">
        <v>4136</v>
      </c>
      <c r="D504" s="9" t="s">
        <v>4065</v>
      </c>
      <c r="E504" s="9" t="s">
        <v>2619</v>
      </c>
      <c r="F504" s="9" t="s">
        <v>169</v>
      </c>
      <c r="G504" s="9" t="s">
        <v>80</v>
      </c>
      <c r="H504" s="9" t="s">
        <v>81</v>
      </c>
      <c r="I504" s="9" t="s">
        <v>115</v>
      </c>
      <c r="J504" s="9">
        <v>10547</v>
      </c>
      <c r="K504" s="9" t="s">
        <v>4137</v>
      </c>
      <c r="L504" s="9" t="s">
        <v>117</v>
      </c>
      <c r="M504" s="10">
        <v>6.4387488425925926E-2</v>
      </c>
      <c r="N504" s="9" t="s">
        <v>127</v>
      </c>
      <c r="O504" s="9" t="s">
        <v>4138</v>
      </c>
      <c r="P504" s="9" t="s">
        <v>119</v>
      </c>
      <c r="Q504" s="10">
        <v>1.060381944444445E-3</v>
      </c>
      <c r="R504" s="9" t="s">
        <v>46</v>
      </c>
      <c r="S504" s="10">
        <v>0.31332710648148149</v>
      </c>
      <c r="T504" s="9">
        <v>64.603999999999999</v>
      </c>
      <c r="U504" s="9">
        <v>35.76</v>
      </c>
      <c r="V504" s="10">
        <v>7.5272013888889003E-2</v>
      </c>
      <c r="W504" s="10">
        <v>1.129078703703704E-2</v>
      </c>
      <c r="X504" s="10">
        <v>8.8864351851851847E-3</v>
      </c>
      <c r="Y504" s="9">
        <v>1</v>
      </c>
      <c r="Z504" s="9">
        <v>0</v>
      </c>
      <c r="AA504" s="9">
        <v>0</v>
      </c>
      <c r="AB504" s="9">
        <v>0</v>
      </c>
      <c r="AC504" s="9">
        <v>0</v>
      </c>
      <c r="AD504" s="9">
        <v>6</v>
      </c>
      <c r="AE504" s="9" t="s">
        <v>139</v>
      </c>
      <c r="AF504" s="9" t="s">
        <v>4139</v>
      </c>
      <c r="AG504" s="9" t="s">
        <v>4140</v>
      </c>
      <c r="AH504" s="9">
        <v>6.2293250000000002</v>
      </c>
      <c r="AI504" s="9">
        <v>-75.602058999999997</v>
      </c>
      <c r="AJ504" s="9" t="s">
        <v>4141</v>
      </c>
      <c r="AK504" s="9">
        <v>6.2256070000000001</v>
      </c>
      <c r="AL504" s="9">
        <v>-75.599417000000003</v>
      </c>
      <c r="AM504" s="26">
        <f t="shared" si="8"/>
        <v>0</v>
      </c>
      <c r="AN504" s="1" t="s">
        <v>4061</v>
      </c>
    </row>
    <row r="505" spans="1:40" ht="15" x14ac:dyDescent="0.25">
      <c r="A505" s="9" t="s">
        <v>4142</v>
      </c>
      <c r="B505" s="9" t="s">
        <v>4143</v>
      </c>
      <c r="C505" s="9" t="s">
        <v>4144</v>
      </c>
      <c r="D505" s="9" t="s">
        <v>4065</v>
      </c>
      <c r="E505" s="9" t="s">
        <v>2619</v>
      </c>
      <c r="F505" s="9" t="s">
        <v>169</v>
      </c>
      <c r="G505" s="9" t="s">
        <v>160</v>
      </c>
      <c r="H505" s="9" t="s">
        <v>161</v>
      </c>
      <c r="I505" s="9" t="s">
        <v>115</v>
      </c>
      <c r="J505" s="9">
        <v>11761</v>
      </c>
      <c r="K505" s="9" t="s">
        <v>4145</v>
      </c>
      <c r="L505" s="9" t="s">
        <v>117</v>
      </c>
      <c r="M505" s="10">
        <v>4.2955335648148137E-2</v>
      </c>
      <c r="N505" s="9" t="s">
        <v>127</v>
      </c>
      <c r="O505" s="9" t="s">
        <v>4146</v>
      </c>
      <c r="P505" s="9" t="s">
        <v>119</v>
      </c>
      <c r="Q505" s="10">
        <v>2.4265856481481482E-3</v>
      </c>
      <c r="R505" s="9" t="s">
        <v>46</v>
      </c>
      <c r="S505" s="10">
        <v>0.29538192129629631</v>
      </c>
      <c r="T505" s="9">
        <v>60.771999999999998</v>
      </c>
      <c r="U505" s="9">
        <v>13.64</v>
      </c>
      <c r="V505" s="10">
        <v>0.18567864583333321</v>
      </c>
      <c r="W505" s="10">
        <v>0.12480321759259259</v>
      </c>
      <c r="X505" s="10">
        <v>0</v>
      </c>
      <c r="Y505" s="9">
        <v>0</v>
      </c>
      <c r="Z505" s="9">
        <v>0</v>
      </c>
      <c r="AA505" s="9">
        <v>0</v>
      </c>
      <c r="AB505" s="9">
        <v>0</v>
      </c>
      <c r="AC505" s="9">
        <v>0</v>
      </c>
      <c r="AD505" s="9">
        <v>1</v>
      </c>
      <c r="AE505" s="9" t="s">
        <v>139</v>
      </c>
      <c r="AF505" s="9" t="s">
        <v>4147</v>
      </c>
      <c r="AG505" s="9" t="s">
        <v>4148</v>
      </c>
      <c r="AH505" s="9">
        <v>6.2267349999999997</v>
      </c>
      <c r="AI505" s="9">
        <v>-75.599272999999997</v>
      </c>
      <c r="AJ505" s="9" t="s">
        <v>4149</v>
      </c>
      <c r="AK505" s="9">
        <v>6.2683949999999999</v>
      </c>
      <c r="AL505" s="9">
        <v>-75.599341999999993</v>
      </c>
      <c r="AM505" s="26">
        <f t="shared" si="8"/>
        <v>0</v>
      </c>
      <c r="AN505" s="1" t="s">
        <v>4061</v>
      </c>
    </row>
    <row r="506" spans="1:40" ht="15" x14ac:dyDescent="0.25">
      <c r="A506" s="9" t="s">
        <v>4150</v>
      </c>
      <c r="B506" s="9" t="s">
        <v>4151</v>
      </c>
      <c r="C506" s="9" t="s">
        <v>4152</v>
      </c>
      <c r="D506" s="9" t="s">
        <v>4065</v>
      </c>
      <c r="E506" s="9" t="s">
        <v>2619</v>
      </c>
      <c r="F506" s="9" t="s">
        <v>169</v>
      </c>
      <c r="G506" s="9" t="s">
        <v>97</v>
      </c>
      <c r="H506" s="9" t="s">
        <v>98</v>
      </c>
      <c r="I506" s="9" t="s">
        <v>115</v>
      </c>
      <c r="J506" s="9">
        <v>3475</v>
      </c>
      <c r="K506" s="9" t="s">
        <v>4153</v>
      </c>
      <c r="L506" s="9" t="s">
        <v>117</v>
      </c>
      <c r="M506" s="10">
        <v>5.800925925925926E-2</v>
      </c>
      <c r="N506" s="9" t="s">
        <v>127</v>
      </c>
      <c r="O506" s="9" t="s">
        <v>4154</v>
      </c>
      <c r="P506" s="9" t="s">
        <v>119</v>
      </c>
      <c r="Q506" s="10">
        <v>4.6990740740740743E-3</v>
      </c>
      <c r="R506" s="9" t="s">
        <v>46</v>
      </c>
      <c r="S506" s="10">
        <v>0.30331018518518521</v>
      </c>
      <c r="T506" s="9">
        <v>47.524000000000001</v>
      </c>
      <c r="U506" s="9">
        <v>11.19</v>
      </c>
      <c r="V506" s="10">
        <v>0.1769212962962963</v>
      </c>
      <c r="W506" s="10">
        <v>9.7199074074074077E-2</v>
      </c>
      <c r="X506" s="10">
        <v>3.3553240740740738E-2</v>
      </c>
      <c r="Y506" s="9">
        <v>1</v>
      </c>
      <c r="Z506" s="9">
        <v>1</v>
      </c>
      <c r="AA506" s="9">
        <v>1</v>
      </c>
      <c r="AB506" s="9">
        <v>1</v>
      </c>
      <c r="AC506" s="9">
        <v>0</v>
      </c>
      <c r="AD506" s="9">
        <v>0</v>
      </c>
      <c r="AE506" s="9" t="s">
        <v>139</v>
      </c>
      <c r="AF506" s="9" t="s">
        <v>4155</v>
      </c>
      <c r="AG506" s="9" t="s">
        <v>4156</v>
      </c>
      <c r="AH506" s="9">
        <v>6.2257040000000003</v>
      </c>
      <c r="AI506" s="9">
        <v>-75.599407999999997</v>
      </c>
      <c r="AJ506" s="9" t="s">
        <v>4157</v>
      </c>
      <c r="AK506" s="9">
        <v>6.3082580000000004</v>
      </c>
      <c r="AL506" s="9">
        <v>-75.581629000000007</v>
      </c>
      <c r="AM506" s="26">
        <f t="shared" si="8"/>
        <v>0</v>
      </c>
      <c r="AN506" s="1" t="s">
        <v>4061</v>
      </c>
    </row>
    <row r="507" spans="1:40" x14ac:dyDescent="0.2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1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2"/>
      <c r="AH507" s="42"/>
      <c r="AI507" s="40"/>
      <c r="AJ507" s="40"/>
      <c r="AK507" s="40"/>
      <c r="AL507" s="43"/>
    </row>
  </sheetData>
  <phoneticPr fontId="4" type="noConversion"/>
  <conditionalFormatting sqref="N1:N1048576">
    <cfRule type="cellIs" dxfId="5" priority="2" operator="equal">
      <formula>"INICIO ANTES DEL HORARIO"</formula>
    </cfRule>
    <cfRule type="cellIs" dxfId="4" priority="5" operator="equal">
      <formula>"INICIO CUMPLE"</formula>
    </cfRule>
    <cfRule type="cellIs" dxfId="3" priority="6" operator="equal">
      <formula>"INICIO TARDÍO"</formula>
    </cfRule>
  </conditionalFormatting>
  <conditionalFormatting sqref="R1:R1048562">
    <cfRule type="cellIs" dxfId="2" priority="1" operator="equal">
      <formula>"TERMINÓ DESPUÉS"</formula>
    </cfRule>
    <cfRule type="cellIs" dxfId="1" priority="3" operator="equal">
      <formula>"TERMINÓ ANTES"</formula>
    </cfRule>
    <cfRule type="cellIs" dxfId="0" priority="4" operator="equal">
      <formula>"FIN CUMPLE"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7" width="11" customWidth="1"/>
    <col min="8" max="8" width="17" customWidth="1"/>
    <col min="9" max="9" width="14" customWidth="1"/>
    <col min="10" max="10" width="16" customWidth="1"/>
    <col min="11" max="11" width="15" customWidth="1"/>
    <col min="12" max="13" width="11" customWidth="1"/>
    <col min="14" max="14" width="15" customWidth="1"/>
  </cols>
  <sheetData>
    <row r="1" spans="1:14" ht="39.950000000000003" customHeight="1" x14ac:dyDescent="0.25">
      <c r="A1" s="3" t="s">
        <v>0</v>
      </c>
      <c r="B1" s="3" t="s">
        <v>1</v>
      </c>
      <c r="C1" s="3" t="s">
        <v>3</v>
      </c>
      <c r="D1" s="3" t="s">
        <v>6</v>
      </c>
      <c r="E1" s="3" t="s">
        <v>7</v>
      </c>
      <c r="F1" s="3" t="s">
        <v>8</v>
      </c>
      <c r="G1" s="3" t="s">
        <v>211</v>
      </c>
      <c r="H1" s="3" t="s">
        <v>10</v>
      </c>
      <c r="I1" s="3" t="s">
        <v>14</v>
      </c>
      <c r="J1" s="3" t="s">
        <v>212</v>
      </c>
      <c r="K1" s="3" t="s">
        <v>213</v>
      </c>
      <c r="L1" s="3" t="s">
        <v>214</v>
      </c>
      <c r="M1" s="3" t="s">
        <v>215</v>
      </c>
      <c r="N1" s="3" t="s">
        <v>216</v>
      </c>
    </row>
  </sheetData>
  <autoFilter ref="A1:N1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pane ySplit="1" topLeftCell="A2" activePane="bottomLeft" state="frozen"/>
      <selection pane="bottomLeft" activeCell="H9" sqref="H9"/>
    </sheetView>
  </sheetViews>
  <sheetFormatPr baseColWidth="10" defaultColWidth="9.140625" defaultRowHeight="15" x14ac:dyDescent="0.25"/>
  <cols>
    <col min="1" max="1" width="11" style="1" customWidth="1"/>
    <col min="2" max="2" width="11" customWidth="1"/>
    <col min="3" max="3" width="13" style="1" customWidth="1"/>
    <col min="4" max="4" width="29" style="1" customWidth="1"/>
    <col min="5" max="5" width="22" style="1" customWidth="1"/>
    <col min="6" max="6" width="11" style="1" customWidth="1"/>
  </cols>
  <sheetData>
    <row r="1" spans="1:6" ht="39.950000000000003" customHeight="1" x14ac:dyDescent="0.25">
      <c r="A1" s="3" t="s">
        <v>0</v>
      </c>
      <c r="B1" s="3" t="s">
        <v>1</v>
      </c>
      <c r="C1" s="3" t="s">
        <v>2</v>
      </c>
      <c r="D1" s="3" t="s">
        <v>217</v>
      </c>
      <c r="E1" s="3" t="s">
        <v>218</v>
      </c>
      <c r="F1" s="3" t="s">
        <v>219</v>
      </c>
    </row>
    <row r="2" spans="1:6" x14ac:dyDescent="0.25">
      <c r="A2" s="1" t="s">
        <v>32</v>
      </c>
      <c r="B2" s="1" t="s">
        <v>33</v>
      </c>
      <c r="C2" s="1" t="s">
        <v>34</v>
      </c>
      <c r="D2" s="1" t="s">
        <v>220</v>
      </c>
      <c r="E2" s="1" t="s">
        <v>220</v>
      </c>
      <c r="F2" s="1" t="s">
        <v>221</v>
      </c>
    </row>
    <row r="3" spans="1:6" x14ac:dyDescent="0.25">
      <c r="A3" s="1" t="s">
        <v>49</v>
      </c>
      <c r="B3" s="1" t="s">
        <v>50</v>
      </c>
      <c r="C3" s="1" t="s">
        <v>51</v>
      </c>
      <c r="D3" s="1" t="s">
        <v>222</v>
      </c>
      <c r="E3" s="1" t="s">
        <v>222</v>
      </c>
      <c r="F3" s="1" t="s">
        <v>221</v>
      </c>
    </row>
    <row r="4" spans="1:6" x14ac:dyDescent="0.25">
      <c r="A4" s="1" t="s">
        <v>59</v>
      </c>
      <c r="B4" s="1" t="s">
        <v>60</v>
      </c>
      <c r="C4" s="1" t="s">
        <v>61</v>
      </c>
      <c r="D4" s="1" t="s">
        <v>223</v>
      </c>
      <c r="E4" s="1" t="s">
        <v>223</v>
      </c>
      <c r="F4" s="1" t="s">
        <v>221</v>
      </c>
    </row>
    <row r="5" spans="1:6" x14ac:dyDescent="0.25">
      <c r="A5" s="1" t="s">
        <v>69</v>
      </c>
      <c r="B5" s="1" t="s">
        <v>70</v>
      </c>
      <c r="C5" s="1" t="s">
        <v>71</v>
      </c>
      <c r="D5" s="1" t="s">
        <v>223</v>
      </c>
      <c r="E5" s="1" t="s">
        <v>223</v>
      </c>
      <c r="F5" s="1" t="s">
        <v>221</v>
      </c>
    </row>
    <row r="6" spans="1:6" x14ac:dyDescent="0.25">
      <c r="A6" s="1" t="s">
        <v>77</v>
      </c>
      <c r="B6" s="1" t="s">
        <v>78</v>
      </c>
      <c r="C6" s="1" t="s">
        <v>79</v>
      </c>
      <c r="D6" s="1" t="s">
        <v>224</v>
      </c>
      <c r="E6" s="1" t="s">
        <v>224</v>
      </c>
      <c r="F6" s="1" t="s">
        <v>221</v>
      </c>
    </row>
    <row r="7" spans="1:6" x14ac:dyDescent="0.25">
      <c r="A7" s="1" t="s">
        <v>86</v>
      </c>
      <c r="B7" s="1" t="s">
        <v>87</v>
      </c>
      <c r="C7" s="1" t="s">
        <v>88</v>
      </c>
      <c r="D7" s="1" t="s">
        <v>225</v>
      </c>
      <c r="E7" s="1" t="s">
        <v>225</v>
      </c>
      <c r="F7" s="1" t="s">
        <v>221</v>
      </c>
    </row>
    <row r="8" spans="1:6" x14ac:dyDescent="0.25">
      <c r="A8" s="1" t="s">
        <v>94</v>
      </c>
      <c r="B8" s="1" t="s">
        <v>95</v>
      </c>
      <c r="C8" s="1" t="s">
        <v>96</v>
      </c>
      <c r="D8" s="1" t="s">
        <v>226</v>
      </c>
      <c r="E8" s="1" t="s">
        <v>226</v>
      </c>
      <c r="F8" s="1" t="s">
        <v>221</v>
      </c>
    </row>
    <row r="9" spans="1:6" x14ac:dyDescent="0.25">
      <c r="A9" s="1" t="s">
        <v>102</v>
      </c>
      <c r="B9" s="1" t="s">
        <v>103</v>
      </c>
      <c r="C9" s="1" t="s">
        <v>104</v>
      </c>
      <c r="D9" s="1" t="s">
        <v>227</v>
      </c>
      <c r="E9" s="1" t="s">
        <v>227</v>
      </c>
      <c r="F9" s="1" t="s">
        <v>221</v>
      </c>
    </row>
    <row r="10" spans="1:6" x14ac:dyDescent="0.25">
      <c r="A10" t="s">
        <v>110</v>
      </c>
      <c r="B10" t="s">
        <v>111</v>
      </c>
      <c r="C10" t="s">
        <v>112</v>
      </c>
      <c r="D10" t="s">
        <v>228</v>
      </c>
      <c r="E10" t="s">
        <v>228</v>
      </c>
      <c r="F10" t="s">
        <v>221</v>
      </c>
    </row>
    <row r="11" spans="1:6" x14ac:dyDescent="0.25">
      <c r="A11" t="s">
        <v>121</v>
      </c>
      <c r="B11" t="s">
        <v>122</v>
      </c>
      <c r="C11" t="s">
        <v>123</v>
      </c>
      <c r="D11" t="s">
        <v>229</v>
      </c>
      <c r="E11" t="s">
        <v>229</v>
      </c>
      <c r="F11" t="s">
        <v>221</v>
      </c>
    </row>
    <row r="12" spans="1:6" x14ac:dyDescent="0.25">
      <c r="A12" t="s">
        <v>132</v>
      </c>
      <c r="B12" t="s">
        <v>133</v>
      </c>
      <c r="C12" t="s">
        <v>134</v>
      </c>
      <c r="D12" t="s">
        <v>230</v>
      </c>
      <c r="E12" t="s">
        <v>230</v>
      </c>
      <c r="F12" t="s">
        <v>221</v>
      </c>
    </row>
    <row r="13" spans="1:6" x14ac:dyDescent="0.25">
      <c r="A13" t="s">
        <v>141</v>
      </c>
      <c r="B13" t="s">
        <v>142</v>
      </c>
      <c r="C13" t="s">
        <v>143</v>
      </c>
      <c r="D13" t="s">
        <v>231</v>
      </c>
      <c r="E13" t="s">
        <v>231</v>
      </c>
      <c r="F13" t="s">
        <v>221</v>
      </c>
    </row>
    <row r="14" spans="1:6" x14ac:dyDescent="0.25">
      <c r="A14" t="s">
        <v>149</v>
      </c>
      <c r="B14" t="s">
        <v>150</v>
      </c>
      <c r="C14" t="s">
        <v>151</v>
      </c>
      <c r="D14" t="s">
        <v>232</v>
      </c>
      <c r="E14" t="s">
        <v>232</v>
      </c>
      <c r="F14" t="s">
        <v>221</v>
      </c>
    </row>
    <row r="15" spans="1:6" x14ac:dyDescent="0.25">
      <c r="A15" t="s">
        <v>157</v>
      </c>
      <c r="B15" t="s">
        <v>158</v>
      </c>
      <c r="C15" t="s">
        <v>159</v>
      </c>
      <c r="D15" t="s">
        <v>233</v>
      </c>
      <c r="E15" t="s">
        <v>233</v>
      </c>
      <c r="F15" t="s">
        <v>221</v>
      </c>
    </row>
    <row r="16" spans="1:6" x14ac:dyDescent="0.25">
      <c r="A16" t="s">
        <v>165</v>
      </c>
      <c r="B16" t="s">
        <v>166</v>
      </c>
      <c r="C16" t="s">
        <v>167</v>
      </c>
      <c r="D16" t="s">
        <v>234</v>
      </c>
      <c r="E16" t="s">
        <v>234</v>
      </c>
      <c r="F16" t="s">
        <v>221</v>
      </c>
    </row>
    <row r="17" spans="1:6" x14ac:dyDescent="0.25">
      <c r="A17" t="s">
        <v>173</v>
      </c>
      <c r="B17" t="s">
        <v>174</v>
      </c>
      <c r="C17" t="s">
        <v>175</v>
      </c>
      <c r="D17" t="s">
        <v>235</v>
      </c>
      <c r="E17" t="s">
        <v>235</v>
      </c>
      <c r="F17" t="s">
        <v>221</v>
      </c>
    </row>
    <row r="18" spans="1:6" x14ac:dyDescent="0.25">
      <c r="A18" t="s">
        <v>179</v>
      </c>
      <c r="B18" t="s">
        <v>180</v>
      </c>
      <c r="C18" t="s">
        <v>181</v>
      </c>
      <c r="D18" t="s">
        <v>236</v>
      </c>
      <c r="E18" t="s">
        <v>236</v>
      </c>
      <c r="F18" t="s">
        <v>221</v>
      </c>
    </row>
    <row r="19" spans="1:6" x14ac:dyDescent="0.25">
      <c r="A19" t="s">
        <v>185</v>
      </c>
      <c r="B19" t="s">
        <v>186</v>
      </c>
      <c r="C19" t="s">
        <v>187</v>
      </c>
      <c r="D19" t="s">
        <v>237</v>
      </c>
      <c r="E19" t="s">
        <v>237</v>
      </c>
      <c r="F19" t="s">
        <v>221</v>
      </c>
    </row>
    <row r="20" spans="1:6" x14ac:dyDescent="0.25">
      <c r="A20" t="s">
        <v>191</v>
      </c>
      <c r="B20" t="s">
        <v>192</v>
      </c>
      <c r="C20" t="s">
        <v>193</v>
      </c>
      <c r="D20" t="s">
        <v>238</v>
      </c>
      <c r="E20" t="s">
        <v>238</v>
      </c>
      <c r="F20" t="s">
        <v>221</v>
      </c>
    </row>
    <row r="21" spans="1:6" x14ac:dyDescent="0.25">
      <c r="A21" t="s">
        <v>197</v>
      </c>
      <c r="B21" t="s">
        <v>198</v>
      </c>
      <c r="C21" t="s">
        <v>199</v>
      </c>
      <c r="D21" t="s">
        <v>239</v>
      </c>
      <c r="E21" t="s">
        <v>239</v>
      </c>
      <c r="F21" t="s">
        <v>221</v>
      </c>
    </row>
  </sheetData>
  <autoFilter ref="A1:F21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"/>
  <sheetViews>
    <sheetView workbookViewId="0">
      <pane ySplit="1" topLeftCell="A2" activePane="bottomLeft" state="frozen"/>
      <selection pane="bottomLeft" activeCell="H7" sqref="H7"/>
    </sheetView>
  </sheetViews>
  <sheetFormatPr baseColWidth="10" defaultColWidth="9.140625" defaultRowHeight="15" x14ac:dyDescent="0.25"/>
  <cols>
    <col min="1" max="1" width="11" style="1" customWidth="1"/>
    <col min="2" max="7" width="11" customWidth="1"/>
  </cols>
  <sheetData>
    <row r="1" spans="1:7" ht="39.950000000000003" customHeight="1" x14ac:dyDescent="0.25">
      <c r="A1" s="3" t="s">
        <v>3</v>
      </c>
      <c r="B1" s="3" t="s">
        <v>7</v>
      </c>
      <c r="C1" s="3" t="s">
        <v>6</v>
      </c>
      <c r="D1" s="3" t="s">
        <v>8</v>
      </c>
      <c r="E1" s="3" t="s">
        <v>240</v>
      </c>
      <c r="F1" s="3" t="s">
        <v>241</v>
      </c>
      <c r="G1" s="3" t="s">
        <v>242</v>
      </c>
    </row>
    <row r="2" spans="1:7" x14ac:dyDescent="0.25">
      <c r="A2" t="s">
        <v>35</v>
      </c>
      <c r="B2" t="s">
        <v>39</v>
      </c>
      <c r="C2" t="s">
        <v>38</v>
      </c>
      <c r="D2" t="s">
        <v>40</v>
      </c>
      <c r="E2" t="s">
        <v>243</v>
      </c>
      <c r="F2" t="s">
        <v>244</v>
      </c>
      <c r="G2" t="s">
        <v>48</v>
      </c>
    </row>
    <row r="3" spans="1:7" x14ac:dyDescent="0.25">
      <c r="A3" t="s">
        <v>35</v>
      </c>
      <c r="B3" t="s">
        <v>39</v>
      </c>
      <c r="C3" t="s">
        <v>38</v>
      </c>
      <c r="D3" t="s">
        <v>40</v>
      </c>
      <c r="E3" t="s">
        <v>245</v>
      </c>
      <c r="F3" t="s">
        <v>244</v>
      </c>
      <c r="G3" t="s">
        <v>246</v>
      </c>
    </row>
    <row r="4" spans="1:7" x14ac:dyDescent="0.25">
      <c r="A4" t="s">
        <v>35</v>
      </c>
      <c r="B4" t="s">
        <v>53</v>
      </c>
      <c r="C4" t="s">
        <v>52</v>
      </c>
      <c r="D4" t="s">
        <v>40</v>
      </c>
      <c r="E4" t="s">
        <v>243</v>
      </c>
      <c r="F4" t="s">
        <v>244</v>
      </c>
      <c r="G4" t="s">
        <v>58</v>
      </c>
    </row>
    <row r="5" spans="1:7" x14ac:dyDescent="0.25">
      <c r="A5" t="s">
        <v>35</v>
      </c>
      <c r="B5" t="s">
        <v>53</v>
      </c>
      <c r="C5" t="s">
        <v>52</v>
      </c>
      <c r="D5" t="s">
        <v>40</v>
      </c>
      <c r="E5" t="s">
        <v>247</v>
      </c>
      <c r="F5" t="s">
        <v>244</v>
      </c>
      <c r="G5" t="s">
        <v>58</v>
      </c>
    </row>
    <row r="6" spans="1:7" x14ac:dyDescent="0.25">
      <c r="A6" t="s">
        <v>35</v>
      </c>
      <c r="B6" t="s">
        <v>63</v>
      </c>
      <c r="C6" t="s">
        <v>62</v>
      </c>
      <c r="D6" t="s">
        <v>40</v>
      </c>
      <c r="E6" t="s">
        <v>247</v>
      </c>
      <c r="F6" t="s">
        <v>244</v>
      </c>
      <c r="G6" t="s">
        <v>68</v>
      </c>
    </row>
    <row r="7" spans="1:7" x14ac:dyDescent="0.25">
      <c r="A7" t="s">
        <v>35</v>
      </c>
      <c r="B7" t="s">
        <v>63</v>
      </c>
      <c r="C7" t="s">
        <v>62</v>
      </c>
      <c r="D7" t="s">
        <v>40</v>
      </c>
      <c r="E7" t="s">
        <v>245</v>
      </c>
      <c r="F7" t="s">
        <v>244</v>
      </c>
      <c r="G7" t="s">
        <v>248</v>
      </c>
    </row>
    <row r="8" spans="1:7" x14ac:dyDescent="0.25">
      <c r="A8" t="s">
        <v>35</v>
      </c>
      <c r="B8" t="s">
        <v>73</v>
      </c>
      <c r="C8" t="s">
        <v>72</v>
      </c>
      <c r="D8" t="s">
        <v>40</v>
      </c>
      <c r="E8" t="s">
        <v>243</v>
      </c>
      <c r="F8" t="s">
        <v>244</v>
      </c>
      <c r="G8" t="s">
        <v>76</v>
      </c>
    </row>
    <row r="9" spans="1:7" x14ac:dyDescent="0.25">
      <c r="A9" t="s">
        <v>35</v>
      </c>
      <c r="B9" t="s">
        <v>73</v>
      </c>
      <c r="C9" t="s">
        <v>72</v>
      </c>
      <c r="D9" t="s">
        <v>40</v>
      </c>
      <c r="E9" t="s">
        <v>247</v>
      </c>
      <c r="F9" t="s">
        <v>244</v>
      </c>
      <c r="G9" t="s">
        <v>76</v>
      </c>
    </row>
    <row r="10" spans="1:7" x14ac:dyDescent="0.25">
      <c r="A10" t="s">
        <v>35</v>
      </c>
      <c r="B10" t="s">
        <v>81</v>
      </c>
      <c r="C10" t="s">
        <v>80</v>
      </c>
      <c r="D10" t="s">
        <v>40</v>
      </c>
      <c r="E10" t="s">
        <v>245</v>
      </c>
      <c r="F10" t="s">
        <v>244</v>
      </c>
      <c r="G10" t="s">
        <v>249</v>
      </c>
    </row>
    <row r="11" spans="1:7" x14ac:dyDescent="0.25">
      <c r="A11" t="s">
        <v>35</v>
      </c>
      <c r="B11" t="s">
        <v>90</v>
      </c>
      <c r="C11" t="s">
        <v>89</v>
      </c>
      <c r="D11" t="s">
        <v>40</v>
      </c>
      <c r="E11" t="s">
        <v>243</v>
      </c>
      <c r="F11" t="s">
        <v>244</v>
      </c>
      <c r="G11" t="s">
        <v>93</v>
      </c>
    </row>
    <row r="12" spans="1:7" x14ac:dyDescent="0.25">
      <c r="A12" t="s">
        <v>35</v>
      </c>
      <c r="B12" t="s">
        <v>98</v>
      </c>
      <c r="C12" t="s">
        <v>97</v>
      </c>
      <c r="D12" t="s">
        <v>40</v>
      </c>
      <c r="E12" t="s">
        <v>247</v>
      </c>
      <c r="F12" t="s">
        <v>244</v>
      </c>
      <c r="G12" t="s">
        <v>101</v>
      </c>
    </row>
    <row r="13" spans="1:7" x14ac:dyDescent="0.25">
      <c r="A13" t="s">
        <v>35</v>
      </c>
      <c r="B13" t="s">
        <v>106</v>
      </c>
      <c r="C13" t="s">
        <v>105</v>
      </c>
      <c r="D13" t="s">
        <v>40</v>
      </c>
      <c r="E13" t="s">
        <v>243</v>
      </c>
      <c r="F13" t="s">
        <v>244</v>
      </c>
      <c r="G13" t="s">
        <v>109</v>
      </c>
    </row>
    <row r="14" spans="1:7" x14ac:dyDescent="0.25">
      <c r="A14" t="s">
        <v>35</v>
      </c>
      <c r="B14" t="s">
        <v>114</v>
      </c>
      <c r="C14" t="s">
        <v>113</v>
      </c>
      <c r="D14" t="s">
        <v>115</v>
      </c>
      <c r="E14" t="s">
        <v>243</v>
      </c>
      <c r="F14" t="s">
        <v>244</v>
      </c>
      <c r="G14" t="s">
        <v>120</v>
      </c>
    </row>
    <row r="15" spans="1:7" x14ac:dyDescent="0.25">
      <c r="A15" t="s">
        <v>35</v>
      </c>
      <c r="B15" t="s">
        <v>114</v>
      </c>
      <c r="C15" t="s">
        <v>113</v>
      </c>
      <c r="D15" t="s">
        <v>115</v>
      </c>
      <c r="E15" t="s">
        <v>247</v>
      </c>
      <c r="F15" t="s">
        <v>244</v>
      </c>
      <c r="G15" t="s">
        <v>120</v>
      </c>
    </row>
    <row r="16" spans="1:7" x14ac:dyDescent="0.25">
      <c r="A16" t="s">
        <v>35</v>
      </c>
      <c r="B16" t="s">
        <v>125</v>
      </c>
      <c r="C16" t="s">
        <v>124</v>
      </c>
      <c r="D16" t="s">
        <v>115</v>
      </c>
      <c r="E16" t="s">
        <v>243</v>
      </c>
      <c r="F16" t="s">
        <v>244</v>
      </c>
      <c r="G16" t="s">
        <v>131</v>
      </c>
    </row>
    <row r="17" spans="1:7" x14ac:dyDescent="0.25">
      <c r="A17" t="s">
        <v>35</v>
      </c>
      <c r="B17" t="s">
        <v>125</v>
      </c>
      <c r="C17" t="s">
        <v>124</v>
      </c>
      <c r="D17" t="s">
        <v>115</v>
      </c>
      <c r="E17" t="s">
        <v>247</v>
      </c>
      <c r="F17" t="s">
        <v>244</v>
      </c>
      <c r="G17" t="s">
        <v>131</v>
      </c>
    </row>
    <row r="18" spans="1:7" x14ac:dyDescent="0.25">
      <c r="A18" t="s">
        <v>35</v>
      </c>
      <c r="B18" t="s">
        <v>136</v>
      </c>
      <c r="C18" t="s">
        <v>135</v>
      </c>
      <c r="D18" t="s">
        <v>115</v>
      </c>
      <c r="E18" t="s">
        <v>243</v>
      </c>
      <c r="F18" t="s">
        <v>244</v>
      </c>
      <c r="G18" t="s">
        <v>140</v>
      </c>
    </row>
    <row r="19" spans="1:7" x14ac:dyDescent="0.25">
      <c r="A19" t="s">
        <v>35</v>
      </c>
      <c r="B19" t="s">
        <v>136</v>
      </c>
      <c r="C19" t="s">
        <v>135</v>
      </c>
      <c r="D19" t="s">
        <v>115</v>
      </c>
      <c r="E19" t="s">
        <v>245</v>
      </c>
      <c r="F19" t="s">
        <v>244</v>
      </c>
      <c r="G19" t="s">
        <v>250</v>
      </c>
    </row>
    <row r="20" spans="1:7" x14ac:dyDescent="0.25">
      <c r="A20" t="s">
        <v>35</v>
      </c>
      <c r="B20" t="s">
        <v>145</v>
      </c>
      <c r="C20" t="s">
        <v>144</v>
      </c>
      <c r="D20" t="s">
        <v>115</v>
      </c>
      <c r="E20" t="s">
        <v>243</v>
      </c>
      <c r="F20" t="s">
        <v>244</v>
      </c>
      <c r="G20" t="s">
        <v>148</v>
      </c>
    </row>
    <row r="21" spans="1:7" x14ac:dyDescent="0.25">
      <c r="A21" t="s">
        <v>35</v>
      </c>
      <c r="B21" t="s">
        <v>145</v>
      </c>
      <c r="C21" t="s">
        <v>144</v>
      </c>
      <c r="D21" t="s">
        <v>115</v>
      </c>
      <c r="E21" t="s">
        <v>247</v>
      </c>
      <c r="F21" t="s">
        <v>244</v>
      </c>
      <c r="G21" t="s">
        <v>148</v>
      </c>
    </row>
    <row r="22" spans="1:7" x14ac:dyDescent="0.25">
      <c r="A22" t="s">
        <v>35</v>
      </c>
      <c r="B22" t="s">
        <v>153</v>
      </c>
      <c r="C22" t="s">
        <v>152</v>
      </c>
      <c r="D22" t="s">
        <v>115</v>
      </c>
      <c r="E22" t="s">
        <v>243</v>
      </c>
      <c r="F22" t="s">
        <v>244</v>
      </c>
      <c r="G22" t="s">
        <v>156</v>
      </c>
    </row>
    <row r="23" spans="1:7" x14ac:dyDescent="0.25">
      <c r="A23" t="s">
        <v>35</v>
      </c>
      <c r="B23" t="s">
        <v>153</v>
      </c>
      <c r="C23" t="s">
        <v>152</v>
      </c>
      <c r="D23" t="s">
        <v>115</v>
      </c>
      <c r="E23" t="s">
        <v>247</v>
      </c>
      <c r="F23" t="s">
        <v>244</v>
      </c>
      <c r="G23" t="s">
        <v>156</v>
      </c>
    </row>
    <row r="24" spans="1:7" x14ac:dyDescent="0.25">
      <c r="A24" t="s">
        <v>35</v>
      </c>
      <c r="B24" t="s">
        <v>161</v>
      </c>
      <c r="C24" t="s">
        <v>160</v>
      </c>
      <c r="D24" t="s">
        <v>115</v>
      </c>
      <c r="E24" t="s">
        <v>243</v>
      </c>
      <c r="F24" t="s">
        <v>244</v>
      </c>
      <c r="G24" t="s">
        <v>164</v>
      </c>
    </row>
    <row r="25" spans="1:7" x14ac:dyDescent="0.25">
      <c r="A25" t="s">
        <v>35</v>
      </c>
      <c r="B25" t="s">
        <v>161</v>
      </c>
      <c r="C25" t="s">
        <v>160</v>
      </c>
      <c r="D25" t="s">
        <v>115</v>
      </c>
      <c r="E25" t="s">
        <v>247</v>
      </c>
      <c r="F25" t="s">
        <v>244</v>
      </c>
      <c r="G25" t="s">
        <v>164</v>
      </c>
    </row>
    <row r="26" spans="1:7" x14ac:dyDescent="0.25">
      <c r="A26" t="s">
        <v>35</v>
      </c>
      <c r="B26" t="s">
        <v>161</v>
      </c>
      <c r="C26" t="s">
        <v>160</v>
      </c>
      <c r="D26" t="s">
        <v>115</v>
      </c>
      <c r="E26" t="s">
        <v>245</v>
      </c>
      <c r="F26" t="s">
        <v>244</v>
      </c>
      <c r="G26" t="s">
        <v>248</v>
      </c>
    </row>
    <row r="27" spans="1:7" x14ac:dyDescent="0.25">
      <c r="A27" t="s">
        <v>168</v>
      </c>
      <c r="B27" t="s">
        <v>39</v>
      </c>
      <c r="C27" t="s">
        <v>38</v>
      </c>
      <c r="D27" t="s">
        <v>40</v>
      </c>
      <c r="E27" t="s">
        <v>245</v>
      </c>
      <c r="F27" t="s">
        <v>244</v>
      </c>
      <c r="G27" t="s">
        <v>246</v>
      </c>
    </row>
    <row r="28" spans="1:7" x14ac:dyDescent="0.25">
      <c r="A28" t="s">
        <v>168</v>
      </c>
      <c r="B28" t="s">
        <v>53</v>
      </c>
      <c r="C28" t="s">
        <v>52</v>
      </c>
      <c r="D28" t="s">
        <v>40</v>
      </c>
      <c r="E28" t="s">
        <v>243</v>
      </c>
      <c r="F28" t="s">
        <v>244</v>
      </c>
      <c r="G28" t="s">
        <v>178</v>
      </c>
    </row>
    <row r="29" spans="1:7" x14ac:dyDescent="0.25">
      <c r="A29" t="s">
        <v>168</v>
      </c>
      <c r="B29" t="s">
        <v>53</v>
      </c>
      <c r="C29" t="s">
        <v>52</v>
      </c>
      <c r="D29" t="s">
        <v>40</v>
      </c>
      <c r="E29" t="s">
        <v>247</v>
      </c>
      <c r="F29" t="s">
        <v>244</v>
      </c>
      <c r="G29" t="s">
        <v>178</v>
      </c>
    </row>
    <row r="30" spans="1:7" x14ac:dyDescent="0.25">
      <c r="A30" t="s">
        <v>168</v>
      </c>
      <c r="B30" t="s">
        <v>53</v>
      </c>
      <c r="C30" t="s">
        <v>52</v>
      </c>
      <c r="D30" t="s">
        <v>40</v>
      </c>
      <c r="E30" t="s">
        <v>245</v>
      </c>
      <c r="F30" t="s">
        <v>244</v>
      </c>
      <c r="G30" t="s">
        <v>251</v>
      </c>
    </row>
    <row r="31" spans="1:7" x14ac:dyDescent="0.25">
      <c r="A31" t="s">
        <v>168</v>
      </c>
      <c r="B31" t="s">
        <v>73</v>
      </c>
      <c r="C31" t="s">
        <v>72</v>
      </c>
      <c r="D31" t="s">
        <v>40</v>
      </c>
      <c r="E31" t="s">
        <v>247</v>
      </c>
      <c r="F31" t="s">
        <v>244</v>
      </c>
      <c r="G31" t="s">
        <v>184</v>
      </c>
    </row>
    <row r="32" spans="1:7" x14ac:dyDescent="0.25">
      <c r="A32" t="s">
        <v>168</v>
      </c>
      <c r="B32" t="s">
        <v>81</v>
      </c>
      <c r="C32" t="s">
        <v>80</v>
      </c>
      <c r="D32" t="s">
        <v>40</v>
      </c>
      <c r="E32" t="s">
        <v>245</v>
      </c>
      <c r="F32" t="s">
        <v>244</v>
      </c>
      <c r="G32" t="s">
        <v>252</v>
      </c>
    </row>
    <row r="33" spans="1:7" x14ac:dyDescent="0.25">
      <c r="A33" t="s">
        <v>168</v>
      </c>
      <c r="B33" t="s">
        <v>90</v>
      </c>
      <c r="C33" t="s">
        <v>89</v>
      </c>
      <c r="D33" t="s">
        <v>40</v>
      </c>
      <c r="E33" t="s">
        <v>243</v>
      </c>
      <c r="F33" t="s">
        <v>244</v>
      </c>
      <c r="G33" t="s">
        <v>196</v>
      </c>
    </row>
    <row r="34" spans="1:7" x14ac:dyDescent="0.25">
      <c r="A34" t="s">
        <v>168</v>
      </c>
      <c r="B34" t="s">
        <v>98</v>
      </c>
      <c r="C34" t="s">
        <v>97</v>
      </c>
      <c r="D34" t="s">
        <v>40</v>
      </c>
      <c r="E34" t="s">
        <v>247</v>
      </c>
      <c r="F34" t="s">
        <v>244</v>
      </c>
      <c r="G34" t="s">
        <v>202</v>
      </c>
    </row>
    <row r="35" spans="1:7" x14ac:dyDescent="0.25">
      <c r="E35" t="s">
        <v>253</v>
      </c>
      <c r="F35" t="s">
        <v>254</v>
      </c>
      <c r="G35" t="s">
        <v>255</v>
      </c>
    </row>
    <row r="36" spans="1:7" x14ac:dyDescent="0.25">
      <c r="A36"/>
      <c r="E36" t="s">
        <v>253</v>
      </c>
      <c r="F36" t="s">
        <v>254</v>
      </c>
      <c r="G36" t="s">
        <v>255</v>
      </c>
    </row>
  </sheetData>
  <autoFilter ref="A1:G35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1" customWidth="1"/>
    <col min="3" max="3" width="13" customWidth="1"/>
    <col min="4" max="9" width="11" customWidth="1"/>
    <col min="10" max="10" width="12" customWidth="1"/>
    <col min="11" max="11" width="17" customWidth="1"/>
    <col min="12" max="13" width="19" customWidth="1"/>
    <col min="14" max="14" width="15" customWidth="1"/>
    <col min="15" max="15" width="14" customWidth="1"/>
    <col min="16" max="17" width="16" customWidth="1"/>
    <col min="18" max="18" width="12" customWidth="1"/>
    <col min="19" max="19" width="11" customWidth="1"/>
    <col min="20" max="20" width="12" customWidth="1"/>
    <col min="21" max="21" width="27" customWidth="1"/>
    <col min="22" max="22" width="19" customWidth="1"/>
    <col min="23" max="23" width="18" customWidth="1"/>
    <col min="24" max="24" width="21" customWidth="1"/>
    <col min="25" max="29" width="18" customWidth="1"/>
    <col min="30" max="30" width="21" customWidth="1"/>
    <col min="31" max="31" width="18" customWidth="1"/>
    <col min="32" max="32" width="15" customWidth="1"/>
  </cols>
  <sheetData>
    <row r="1" spans="1:32" ht="39.950000000000003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>
        <v>11197</v>
      </c>
      <c r="K2" t="s">
        <v>41</v>
      </c>
      <c r="L2" t="s">
        <v>42</v>
      </c>
      <c r="M2" s="2">
        <v>4.7800011574074083E-2</v>
      </c>
      <c r="N2" t="s">
        <v>43</v>
      </c>
      <c r="O2" t="s">
        <v>44</v>
      </c>
      <c r="P2" t="s">
        <v>45</v>
      </c>
      <c r="Q2" s="2">
        <v>6.9093750000000004E-4</v>
      </c>
      <c r="R2" t="s">
        <v>46</v>
      </c>
      <c r="S2" s="2">
        <v>0.28484238425925928</v>
      </c>
      <c r="T2">
        <v>80.8</v>
      </c>
      <c r="U2">
        <v>30.08</v>
      </c>
      <c r="V2" s="2">
        <v>0.1119234722222222</v>
      </c>
      <c r="W2" s="2">
        <v>5.3006249999999998E-3</v>
      </c>
      <c r="X2" s="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 t="s">
        <v>47</v>
      </c>
      <c r="AF2" t="s">
        <v>48</v>
      </c>
    </row>
    <row r="3" spans="1:32" x14ac:dyDescent="0.25">
      <c r="A3" t="s">
        <v>49</v>
      </c>
      <c r="B3" t="s">
        <v>50</v>
      </c>
      <c r="C3" t="s">
        <v>51</v>
      </c>
      <c r="D3" t="s">
        <v>35</v>
      </c>
      <c r="E3" t="s">
        <v>36</v>
      </c>
      <c r="F3" t="s">
        <v>37</v>
      </c>
      <c r="G3" t="s">
        <v>52</v>
      </c>
      <c r="H3" t="s">
        <v>53</v>
      </c>
      <c r="I3" t="s">
        <v>40</v>
      </c>
      <c r="J3">
        <v>3256</v>
      </c>
      <c r="K3" t="s">
        <v>54</v>
      </c>
      <c r="L3" t="s">
        <v>42</v>
      </c>
      <c r="M3" s="2">
        <v>6.9976851851851846E-2</v>
      </c>
      <c r="N3" t="s">
        <v>43</v>
      </c>
      <c r="O3" t="s">
        <v>55</v>
      </c>
      <c r="P3" t="s">
        <v>45</v>
      </c>
      <c r="Q3" s="2">
        <v>2.4675925925925931E-2</v>
      </c>
      <c r="R3" t="s">
        <v>56</v>
      </c>
      <c r="S3" s="2">
        <v>0.23868055555555559</v>
      </c>
      <c r="T3">
        <v>40.072000000000003</v>
      </c>
      <c r="U3">
        <v>13.96</v>
      </c>
      <c r="V3" s="2">
        <v>0.11964120370370369</v>
      </c>
      <c r="W3" s="2">
        <v>3.5081018518518518E-2</v>
      </c>
      <c r="X3" s="2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57</v>
      </c>
      <c r="AF3" t="s">
        <v>58</v>
      </c>
    </row>
    <row r="4" spans="1:32" x14ac:dyDescent="0.25">
      <c r="A4" t="s">
        <v>59</v>
      </c>
      <c r="B4" t="s">
        <v>60</v>
      </c>
      <c r="C4" t="s">
        <v>61</v>
      </c>
      <c r="D4" t="s">
        <v>35</v>
      </c>
      <c r="E4" t="s">
        <v>36</v>
      </c>
      <c r="F4" t="s">
        <v>37</v>
      </c>
      <c r="G4" t="s">
        <v>62</v>
      </c>
      <c r="H4" t="s">
        <v>63</v>
      </c>
      <c r="I4" t="s">
        <v>40</v>
      </c>
      <c r="J4">
        <v>5047</v>
      </c>
      <c r="K4" t="s">
        <v>64</v>
      </c>
      <c r="L4" t="s">
        <v>42</v>
      </c>
      <c r="M4" s="2">
        <v>4.7453703703703698E-4</v>
      </c>
      <c r="N4" t="s">
        <v>65</v>
      </c>
      <c r="O4" t="s">
        <v>66</v>
      </c>
      <c r="P4" t="s">
        <v>45</v>
      </c>
      <c r="Q4" s="2">
        <v>7.3657407407407408E-2</v>
      </c>
      <c r="R4" t="s">
        <v>56</v>
      </c>
      <c r="S4" s="2">
        <v>0.26015046296296301</v>
      </c>
      <c r="T4">
        <v>65.918999999999997</v>
      </c>
      <c r="U4">
        <v>15.72</v>
      </c>
      <c r="V4" s="2">
        <v>0.1747222222222222</v>
      </c>
      <c r="W4" s="2">
        <v>5.5E-2</v>
      </c>
      <c r="X4" s="2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 t="s">
        <v>67</v>
      </c>
      <c r="AF4" t="s">
        <v>68</v>
      </c>
    </row>
    <row r="5" spans="1:32" x14ac:dyDescent="0.25">
      <c r="A5" t="s">
        <v>69</v>
      </c>
      <c r="B5" t="s">
        <v>70</v>
      </c>
      <c r="C5" t="s">
        <v>71</v>
      </c>
      <c r="D5" t="s">
        <v>35</v>
      </c>
      <c r="E5" t="s">
        <v>36</v>
      </c>
      <c r="F5" t="s">
        <v>37</v>
      </c>
      <c r="G5" t="s">
        <v>72</v>
      </c>
      <c r="H5" t="s">
        <v>73</v>
      </c>
      <c r="I5" t="s">
        <v>40</v>
      </c>
      <c r="J5">
        <v>3227</v>
      </c>
      <c r="K5" t="s">
        <v>74</v>
      </c>
      <c r="L5" t="s">
        <v>42</v>
      </c>
      <c r="M5" s="2">
        <v>0.1196875</v>
      </c>
      <c r="N5" t="s">
        <v>43</v>
      </c>
      <c r="O5" t="s">
        <v>75</v>
      </c>
      <c r="P5" t="s">
        <v>45</v>
      </c>
      <c r="Q5" s="2">
        <v>8.9074074074074069E-2</v>
      </c>
      <c r="R5" t="s">
        <v>56</v>
      </c>
      <c r="S5" s="2">
        <v>0.1245717592592593</v>
      </c>
      <c r="T5">
        <v>44.070999999999998</v>
      </c>
      <c r="U5">
        <v>17.73</v>
      </c>
      <c r="V5" s="2">
        <v>0.1035648148148148</v>
      </c>
      <c r="W5" s="2">
        <v>3.3275462962962972E-2</v>
      </c>
      <c r="X5" s="2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57</v>
      </c>
      <c r="AF5" t="s">
        <v>76</v>
      </c>
    </row>
    <row r="6" spans="1:32" x14ac:dyDescent="0.25">
      <c r="A6" t="s">
        <v>77</v>
      </c>
      <c r="B6" t="s">
        <v>78</v>
      </c>
      <c r="C6" t="s">
        <v>79</v>
      </c>
      <c r="D6" t="s">
        <v>35</v>
      </c>
      <c r="E6" t="s">
        <v>36</v>
      </c>
      <c r="F6" t="s">
        <v>37</v>
      </c>
      <c r="G6" t="s">
        <v>80</v>
      </c>
      <c r="H6" t="s">
        <v>81</v>
      </c>
      <c r="I6" t="s">
        <v>40</v>
      </c>
      <c r="J6">
        <v>7518</v>
      </c>
      <c r="K6" t="s">
        <v>82</v>
      </c>
      <c r="L6" t="s">
        <v>42</v>
      </c>
      <c r="M6" s="2">
        <v>6.9951620370370367E-3</v>
      </c>
      <c r="N6" t="s">
        <v>65</v>
      </c>
      <c r="O6" t="s">
        <v>83</v>
      </c>
      <c r="P6" t="s">
        <v>45</v>
      </c>
      <c r="Q6" s="2">
        <v>1.070034722222222E-3</v>
      </c>
      <c r="R6" t="s">
        <v>46</v>
      </c>
      <c r="S6" s="2">
        <v>0.34139853009259258</v>
      </c>
      <c r="T6">
        <v>51.048999999999999</v>
      </c>
      <c r="U6">
        <v>22.05</v>
      </c>
      <c r="V6" s="2">
        <v>9.6447118055555572E-2</v>
      </c>
      <c r="W6" s="2">
        <v>4.5614872685185187E-2</v>
      </c>
      <c r="X6" s="2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12</v>
      </c>
      <c r="AE6" t="s">
        <v>84</v>
      </c>
      <c r="AF6" t="s">
        <v>85</v>
      </c>
    </row>
    <row r="7" spans="1:32" x14ac:dyDescent="0.25">
      <c r="A7" t="s">
        <v>86</v>
      </c>
      <c r="B7" t="s">
        <v>87</v>
      </c>
      <c r="C7" t="s">
        <v>88</v>
      </c>
      <c r="D7" t="s">
        <v>35</v>
      </c>
      <c r="E7" t="s">
        <v>36</v>
      </c>
      <c r="F7" t="s">
        <v>37</v>
      </c>
      <c r="G7" t="s">
        <v>89</v>
      </c>
      <c r="H7" t="s">
        <v>90</v>
      </c>
      <c r="I7" t="s">
        <v>40</v>
      </c>
      <c r="J7">
        <v>5358</v>
      </c>
      <c r="K7" t="s">
        <v>91</v>
      </c>
      <c r="L7" t="s">
        <v>42</v>
      </c>
      <c r="M7" s="2">
        <v>0.12020833333333331</v>
      </c>
      <c r="N7" t="s">
        <v>43</v>
      </c>
      <c r="O7" t="s">
        <v>92</v>
      </c>
      <c r="P7" t="s">
        <v>45</v>
      </c>
      <c r="Q7" s="2">
        <v>4.1087962962962962E-3</v>
      </c>
      <c r="R7" t="s">
        <v>46</v>
      </c>
      <c r="S7" s="2">
        <v>0.2172337962962963</v>
      </c>
      <c r="T7">
        <v>70.408000000000001</v>
      </c>
      <c r="U7">
        <v>14.95</v>
      </c>
      <c r="V7" s="2">
        <v>0.19622685185185179</v>
      </c>
      <c r="W7" s="2">
        <v>4.6956018518518522E-2</v>
      </c>
      <c r="X7" s="2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47</v>
      </c>
      <c r="AF7" t="s">
        <v>93</v>
      </c>
    </row>
    <row r="8" spans="1:32" x14ac:dyDescent="0.25">
      <c r="A8" t="s">
        <v>94</v>
      </c>
      <c r="B8" t="s">
        <v>95</v>
      </c>
      <c r="C8" t="s">
        <v>96</v>
      </c>
      <c r="D8" t="s">
        <v>35</v>
      </c>
      <c r="E8" t="s">
        <v>36</v>
      </c>
      <c r="F8" t="s">
        <v>37</v>
      </c>
      <c r="G8" t="s">
        <v>97</v>
      </c>
      <c r="H8" t="s">
        <v>98</v>
      </c>
      <c r="I8" t="s">
        <v>40</v>
      </c>
      <c r="J8">
        <v>4561</v>
      </c>
      <c r="K8" t="s">
        <v>99</v>
      </c>
      <c r="L8" t="s">
        <v>42</v>
      </c>
      <c r="M8" s="2">
        <v>4.6064814814814814E-3</v>
      </c>
      <c r="N8" t="s">
        <v>65</v>
      </c>
      <c r="O8" t="s">
        <v>100</v>
      </c>
      <c r="P8" t="s">
        <v>45</v>
      </c>
      <c r="Q8" s="2">
        <v>1.142361111111111E-2</v>
      </c>
      <c r="R8" t="s">
        <v>56</v>
      </c>
      <c r="S8" s="2">
        <v>0.31730324074074068</v>
      </c>
      <c r="T8">
        <v>60.509</v>
      </c>
      <c r="U8">
        <v>11.47</v>
      </c>
      <c r="V8" s="2">
        <v>0.2198148148148148</v>
      </c>
      <c r="W8" s="2">
        <v>0.118912037037037</v>
      </c>
      <c r="X8" s="2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67</v>
      </c>
      <c r="AF8" t="s">
        <v>101</v>
      </c>
    </row>
    <row r="9" spans="1:32" x14ac:dyDescent="0.25">
      <c r="A9" t="s">
        <v>102</v>
      </c>
      <c r="B9" t="s">
        <v>103</v>
      </c>
      <c r="C9" t="s">
        <v>104</v>
      </c>
      <c r="D9" t="s">
        <v>35</v>
      </c>
      <c r="E9" t="s">
        <v>36</v>
      </c>
      <c r="F9" t="s">
        <v>37</v>
      </c>
      <c r="G9" t="s">
        <v>105</v>
      </c>
      <c r="H9" t="s">
        <v>106</v>
      </c>
      <c r="I9" t="s">
        <v>40</v>
      </c>
      <c r="J9">
        <v>2608</v>
      </c>
      <c r="K9" t="s">
        <v>107</v>
      </c>
      <c r="L9" t="s">
        <v>42</v>
      </c>
      <c r="M9" s="2">
        <v>1.444444444444444E-2</v>
      </c>
      <c r="N9" t="s">
        <v>43</v>
      </c>
      <c r="O9" t="s">
        <v>108</v>
      </c>
      <c r="P9" t="s">
        <v>45</v>
      </c>
      <c r="Q9" s="2">
        <v>1.038194444444444E-2</v>
      </c>
      <c r="R9" t="s">
        <v>46</v>
      </c>
      <c r="S9" s="2">
        <v>0.30850694444444438</v>
      </c>
      <c r="T9">
        <v>36.395000000000003</v>
      </c>
      <c r="U9">
        <v>8.93</v>
      </c>
      <c r="V9" s="2">
        <v>0.1698611111111111</v>
      </c>
      <c r="W9" s="2">
        <v>0.1043981481481481</v>
      </c>
      <c r="X9" s="2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109</v>
      </c>
    </row>
    <row r="10" spans="1:32" x14ac:dyDescent="0.25">
      <c r="A10" t="s">
        <v>110</v>
      </c>
      <c r="B10" t="s">
        <v>111</v>
      </c>
      <c r="C10" t="s">
        <v>112</v>
      </c>
      <c r="D10" t="s">
        <v>35</v>
      </c>
      <c r="E10" t="s">
        <v>36</v>
      </c>
      <c r="F10" t="s">
        <v>37</v>
      </c>
      <c r="G10" t="s">
        <v>113</v>
      </c>
      <c r="H10" t="s">
        <v>114</v>
      </c>
      <c r="I10" t="s">
        <v>115</v>
      </c>
      <c r="J10">
        <v>1807</v>
      </c>
      <c r="K10" t="s">
        <v>116</v>
      </c>
      <c r="L10" t="s">
        <v>117</v>
      </c>
      <c r="M10" s="2">
        <v>2.3819444444444449E-2</v>
      </c>
      <c r="N10" t="s">
        <v>43</v>
      </c>
      <c r="O10" t="s">
        <v>118</v>
      </c>
      <c r="P10" t="s">
        <v>119</v>
      </c>
      <c r="Q10" s="2">
        <v>5.2905092592592587E-2</v>
      </c>
      <c r="R10" t="s">
        <v>56</v>
      </c>
      <c r="S10" s="2">
        <v>0.17327546296296301</v>
      </c>
      <c r="T10">
        <v>26.773</v>
      </c>
      <c r="U10">
        <v>9.08</v>
      </c>
      <c r="V10" s="2">
        <v>0.1228587962962963</v>
      </c>
      <c r="W10" s="2">
        <v>7.7071759259259257E-2</v>
      </c>
      <c r="X10" s="2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57</v>
      </c>
      <c r="AF10" t="s">
        <v>120</v>
      </c>
    </row>
    <row r="11" spans="1:32" x14ac:dyDescent="0.25">
      <c r="A11" t="s">
        <v>121</v>
      </c>
      <c r="B11" t="s">
        <v>122</v>
      </c>
      <c r="C11" t="s">
        <v>123</v>
      </c>
      <c r="D11" t="s">
        <v>35</v>
      </c>
      <c r="E11" t="s">
        <v>36</v>
      </c>
      <c r="F11" t="s">
        <v>37</v>
      </c>
      <c r="G11" t="s">
        <v>124</v>
      </c>
      <c r="H11" t="s">
        <v>125</v>
      </c>
      <c r="I11" t="s">
        <v>115</v>
      </c>
      <c r="J11">
        <v>4693</v>
      </c>
      <c r="K11" t="s">
        <v>126</v>
      </c>
      <c r="L11" t="s">
        <v>117</v>
      </c>
      <c r="M11" s="2">
        <v>4.4513888888888888E-2</v>
      </c>
      <c r="N11" t="s">
        <v>127</v>
      </c>
      <c r="O11" t="s">
        <v>128</v>
      </c>
      <c r="P11" t="s">
        <v>119</v>
      </c>
      <c r="Q11" s="2">
        <v>4.4502314814814807E-2</v>
      </c>
      <c r="R11" t="s">
        <v>129</v>
      </c>
      <c r="S11" s="2">
        <v>0.33901620370370372</v>
      </c>
      <c r="T11">
        <v>60.158999999999999</v>
      </c>
      <c r="U11">
        <v>10.029999999999999</v>
      </c>
      <c r="V11" s="2">
        <v>0.24990740740740741</v>
      </c>
      <c r="W11" s="2">
        <v>0.11657407407407409</v>
      </c>
      <c r="X11" s="2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130</v>
      </c>
      <c r="AF11" t="s">
        <v>131</v>
      </c>
    </row>
    <row r="12" spans="1:32" x14ac:dyDescent="0.25">
      <c r="A12" t="s">
        <v>132</v>
      </c>
      <c r="B12" t="s">
        <v>133</v>
      </c>
      <c r="C12" t="s">
        <v>134</v>
      </c>
      <c r="D12" t="s">
        <v>35</v>
      </c>
      <c r="E12" t="s">
        <v>36</v>
      </c>
      <c r="F12" t="s">
        <v>37</v>
      </c>
      <c r="G12" t="s">
        <v>135</v>
      </c>
      <c r="H12" t="s">
        <v>136</v>
      </c>
      <c r="I12" t="s">
        <v>115</v>
      </c>
      <c r="J12">
        <v>2378</v>
      </c>
      <c r="K12" t="s">
        <v>137</v>
      </c>
      <c r="L12" t="s">
        <v>117</v>
      </c>
      <c r="M12" s="2">
        <v>4.0960648148148149E-2</v>
      </c>
      <c r="N12" t="s">
        <v>127</v>
      </c>
      <c r="O12" t="s">
        <v>138</v>
      </c>
      <c r="P12" t="s">
        <v>119</v>
      </c>
      <c r="Q12" s="2">
        <v>1.851851851851852E-4</v>
      </c>
      <c r="R12" t="s">
        <v>46</v>
      </c>
      <c r="S12" s="2">
        <v>0.29114583333333333</v>
      </c>
      <c r="T12">
        <v>45.13</v>
      </c>
      <c r="U12">
        <v>11.1</v>
      </c>
      <c r="V12" s="2">
        <v>0.16944444444444451</v>
      </c>
      <c r="W12" s="2">
        <v>0.101099537037037</v>
      </c>
      <c r="X12" s="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</v>
      </c>
      <c r="AE12" t="s">
        <v>139</v>
      </c>
      <c r="AF12" t="s">
        <v>140</v>
      </c>
    </row>
    <row r="13" spans="1:32" x14ac:dyDescent="0.25">
      <c r="A13" t="s">
        <v>141</v>
      </c>
      <c r="B13" t="s">
        <v>142</v>
      </c>
      <c r="C13" t="s">
        <v>143</v>
      </c>
      <c r="D13" t="s">
        <v>35</v>
      </c>
      <c r="E13" t="s">
        <v>36</v>
      </c>
      <c r="F13" t="s">
        <v>37</v>
      </c>
      <c r="G13" t="s">
        <v>144</v>
      </c>
      <c r="H13" t="s">
        <v>145</v>
      </c>
      <c r="I13" t="s">
        <v>115</v>
      </c>
      <c r="J13">
        <v>6795</v>
      </c>
      <c r="K13" t="s">
        <v>146</v>
      </c>
      <c r="L13" t="s">
        <v>117</v>
      </c>
      <c r="M13" s="2">
        <v>4.2685185185185187E-2</v>
      </c>
      <c r="N13" t="s">
        <v>127</v>
      </c>
      <c r="O13" t="s">
        <v>147</v>
      </c>
      <c r="P13" t="s">
        <v>119</v>
      </c>
      <c r="Q13" s="2">
        <v>2.6527777777777779E-2</v>
      </c>
      <c r="R13" t="s">
        <v>56</v>
      </c>
      <c r="S13" s="2">
        <v>0.2661574074074074</v>
      </c>
      <c r="T13">
        <v>95.019000000000005</v>
      </c>
      <c r="U13">
        <v>19.63</v>
      </c>
      <c r="V13" s="2">
        <v>0.20173611111111109</v>
      </c>
      <c r="W13" s="2">
        <v>4.7870370370370369E-2</v>
      </c>
      <c r="X13" s="2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139</v>
      </c>
      <c r="AF13" t="s">
        <v>148</v>
      </c>
    </row>
    <row r="14" spans="1:32" x14ac:dyDescent="0.25">
      <c r="A14" t="s">
        <v>149</v>
      </c>
      <c r="B14" t="s">
        <v>150</v>
      </c>
      <c r="C14" t="s">
        <v>151</v>
      </c>
      <c r="D14" t="s">
        <v>35</v>
      </c>
      <c r="E14" t="s">
        <v>36</v>
      </c>
      <c r="F14" t="s">
        <v>37</v>
      </c>
      <c r="G14" t="s">
        <v>152</v>
      </c>
      <c r="H14" t="s">
        <v>153</v>
      </c>
      <c r="I14" t="s">
        <v>115</v>
      </c>
      <c r="J14">
        <v>2821</v>
      </c>
      <c r="K14" t="s">
        <v>154</v>
      </c>
      <c r="L14" t="s">
        <v>117</v>
      </c>
      <c r="M14" s="2">
        <v>4.6608796296296287E-2</v>
      </c>
      <c r="N14" t="s">
        <v>127</v>
      </c>
      <c r="O14" t="s">
        <v>155</v>
      </c>
      <c r="P14" t="s">
        <v>119</v>
      </c>
      <c r="Q14" s="2">
        <v>6.4282407407407413E-2</v>
      </c>
      <c r="R14" t="s">
        <v>56</v>
      </c>
      <c r="S14" s="2">
        <v>0.2323263888888889</v>
      </c>
      <c r="T14">
        <v>37.137</v>
      </c>
      <c r="U14">
        <v>9.7899999999999991</v>
      </c>
      <c r="V14" s="2">
        <v>0.15809027777777779</v>
      </c>
      <c r="W14" s="2">
        <v>9.4560185185185192E-2</v>
      </c>
      <c r="X14" s="2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139</v>
      </c>
      <c r="AF14" t="s">
        <v>156</v>
      </c>
    </row>
    <row r="15" spans="1:32" x14ac:dyDescent="0.25">
      <c r="A15" t="s">
        <v>157</v>
      </c>
      <c r="B15" t="s">
        <v>158</v>
      </c>
      <c r="C15" t="s">
        <v>159</v>
      </c>
      <c r="D15" t="s">
        <v>35</v>
      </c>
      <c r="E15" t="s">
        <v>36</v>
      </c>
      <c r="F15" t="s">
        <v>37</v>
      </c>
      <c r="G15" t="s">
        <v>160</v>
      </c>
      <c r="H15" t="s">
        <v>161</v>
      </c>
      <c r="I15" t="s">
        <v>115</v>
      </c>
      <c r="J15">
        <v>12049</v>
      </c>
      <c r="K15" t="s">
        <v>162</v>
      </c>
      <c r="L15" t="s">
        <v>117</v>
      </c>
      <c r="M15" s="2">
        <v>4.0003194444444452E-2</v>
      </c>
      <c r="N15" t="s">
        <v>127</v>
      </c>
      <c r="O15" t="s">
        <v>163</v>
      </c>
      <c r="P15" t="s">
        <v>119</v>
      </c>
      <c r="Q15" s="2">
        <v>1.0714432870370371E-2</v>
      </c>
      <c r="R15" t="s">
        <v>129</v>
      </c>
      <c r="S15" s="2">
        <v>0.30071762731481477</v>
      </c>
      <c r="T15">
        <v>59.566000000000003</v>
      </c>
      <c r="U15">
        <v>15.83</v>
      </c>
      <c r="V15" s="2">
        <v>0.1567671990740741</v>
      </c>
      <c r="W15" s="2">
        <v>0.1161869791666667</v>
      </c>
      <c r="X15" s="2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 t="s">
        <v>130</v>
      </c>
      <c r="AF15" t="s">
        <v>164</v>
      </c>
    </row>
    <row r="16" spans="1:32" x14ac:dyDescent="0.25">
      <c r="A16" t="s">
        <v>165</v>
      </c>
      <c r="B16" t="s">
        <v>166</v>
      </c>
      <c r="C16" t="s">
        <v>167</v>
      </c>
      <c r="D16" t="s">
        <v>168</v>
      </c>
      <c r="E16" t="s">
        <v>36</v>
      </c>
      <c r="F16" t="s">
        <v>169</v>
      </c>
      <c r="G16" t="s">
        <v>38</v>
      </c>
      <c r="H16" t="s">
        <v>39</v>
      </c>
      <c r="I16" t="s">
        <v>40</v>
      </c>
      <c r="J16">
        <v>8617</v>
      </c>
      <c r="K16" t="s">
        <v>170</v>
      </c>
      <c r="L16" t="s">
        <v>42</v>
      </c>
      <c r="M16" s="2">
        <v>1.0053090277777781E-2</v>
      </c>
      <c r="N16" t="s">
        <v>65</v>
      </c>
      <c r="O16" t="s">
        <v>171</v>
      </c>
      <c r="P16" t="s">
        <v>45</v>
      </c>
      <c r="Q16" s="2">
        <v>6.6242013888888887E-3</v>
      </c>
      <c r="R16" t="s">
        <v>46</v>
      </c>
      <c r="S16" s="2">
        <v>0.32990444444444439</v>
      </c>
      <c r="T16">
        <v>53.473999999999997</v>
      </c>
      <c r="U16">
        <v>19.57</v>
      </c>
      <c r="V16" s="2">
        <v>0.11386583333333331</v>
      </c>
      <c r="W16" s="2">
        <v>4.8102314814814813E-2</v>
      </c>
      <c r="X16" s="2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</v>
      </c>
      <c r="AE16" t="s">
        <v>84</v>
      </c>
      <c r="AF16" t="s">
        <v>172</v>
      </c>
    </row>
    <row r="17" spans="1:32" x14ac:dyDescent="0.25">
      <c r="A17" t="s">
        <v>173</v>
      </c>
      <c r="B17" t="s">
        <v>174</v>
      </c>
      <c r="C17" t="s">
        <v>175</v>
      </c>
      <c r="D17" t="s">
        <v>168</v>
      </c>
      <c r="E17" t="s">
        <v>36</v>
      </c>
      <c r="F17" t="s">
        <v>169</v>
      </c>
      <c r="G17" t="s">
        <v>52</v>
      </c>
      <c r="H17" t="s">
        <v>53</v>
      </c>
      <c r="I17" t="s">
        <v>40</v>
      </c>
      <c r="J17">
        <v>4186</v>
      </c>
      <c r="K17" t="s">
        <v>176</v>
      </c>
      <c r="L17" t="s">
        <v>42</v>
      </c>
      <c r="M17" s="2">
        <v>1.52662037037037E-2</v>
      </c>
      <c r="N17" t="s">
        <v>127</v>
      </c>
      <c r="O17" t="s">
        <v>177</v>
      </c>
      <c r="P17" t="s">
        <v>45</v>
      </c>
      <c r="Q17" s="2">
        <v>2.239583333333333E-2</v>
      </c>
      <c r="R17" t="s">
        <v>56</v>
      </c>
      <c r="S17" s="2">
        <v>0.32620370370370372</v>
      </c>
      <c r="T17">
        <v>53.058</v>
      </c>
      <c r="U17">
        <v>9.02</v>
      </c>
      <c r="V17" s="2">
        <v>0.24497685185185189</v>
      </c>
      <c r="W17" s="2">
        <v>0.1429050925925926</v>
      </c>
      <c r="X17" s="2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</v>
      </c>
      <c r="AE17" t="s">
        <v>139</v>
      </c>
      <c r="AF17" t="s">
        <v>178</v>
      </c>
    </row>
    <row r="18" spans="1:32" x14ac:dyDescent="0.25">
      <c r="A18" t="s">
        <v>179</v>
      </c>
      <c r="B18" t="s">
        <v>180</v>
      </c>
      <c r="C18" t="s">
        <v>181</v>
      </c>
      <c r="D18" t="s">
        <v>168</v>
      </c>
      <c r="E18" t="s">
        <v>36</v>
      </c>
      <c r="F18" t="s">
        <v>169</v>
      </c>
      <c r="G18" t="s">
        <v>72</v>
      </c>
      <c r="H18" t="s">
        <v>73</v>
      </c>
      <c r="I18" t="s">
        <v>40</v>
      </c>
      <c r="J18">
        <v>4058</v>
      </c>
      <c r="K18" t="s">
        <v>182</v>
      </c>
      <c r="L18" t="s">
        <v>42</v>
      </c>
      <c r="M18" s="2">
        <v>3.518518518518518E-3</v>
      </c>
      <c r="N18" t="s">
        <v>65</v>
      </c>
      <c r="O18" t="s">
        <v>183</v>
      </c>
      <c r="P18" t="s">
        <v>45</v>
      </c>
      <c r="Q18" s="2">
        <v>0.18057870370370371</v>
      </c>
      <c r="R18" t="s">
        <v>56</v>
      </c>
      <c r="S18" s="2">
        <v>0.1492361111111111</v>
      </c>
      <c r="T18">
        <v>55.665999999999997</v>
      </c>
      <c r="U18">
        <v>19.13</v>
      </c>
      <c r="V18" s="2">
        <v>0.12122685185185179</v>
      </c>
      <c r="W18" s="2">
        <v>3.7974537037037043E-2</v>
      </c>
      <c r="X18" s="2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67</v>
      </c>
      <c r="AF18" t="s">
        <v>184</v>
      </c>
    </row>
    <row r="19" spans="1:32" x14ac:dyDescent="0.25">
      <c r="A19" t="s">
        <v>185</v>
      </c>
      <c r="B19" t="s">
        <v>186</v>
      </c>
      <c r="C19" t="s">
        <v>187</v>
      </c>
      <c r="D19" t="s">
        <v>168</v>
      </c>
      <c r="E19" t="s">
        <v>36</v>
      </c>
      <c r="F19" t="s">
        <v>169</v>
      </c>
      <c r="G19" t="s">
        <v>80</v>
      </c>
      <c r="H19" t="s">
        <v>81</v>
      </c>
      <c r="I19" t="s">
        <v>40</v>
      </c>
      <c r="J19">
        <v>7728</v>
      </c>
      <c r="K19" t="s">
        <v>188</v>
      </c>
      <c r="L19" t="s">
        <v>42</v>
      </c>
      <c r="M19" s="2">
        <v>4.1732523148148154E-3</v>
      </c>
      <c r="N19" t="s">
        <v>65</v>
      </c>
      <c r="O19" t="s">
        <v>189</v>
      </c>
      <c r="P19" t="s">
        <v>45</v>
      </c>
      <c r="Q19" s="2">
        <v>5.3112268518518526E-4</v>
      </c>
      <c r="R19" t="s">
        <v>46</v>
      </c>
      <c r="S19" s="2">
        <v>0.32969120370370369</v>
      </c>
      <c r="T19">
        <v>50.911000000000001</v>
      </c>
      <c r="U19">
        <v>14.81</v>
      </c>
      <c r="V19" s="2">
        <v>0.14322857638888889</v>
      </c>
      <c r="W19" s="2">
        <v>9.1386087962962964E-2</v>
      </c>
      <c r="X19" s="2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11</v>
      </c>
      <c r="AE19" t="s">
        <v>84</v>
      </c>
      <c r="AF19" t="s">
        <v>190</v>
      </c>
    </row>
    <row r="20" spans="1:32" x14ac:dyDescent="0.25">
      <c r="A20" t="s">
        <v>191</v>
      </c>
      <c r="B20" t="s">
        <v>192</v>
      </c>
      <c r="C20" t="s">
        <v>193</v>
      </c>
      <c r="D20" t="s">
        <v>168</v>
      </c>
      <c r="E20" t="s">
        <v>36</v>
      </c>
      <c r="F20" t="s">
        <v>169</v>
      </c>
      <c r="G20" t="s">
        <v>89</v>
      </c>
      <c r="H20" t="s">
        <v>90</v>
      </c>
      <c r="I20" t="s">
        <v>40</v>
      </c>
      <c r="J20">
        <v>8741</v>
      </c>
      <c r="K20" t="s">
        <v>194</v>
      </c>
      <c r="L20" t="s">
        <v>42</v>
      </c>
      <c r="M20" s="2">
        <v>1.7673611111111109E-2</v>
      </c>
      <c r="N20" t="s">
        <v>127</v>
      </c>
      <c r="O20" t="s">
        <v>195</v>
      </c>
      <c r="P20" t="s">
        <v>45</v>
      </c>
      <c r="Q20" s="2">
        <v>4.6759259259259263E-3</v>
      </c>
      <c r="R20" t="s">
        <v>46</v>
      </c>
      <c r="S20" s="2">
        <v>0.3463310185185185</v>
      </c>
      <c r="T20">
        <v>124.512</v>
      </c>
      <c r="U20">
        <v>20.32</v>
      </c>
      <c r="V20" s="2">
        <v>0.2553009259259259</v>
      </c>
      <c r="W20" s="2">
        <v>7.3159722222222223E-2</v>
      </c>
      <c r="X20" s="2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139</v>
      </c>
      <c r="AF20" t="s">
        <v>196</v>
      </c>
    </row>
    <row r="21" spans="1:32" x14ac:dyDescent="0.25">
      <c r="A21" t="s">
        <v>197</v>
      </c>
      <c r="B21" t="s">
        <v>198</v>
      </c>
      <c r="C21" t="s">
        <v>199</v>
      </c>
      <c r="D21" t="s">
        <v>168</v>
      </c>
      <c r="E21" t="s">
        <v>36</v>
      </c>
      <c r="F21" t="s">
        <v>169</v>
      </c>
      <c r="G21" t="s">
        <v>97</v>
      </c>
      <c r="H21" t="s">
        <v>98</v>
      </c>
      <c r="I21" t="s">
        <v>40</v>
      </c>
      <c r="J21">
        <v>5179</v>
      </c>
      <c r="K21" t="s">
        <v>200</v>
      </c>
      <c r="L21" t="s">
        <v>42</v>
      </c>
      <c r="M21" s="2">
        <v>3.0787037037037042E-3</v>
      </c>
      <c r="N21" t="s">
        <v>65</v>
      </c>
      <c r="O21" t="s">
        <v>201</v>
      </c>
      <c r="P21" t="s">
        <v>45</v>
      </c>
      <c r="Q21" s="2">
        <v>1.7384259259259259E-2</v>
      </c>
      <c r="R21" t="s">
        <v>56</v>
      </c>
      <c r="S21" s="2">
        <v>0.31287037037037041</v>
      </c>
      <c r="T21">
        <v>68.456999999999994</v>
      </c>
      <c r="U21">
        <v>14.49</v>
      </c>
      <c r="V21" s="2">
        <v>0.1968634259259259</v>
      </c>
      <c r="W21" s="2">
        <v>9.1157407407407409E-2</v>
      </c>
      <c r="X21" s="2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67</v>
      </c>
      <c r="AF21" t="s">
        <v>202</v>
      </c>
    </row>
  </sheetData>
  <autoFilter ref="A1:AF2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GRAFICAS</vt:lpstr>
      <vt:lpstr>DASHBOARD</vt:lpstr>
      <vt:lpstr>RECORRIDOS</vt:lpstr>
      <vt:lpstr>PARADAS</vt:lpstr>
      <vt:lpstr>CONTROL</vt:lpstr>
      <vt:lpstr>ALERTAS</vt:lpstr>
      <vt:lpstr>2026-09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Interventoria Iluminación Medellín VELNEC</cp:lastModifiedBy>
  <dcterms:created xsi:type="dcterms:W3CDTF">2026-09-02T12:56:04Z</dcterms:created>
  <dcterms:modified xsi:type="dcterms:W3CDTF">2026-10-22T19:58:39Z</dcterms:modified>
</cp:coreProperties>
</file>