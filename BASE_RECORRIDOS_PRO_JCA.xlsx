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88A513E0-6142-49D9-8C89-EE15BCA252C7}" xr6:coauthVersionLast="47" xr6:coauthVersionMax="47" xr10:uidLastSave="{00000000-0000-0000-0000-000000000000}"/>
  <bookViews>
    <workbookView xWindow="20370" yWindow="-120" windowWidth="24240" windowHeight="130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2" r:id="rId8"/>
    <pivotCache cacheId="3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77" i="2" l="1"/>
  <c r="AM378" i="2"/>
  <c r="AM379" i="2"/>
  <c r="AM380" i="2"/>
  <c r="AM381" i="2"/>
  <c r="AM369" i="2"/>
  <c r="AM370" i="2"/>
  <c r="AM371" i="2"/>
  <c r="AM372" i="2"/>
  <c r="AM373" i="2"/>
  <c r="AM374" i="2"/>
  <c r="AM375" i="2"/>
  <c r="AM376" i="2"/>
  <c r="AM364" i="2"/>
  <c r="AM365" i="2"/>
  <c r="AM366" i="2"/>
  <c r="AM367" i="2"/>
  <c r="AM368" i="2"/>
  <c r="AM363" i="2"/>
  <c r="AM355" i="2"/>
  <c r="AM356" i="2"/>
  <c r="AM357" i="2"/>
  <c r="AM358" i="2"/>
  <c r="AM359" i="2"/>
  <c r="AM360" i="2"/>
  <c r="AM361" i="2"/>
  <c r="AM362" i="2"/>
  <c r="AM354" i="2"/>
  <c r="AM349" i="2"/>
  <c r="AM350" i="2"/>
  <c r="AM351" i="2"/>
  <c r="AM352" i="2"/>
  <c r="AM353" i="2"/>
  <c r="AM342" i="2"/>
  <c r="AM343" i="2"/>
  <c r="AM344" i="2"/>
  <c r="AM345" i="2"/>
  <c r="AM346" i="2"/>
  <c r="AM347" i="2"/>
  <c r="AM348" i="2"/>
  <c r="AM336" i="2"/>
  <c r="AM337" i="2"/>
  <c r="AM338" i="2"/>
  <c r="AM339" i="2"/>
  <c r="AM340" i="2"/>
  <c r="AM341" i="2"/>
  <c r="AM335" i="2"/>
  <c r="AM333" i="2"/>
  <c r="AM329" i="2"/>
  <c r="AM325" i="2"/>
  <c r="AM326" i="2"/>
  <c r="AM327" i="2"/>
  <c r="AM328" i="2"/>
  <c r="AM330" i="2"/>
  <c r="AM331" i="2"/>
  <c r="AM332" i="2"/>
  <c r="AM334" i="2"/>
  <c r="AM320" i="2"/>
  <c r="AM321" i="2"/>
  <c r="AM322" i="2"/>
  <c r="AM323" i="2"/>
  <c r="AM324" i="2"/>
  <c r="AM311" i="2"/>
  <c r="AM312" i="2"/>
  <c r="AM313" i="2"/>
  <c r="AM314" i="2"/>
  <c r="AM315" i="2"/>
  <c r="AM316" i="2"/>
  <c r="AM317" i="2"/>
  <c r="AM318" i="2"/>
  <c r="AM319" i="2"/>
  <c r="AM306" i="2"/>
  <c r="AM307" i="2"/>
  <c r="AM308" i="2"/>
  <c r="AM309" i="2"/>
  <c r="AM310" i="2"/>
  <c r="AM305" i="2"/>
  <c r="AM297" i="2"/>
  <c r="AM298" i="2"/>
  <c r="AM299" i="2"/>
  <c r="AM300" i="2"/>
  <c r="AM301" i="2"/>
  <c r="AM302" i="2"/>
  <c r="AM303" i="2"/>
  <c r="AM304" i="2"/>
  <c r="AM292" i="2"/>
  <c r="AM293" i="2"/>
  <c r="AM294" i="2"/>
  <c r="AM295" i="2"/>
  <c r="AM296" i="2"/>
  <c r="AM283" i="2" l="1"/>
  <c r="AM284" i="2"/>
  <c r="AM285" i="2"/>
  <c r="AM286" i="2"/>
  <c r="AM287" i="2"/>
  <c r="AM288" i="2"/>
  <c r="AM289" i="2"/>
  <c r="AM290" i="2"/>
  <c r="AM291" i="2"/>
  <c r="AM278" i="2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<sst xmlns="http://schemas.openxmlformats.org/spreadsheetml/2006/main" count="8218" uniqueCount="3191">
  <si>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</si>
  <si>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</si>
  <si>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</si>
  <si>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</si>
  <si>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</si>
  <si>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</si>
  <si>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</si>
  <si>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</si>
  <si>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</si>
  <si>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</si>
  <si>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</si>
  <si>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</si>
  <si>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</si>
  <si>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</si>
  <si>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</si>
  <si>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</si>
  <si>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</si>
  <si>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</si>
  <si>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</si>
  <si>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</si>
  <si>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</si>
  <si>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</si>
  <si>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</si>
  <si>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</si>
  <si>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</si>
  <si>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</si>
  <si>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</si>
  <si>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</si>
  <si>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</si>
  <si>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</si>
  <si>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</si>
  <si>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</si>
  <si>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</si>
  <si>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</si>
  <si>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</si>
  <si>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</si>
  <si>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</si>
  <si>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</si>
  <si>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</si>
  <si>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</si>
  <si>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</si>
  <si>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</si>
  <si>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</si>
  <si>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</si>
  <si>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</si>
  <si>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</si>
  <si>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</si>
  <si>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</si>
  <si>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</si>
  <si>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</si>
  <si>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</si>
  <si>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</si>
  <si>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</si>
  <si>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</si>
  <si>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</si>
  <si>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</si>
  <si>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</si>
  <si>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</si>
  <si>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</si>
  <si>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</si>
  <si>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</si>
  <si>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</si>
  <si>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</si>
  <si>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</si>
  <si>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</si>
  <si>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</si>
  <si>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</si>
  <si>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</si>
  <si>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</si>
  <si>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</si>
  <si>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</si>
  <si>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</si>
  <si>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</si>
  <si>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</si>
  <si>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</si>
  <si>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</si>
  <si>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</si>
  <si>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</si>
  <si>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</si>
  <si>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</si>
  <si>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</si>
  <si>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</si>
  <si>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</si>
  <si>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</si>
  <si>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</si>
  <si>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</si>
  <si>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</si>
  <si>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</si>
  <si>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</si>
  <si>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</si>
  <si>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</si>
  <si>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</si>
  <si>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</si>
  <si>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</si>
  <si>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</si>
  <si>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</si>
  <si>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</si>
  <si>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</si>
  <si>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</si>
  <si>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</si>
  <si>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</si>
  <si>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</si>
  <si>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</si>
  <si>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</si>
  <si>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</si>
  <si>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</si>
  <si>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</si>
  <si>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</si>
  <si>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</si>
  <si>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</si>
  <si>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</si>
  <si>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</si>
  <si>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</si>
  <si>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</si>
  <si>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</si>
  <si>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</si>
  <si>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</si>
  <si>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</si>
  <si>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</si>
  <si>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</si>
  <si>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</si>
  <si>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</si>
  <si>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</si>
  <si>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</si>
  <si>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</si>
  <si>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</si>
  <si>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</si>
  <si>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</si>
  <si>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</si>
  <si>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</si>
  <si>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</si>
  <si>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</si>
  <si>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</si>
  <si>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</si>
  <si>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</si>
  <si>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</si>
  <si>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</si>
  <si>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</si>
  <si>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</si>
  <si>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</si>
  <si>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</si>
  <si>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</si>
  <si>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</si>
  <si>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</si>
  <si>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</si>
  <si>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</si>
  <si>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</si>
  <si>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</si>
  <si>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</si>
  <si>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</si>
  <si>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</si>
  <si>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</si>
  <si>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</si>
  <si>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</si>
  <si>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</si>
  <si>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</si>
  <si>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</si>
  <si>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</si>
  <si>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</si>
  <si>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</si>
  <si>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</si>
  <si>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</si>
  <si>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</si>
  <si>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</si>
  <si>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</si>
  <si>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</si>
  <si>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</si>
  <si>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</si>
  <si>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</si>
  <si>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</si>
  <si>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</si>
  <si>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</si>
  <si>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</si>
  <si>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</si>
  <si>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</si>
  <si>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</si>
  <si>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</si>
  <si>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</si>
  <si>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</si>
  <si>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</si>
  <si>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</si>
  <si>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</si>
  <si>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</si>
  <si>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</si>
  <si>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</si>
  <si>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</si>
  <si>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</si>
  <si>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</si>
  <si>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</si>
  <si>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</si>
  <si>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</si>
  <si>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</si>
  <si>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</si>
  <si>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</si>
  <si>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</si>
  <si>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</si>
  <si>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</si>
  <si>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</si>
  <si>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</si>
  <si>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</si>
  <si>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</si>
  <si>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</si>
  <si>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</si>
  <si>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</si>
  <si>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</si>
  <si>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</si>
  <si>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</si>
  <si>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</si>
  <si>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</si>
  <si>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</si>
  <si>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</si>
  <si>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</si>
  <si>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</si>
  <si>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</si>
  <si>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</si>
  <si>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</si>
  <si>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</si>
  <si>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</si>
  <si>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</si>
  <si>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</si>
  <si>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</si>
  <si>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</si>
  <si>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</si>
  <si>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</si>
  <si>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</si>
  <si>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</si>
  <si>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</si>
  <si>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</si>
  <si>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</si>
  <si>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</si>
  <si>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</si>
  <si>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</si>
  <si>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</si>
  <si>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</si>
  <si>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</si>
  <si>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</si>
  <si>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</si>
  <si>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</si>
  <si>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</si>
  <si>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</si>
  <si>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</si>
  <si>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</si>
  <si>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</si>
  <si>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</si>
  <si>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</si>
  <si>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</si>
  <si>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</si>
  <si>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</si>
  <si>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</si>
  <si>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</si>
  <si>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</si>
  <si>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</si>
  <si>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</si>
  <si>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</si>
  <si>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</si>
  <si>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</si>
  <si>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</si>
  <si>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</si>
  <si>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</si>
  <si>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</si>
  <si>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</si>
  <si>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</si>
  <si>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</si>
  <si>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</si>
  <si>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</si>
  <si>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</si>
  <si>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</si>
  <si>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</si>
  <si>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</si>
  <si>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</si>
  <si>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</si>
  <si>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</si>
  <si>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</si>
  <si>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</si>
  <si>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</si>
  <si>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</si>
  <si>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</si>
  <si>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</si>
  <si>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</si>
  <si>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</si>
  <si>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</si>
  <si>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</si>
  <si>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</si>
  <si>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</si>
  <si>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</si>
  <si>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</si>
  <si>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</si>
  <si>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</si>
  <si>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</si>
  <si>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</si>
  <si>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</si>
  <si>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</si>
  <si>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</si>
  <si>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</si>
  <si>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</si>
  <si>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</si>
  <si>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</si>
  <si>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</si>
  <si>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</si>
  <si>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</si>
  <si>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</si>
  <si>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</si>
  <si>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</si>
  <si>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</si>
  <si>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</si>
  <si>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</si>
  <si>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</si>
  <si>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</si>
  <si>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</si>
  <si>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</si>
  <si>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</si>
  <si>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</si>
  <si>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</si>
  <si>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</si>
  <si>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</si>
  <si>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</si>
  <si>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</si>
  <si>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</si>
  <si>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</si>
  <si>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</si>
  <si>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</si>
  <si>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</si>
  <si>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</si>
  <si>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</si>
  <si>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</si>
  <si>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</si>
  <si>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</si>
  <si>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</si>
  <si>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</si>
  <si>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</si>
  <si>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</si>
  <si>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</si>
  <si>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</si>
  <si>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</si>
  <si>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</si>
  <si>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</si>
  <si>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</si>
  <si>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</si>
  <si>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</si>
  <si>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</si>
  <si>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</si>
  <si>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</si>
  <si>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</si>
  <si>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</si>
  <si>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</si>
  <si>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</si>
  <si>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</si>
  <si>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</si>
  <si>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</si>
  <si>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</si>
  <si>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</si>
  <si>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</si>
  <si>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</si>
  <si>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</si>
  <si>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</si>
  <si>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</si>
  <si>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</si>
  <si>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</si>
  <si>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</si>
  <si>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</si>
  <si>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</si>
  <si>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</si>
  <si>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</si>
  <si>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</si>
  <si>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</si>
  <si>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</si>
  <si>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</si>
  <si>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</si>
  <si>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</si>
  <si>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</si>
  <si>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</si>
  <si>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</si>
  <si>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</si>
  <si>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</si>
  <si>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</si>
  <si>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</si>
  <si>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</si>
  <si>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</si>
  <si>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</si>
  <si>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</si>
  <si>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</si>
  <si>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</si>
  <si>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</si>
  <si>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</si>
  <si>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</si>
  <si>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</si>
  <si>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</si>
  <si>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</si>
  <si>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</si>
  <si>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</si>
  <si>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</si>
  <si>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</si>
  <si>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</si>
  <si>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</si>
  <si>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</si>
  <si>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</si>
  <si>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</si>
  <si>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</si>
  <si>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</si>
  <si>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</si>
  <si>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</si>
  <si>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</si>
  <si>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</si>
  <si>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</si>
  <si>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</si>
  <si>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</si>
  <si>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</si>
  <si>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</si>
  <si>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</si>
  <si>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</si>
  <si>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</si>
  <si>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</si>
  <si>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</si>
  <si>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</si>
  <si>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</si>
  <si>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</si>
  <si>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</si>
  <si>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</si>
  <si>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</si>
  <si>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</si>
  <si>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</si>
  <si>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</si>
  <si>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</si>
  <si>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</si>
  <si>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</si>
  <si>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</si>
  <si>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</si>
  <si>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</si>
  <si>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</si>
  <si>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</si>
  <si>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</si>
  <si>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</si>
  <si>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</si>
  <si>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</si>
  <si>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</si>
  <si>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</si>
  <si>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</si>
  <si>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</si>
  <si>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</si>
  <si>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</si>
  <si>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</si>
  <si>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</si>
  <si>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</si>
  <si>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</si>
  <si>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</si>
  <si>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</si>
  <si>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</si>
  <si>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</si>
  <si>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</si>
  <si>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</si>
  <si>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</si>
  <si>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</si>
  <si>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</si>
  <si>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</si>
  <si>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</si>
  <si>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</si>
  <si>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</si>
  <si>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</si>
  <si>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</si>
  <si>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</si>
  <si>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</si>
  <si>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</si>
  <si>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</si>
  <si>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</si>
  <si>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</si>
  <si>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</si>
  <si>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</si>
  <si>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</si>
  <si>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</si>
  <si>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</si>
  <si>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</si>
  <si>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</si>
  <si>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</si>
  <si>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</si>
  <si>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</si>
  <si>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</si>
  <si>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</si>
  <si>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</si>
  <si>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</si>
  <si>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</si>
  <si>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</si>
  <si>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</si>
  <si>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</si>
  <si>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</si>
  <si>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</si>
  <si>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</si>
  <si>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</si>
  <si>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</si>
  <si>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</si>
  <si>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</si>
  <si>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</si>
  <si>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</si>
  <si>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</si>
  <si>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</si>
  <si>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</si>
  <si>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</si>
  <si>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</si>
  <si>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</si>
  <si>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</si>
  <si>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</si>
  <si>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</si>
  <si>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</si>
  <si>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</si>
  <si>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</si>
  <si>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</si>
  <si>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</si>
  <si>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</si>
  <si>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</si>
  <si>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</si>
  <si>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</si>
  <si>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</si>
  <si>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</si>
  <si>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</si>
  <si>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</si>
  <si>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</si>
  <si>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</si>
  <si>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</si>
  <si>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</si>
  <si>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</si>
  <si>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</si>
  <si>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</si>
  <si>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</si>
  <si>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</si>
  <si>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</si>
  <si>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</si>
  <si>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</si>
  <si>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</si>
  <si>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</si>
  <si>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</si>
  <si>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</si>
  <si>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</si>
  <si>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</si>
  <si>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</si>
  <si>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</si>
  <si>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</si>
  <si>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</si>
  <si>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</si>
  <si>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</si>
  <si>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</si>
  <si>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</si>
  <si>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</si>
  <si>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</si>
  <si>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</si>
  <si>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</si>
  <si>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</si>
  <si>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</si>
  <si>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</si>
  <si>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</si>
  <si>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</si>
  <si>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</si>
  <si>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</si>
  <si>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</si>
  <si>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</si>
  <si>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</si>
  <si>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</si>
  <si>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</si>
  <si>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</si>
  <si>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</si>
  <si>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</si>
  <si>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</si>
  <si>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</si>
  <si>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</si>
  <si>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</si>
  <si>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</si>
  <si>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</si>
  <si>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</si>
  <si>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</si>
  <si>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</si>
  <si>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</si>
  <si>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</si>
  <si>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</si>
  <si>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</si>
  <si>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</si>
  <si>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</si>
  <si>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</si>
  <si>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</si>
  <si>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</si>
  <si>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</si>
  <si>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</si>
  <si>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</si>
  <si>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</si>
  <si>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</si>
  <si>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</si>
  <si>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</si>
  <si>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</si>
  <si>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</si>
  <si>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</si>
  <si>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</si>
  <si>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</si>
  <si>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</si>
  <si>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</si>
  <si>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</si>
  <si>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</si>
  <si>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</si>
  <si>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</si>
  <si>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</si>
  <si>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</si>
  <si>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</si>
  <si>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</si>
  <si>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</si>
  <si>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</si>
  <si>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</si>
  <si>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</si>
  <si>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</si>
  <si>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</si>
  <si>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</si>
  <si>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</si>
  <si>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</si>
  <si>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</si>
  <si>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</si>
  <si>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</si>
  <si>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</si>
  <si>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</si>
  <si>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</si>
  <si>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</si>
  <si>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</si>
  <si>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</si>
  <si>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</si>
  <si>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</si>
  <si>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</si>
  <si>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</si>
  <si>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</si>
  <si>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</si>
  <si>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</si>
  <si>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</si>
  <si>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</si>
  <si>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</si>
  <si>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</si>
  <si>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</si>
  <si>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</si>
  <si>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</si>
  <si>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</si>
  <si>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</si>
  <si>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</si>
  <si>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</si>
  <si>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</si>
  <si>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</si>
  <si>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</si>
  <si>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</si>
  <si>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</si>
  <si>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</si>
  <si>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</si>
  <si>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</si>
  <si>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</si>
  <si>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</si>
  <si>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</si>
  <si>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</si>
  <si>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</si>
  <si>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</si>
  <si>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</si>
  <si>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</si>
  <si>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</si>
  <si>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</si>
  <si>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</si>
  <si>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</si>
  <si>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</si>
  <si>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</si>
  <si>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</si>
  <si>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</si>
  <si>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</si>
  <si>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</si>
  <si>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</si>
  <si>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</si>
  <si>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</si>
  <si>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</si>
  <si>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</si>
  <si>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</si>
  <si>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</si>
  <si>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</si>
  <si>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</si>
  <si>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</si>
  <si>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</si>
  <si>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</si>
  <si>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</si>
  <si>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</si>
  <si>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</si>
  <si>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</si>
  <si>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</si>
  <si>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</si>
  <si>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</si>
  <si>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</si>
  <si>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</si>
  <si>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</si>
  <si>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</si>
  <si>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</si>
  <si>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</si>
  <si>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</si>
  <si>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</si>
  <si>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</si>
  <si>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</si>
  <si>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</si>
  <si>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</si>
  <si>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</si>
  <si>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</si>
  <si>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</si>
  <si>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</si>
  <si>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</si>
  <si>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</si>
  <si>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</si>
  <si>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</si>
  <si>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</si>
  <si>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</si>
  <si>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</si>
  <si>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</si>
  <si>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</si>
  <si>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</si>
  <si>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</si>
  <si>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</si>
  <si>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</si>
  <si>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</si>
  <si>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</si>
  <si>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</si>
  <si>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</si>
  <si>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</si>
  <si>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</si>
  <si>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</si>
  <si>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</si>
  <si>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</si>
  <si>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</si>
  <si>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</si>
  <si>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</si>
  <si>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</si>
  <si>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</si>
  <si>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</si>
  <si>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</si>
  <si>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</si>
  <si>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</si>
  <si>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</si>
  <si>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</si>
  <si>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</si>
  <si>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</si>
  <si>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</si>
  <si>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</si>
  <si>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</si>
  <si>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</si>
  <si>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</si>
  <si>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</si>
  <si>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</si>
  <si>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</si>
  <si>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</si>
  <si>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</si>
  <si>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</si>
  <si>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</si>
  <si>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</si>
  <si>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</si>
  <si>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</si>
  <si>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</si>
  <si>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</si>
  <si>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</si>
  <si>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</si>
  <si>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</si>
  <si>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</si>
  <si>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</si>
  <si>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</si>
  <si>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</si>
  <si>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</si>
  <si>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</si>
  <si>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</si>
  <si>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</si>
  <si>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</si>
  <si>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</si>
  <si>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</si>
  <si>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</si>
  <si>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</si>
  <si>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</si>
  <si>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</si>
  <si>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</si>
  <si>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</si>
  <si>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</si>
  <si>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</si>
  <si>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</si>
  <si>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</si>
  <si>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</si>
  <si>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</si>
  <si>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</si>
  <si>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</si>
  <si>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</si>
  <si>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</si>
  <si>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</si>
  <si>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</si>
  <si>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</si>
  <si>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</si>
  <si>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</si>
  <si>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</si>
  <si>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</si>
  <si>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</si>
  <si>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</si>
  <si>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</si>
  <si>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</si>
  <si>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</si>
  <si>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</si>
  <si>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</si>
  <si>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</si>
  <si>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</si>
  <si>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</si>
  <si>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</si>
  <si>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</si>
  <si>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</si>
  <si>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</si>
  <si>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</si>
  <si>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</si>
  <si>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</si>
  <si>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</si>
  <si>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</si>
  <si>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</si>
  <si>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</si>
  <si>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</si>
  <si>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</si>
  <si>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</si>
  <si>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</si>
  <si>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</si>
  <si>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</si>
  <si>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</si>
  <si>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</si>
  <si>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</si>
  <si>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</si>
  <si>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</si>
  <si>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</si>
  <si>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</si>
  <si>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</si>
  <si>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</si>
  <si>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</si>
  <si>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</si>
  <si>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</si>
  <si>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</si>
  <si>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</si>
  <si>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</si>
  <si>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</si>
  <si>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</si>
  <si>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</si>
  <si>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</si>
  <si>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</si>
  <si>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</si>
  <si>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</si>
  <si>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</si>
  <si>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</si>
  <si>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</si>
  <si>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</si>
  <si>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</si>
  <si>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</si>
  <si>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</si>
  <si>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</si>
  <si>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</si>
  <si>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</si>
  <si>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</si>
  <si>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</si>
  <si>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</si>
  <si>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</si>
  <si>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</si>
  <si>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</si>
  <si>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</si>
  <si>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</si>
  <si>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</si>
  <si>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</si>
  <si>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</si>
  <si>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</si>
  <si>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</si>
  <si>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</si>
  <si>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</si>
  <si>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</si>
  <si>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</si>
  <si>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</si>
  <si>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</si>
  <si>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</si>
  <si>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</si>
  <si>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</si>
  <si>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</si>
  <si>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</si>
  <si>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</si>
  <si>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</si>
  <si>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</si>
  <si>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</si>
  <si>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</si>
  <si>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</si>
  <si>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</si>
  <si>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</si>
  <si>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</si>
  <si>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</si>
  <si>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</si>
  <si>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</si>
  <si>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</si>
  <si>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</si>
  <si>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</si>
  <si>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</si>
  <si>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</si>
  <si>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</si>
  <si>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</si>
  <si>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</si>
  <si>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</si>
  <si>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</si>
  <si>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</si>
  <si>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</si>
  <si>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</si>
  <si>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</si>
  <si>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</si>
  <si>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</si>
  <si>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</si>
  <si>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</si>
  <si>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</si>
  <si>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</si>
  <si>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</si>
  <si>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</si>
  <si>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</si>
  <si>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</si>
  <si>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</si>
  <si>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</si>
  <si>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</si>
  <si>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</si>
  <si>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</si>
  <si>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</si>
  <si>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</si>
  <si>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</si>
  <si>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</si>
  <si>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</si>
  <si>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</si>
  <si>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</si>
  <si>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</si>
  <si>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</si>
  <si>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</si>
  <si>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</si>
  <si>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</si>
  <si>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</si>
  <si>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</si>
  <si>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</si>
  <si>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</si>
  <si>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</si>
  <si>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</si>
  <si>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</si>
  <si>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</si>
  <si>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</si>
  <si>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</si>
  <si>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</si>
  <si>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</si>
  <si>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</si>
  <si>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</si>
  <si>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</si>
  <si>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</si>
  <si>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</si>
  <si>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</si>
  <si>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</si>
  <si>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</si>
  <si>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</si>
  <si>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</si>
  <si>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</si>
  <si>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</si>
  <si>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</si>
  <si>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</si>
  <si>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</si>
  <si>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</si>
  <si>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</si>
  <si>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</si>
  <si>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</si>
  <si>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</si>
  <si>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</si>
  <si>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</si>
  <si>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</si>
  <si>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</si>
  <si>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</si>
  <si>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</si>
  <si>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</si>
  <si>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</si>
  <si>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</si>
  <si>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</si>
  <si>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</si>
  <si>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</si>
  <si>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</si>
  <si>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</si>
  <si>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</si>
  <si>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</si>
  <si>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</si>
  <si>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</si>
  <si>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</si>
  <si>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</si>
  <si>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</si>
  <si>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</si>
  <si>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</si>
  <si>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</si>
  <si>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</si>
  <si>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</si>
  <si>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</si>
  <si>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</si>
  <si>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</si>
  <si>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</si>
  <si>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</si>
  <si>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</si>
  <si>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</si>
  <si>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</si>
  <si>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</si>
  <si>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</si>
  <si>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</si>
  <si>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</si>
  <si>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</si>
  <si>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</si>
  <si>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</si>
  <si>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</si>
  <si>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</si>
  <si>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</si>
  <si>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</si>
  <si>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</si>
  <si>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</si>
  <si>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</si>
  <si>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</si>
  <si>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</si>
  <si>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</si>
  <si>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</si>
  <si>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</si>
  <si>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</si>
  <si>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</si>
  <si>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</si>
  <si>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</si>
  <si>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</si>
  <si>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</si>
  <si>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</si>
  <si>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</si>
  <si>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</si>
  <si>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</si>
  <si>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</si>
  <si>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</si>
  <si>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</si>
  <si>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</si>
  <si>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</si>
  <si>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</si>
  <si>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</si>
  <si>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</si>
  <si>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</si>
  <si>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</si>
  <si>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</si>
  <si>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</si>
  <si>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</si>
  <si>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</si>
  <si>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</si>
  <si>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</si>
  <si>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</si>
  <si>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</si>
  <si>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</si>
  <si>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</si>
  <si>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</si>
  <si>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</si>
  <si>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</si>
  <si>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</si>
  <si>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</si>
  <si>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</si>
  <si>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</si>
  <si>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</si>
  <si>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</si>
  <si>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</si>
  <si>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</si>
  <si>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</si>
  <si>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</si>
  <si>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</si>
  <si>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</si>
  <si>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</si>
  <si>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</si>
  <si>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</si>
  <si>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</si>
  <si>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</si>
  <si>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</si>
  <si>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</si>
  <si>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</si>
  <si>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</si>
  <si>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</si>
  <si>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</si>
  <si>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</si>
  <si>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</si>
  <si>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</si>
  <si>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</si>
  <si>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</si>
  <si>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</si>
  <si>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</si>
  <si>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</si>
  <si>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</si>
  <si>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</si>
  <si>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</si>
  <si>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</si>
  <si>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</si>
  <si>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</si>
  <si>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</si>
  <si>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</si>
  <si>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</si>
  <si>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</si>
  <si>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</si>
  <si>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</si>
  <si>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</si>
  <si>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</si>
  <si>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</si>
  <si>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</si>
  <si>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</si>
  <si>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</si>
  <si>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</si>
  <si>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</si>
  <si>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</si>
  <si>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</si>
  <si>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</si>
  <si>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</si>
  <si>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</si>
  <si>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</si>
  <si>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</si>
  <si>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</si>
  <si>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</si>
  <si>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</si>
  <si>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</si>
  <si>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</si>
  <si>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</si>
  <si>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</si>
  <si>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</si>
  <si>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</si>
  <si>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</si>
  <si>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</si>
  <si>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</si>
  <si>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</si>
  <si>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</si>
  <si>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</si>
  <si>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</si>
  <si>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</si>
  <si>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</si>
  <si>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</si>
  <si>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</si>
  <si>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</si>
  <si>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</si>
  <si>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</si>
  <si>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</si>
  <si>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</si>
  <si>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</si>
  <si>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</si>
  <si>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</si>
  <si>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</si>
  <si>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</si>
  <si>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</si>
  <si>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</si>
  <si>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</si>
  <si>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</si>
  <si>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</si>
  <si>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</si>
  <si>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</si>
  <si>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</si>
  <si>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</si>
  <si>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</si>
  <si>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</si>
  <si>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</si>
  <si>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</si>
  <si>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</si>
  <si>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</si>
  <si>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</si>
  <si>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</si>
  <si>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</si>
  <si>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</si>
  <si>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</si>
  <si>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</si>
  <si>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</si>
  <si>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</si>
  <si>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</si>
  <si>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</si>
  <si>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</si>
  <si>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</si>
  <si>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</si>
  <si>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</si>
  <si>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</si>
  <si>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</si>
  <si>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</si>
  <si>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</si>
  <si>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</si>
  <si>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</si>
  <si>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</si>
  <si>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</si>
  <si>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</si>
  <si>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</si>
  <si>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</si>
  <si>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</si>
  <si>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</si>
  <si>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</si>
  <si>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</si>
  <si>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</si>
  <si>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</si>
  <si>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</si>
  <si>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</si>
  <si>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</si>
  <si>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</si>
  <si>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</si>
  <si>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</si>
  <si>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</si>
  <si>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</si>
  <si>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</si>
  <si>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</si>
  <si>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</si>
  <si>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</si>
  <si>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</si>
  <si>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</si>
  <si>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</si>
  <si>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</si>
  <si>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</si>
  <si>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</si>
  <si>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</si>
  <si>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</si>
  <si>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</si>
  <si>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</si>
  <si>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</si>
  <si>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</si>
  <si>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</si>
  <si>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</si>
  <si>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</si>
  <si>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</si>
  <si>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</si>
  <si>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</si>
  <si>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</si>
  <si>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</si>
  <si>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</si>
  <si>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</si>
  <si>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</si>
  <si>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</si>
  <si>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</si>
  <si>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</si>
  <si>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</si>
  <si>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</si>
  <si>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</si>
  <si>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</si>
  <si>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</si>
  <si>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</si>
  <si>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</si>
  <si>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</si>
  <si>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</si>
  <si>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</si>
  <si>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</si>
  <si>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</si>
  <si>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</si>
  <si>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</si>
  <si>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</si>
  <si>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</si>
  <si>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</si>
  <si>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</si>
  <si>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</si>
  <si>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</si>
  <si>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</si>
  <si>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</si>
  <si>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</si>
  <si>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</si>
  <si>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</si>
  <si>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</si>
  <si>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</si>
  <si>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</si>
  <si>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</si>
  <si>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</si>
  <si>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</si>
  <si>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</si>
  <si>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</si>
  <si>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</si>
  <si>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</si>
  <si>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</si>
  <si>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</si>
  <si>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</si>
  <si>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</si>
  <si>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</si>
  <si>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</si>
  <si>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</si>
  <si>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</si>
  <si>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</si>
  <si>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</si>
  <si>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</si>
  <si>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</si>
  <si>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</si>
  <si>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</si>
  <si>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</si>
  <si>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</si>
  <si>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</si>
  <si>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</si>
  <si>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</si>
  <si>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</si>
  <si>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</si>
  <si>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</si>
  <si>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</si>
  <si>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</si>
  <si>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</si>
  <si>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</si>
  <si>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</si>
  <si>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</si>
  <si>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</si>
  <si>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</si>
  <si>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</si>
  <si>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</si>
  <si>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</si>
  <si>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</si>
  <si>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</si>
  <si>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</si>
  <si>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</si>
  <si>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</si>
  <si>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</si>
  <si>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</si>
  <si>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</si>
  <si>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</si>
  <si>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</si>
  <si>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</si>
  <si>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</si>
  <si>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</si>
  <si>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</si>
  <si>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</si>
  <si>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</si>
  <si>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</si>
  <si>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</si>
  <si>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</si>
  <si>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</si>
  <si>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</si>
  <si>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</si>
  <si>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</si>
  <si>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</si>
  <si>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</si>
  <si>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</si>
  <si>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</si>
  <si>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</si>
  <si>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</si>
  <si>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</si>
  <si>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</si>
  <si>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</si>
  <si>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</si>
  <si>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</si>
  <si>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</si>
  <si>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</si>
  <si>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</si>
  <si>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</si>
  <si>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</si>
  <si>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</si>
  <si>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</si>
  <si>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</si>
  <si>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</si>
  <si>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</si>
  <si>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</si>
  <si>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</si>
  <si>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</si>
  <si>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</si>
  <si>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</si>
  <si>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</si>
  <si>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</si>
  <si>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</si>
  <si>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</si>
  <si>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</si>
  <si>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</si>
  <si>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</si>
  <si>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</si>
  <si>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</si>
  <si>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</si>
  <si>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</si>
  <si>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</si>
  <si>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</si>
  <si>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</si>
  <si>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</si>
  <si>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</si>
  <si>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</si>
  <si>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</si>
  <si>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</si>
  <si>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</si>
  <si>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</si>
  <si>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</si>
  <si>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</si>
  <si>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</si>
  <si>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</si>
  <si>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</si>
  <si>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</si>
  <si>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</si>
  <si>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</si>
  <si>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</si>
  <si>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</si>
  <si>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</si>
  <si>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</si>
  <si>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</si>
  <si>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</si>
  <si>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</si>
  <si>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</si>
  <si>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</si>
  <si>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</si>
  <si>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</si>
  <si>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</si>
  <si>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</si>
  <si>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</si>
  <si>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</si>
  <si>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</si>
  <si>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</si>
  <si>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</si>
  <si>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</si>
  <si>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</si>
  <si>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</si>
  <si>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</si>
  <si>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</si>
  <si>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</si>
  <si>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</si>
  <si>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</si>
  <si>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</si>
  <si>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</si>
  <si>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</si>
  <si>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</si>
  <si>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</si>
  <si>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</si>
  <si>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</si>
  <si>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</si>
  <si>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</si>
  <si>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</si>
  <si>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</si>
  <si>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</si>
  <si>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</si>
  <si>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</si>
  <si>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</si>
  <si>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</si>
  <si>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</si>
  <si>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</si>
  <si>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</si>
  <si>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</si>
  <si>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</si>
  <si>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</si>
  <si>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</si>
  <si>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</si>
  <si>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</si>
  <si>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</si>
  <si>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</si>
  <si>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</si>
  <si>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</si>
  <si>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</si>
  <si>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</si>
  <si>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</si>
  <si>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</si>
  <si>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</si>
  <si>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</si>
  <si>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</si>
  <si>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</si>
  <si>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</si>
  <si>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</si>
  <si>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</si>
  <si>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</si>
  <si>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</si>
  <si>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</si>
  <si>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</si>
  <si>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</si>
  <si>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</si>
  <si>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</si>
  <si>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</si>
  <si>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</si>
  <si>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</si>
  <si>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</si>
  <si>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</si>
  <si>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</si>
  <si>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</si>
  <si>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</si>
  <si>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</si>
  <si>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</si>
  <si>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</si>
  <si>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</si>
  <si>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</si>
  <si>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</si>
  <si>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</si>
  <si>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</si>
  <si>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</si>
  <si>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</si>
  <si>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</si>
  <si>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</si>
  <si>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</si>
  <si>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</si>
  <si>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</si>
  <si>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</si>
  <si>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</si>
  <si>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</si>
  <si>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</si>
  <si>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</si>
  <si>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</si>
  <si>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</si>
  <si>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</si>
  <si>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</si>
  <si>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</si>
  <si>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</si>
  <si>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</si>
  <si>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</si>
  <si>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</si>
  <si>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</si>
  <si>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</si>
  <si>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</si>
  <si>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</si>
  <si>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</si>
  <si>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</si>
  <si>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</si>
  <si>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</si>
  <si>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</si>
  <si>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</si>
  <si>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</si>
  <si>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</si>
  <si>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</si>
  <si>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</si>
  <si>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</si>
  <si>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</si>
  <si>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</si>
  <si>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</si>
  <si>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</si>
  <si>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</si>
  <si>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</si>
  <si>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</si>
  <si>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</si>
  <si>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</si>
  <si>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</si>
  <si>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</si>
  <si>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</si>
  <si>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</si>
  <si>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</si>
  <si>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</si>
  <si>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</si>
  <si>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</si>
  <si>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</si>
  <si>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</si>
  <si>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</si>
  <si>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</si>
  <si>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</si>
  <si>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</si>
  <si>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</si>
  <si>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</si>
  <si>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</si>
  <si>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</si>
  <si>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</si>
  <si>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</si>
  <si>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</si>
  <si>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</si>
  <si>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</si>
  <si>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</si>
  <si>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</si>
  <si>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</si>
  <si>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</si>
  <si>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</si>
  <si>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</si>
  <si>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</si>
  <si>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</si>
  <si>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</si>
  <si>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</si>
  <si>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</si>
  <si>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</si>
  <si>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</si>
  <si>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</si>
  <si>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</si>
  <si>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</si>
  <si>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</si>
  <si>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</si>
  <si>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</si>
  <si>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</si>
  <si>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</si>
  <si>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</si>
  <si>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</si>
  <si>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</si>
  <si>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</si>
  <si>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</si>
  <si>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</si>
  <si>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</si>
  <si>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</si>
  <si>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</si>
  <si>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</si>
  <si>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</si>
  <si>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</si>
  <si>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</si>
  <si>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</si>
  <si>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</si>
  <si>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</si>
  <si>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</si>
  <si>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</si>
  <si>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</si>
  <si>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</si>
  <si>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</si>
  <si>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</si>
  <si>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</si>
  <si>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</si>
  <si>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</si>
  <si>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</si>
  <si>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</si>
  <si>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</si>
  <si>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</si>
  <si>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</si>
  <si>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</si>
  <si>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</si>
  <si>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</si>
  <si>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</si>
  <si>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</si>
  <si>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</si>
  <si>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</si>
  <si>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</si>
  <si>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</si>
  <si>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</si>
  <si>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</si>
  <si>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</si>
  <si>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</si>
  <si>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</si>
  <si>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</si>
  <si>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</si>
  <si>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</si>
  <si>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</si>
  <si>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</si>
  <si>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</si>
  <si>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</si>
  <si>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</si>
  <si>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</si>
  <si>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</si>
  <si>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</si>
  <si>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</si>
  <si>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</si>
  <si>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</si>
  <si>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</si>
  <si>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</si>
  <si>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</si>
  <si>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</si>
  <si>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</si>
  <si>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</si>
  <si>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</si>
  <si>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</si>
  <si>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</si>
  <si>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</si>
  <si>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</si>
  <si>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</si>
  <si>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</si>
  <si>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</si>
  <si>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</si>
  <si>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</si>
  <si>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</si>
  <si>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</si>
  <si>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</si>
  <si>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</si>
  <si>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</si>
  <si>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</si>
  <si>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</si>
  <si>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</si>
  <si>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</si>
  <si>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</si>
  <si>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</si>
  <si>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</si>
  <si>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</si>
  <si>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</si>
  <si>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</si>
  <si>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</si>
  <si>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</si>
  <si>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</si>
  <si>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</si>
  <si>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</si>
  <si>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</si>
  <si>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</si>
  <si>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</si>
  <si>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</si>
  <si>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</si>
  <si>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</si>
  <si>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</si>
  <si>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</si>
  <si>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</si>
  <si>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</si>
  <si>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</si>
  <si>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</si>
  <si>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</si>
  <si>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</si>
  <si>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</si>
  <si>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</si>
  <si>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</si>
  <si>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</si>
  <si>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</si>
  <si>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</si>
  <si>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</si>
  <si>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</si>
  <si>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</si>
  <si>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</si>
  <si>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</si>
  <si>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</si>
  <si>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</si>
  <si>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</si>
  <si>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</si>
  <si>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</si>
  <si>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</si>
  <si>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</si>
  <si>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</si>
  <si>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</si>
  <si>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</si>
  <si>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</si>
  <si>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</si>
  <si>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</si>
  <si>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</si>
  <si>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</si>
  <si>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</si>
  <si>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</si>
  <si>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</si>
  <si>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</si>
  <si>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</si>
  <si>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</si>
  <si>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</si>
  <si>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</si>
  <si>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</si>
  <si>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</si>
  <si>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</si>
  <si>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</si>
  <si>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</si>
  <si>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</si>
  <si>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</si>
  <si>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</si>
  <si>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</si>
  <si>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</si>
  <si>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</si>
  <si>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</si>
  <si>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</si>
  <si>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</si>
  <si>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</si>
  <si>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</si>
  <si>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</si>
  <si>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</si>
  <si>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</si>
  <si>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</si>
  <si>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</si>
  <si>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</si>
  <si>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</si>
  <si>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</si>
  <si>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</si>
  <si>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</si>
  <si>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</si>
  <si>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</si>
  <si>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</si>
  <si>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</si>
  <si>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</si>
  <si>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</si>
  <si>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</si>
  <si>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</si>
  <si>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</si>
  <si>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</si>
  <si>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</si>
  <si>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</si>
  <si>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</si>
  <si>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</si>
  <si>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</si>
  <si>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</si>
  <si>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</si>
  <si>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</si>
  <si>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</si>
  <si>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</si>
  <si>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</si>
  <si>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</si>
  <si>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</si>
  <si>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</si>
  <si>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</si>
  <si>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</si>
  <si>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</si>
  <si>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</si>
  <si>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</si>
  <si>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</si>
  <si>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</si>
  <si>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</si>
  <si>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</si>
  <si>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</si>
  <si>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</si>
  <si>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</si>
  <si>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</si>
  <si>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</si>
  <si>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</si>
  <si>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</si>
  <si>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</si>
  <si>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</si>
  <si>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</si>
  <si>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</si>
  <si>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</si>
  <si>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</si>
  <si>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</si>
  <si>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</si>
  <si>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</si>
  <si>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</si>
  <si>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</si>
  <si>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</si>
  <si>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</si>
  <si>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</si>
  <si>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</si>
  <si>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</si>
  <si>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</si>
  <si>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</si>
  <si>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</si>
  <si>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</si>
  <si>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</si>
  <si>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</si>
  <si>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</si>
  <si>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</si>
  <si>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</si>
  <si>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</si>
  <si>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</si>
  <si>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</si>
  <si>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</si>
  <si>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</si>
  <si>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</si>
  <si>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</si>
  <si>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</si>
  <si>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</si>
  <si>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</si>
  <si>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</si>
  <si>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</si>
  <si>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</si>
  <si>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</si>
  <si>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</si>
  <si>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</si>
  <si>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</si>
  <si>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</si>
  <si>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</si>
  <si>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</si>
  <si>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</si>
  <si>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</si>
  <si>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</si>
  <si>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</si>
  <si>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</si>
  <si>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</si>
  <si>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</si>
  <si>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</si>
  <si>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</si>
  <si>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</si>
  <si>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</si>
  <si>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</si>
  <si>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</si>
  <si>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</si>
  <si>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</si>
  <si>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</si>
  <si>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</si>
  <si>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</si>
  <si>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</si>
  <si>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</si>
  <si>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</si>
  <si>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</si>
  <si>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</si>
  <si>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</si>
  <si>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</si>
  <si>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</si>
  <si>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</si>
  <si>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</si>
  <si>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</si>
  <si>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</si>
  <si>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</si>
  <si>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</si>
  <si>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</si>
  <si>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</si>
  <si>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</si>
  <si>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</si>
  <si>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</si>
  <si>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</si>
  <si>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</si>
  <si>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</si>
  <si>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</si>
  <si>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</si>
  <si>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</si>
  <si>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</si>
  <si>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</si>
  <si>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</si>
  <si>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</si>
  <si>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</si>
  <si>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</si>
  <si>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</si>
  <si>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</si>
  <si>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</si>
  <si>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</si>
  <si>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</si>
  <si>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</si>
  <si>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</si>
  <si>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</si>
  <si>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</si>
  <si>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</si>
  <si>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</si>
  <si>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</si>
  <si>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</si>
  <si>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</si>
  <si>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</si>
  <si>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</si>
  <si>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</si>
  <si>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</si>
  <si>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</si>
  <si>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</si>
  <si>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</si>
  <si>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</si>
  <si>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</si>
  <si>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</si>
  <si>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</si>
  <si>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</si>
  <si>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</si>
  <si>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</si>
  <si>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</si>
  <si>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</si>
  <si>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</si>
  <si>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</si>
  <si>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</si>
  <si>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</si>
  <si>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</si>
  <si>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</si>
  <si>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</si>
  <si>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</si>
  <si>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</si>
  <si>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</si>
  <si>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</si>
  <si>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</si>
  <si>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</si>
  <si>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</si>
  <si>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</si>
  <si>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</si>
  <si>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</si>
  <si>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</si>
  <si>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</si>
  <si>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</si>
  <si>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</si>
  <si>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</si>
  <si>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</si>
  <si>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</si>
  <si>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</si>
  <si>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</si>
  <si>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</si>
  <si>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</si>
  <si>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</si>
  <si>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</si>
  <si>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</si>
  <si>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</si>
  <si>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</si>
  <si>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</si>
  <si>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</si>
  <si>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</si>
  <si>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</si>
  <si>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</si>
  <si>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</si>
  <si>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</si>
  <si>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</si>
  <si>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</si>
  <si>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</si>
  <si>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</si>
  <si>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</si>
  <si>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</si>
  <si>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</si>
  <si>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</si>
  <si>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</si>
  <si>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</si>
  <si>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</si>
  <si>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</si>
  <si>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</si>
  <si>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</si>
  <si>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</si>
  <si>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</si>
  <si>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</si>
  <si>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</si>
  <si>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</si>
  <si>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</si>
  <si>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</si>
  <si>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</si>
  <si>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</si>
  <si>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</si>
  <si>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</si>
  <si>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</si>
  <si>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</si>
  <si>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</si>
  <si>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</si>
  <si>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</si>
  <si>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</si>
  <si>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</si>
  <si>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</si>
  <si>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</si>
  <si>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</si>
  <si>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</si>
  <si>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</si>
  <si>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</si>
  <si>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</si>
  <si>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</si>
  <si>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</si>
  <si>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</si>
  <si>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</si>
  <si>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</si>
  <si>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</si>
  <si>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</si>
  <si>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</si>
  <si>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</si>
  <si>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</si>
  <si>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</si>
  <si>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</si>
  <si>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</si>
  <si>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</si>
  <si>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</si>
  <si>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</si>
  <si>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</si>
  <si>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</si>
  <si>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</si>
  <si>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</si>
  <si>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</si>
  <si>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</si>
  <si>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</si>
  <si>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</si>
  <si>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</si>
  <si>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</si>
  <si>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</si>
  <si>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</si>
  <si>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</si>
  <si>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</si>
  <si>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</si>
  <si>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</si>
  <si>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</si>
  <si>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</si>
  <si>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</si>
  <si>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</si>
  <si>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</si>
  <si>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</si>
  <si>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</si>
  <si>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</si>
  <si>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</si>
  <si>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</si>
  <si>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</si>
  <si>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</si>
  <si>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</si>
  <si>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</si>
  <si>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</si>
  <si>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</si>
  <si>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</si>
  <si>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</si>
  <si>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</si>
  <si>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</si>
  <si>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</si>
  <si>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</si>
  <si>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</si>
  <si>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</si>
  <si>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</si>
  <si>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</si>
  <si>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</si>
  <si>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</si>
  <si>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</si>
  <si>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</si>
  <si>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</si>
  <si>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</si>
  <si>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</si>
  <si>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</si>
  <si>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</si>
  <si>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</si>
  <si>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</si>
  <si>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</si>
  <si>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</si>
  <si>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</si>
  <si>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</si>
  <si>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</si>
  <si>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</si>
  <si>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</si>
  <si>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</si>
  <si>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</si>
  <si>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</si>
  <si>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</si>
  <si>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</si>
  <si>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</si>
  <si>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</si>
  <si>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</si>
  <si>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</si>
  <si>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</si>
  <si>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</si>
  <si>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</si>
  <si>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</si>
  <si>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</si>
  <si>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</si>
  <si>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</si>
  <si>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</si>
  <si>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</si>
  <si>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</si>
  <si>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</si>
  <si>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</si>
  <si>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</si>
  <si>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</si>
  <si>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</si>
  <si>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</si>
  <si>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</si>
  <si>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</si>
  <si>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</si>
  <si>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</si>
  <si>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</si>
  <si>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</si>
  <si>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</si>
  <si>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</si>
  <si>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</si>
  <si>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</si>
  <si>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</si>
  <si>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</si>
  <si>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</si>
  <si>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</si>
  <si>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</si>
  <si>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</si>
  <si>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</si>
  <si>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</si>
  <si>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</si>
  <si>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</si>
  <si>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</si>
  <si>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</si>
  <si>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</si>
  <si>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</si>
  <si>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</si>
  <si>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</si>
  <si>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</si>
  <si>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</si>
  <si>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</si>
  <si>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</si>
  <si>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</si>
  <si>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</si>
  <si>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</si>
  <si>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</si>
  <si>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</si>
  <si>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</si>
  <si>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</si>
  <si>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</si>
  <si>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</si>
  <si>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</si>
  <si>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</si>
  <si>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</si>
  <si>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</si>
  <si>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</si>
  <si>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</si>
  <si>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</si>
  <si>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</si>
  <si>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</si>
  <si>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</si>
  <si>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</si>
  <si>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</si>
  <si>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</si>
  <si>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</si>
  <si>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</si>
  <si>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</si>
  <si>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</si>
  <si>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</si>
  <si>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</si>
  <si>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</si>
  <si>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</si>
  <si>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</si>
  <si>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</si>
  <si>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</si>
  <si>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</si>
  <si>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</si>
  <si>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</si>
  <si>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</si>
  <si>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</si>
  <si>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</si>
  <si>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</si>
  <si>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</si>
  <si>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</si>
  <si>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</si>
  <si>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</si>
  <si>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</si>
  <si>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</si>
  <si>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</si>
  <si>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</si>
  <si>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</si>
  <si>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</si>
  <si>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</si>
  <si>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</si>
  <si>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</si>
  <si>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</si>
  <si>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</si>
  <si>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</si>
  <si>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</si>
  <si>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</si>
  <si>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</si>
  <si>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</si>
  <si>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</si>
  <si>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</si>
  <si>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</si>
  <si>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</si>
  <si>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</si>
  <si>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</si>
  <si>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</si>
  <si>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</si>
  <si>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</si>
  <si>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</si>
  <si>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</si>
  <si>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</si>
  <si>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</si>
  <si>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</si>
  <si>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</si>
  <si>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</si>
  <si>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</si>
  <si>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</si>
  <si>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</si>
  <si>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</si>
  <si>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</si>
  <si>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</si>
  <si>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</si>
  <si>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</si>
  <si>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</si>
  <si>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</si>
  <si>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</si>
  <si>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</si>
  <si>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</si>
  <si>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</si>
  <si>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</si>
  <si>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</si>
  <si>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</si>
  <si>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</si>
  <si>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</si>
  <si>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</si>
  <si>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</si>
  <si>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</si>
  <si>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</si>
  <si>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</si>
  <si>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</si>
  <si>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</si>
  <si>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</si>
  <si>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</si>
  <si>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</si>
  <si>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</si>
  <si>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</si>
  <si>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</si>
  <si>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</si>
  <si>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</si>
  <si>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</si>
  <si>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</si>
  <si>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</si>
  <si>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</si>
  <si>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</si>
  <si>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</si>
  <si>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</si>
  <si>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</si>
  <si>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</si>
  <si>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</si>
  <si>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</si>
  <si>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</si>
  <si>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</si>
  <si>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</si>
  <si>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</si>
  <si>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</si>
  <si>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</si>
  <si>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</si>
  <si>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</si>
  <si>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</si>
  <si>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</si>
  <si>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</si>
  <si>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</si>
  <si>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</si>
  <si>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</si>
  <si>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</si>
  <si>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</si>
  <si>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</si>
  <si>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</si>
  <si>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</si>
  <si>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</si>
  <si>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</si>
  <si>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</si>
  <si>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</si>
  <si>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</si>
  <si>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</si>
  <si>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</si>
  <si>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</si>
  <si>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</si>
  <si>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</si>
  <si>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</si>
  <si>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</si>
  <si>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</si>
  <si>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</si>
  <si>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</si>
  <si>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</si>
  <si>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</si>
  <si>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</si>
  <si>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</si>
  <si>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</si>
  <si>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</si>
  <si>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</si>
  <si>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</si>
  <si>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</si>
  <si>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</si>
  <si>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</si>
  <si>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</si>
  <si>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</si>
  <si>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</si>
  <si>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</si>
  <si>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</si>
  <si>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</si>
  <si>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</si>
  <si>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</si>
  <si>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</si>
  <si>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</si>
  <si>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</si>
  <si>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</si>
  <si>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</si>
  <si>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</si>
  <si>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</si>
  <si>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</si>
  <si>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</si>
  <si>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</si>
  <si>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</si>
  <si>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</si>
  <si>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</si>
  <si>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</si>
  <si>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</si>
  <si>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</si>
  <si>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</si>
  <si>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</si>
  <si>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</si>
  <si>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</si>
  <si>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</si>
  <si>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</si>
  <si>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</si>
  <si>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</si>
  <si>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</si>
  <si>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</si>
  <si>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</si>
  <si>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</si>
  <si>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</si>
  <si>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</si>
  <si>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</si>
  <si>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</si>
  <si>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</si>
  <si>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</si>
  <si>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</si>
  <si>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</si>
  <si>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</si>
  <si>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</si>
  <si>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</si>
  <si>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</si>
  <si>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</si>
  <si>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</si>
  <si>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</si>
  <si>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</si>
  <si>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</si>
  <si>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</si>
  <si>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</si>
  <si>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</si>
  <si>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</si>
  <si>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</si>
  <si>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</si>
  <si>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</si>
  <si>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</si>
  <si>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</si>
  <si>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</si>
  <si>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</si>
  <si>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</si>
  <si>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</si>
  <si>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</si>
  <si>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</si>
  <si>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</si>
  <si>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</si>
  <si>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</si>
  <si>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</si>
  <si>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</si>
  <si>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</si>
  <si>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</si>
  <si>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</si>
  <si>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</si>
  <si>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</si>
  <si>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</si>
  <si>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</si>
  <si>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</si>
  <si>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</si>
  <si>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</si>
  <si>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</si>
  <si>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</si>
  <si>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</si>
  <si>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</si>
  <si>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</si>
  <si>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</si>
  <si>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</si>
  <si>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</si>
  <si>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</si>
  <si>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</si>
  <si>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</si>
  <si>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</si>
  <si>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</si>
  <si>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</si>
  <si>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</si>
  <si>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</si>
  <si>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</si>
  <si>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</si>
  <si>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</si>
  <si>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</si>
  <si>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</si>
  <si>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</si>
  <si>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</si>
  <si>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</si>
  <si>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</si>
  <si>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</si>
  <si>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</si>
  <si>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</si>
  <si>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</si>
  <si>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</si>
  <si>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</si>
  <si>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</si>
  <si>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</si>
  <si>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</si>
  <si>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</si>
  <si>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</si>
  <si>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</si>
  <si>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</si>
  <si>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</si>
  <si>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</si>
  <si>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</si>
  <si>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</si>
  <si>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</si>
  <si>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</si>
  <si>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</si>
  <si>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</si>
  <si>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</si>
  <si>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</si>
  <si>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</si>
  <si>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</si>
  <si>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</si>
  <si>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</si>
  <si>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</si>
  <si>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</si>
  <si>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</si>
  <si>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</si>
  <si>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</si>
  <si>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</si>
  <si>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</si>
  <si>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</si>
  <si>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</si>
  <si>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</si>
  <si>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</si>
  <si>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</si>
  <si>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</si>
  <si>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</si>
  <si>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</si>
  <si>
    <t>29fa25cdffae7211</t>
  </si>
  <si>
    <t>29_09_2026_AO_Diur.gpx</t>
  </si>
  <si>
    <t>29fa25cdffae7211db43cb658e22bb6b29565cdb8f8aeac561b57387d599ab8d</t>
  </si>
  <si>
    <t>29/09/2026</t>
  </si>
  <si>
    <t>29/09/2026 09:48:28</t>
  </si>
  <si>
    <t>29/09/2026 15:59:10</t>
  </si>
  <si>
    <t>Inicio GPS tardío: 01:18:29 después de las 08:30.; Fin GPS anticipado: 00:30:50 antes de las 16:30.; 4 hueco(s) GPS &gt;= 10 min.</t>
  </si>
  <si>
    <t>6.255719, -75.613168</t>
  </si>
  <si>
    <t>6.231463, -75.596321</t>
  </si>
  <si>
    <t>8246689c2d78bfb4</t>
  </si>
  <si>
    <t>29_09_2026_AR_Diur.gpx</t>
  </si>
  <si>
    <t>8246689c2d78bfb488b4224bc0c39a533018b048796fe1c7ebc8136d968deead</t>
  </si>
  <si>
    <t>29/09/2026 08:14:04</t>
  </si>
  <si>
    <t>29/09/2026 16:31:01</t>
  </si>
  <si>
    <t>Inicio GPS anterior al horario: 00:15:56 antes de las 08:30.; Fin GPS dentro de la tolerancia del horario programado.; 1 hueco(s) GPS &gt;= 10 min.</t>
  </si>
  <si>
    <t>6.225755, -75.599535</t>
  </si>
  <si>
    <t>6.247738, -75.614967</t>
  </si>
  <si>
    <t>b7b4f0a8ec1e9555</t>
  </si>
  <si>
    <t>29_09_2026_DR_Diur.gpx</t>
  </si>
  <si>
    <t>b7b4f0a8ec1e95559d87b25d5ecfbbd2dae166d2a196661c7996bda877bea030</t>
  </si>
  <si>
    <t>29/09/2026 08:39:58</t>
  </si>
  <si>
    <t>29/09/2026 15:49:06</t>
  </si>
  <si>
    <t>Inicio GPS dentro de la tolerancia del horario programado.; Fin GPS anticipado: 00:40:54 antes de las 16:30.; 3 hueco(s) GPS &gt;= 10 min.</t>
  </si>
  <si>
    <t>6.238225, -75.603070</t>
  </si>
  <si>
    <t>6.238777, -75.603745</t>
  </si>
  <si>
    <t>6135921608f0259e</t>
  </si>
  <si>
    <t>29_09_2026_HC_Diur.gpx</t>
  </si>
  <si>
    <t>6135921608f0259e1b8e5dd0e3361a6431ffa2ed98247402f9b2788fe48f7322</t>
  </si>
  <si>
    <t>29/09/2026 08:34:41</t>
  </si>
  <si>
    <t>29/09/2026 13:50:30</t>
  </si>
  <si>
    <t>Inicio GPS dentro de la tolerancia del horario programado.; Fin GPS anticipado: 02:39:30 antes de las 16:30.</t>
  </si>
  <si>
    <t>6.225921, -75.599410</t>
  </si>
  <si>
    <t>6.308389, -75.571086</t>
  </si>
  <si>
    <t>ffafebbe09c9bb93</t>
  </si>
  <si>
    <t>29_09_2026_JA_Diur.gpx</t>
  </si>
  <si>
    <t>ffafebbe09c9bb93ab06e67ccba4ac6173312addace65c02ca5cf189d111c167</t>
  </si>
  <si>
    <t>29/09/2026 08:43:26</t>
  </si>
  <si>
    <t>29/09/2026 13:16:49</t>
  </si>
  <si>
    <t>Inicio GPS dentro de la tolerancia del horario programado.; Fin GPS anticipado: 03:13:11 antes de las 16:30.; 1 hueco(s) GPS &gt;= 10 min.</t>
  </si>
  <si>
    <t>6.225841, -75.599694</t>
  </si>
  <si>
    <t>6.237045, -75.558818</t>
  </si>
  <si>
    <t>4f51a1dba469d9e1</t>
  </si>
  <si>
    <t>29_09_2026_JO_Diur.gpx</t>
  </si>
  <si>
    <t>4f51a1dba469d9e153f7bc32313f4969f48841444036759aa969f6c3e11758d5</t>
  </si>
  <si>
    <t>29/09/2026 09:24:53</t>
  </si>
  <si>
    <t>29/09/2026 16:14:09</t>
  </si>
  <si>
    <t>Inicio GPS tardío: 00:54:53 después de las 08:30.; Fin GPS anticipado: 00:15:51 antes de las 16:30.; 9 hueco(s) GPS &gt;= 10 min.</t>
  </si>
  <si>
    <t>6.225662, -75.599446</t>
  </si>
  <si>
    <t>6.246903, -75.554122</t>
  </si>
  <si>
    <t>59add364d9fa99e5</t>
  </si>
  <si>
    <t>29_09_2026_JZ_Diur.gpx</t>
  </si>
  <si>
    <t>59add364d9fa99e541a18ce4bd75f3485f24c81306df5fefbff91051cfc82f29</t>
  </si>
  <si>
    <t>29/09/2026 08:28:06</t>
  </si>
  <si>
    <t>29/09/2026 16:34:47</t>
  </si>
  <si>
    <t>6.226627, -75.599292</t>
  </si>
  <si>
    <t>6.278881, -75.569232</t>
  </si>
  <si>
    <t>0525223656604059</t>
  </si>
  <si>
    <t>29_09_2026_SJ_Diur.gpx</t>
  </si>
  <si>
    <t>05252236566040590deacac32ef84237f7b86802a50cdc698a93ced643febae6</t>
  </si>
  <si>
    <t>29/09/2026 08:39:43</t>
  </si>
  <si>
    <t>29/09/2026 15:59:39</t>
  </si>
  <si>
    <t>Inicio GPS dentro de la tolerancia del horario programado.; Fin GPS anticipado: 00:30:21 antes de las 16:30.; 1 permanencia(s) GPS detectada(s); requiere contexto.</t>
  </si>
  <si>
    <t>6.225829, -75.599388</t>
  </si>
  <si>
    <t>6.307830, -75.577472</t>
  </si>
  <si>
    <t>988c5ffb82e294ff</t>
  </si>
  <si>
    <t>29_09_2026_YL_Diur.gpx</t>
  </si>
  <si>
    <t>988c5ffb82e294ff30c17167c870986dc69e3d36a41699f7d2fa0d03f34d837b</t>
  </si>
  <si>
    <t>29/09/2026 08:46:19</t>
  </si>
  <si>
    <t>29/09/2026 15:17:02</t>
  </si>
  <si>
    <t>Inicio GPS tardío: 00:16:19 después de las 08:30.; Fin GPS anticipado: 01:12:58 antes de las 16:30.</t>
  </si>
  <si>
    <t>6.225785, -75.598634</t>
  </si>
  <si>
    <t>6.260023, -75.621120</t>
  </si>
  <si>
    <t>El tecnico estaba en cita medica entre 2:30 pm y 3:30 pm</t>
  </si>
  <si>
    <t>637012304ec244fd</t>
  </si>
  <si>
    <t>29_09_2026_DV_Noct.gpx</t>
  </si>
  <si>
    <t>637012304ec244fd23288c482baf6e70e02bcdbeb8b0014da77cb0884f675547</t>
  </si>
  <si>
    <t>29/09/2026 17:36:43</t>
  </si>
  <si>
    <t>30/09/2026 00:20:12</t>
  </si>
  <si>
    <t>Inicio GPS anterior al horario: 00:23:17 antes de las 18:00.; Fin GPS posterior: 00:20:12 después de las 00:00.; 1 hueco(s) GPS &gt;= 10 min.; 1 permanencia(s) GPS detectada(s); requiere contexto.</t>
  </si>
  <si>
    <t>6.226605, -75.599282</t>
  </si>
  <si>
    <t>6.272650, -75.601763</t>
  </si>
  <si>
    <t>5c8a35e773a8f9df</t>
  </si>
  <si>
    <t>29_09_2026_IQ_Noct.gpx</t>
  </si>
  <si>
    <t>5c8a35e773a8f9dfdea08493b318733f313254ae45acd01f23a7ee33e08b031c</t>
  </si>
  <si>
    <t>29/09/2026 16:49:08</t>
  </si>
  <si>
    <t>29/09/2026 23:51:48</t>
  </si>
  <si>
    <t>Inicio GPS anterior al horario: 01:10:52 antes de las 18:00.; Fin GPS dentro de la tolerancia del horario programado.; 7 hueco(s) GPS &gt;= 10 min.</t>
  </si>
  <si>
    <t>6.225573, -75.599452</t>
  </si>
  <si>
    <t>6.276114, -75.572663</t>
  </si>
  <si>
    <t>21e599f20e901e72</t>
  </si>
  <si>
    <t>29_09_2026_JHP_Noct.gpx</t>
  </si>
  <si>
    <t>21e599f20e901e720df8171920522b92965acbf1f29ec998126f75dcd44163e3</t>
  </si>
  <si>
    <t>29/09/2026 17:32:26</t>
  </si>
  <si>
    <t>29/09/2026 23:56:47</t>
  </si>
  <si>
    <t>Inicio GPS anterior al horario: 00:27:34 antes de las 18:00.; Fin GPS dentro de la tolerancia del horario programado.; 1 permanencia(s) GPS detectada(s); requiere contexto.</t>
  </si>
  <si>
    <t>6.226820, -75.599361</t>
  </si>
  <si>
    <t>6.290393, -75.546638</t>
  </si>
  <si>
    <t>0b0ef25ae6d19c0c</t>
  </si>
  <si>
    <t>29_09_2026_JP_Noct.gpx</t>
  </si>
  <si>
    <t>0b0ef25ae6d19c0c9456df6f1c08e465455052ac96234850ba3c019433ba550a</t>
  </si>
  <si>
    <t>29/09/2026 16:53:28</t>
  </si>
  <si>
    <t>29/09/2026 21:23:58</t>
  </si>
  <si>
    <t>Inicio GPS anterior al horario: 01:06:32 antes de las 18:00.; Fin GPS anticipado: 02:36:02 antes de las 00:00.; 1 hueco(s) GPS &gt;= 10 min.</t>
  </si>
  <si>
    <t>6.225657, -75.599422</t>
  </si>
  <si>
    <t>6.251825, -75.551900</t>
  </si>
  <si>
    <t>8a0f842ca0f96d9a</t>
  </si>
  <si>
    <t>29_09_2026_LA_Noct.gpx</t>
  </si>
  <si>
    <t>8a0f842ca0f96d9ae5bc5d3abc20ae11bf395a5017ee3dada2d79f364386aa9a</t>
  </si>
  <si>
    <t>29/09/2026 17:37:44</t>
  </si>
  <si>
    <t>30/09/2026 00:05:23</t>
  </si>
  <si>
    <t>Inicio GPS anterior al horario: 00:22:15 antes de las 18:00.; Fin GPS dentro de la tolerancia del horario programado.; 5 hueco(s) GPS &gt;= 10 min.</t>
  </si>
  <si>
    <t>6.227305, -75.599290</t>
  </si>
  <si>
    <t>6.268510, -75.599528</t>
  </si>
  <si>
    <t>6d4db840ac5e8c70</t>
  </si>
  <si>
    <t>30_09_2026_AO_Diur.gpx</t>
  </si>
  <si>
    <t>6d4db840ac5e8c70c58d6f077f271a9185021c031435d4d1960784206f2518ee</t>
  </si>
  <si>
    <t>30/09/2026</t>
  </si>
  <si>
    <t>30/09/2026 09:44:16</t>
  </si>
  <si>
    <t>30/09/2026 16:31:58</t>
  </si>
  <si>
    <t>Inicio GPS tardío: 01:14:16 después de las 08:30.; Fin GPS dentro de la tolerancia del horario programado.; 4 hueco(s) GPS &gt;= 10 min.</t>
  </si>
  <si>
    <t>6.221738, -75.593904</t>
  </si>
  <si>
    <t>6.245557, -75.583619</t>
  </si>
  <si>
    <t>764dc906fa83482e</t>
  </si>
  <si>
    <t>30_09_2026_AR_Diur.gpx</t>
  </si>
  <si>
    <t>764dc906fa83482ece90d4753dd8013fc7fc1662193a2e3f3e8186f56a5faa7f</t>
  </si>
  <si>
    <t>30/09/2026 08:16:32</t>
  </si>
  <si>
    <t>30/09/2026 18:00:58</t>
  </si>
  <si>
    <t>Inicio GPS dentro de la tolerancia del horario programado.; Fin GPS posterior: 01:30:58 después de las 16:30.; 5 hueco(s) GPS &gt;= 10 min.</t>
  </si>
  <si>
    <t>6.225666, -75.599403</t>
  </si>
  <si>
    <t>6.247758, -75.614985</t>
  </si>
  <si>
    <t>ad3e89aec19d71c5</t>
  </si>
  <si>
    <t>30_09_2026_DR_Diur.gpx</t>
  </si>
  <si>
    <t>ad3e89aec19d71c5d90e94d81bbe93682fc666acef829563760091be63de0ef3</t>
  </si>
  <si>
    <t>30/09/2026 08:39:29</t>
  </si>
  <si>
    <t>30/09/2026 16:31:55</t>
  </si>
  <si>
    <t>6.225550, -75.599417</t>
  </si>
  <si>
    <t>6.237958, -75.577249</t>
  </si>
  <si>
    <t>45dfc1f89a7dde74</t>
  </si>
  <si>
    <t>30_09_2026_HC_Diur.gpx</t>
  </si>
  <si>
    <t>45dfc1f89a7dde74a4415fb0e04641b88b2c76d8686c46f58268c64e067358f3</t>
  </si>
  <si>
    <t>30/09/2026 08:47:31</t>
  </si>
  <si>
    <t>30/09/2026 14:10:55</t>
  </si>
  <si>
    <t>Inicio GPS tardío: 00:17:31 después de las 08:30.; Fin GPS anticipado: 02:19:05 antes de las 16:30.; 1 permanencia(s) GPS detectada(s); requiere contexto.</t>
  </si>
  <si>
    <t>6.225625, -75.599011</t>
  </si>
  <si>
    <t>6.297761, -75.572980</t>
  </si>
  <si>
    <t>81b6406bb181788e</t>
  </si>
  <si>
    <t>30_09_2026_JA_Diur.gpx</t>
  </si>
  <si>
    <t>81b6406bb181788eb2b977a7e337b7fe1276e5e1b20bdb6aae5deca28aa1d7a3</t>
  </si>
  <si>
    <t>30/09/2026 08:34:34</t>
  </si>
  <si>
    <t>30/09/2026 11:56:39</t>
  </si>
  <si>
    <t>Inicio GPS dentro de la tolerancia del horario programado.; Fin GPS anticipado: 04:33:21 antes de las 16:30.; 1 hueco(s) GPS &gt;= 10 min.; 1 permanencia(s) GPS detectada(s); requiere contexto.</t>
  </si>
  <si>
    <t>6.224020, -75.601588</t>
  </si>
  <si>
    <t>6.241441, -75.559990</t>
  </si>
  <si>
    <t>5dddf97e3fd340a8</t>
  </si>
  <si>
    <t>30_09_2026_JO_Diur.gpx</t>
  </si>
  <si>
    <t>5dddf97e3fd340a86d473b626223cd317e35621f6dd5d8003f064828d682f918</t>
  </si>
  <si>
    <t>30/09/2026 08:36:36</t>
  </si>
  <si>
    <t>30/09/2026 16:28:53</t>
  </si>
  <si>
    <t>6.225662, -75.599354</t>
  </si>
  <si>
    <t>6.259229, -75.620970</t>
  </si>
  <si>
    <t>dde41d6e25042436</t>
  </si>
  <si>
    <t>30_09_2026_SJ_Diur.gpx</t>
  </si>
  <si>
    <t>dde41d6e250424368b9ac4dcff46f2b8c9029f30e3bfcd0b95c93daa45d9f3f3</t>
  </si>
  <si>
    <t>30/09/2026 08:34:27</t>
  </si>
  <si>
    <t>30/09/2026 16:24:18</t>
  </si>
  <si>
    <t>6.225575, -75.599417</t>
  </si>
  <si>
    <t>6.305221, -75.581879</t>
  </si>
  <si>
    <t>cd9924f35ffea61b</t>
  </si>
  <si>
    <t>30_09_2026_YL_Diur.gpx</t>
  </si>
  <si>
    <t>cd9924f35ffea61bcb0a084ae07eef5fa73b252e6417504c98b88d43d9e6cabd</t>
  </si>
  <si>
    <t>30/09/2026 08:40:36</t>
  </si>
  <si>
    <t>30/09/2026 16:05:03</t>
  </si>
  <si>
    <t>Inicio GPS dentro de la tolerancia del horario programado.; Fin GPS anticipado: 00:24:57 antes de las 16:30.; 5 hueco(s) GPS &gt;= 10 min.</t>
  </si>
  <si>
    <t>6.225478, -75.598914</t>
  </si>
  <si>
    <t>6.258690, -75.616228</t>
  </si>
  <si>
    <t>eb8524d06b9e5987</t>
  </si>
  <si>
    <t>eb8524d06b9e59872d4e7dd2f448bf165c8d0b8d7d2c28cdeeec7a68372a3829</t>
  </si>
  <si>
    <t>30/09/2026 08:42:19</t>
  </si>
  <si>
    <t>30/09/2026 16:37:02</t>
  </si>
  <si>
    <t>6.230354, -75.596052</t>
  </si>
  <si>
    <t>6.279095, -75.569126</t>
  </si>
  <si>
    <t>30_09_2026_JZ_Diur.gpx</t>
  </si>
  <si>
    <t>fee34950d931678f</t>
  </si>
  <si>
    <t>30_09_2026_DV_Noct.gpx</t>
  </si>
  <si>
    <t>fee34950d931678f0623a4acba5d69bab63a804529a0077727f9af12d01052e8</t>
  </si>
  <si>
    <t>30/09/2026 17:47:46</t>
  </si>
  <si>
    <t>01/10/2026 00:34:24</t>
  </si>
  <si>
    <t>Inicio GPS dentro de la tolerancia del horario programado.; Fin GPS posterior: 00:34:24 después de las 00:00.; 1 permanencia(s) GPS detectada(s); requiere contexto.</t>
  </si>
  <si>
    <t>6.228812, -75.597750</t>
  </si>
  <si>
    <t>6.272695, -75.602036</t>
  </si>
  <si>
    <t>ea68dcf2ddbc20ee</t>
  </si>
  <si>
    <t>30_09_2026_IQ_Noct.gpx</t>
  </si>
  <si>
    <t>ea68dcf2ddbc20ee9c4204fd85de82fad42c5536486aefc4bfd9cd996b6b30f1</t>
  </si>
  <si>
    <t>30/09/2026 16:48:36</t>
  </si>
  <si>
    <t>30/09/2026 23:55:18</t>
  </si>
  <si>
    <t>Inicio GPS anterior al horario: 01:11:24 antes de las 18:00.; Fin GPS dentro de la tolerancia del horario programado.; 5 hueco(s) GPS &gt;= 10 min.</t>
  </si>
  <si>
    <t>6.225570, -75.599332</t>
  </si>
  <si>
    <t>6.294171, -75.582820</t>
  </si>
  <si>
    <t>0aee5c24d8a08ec5</t>
  </si>
  <si>
    <t>30_09_2026_JHP_Noct.gpx</t>
  </si>
  <si>
    <t>0aee5c24d8a08ec5091ca828c3c5c9837fa8451b6df055fb02a2d7e02aa6f0dd</t>
  </si>
  <si>
    <t>30/09/2026 17:07:26</t>
  </si>
  <si>
    <t>01/10/2026 00:17:21</t>
  </si>
  <si>
    <t>Inicio GPS anterior al horario: 00:52:34 antes de las 18:00.; Fin GPS posterior: 00:17:21 después de las 00:00.</t>
  </si>
  <si>
    <t>6.226824, -75.599195</t>
  </si>
  <si>
    <t>6.290427, -75.546575</t>
  </si>
  <si>
    <t>de7d5603252942ad</t>
  </si>
  <si>
    <t>30_09_2026_JP_Noct.gpx</t>
  </si>
  <si>
    <t>de7d5603252942ada85328fb515221939c4a53af79be17ec17d8a3588bf56727</t>
  </si>
  <si>
    <t>30/09/2026 17:19:50</t>
  </si>
  <si>
    <t>30/09/2026 21:25:10</t>
  </si>
  <si>
    <t>Inicio GPS anterior al horario: 00:40:10 antes de las 18:00.; Fin GPS anticipado: 02:34:50 antes de las 00:00.</t>
  </si>
  <si>
    <t>6.228055, -75.599642</t>
  </si>
  <si>
    <t>6.251797, -75.551833</t>
  </si>
  <si>
    <t>1c0870d922c26ec1</t>
  </si>
  <si>
    <t>30_09_2026_LA_Noct.gpx</t>
  </si>
  <si>
    <t>1c0870d922c26ec19a7f22e1fd36ad2453230e4aff5e321c253e8992f45fb09e</t>
  </si>
  <si>
    <t>30/09/2026 17:38:58</t>
  </si>
  <si>
    <t>01/10/2026 00:00:10</t>
  </si>
  <si>
    <t>Inicio GPS anterior al horario: 00:21:02 antes de las 18:00.; Fin GPS dentro de la tolerancia del horario programado.; 3 hueco(s) GPS &gt;= 10 min.</t>
  </si>
  <si>
    <t>6.226787, -75.599262</t>
  </si>
  <si>
    <t>6.260170, -75.590198</t>
  </si>
  <si>
    <t>c32a8abfac3f0cbb</t>
  </si>
  <si>
    <t>01_10_2026_AO_Diur.gpx</t>
  </si>
  <si>
    <t>c32a8abfac3f0cbb861425af46f181a8243c374ba042a5af797b025cd293a190</t>
  </si>
  <si>
    <t>01/10/2026</t>
  </si>
  <si>
    <t>2026-10</t>
  </si>
  <si>
    <t>01/10/2026 09:34:03</t>
  </si>
  <si>
    <t>01/10/2026 17:04:27</t>
  </si>
  <si>
    <t>Inicio GPS tardío: 01:04:03 después de las 08:30.; Fin GPS posterior: 00:34:27 después de las 16:30.; 4 hueco(s) GPS &gt;= 10 min.; 1 permanencia(s) GPS detectada(s); requiere contexto.</t>
  </si>
  <si>
    <t>6.203297, -75.600991</t>
  </si>
  <si>
    <t>6.225552, -75.599130</t>
  </si>
  <si>
    <t>b5f0bf45945924ee</t>
  </si>
  <si>
    <t>01_10_2026_AR_Diur.gpx</t>
  </si>
  <si>
    <t>b5f0bf45945924eeed233dd1f781269a583139dfbff864997ef171ca82b7896b</t>
  </si>
  <si>
    <t>01/10/2026 09:04:46</t>
  </si>
  <si>
    <t>01/10/2026 16:17:14</t>
  </si>
  <si>
    <t>Inicio GPS tardío: 00:34:46 después de las 08:30.; Fin GPS dentro de la tolerancia del horario programado.; 2 hueco(s) GPS &gt;= 10 min.</t>
  </si>
  <si>
    <t>6.225631, -75.599385</t>
  </si>
  <si>
    <t>6.247747, -75.615037</t>
  </si>
  <si>
    <t>2bb4c020051e3381</t>
  </si>
  <si>
    <t>01_10_2026_DR_Diur.gpx</t>
  </si>
  <si>
    <t>2bb4c020051e3381d275fc2a1d744b82a2702f2085e6535d9c2e769ecb922275</t>
  </si>
  <si>
    <t>01/10/2026 09:28:38</t>
  </si>
  <si>
    <t>01/10/2026 16:29:24</t>
  </si>
  <si>
    <t>Inicio GPS tardío: 00:58:38 después de las 08:30.; Fin GPS dentro de la tolerancia del horario programado.; 2 hueco(s) GPS &gt;= 10 min.</t>
  </si>
  <si>
    <t>6.226977, -75.601635</t>
  </si>
  <si>
    <t>6.263678, -75.597012</t>
  </si>
  <si>
    <t>430141200c1e47c7</t>
  </si>
  <si>
    <t>01_10_2026_HC_Diur.gpx</t>
  </si>
  <si>
    <t>430141200c1e47c7c45b965db8507d1dc65af95a444f37a289e7c99051bdfd86</t>
  </si>
  <si>
    <t>01/10/2026 09:15:08</t>
  </si>
  <si>
    <t>01/10/2026 14:31:11</t>
  </si>
  <si>
    <t>Inicio GPS tardío: 00:45:08 después de las 08:30.; Fin GPS anticipado: 01:58:49 antes de las 16:30.</t>
  </si>
  <si>
    <t>6.225890, -75.599391</t>
  </si>
  <si>
    <t>6.304655, -75.569093</t>
  </si>
  <si>
    <t>2cab6e52e20f06ed</t>
  </si>
  <si>
    <t>01_10_2026_JA_Diur.gpx</t>
  </si>
  <si>
    <t>2cab6e52e20f06ed01b2a1f47f66b9b682689ef160a4003d79b00764edcf56b5</t>
  </si>
  <si>
    <t>01/10/2026 09:02:45</t>
  </si>
  <si>
    <t>01/10/2026 12:54:27</t>
  </si>
  <si>
    <t>Inicio GPS tardío: 00:32:45 después de las 08:30.; Fin GPS anticipado: 03:35:33 antes de las 16:30.</t>
  </si>
  <si>
    <t>6.225504, -75.599470</t>
  </si>
  <si>
    <t>6.236640, -75.559618</t>
  </si>
  <si>
    <t>ec846357b19abfae</t>
  </si>
  <si>
    <t>01_10_2026_JO_Diur.gpx</t>
  </si>
  <si>
    <t>ec846357b19abfae921d6e88f05a8363dccb7f3c0a29c20007544526b3411bfa</t>
  </si>
  <si>
    <t>01/10/2026 09:13:21</t>
  </si>
  <si>
    <t>01/10/2026 16:31:02</t>
  </si>
  <si>
    <t>Inicio GPS tardío: 00:43:21 después de las 08:30.; Fin GPS dentro de la tolerancia del horario programado.; 12 hueco(s) GPS &gt;= 10 min.; 1 permanencia(s) GPS detectada(s); requiere contexto.</t>
  </si>
  <si>
    <t>6.225577, -75.599403</t>
  </si>
  <si>
    <t>6.257788, -75.614191</t>
  </si>
  <si>
    <t>fad2dc235b63c1ec</t>
  </si>
  <si>
    <t>01_10_2026_JZ_Diur.gpx</t>
  </si>
  <si>
    <t>fad2dc235b63c1ec507431018e59133443622367dbb99a4b4cd6552a0418a62a</t>
  </si>
  <si>
    <t>01/10/2026 09:17:31</t>
  </si>
  <si>
    <t>01/10/2026 16:37:14</t>
  </si>
  <si>
    <t>Inicio GPS tardío: 00:47:31 después de las 08:30.; Fin GPS dentro de la tolerancia del horario programado.</t>
  </si>
  <si>
    <t>6.226567, -75.599173</t>
  </si>
  <si>
    <t>6.280118, -75.572308</t>
  </si>
  <si>
    <t>5f25d1d423ead8c0</t>
  </si>
  <si>
    <t>01_10_2026_SJ_Diur.gpx</t>
  </si>
  <si>
    <t>5f25d1d423ead8c030453c8cfba94b35fb6ffe31a1e151caddd65bd0591b36bd</t>
  </si>
  <si>
    <t>01/10/2026 08:59:51</t>
  </si>
  <si>
    <t>01/10/2026 16:28:22</t>
  </si>
  <si>
    <t>Inicio GPS tardío: 00:29:51 después de las 08:30.; Fin GPS dentro de la tolerancia del horario programado.</t>
  </si>
  <si>
    <t>6.225674, -75.599473</t>
  </si>
  <si>
    <t>6.304127, -75.581996</t>
  </si>
  <si>
    <t>c02bd79f578567ea</t>
  </si>
  <si>
    <t>01_10_2026_YL_Diur.gpx</t>
  </si>
  <si>
    <t>c02bd79f578567ea711c8aa642d38225310391b00b5e467caf67751bc3512d13</t>
  </si>
  <si>
    <t>01/10/2026 08:51:05</t>
  </si>
  <si>
    <t>01/10/2026 16:01:33</t>
  </si>
  <si>
    <t>Inicio GPS tardío: 00:21:05 después de las 08:30.; Fin GPS anticipado: 00:28:27 antes de las 16:30.; 1 hueco(s) GPS &gt;= 10 min.</t>
  </si>
  <si>
    <t>6.225526, -75.599444</t>
  </si>
  <si>
    <t>6.258196, -75.615996</t>
  </si>
  <si>
    <t>Se inició tarde el recorrido debido a capacitación de SSTT</t>
  </si>
  <si>
    <t>45ce0489dbd41294</t>
  </si>
  <si>
    <t>01_10_2026_DV_Noct.gpx</t>
  </si>
  <si>
    <t>45ce0489dbd4129473f5975af56c55383dc7002ca63aba9025b55d4533bddca4</t>
  </si>
  <si>
    <t>01/10/2026 16:47:18</t>
  </si>
  <si>
    <t>02/10/2026 00:18:12</t>
  </si>
  <si>
    <t>Inicio GPS anterior al horario: 01:12:42 antes de las 18:00.; Fin GPS posterior: 00:18:12 después de las 00:00.; 1 permanencia(s) GPS detectada(s); requiere contexto.</t>
  </si>
  <si>
    <t>6.225959, -75.599347</t>
  </si>
  <si>
    <t>6.272609, -75.602417</t>
  </si>
  <si>
    <t>a5865019b3da8b06</t>
  </si>
  <si>
    <t>01_10_2026_IQ_Noct.gpx</t>
  </si>
  <si>
    <t>a5865019b3da8b06bbf3725788ca0b1e1b459e8829b7b75c2f501a71f63920cd</t>
  </si>
  <si>
    <t>01/10/2026 16:59:31</t>
  </si>
  <si>
    <t>01/10/2026 23:42:28</t>
  </si>
  <si>
    <t>Inicio GPS anterior al horario: 01:00:29 antes de las 18:00.; Fin GPS anticipado: 00:17:32 antes de las 00:00.; 2 hueco(s) GPS &gt;= 10 min.</t>
  </si>
  <si>
    <t>6.225705, -75.599190</t>
  </si>
  <si>
    <t>6.295184, -75.554970</t>
  </si>
  <si>
    <t>73a450d8d2a5a73a</t>
  </si>
  <si>
    <t>01_10_2026_JHP_Noct.gpx</t>
  </si>
  <si>
    <t>73a450d8d2a5a73a8f4c1838150a60b678ab53372292019b0b1ad7afd20d62cb</t>
  </si>
  <si>
    <t>01/10/2026 17:33:15</t>
  </si>
  <si>
    <t>02/10/2026 01:02:42</t>
  </si>
  <si>
    <t>Inicio GPS anterior al horario: 00:26:45 antes de las 18:00.; Fin GPS posterior: 01:02:42 después de las 00:00.</t>
  </si>
  <si>
    <t>6.226865, -75.599376</t>
  </si>
  <si>
    <t>6.290404, -75.546580</t>
  </si>
  <si>
    <t>8c3b221084febd16</t>
  </si>
  <si>
    <t>01_10_2026_JP_Noct.gpx</t>
  </si>
  <si>
    <t>8c3b221084febd168ca23c8424974201e3351d7364ae431c34ddfd64c834b201</t>
  </si>
  <si>
    <t>01/10/2026 17:14:19</t>
  </si>
  <si>
    <t>01/10/2026 20:54:30</t>
  </si>
  <si>
    <t>Inicio GPS anterior al horario: 00:45:41 antes de las 18:00.; Fin GPS anticipado: 03:05:30 antes de las 00:00.; 1 hueco(s) GPS &gt;= 10 min.</t>
  </si>
  <si>
    <t>6.226025, -75.599370</t>
  </si>
  <si>
    <t>6.251767, -75.551830</t>
  </si>
  <si>
    <t>37c8b9ed40881b86</t>
  </si>
  <si>
    <t>01_10_2026_LA_Noct.gpx</t>
  </si>
  <si>
    <t>37c8b9ed40881b86418f46dfa5ab38c65bdea4f2b6480b215a3e55958cdd5ab4</t>
  </si>
  <si>
    <t>01/10/2026 17:31:45</t>
  </si>
  <si>
    <t>02/10/2026 00:21:08</t>
  </si>
  <si>
    <t>Inicio GPS anterior al horario: 00:28:15 antes de las 18:00.; Fin GPS posterior: 00:21:09 después de las 00:00.; 3 hueco(s) GPS &gt;= 10 min.; 1 permanencia(s) GPS detectada(s); requiere contexto.</t>
  </si>
  <si>
    <t>6.226470, -75.599548</t>
  </si>
  <si>
    <t>6.268432, -75.599477</t>
  </si>
  <si>
    <t>e5c067b0adfdcccc</t>
  </si>
  <si>
    <t>02_10_2026_AO_Diur.gpx</t>
  </si>
  <si>
    <t>e5c067b0adfdcccc03a89f1b777e4ecf77fcad228fe742b0da1269343dba242c</t>
  </si>
  <si>
    <t>02/10/2026</t>
  </si>
  <si>
    <t>02/10/2026 08:49:50</t>
  </si>
  <si>
    <t>02/10/2026 15:51:59</t>
  </si>
  <si>
    <t>Inicio GPS tardío: 00:19:50 después de las 08:30.; Fin GPS dentro de la tolerancia del horario programado.; 6 hueco(s) GPS &gt;= 10 min.</t>
  </si>
  <si>
    <t>6.221775, -75.593822</t>
  </si>
  <si>
    <t>6.221704, -75.593849</t>
  </si>
  <si>
    <t>1fb547a5b199ab38</t>
  </si>
  <si>
    <t>02_10_2026_AR_Diur.gpx</t>
  </si>
  <si>
    <t>1fb547a5b199ab383b471c1a3414961935a0b73b9afaeb490558211a78b19af7</t>
  </si>
  <si>
    <t>02/10/2026 08:06:50</t>
  </si>
  <si>
    <t>02/10/2026 16:02:21</t>
  </si>
  <si>
    <t>Inicio GPS anterior al horario: 00:23:10 antes de las 08:30.; Fin GPS dentro de la tolerancia del horario programado.; 3 hueco(s) GPS &gt;= 10 min.</t>
  </si>
  <si>
    <t>6.225841, -75.599310</t>
  </si>
  <si>
    <t>6.247778, -75.615000</t>
  </si>
  <si>
    <t>1a8aa5e7c41e821f</t>
  </si>
  <si>
    <t>02_10_2026_DR_Diur.gpx</t>
  </si>
  <si>
    <t>1a8aa5e7c41e821f08ca18f7e2b630416a65588da3ab2f5e5531cd6d3419b39c</t>
  </si>
  <si>
    <t>02/10/2026 08:54:39</t>
  </si>
  <si>
    <t>02/10/2026 15:16:52</t>
  </si>
  <si>
    <t>Inicio GPS tardío: 00:24:39 después de las 08:30.; Fin GPS anticipado: 00:43:08 antes de las 16:00.; 2 hueco(s) GPS &gt;= 10 min.</t>
  </si>
  <si>
    <t>6.226750, -75.601354</t>
  </si>
  <si>
    <t>6.251145, -75.602318</t>
  </si>
  <si>
    <t>eaea6d23da7b761c</t>
  </si>
  <si>
    <t>02_10_2026_HC_Diur.gpx</t>
  </si>
  <si>
    <t>eaea6d23da7b761c93962f169c114dc776e68c38465b4524c692dffadf90b804</t>
  </si>
  <si>
    <t>02/10/2026 09:12:25</t>
  </si>
  <si>
    <t>02/10/2026 13:41:43</t>
  </si>
  <si>
    <t>Inicio GPS tardío: 00:42:25 después de las 08:30.; Fin GPS anticipado: 02:18:17 antes de las 16:00.</t>
  </si>
  <si>
    <t>6.235251, -75.600564</t>
  </si>
  <si>
    <t>6.300592, -75.568960</t>
  </si>
  <si>
    <t>450cd602cedefc95</t>
  </si>
  <si>
    <t>02_10_2026_JO_Diur.gpx</t>
  </si>
  <si>
    <t>450cd602cedefc955e88d5935b628fd86f72d8273af3a2383be0b8e68e96f3ba</t>
  </si>
  <si>
    <t>02/10/2026 08:34:28</t>
  </si>
  <si>
    <t>02/10/2026 16:30:02</t>
  </si>
  <si>
    <t>Inicio GPS dentro de la tolerancia del horario programado.; Fin GPS posterior: 00:30:03 después de las 16:00.; 14 hueco(s) GPS &gt;= 10 min.</t>
  </si>
  <si>
    <t>6.225649, -75.599414</t>
  </si>
  <si>
    <t>6.246883, -75.554149</t>
  </si>
  <si>
    <t>8d66aba6155abfac</t>
  </si>
  <si>
    <t>02_10_2026_JZ_Diur.gpx</t>
  </si>
  <si>
    <t>8d66aba6155abfac0f7f421c56fbf1c269005edcec7f07a0c08829addf944dc7</t>
  </si>
  <si>
    <t>02/10/2026 08:32:36</t>
  </si>
  <si>
    <t>02/10/2026 15:46:25</t>
  </si>
  <si>
    <t>6.226870, -75.599140</t>
  </si>
  <si>
    <t>6.279449, -75.569809</t>
  </si>
  <si>
    <t>f6583665c5fdff79</t>
  </si>
  <si>
    <t>02_10_2026_SJ_Diur.gpx</t>
  </si>
  <si>
    <t>f6583665c5fdff79953483fa8c69d84a4f390f02c803e8ef5531ec1b197c96aa</t>
  </si>
  <si>
    <t>02/10/2026 08:42:19</t>
  </si>
  <si>
    <t>02/10/2026 14:49:05</t>
  </si>
  <si>
    <t>Inicio GPS dentro de la tolerancia del horario programado.; Fin GPS anticipado: 01:10:55 antes de las 16:00.; 1 hueco(s) GPS &gt;= 10 min.; 1 permanencia(s) GPS detectada(s); requiere contexto.</t>
  </si>
  <si>
    <t>6.225736, -75.599547</t>
  </si>
  <si>
    <t>6.307043, -75.555595</t>
  </si>
  <si>
    <t>2b423a0781dbdc93</t>
  </si>
  <si>
    <t>02_10_2026_YL_Diur.gpx</t>
  </si>
  <si>
    <t>2b423a0781dbdc9330dde4d6c8c1d8a58b4ca0cd462834d806b34cbe67e5b297</t>
  </si>
  <si>
    <t>02/10/2026 09:01:50</t>
  </si>
  <si>
    <t>02/10/2026 16:10:59</t>
  </si>
  <si>
    <t>Inicio GPS tardío: 00:31:50 después de las 08:30.; Fin GPS dentro de la tolerancia del horario programado.; 1 hueco(s) GPS &gt;= 10 min.</t>
  </si>
  <si>
    <t>6.225786, -75.599468</t>
  </si>
  <si>
    <t>6.231911, -75.603090</t>
  </si>
  <si>
    <t>51d9638b067a72fa</t>
  </si>
  <si>
    <t>03_10_2026_AR_Diur.gpx</t>
  </si>
  <si>
    <t>51d9638b067a72fa00b8bb8a8cb87d763f5758f150b6134dd0d05982afe6e868</t>
  </si>
  <si>
    <t>03/10/2026</t>
  </si>
  <si>
    <t>03/10/2026 08:49:53</t>
  </si>
  <si>
    <t>03/10/2026 15:33:48</t>
  </si>
  <si>
    <t>Inicio GPS tardío: 00:19:53 después de las 08:30.; Fin GPS anticipado: 00:26:12 antes de las 16:00.; 2 hueco(s) GPS &gt;= 10 min.</t>
  </si>
  <si>
    <t>6.247840, -75.615064</t>
  </si>
  <si>
    <t>6.228840, -75.578445</t>
  </si>
  <si>
    <t>bae4d1b308f77ad1</t>
  </si>
  <si>
    <t>03_10_2026_DR_Diur.gpx</t>
  </si>
  <si>
    <t>bae4d1b308f77ad17d97ef89e12c741bab5ce7c4794f651c3f70de38ac088c2b</t>
  </si>
  <si>
    <t>03/10/2026 09:21:53</t>
  </si>
  <si>
    <t>03/10/2026 15:27:22</t>
  </si>
  <si>
    <t>Inicio GPS tardío: 00:51:53 después de las 08:30.; Fin GPS anticipado: 00:32:38 antes de las 16:00.; 1 hueco(s) GPS &gt;= 10 min.</t>
  </si>
  <si>
    <t>6.250462, -75.601304</t>
  </si>
  <si>
    <t>6.243284, -75.602464</t>
  </si>
  <si>
    <t>ffbfada35b7216ea</t>
  </si>
  <si>
    <t>02_10_2026_JA_Diur.gpx</t>
  </si>
  <si>
    <t>ffbfada35b7216ea0139a296d196af87bf355f035c0d44112ba213ddccd84b31</t>
  </si>
  <si>
    <t>02/10/2026 08:16:08</t>
  </si>
  <si>
    <t>02/10/2026 14:17:08</t>
  </si>
  <si>
    <t>Inicio GPS dentro de la tolerancia del horario programado.; Fin GPS anticipado: 01:42:52 antes de las 16:00.; 3 hueco(s) GPS &gt;= 10 min.</t>
  </si>
  <si>
    <t>6.224999, -75.598747</t>
  </si>
  <si>
    <t>6.236920, -75.558722</t>
  </si>
  <si>
    <t>9583f15f3181f0af</t>
  </si>
  <si>
    <t>02_10_2026_DV_Noct.gpx</t>
  </si>
  <si>
    <t>9583f15f3181f0af433fd34630f02de464c82edacf317940228d7bc4b6b47c01</t>
  </si>
  <si>
    <t>02/10/2026 17:50:56</t>
  </si>
  <si>
    <t>03/10/2026 00:28:36</t>
  </si>
  <si>
    <t>Inicio GPS dentro de la tolerancia del horario programado.; Fin GPS posterior: 00:28:36 después de las 00:00.; 1 permanencia(s) GPS detectada(s); requiere contexto.</t>
  </si>
  <si>
    <t>6.272703, -75.602028</t>
  </si>
  <si>
    <t>6.272627, -75.602096</t>
  </si>
  <si>
    <t>b1dfd6c070766387</t>
  </si>
  <si>
    <t>02_10_2026_IQ_Noct.gpx</t>
  </si>
  <si>
    <t>b1dfd6c070766387e0bc6bac40161cec3f5705a570a1e0d67fbc70cce7c63165</t>
  </si>
  <si>
    <t>02/10/2026 17:49:44</t>
  </si>
  <si>
    <t>02/10/2026 23:59:25</t>
  </si>
  <si>
    <t>Inicio GPS dentro de la tolerancia del horario programado.; Fin GPS dentro de la tolerancia del horario programado.; 7 hueco(s) GPS &gt;= 10 min.</t>
  </si>
  <si>
    <t>6.189618, -75.580875</t>
  </si>
  <si>
    <t>6.249399, -75.591261</t>
  </si>
  <si>
    <t>9fb2a764ec483630</t>
  </si>
  <si>
    <t>02_10_2026_JHP_Noct.gpx</t>
  </si>
  <si>
    <t>9fb2a764ec483630db706c8ee3b0e2b3f16cf636c23997f2f1e1407fe9e825f1</t>
  </si>
  <si>
    <t>02/10/2026 19:06:45</t>
  </si>
  <si>
    <t>02/10/2026 23:57:57</t>
  </si>
  <si>
    <t>Inicio GPS tardío: 01:06:45 después de las 18:00.; Fin GPS dentro de la tolerancia del horario programado.</t>
  </si>
  <si>
    <t>6.290650, -75.546369</t>
  </si>
  <si>
    <t>6.290511, -75.546474</t>
  </si>
  <si>
    <t>425b7f4c3c65e05e</t>
  </si>
  <si>
    <t>02_10_2026_JP_Noct.gpx</t>
  </si>
  <si>
    <t>425b7f4c3c65e05ec21b32e5d863adee507d24715a1222e37b5f58f0bf889305</t>
  </si>
  <si>
    <t>02/10/2026 17:46:12</t>
  </si>
  <si>
    <t>02/10/2026 22:38:59</t>
  </si>
  <si>
    <t>Inicio GPS dentro de la tolerancia del horario programado.; Fin GPS anticipado: 01:21:01 antes de las 00:00.</t>
  </si>
  <si>
    <t>6.307070, -75.565537</t>
  </si>
  <si>
    <t>6.251880, -75.551852</t>
  </si>
  <si>
    <t>97f6d7b9866ae2b1</t>
  </si>
  <si>
    <t>02_10_2026_LA_Noct.gpx</t>
  </si>
  <si>
    <t>97f6d7b9866ae2b124b7d2f70fd44cba77593474c62bbb60b3aee77f5e30b90d</t>
  </si>
  <si>
    <t>02/10/2026 17:46:52</t>
  </si>
  <si>
    <t>03/10/2026 00:02:12</t>
  </si>
  <si>
    <t>6.267468, -75.597285</t>
  </si>
  <si>
    <t>6.268222, -75.598875</t>
  </si>
  <si>
    <t>dd33041de754b4fd</t>
  </si>
  <si>
    <t>03_10_2026_IQ_Noct.gpx</t>
  </si>
  <si>
    <t>dd33041de754b4fddd894b7dc2edf40cf50bcc3a504304b42cbc6bf042961285</t>
  </si>
  <si>
    <t>03/10/2026 17:18:24</t>
  </si>
  <si>
    <t>03/10/2026 23:56:24</t>
  </si>
  <si>
    <t>Inicio GPS anterior al horario: 00:41:36 antes de las 18:00.; Fin GPS dentro de la tolerancia del horario programado.; 2 hueco(s) GPS &gt;= 10 min.; Sábado nocturno: verificar técnico asignado.</t>
  </si>
  <si>
    <t>6.272210, -75.541080</t>
  </si>
  <si>
    <t>6.270882, -75.575442</t>
  </si>
  <si>
    <t>b28d738ca79ea138</t>
  </si>
  <si>
    <t>b28d738ca79ea1384ed93f00208ff4ed8e0389b2055ef109b8de74e8019c447f</t>
  </si>
  <si>
    <t>05/10/2026 08:51:33</t>
  </si>
  <si>
    <t>05/10/2026 16:05:54</t>
  </si>
  <si>
    <t>6.225809, -75.599311</t>
  </si>
  <si>
    <t>6.222975, -75.597691</t>
  </si>
  <si>
    <t>000db4b112a7fdff</t>
  </si>
  <si>
    <t>05_10_2026_AO_Diur.gpx</t>
  </si>
  <si>
    <t>000db4b112a7fdffe9bf860d9a5794fffc8afc25d59170c94c76329de0417480</t>
  </si>
  <si>
    <t>05/10/2026</t>
  </si>
  <si>
    <t>05/10/2026 09:05:36</t>
  </si>
  <si>
    <t>05/10/2026 16:20:08</t>
  </si>
  <si>
    <t>Inicio GPS tardío: 00:35:36 después de las 08:30.; Fin GPS dentro de la tolerancia del horario programado.; 4 hueco(s) GPS &gt;= 10 min.; 1 permanencia(s) GPS detectada(s); requiere contexto.</t>
  </si>
  <si>
    <t>6.203281, -75.600700</t>
  </si>
  <si>
    <t>6.203347, -75.600768</t>
  </si>
  <si>
    <t>3ce30b3ee2243db8</t>
  </si>
  <si>
    <t>05_10_2026_AR_Diur.gpx</t>
  </si>
  <si>
    <t>3ce30b3ee2243db8a9afc2db935fcd600ca24052e84710da81615106895bc156</t>
  </si>
  <si>
    <t>05/10/2026 07:57:47</t>
  </si>
  <si>
    <t>05/10/2026 17:14:43</t>
  </si>
  <si>
    <t>Inicio GPS anterior al horario: 00:32:13 antes de las 08:30.; Fin GPS posterior: 00:44:43 después de las 16:30.</t>
  </si>
  <si>
    <t>6.225678, -75.598975</t>
  </si>
  <si>
    <t>6.247758, -75.615007</t>
  </si>
  <si>
    <t>f5804608a96f6f19</t>
  </si>
  <si>
    <t>05_10_2026_DR_Diur.gpx</t>
  </si>
  <si>
    <t>f5804608a96f6f19bdfe7619d22f7da015a8ef974ecd661382f590bcd7fe0897</t>
  </si>
  <si>
    <t>05/10/2026 08:34:09</t>
  </si>
  <si>
    <t>05/10/2026 16:26:54</t>
  </si>
  <si>
    <t>Inicio GPS dentro de la tolerancia del horario programado.; Fin GPS dentro de la tolerancia del horario programado.; 2 hueco(s) GPS &gt;= 10 min.; 1 permanencia(s) GPS detectada(s); requiere contexto.</t>
  </si>
  <si>
    <t>6.229238, -75.602113</t>
  </si>
  <si>
    <t>6.239096, -75.582787</t>
  </si>
  <si>
    <t>75d0d14eff0c25a9</t>
  </si>
  <si>
    <t>05_10_2026_JHP_Diur.gpx</t>
  </si>
  <si>
    <t>75d0d14eff0c25a95d1bac9ccdcdfc1f3386de9c41d85de2acd509c4800ab9ea</t>
  </si>
  <si>
    <t>05/10/2026 08:37:21</t>
  </si>
  <si>
    <t>05/10/2026 16:02:09</t>
  </si>
  <si>
    <t>Inicio GPS dentro de la tolerancia del horario programado.; Fin GPS anticipado: 00:27:51 antes de las 16:30.</t>
  </si>
  <si>
    <t>6.225529, -75.599313</t>
  </si>
  <si>
    <t>6.272840, -75.574475</t>
  </si>
  <si>
    <t>a842fdce5f791451</t>
  </si>
  <si>
    <t>05_10_2026_JP_Diur.gpx</t>
  </si>
  <si>
    <t>a842fdce5f79145196f200f0242864f78c8bed23fc0c04eabaa13bcbadabef90</t>
  </si>
  <si>
    <t>05/10/2026 08:45:36</t>
  </si>
  <si>
    <t>05/10/2026 16:14:13</t>
  </si>
  <si>
    <t>Inicio GPS tardío: 00:15:36 después de las 08:30.; Fin GPS anticipado: 00:15:47 antes de las 16:30.</t>
  </si>
  <si>
    <t>6.225475, -75.599275</t>
  </si>
  <si>
    <t>6.251798, -75.551810</t>
  </si>
  <si>
    <t>dfa6c7b0c5a9ff1e</t>
  </si>
  <si>
    <t>05_10_2026_JZ_Diur.gpx</t>
  </si>
  <si>
    <t>dfa6c7b0c5a9ff1e9f448f6d3e237806262a1281348f6e2d0f5a1fcaacb4ae40</t>
  </si>
  <si>
    <t>05/10/2026 08:22:44</t>
  </si>
  <si>
    <t>05/10/2026 15:59:12</t>
  </si>
  <si>
    <t>Inicio GPS dentro de la tolerancia del horario programado.; Fin GPS anticipado: 00:30:48 antes de las 16:30.</t>
  </si>
  <si>
    <t>6.226452, -75.599304</t>
  </si>
  <si>
    <t>6.225353, -75.599345</t>
  </si>
  <si>
    <t>c8abba0914ab8c6e</t>
  </si>
  <si>
    <t>05_10_2026_YL_Diur.gpx</t>
  </si>
  <si>
    <t>c8abba0914ab8c6e1398f1c9df726d9dd065b8280584e7531684b3f24afc4094</t>
  </si>
  <si>
    <t>05/10/2026 08:26:30</t>
  </si>
  <si>
    <t>05/10/2026 17:41:58</t>
  </si>
  <si>
    <t>Inicio GPS dentro de la tolerancia del horario programado.; Fin GPS posterior: 01:11:58 después de las 16:30.</t>
  </si>
  <si>
    <t>6.225649, -75.599081</t>
  </si>
  <si>
    <t>6.258226, -75.615801</t>
  </si>
  <si>
    <t>544ee836374c4210</t>
  </si>
  <si>
    <t>05_10_2026_DV_Noct.gpx</t>
  </si>
  <si>
    <t>544ee836374c421028e5d9072846c2e5603c5c594e9b97dce803978994ec659d</t>
  </si>
  <si>
    <t>05/10/2026 17:17:32</t>
  </si>
  <si>
    <t>06/10/2026 00:12:19</t>
  </si>
  <si>
    <t>Inicio GPS anterior al horario: 00:42:28 antes de las 18:00.; Fin GPS dentro de la tolerancia del horario programado.</t>
  </si>
  <si>
    <t>6.229133, -75.602098</t>
  </si>
  <si>
    <t>6.272695, -75.602114</t>
  </si>
  <si>
    <t>3588b755c3ee0762</t>
  </si>
  <si>
    <t>05_10_2026_JA_Noct.gpx</t>
  </si>
  <si>
    <t>3588b755c3ee07620b6bbd579191210cc4fab2486e24b93e18bab46751c13fa4</t>
  </si>
  <si>
    <t>05/10/2026 16:14:50</t>
  </si>
  <si>
    <t>05/10/2026 22:48:01</t>
  </si>
  <si>
    <t>Inicio GPS anterior al horario: 01:45:10 antes de las 18:00.; Fin GPS anticipado: 01:11:59 antes de las 00:00.</t>
  </si>
  <si>
    <t>6.225731, -75.599151</t>
  </si>
  <si>
    <t>6.236581, -75.558187</t>
  </si>
  <si>
    <t>97fcac0a51fc46fe</t>
  </si>
  <si>
    <t>05_10_2026_JO_Noct.gpx</t>
  </si>
  <si>
    <t>97fcac0a51fc46fef5ea8ec86a96485df8d130e1a73c4a4b2fb2042f70ab223b</t>
  </si>
  <si>
    <t>05/10/2026 17:30:22</t>
  </si>
  <si>
    <t>05/10/2026 23:57:22</t>
  </si>
  <si>
    <t>Inicio GPS anterior al horario: 00:29:37 antes de las 18:00.; Fin GPS dentro de la tolerancia del horario programado.; 9 hueco(s) GPS &gt;= 10 min.</t>
  </si>
  <si>
    <t>6.225822, -75.599324</t>
  </si>
  <si>
    <t>6.259269, -75.620922</t>
  </si>
  <si>
    <t>8cd9ba2cb65fe97a</t>
  </si>
  <si>
    <t>05_10_2026_LA_Noct.gpx</t>
  </si>
  <si>
    <t>8cd9ba2cb65fe97a4748ade9a9c7c5125418a4daf8cb24f1d30e6bfba3142b4b</t>
  </si>
  <si>
    <t>05/10/2026 17:06:12</t>
  </si>
  <si>
    <t>05/10/2026 23:58:30</t>
  </si>
  <si>
    <t>Inicio GPS anterior al horario: 00:53:47 antes de las 18:00.; Fin GPS dentro de la tolerancia del horario programado.; 2 hueco(s) GPS &gt;= 10 min.</t>
  </si>
  <si>
    <t>6.241267, -75.586453</t>
  </si>
  <si>
    <t>6.256800, -75.580860</t>
  </si>
  <si>
    <t>d5cc161d9ce54fe5</t>
  </si>
  <si>
    <t>05_10_2026_SJ_Noct.gpx</t>
  </si>
  <si>
    <t>d5cc161d9ce54fe525ba7823212b60a76cccd5b55b9ac1b7316d3eee04b0933d</t>
  </si>
  <si>
    <t>05/10/2026 17:33:11</t>
  </si>
  <si>
    <t>05/10/2026 23:10:08</t>
  </si>
  <si>
    <t>Inicio GPS anterior al horario: 00:26:49 antes de las 18:00.; Fin GPS anticipado: 00:49:52 antes de las 00:00.; 1 permanencia(s) GPS detectada(s); requiere contexto.</t>
  </si>
  <si>
    <t>6.225800, -75.599363</t>
  </si>
  <si>
    <t>6.276571, -75.573235</t>
  </si>
  <si>
    <t>05_10_2026_HC_Diur.gpx</t>
  </si>
  <si>
    <t>Inicio GPS tardío: 00:21:33 después de las 08:30.; Fin GPS anticipado: 00:24:06 antes de las 16:30.; 1 permanencia(s) GPS detectada(s); requiere contexto.</t>
  </si>
  <si>
    <t>9cf18de374d275c4</t>
  </si>
  <si>
    <t>06_10_2026_AO_Diur.gpx</t>
  </si>
  <si>
    <t>9cf18de374d275c451d68cc2f62f8cc81c70f00a9ffd7272e17df44adb170ebe</t>
  </si>
  <si>
    <t>06/10/2026</t>
  </si>
  <si>
    <t>06/10/2026 09:00:59</t>
  </si>
  <si>
    <t>06/10/2026 16:33:37</t>
  </si>
  <si>
    <t>Inicio GPS tardío: 00:31:00 después de las 08:30.; Fin GPS dentro de la tolerancia del horario programado.; 4 hueco(s) GPS &gt;= 10 min.</t>
  </si>
  <si>
    <t>6.203244, -75.600826</t>
  </si>
  <si>
    <t>6.237179, -75.569824</t>
  </si>
  <si>
    <t>436b63e4bfdeab19</t>
  </si>
  <si>
    <t>06_10_2026_AR_Diur.gpx</t>
  </si>
  <si>
    <t>436b63e4bfdeab19c0dbf1d9c309ed00cfab5f8ffbd58105b36edf9d1b690095</t>
  </si>
  <si>
    <t>06/10/2026 08:12:00</t>
  </si>
  <si>
    <t>06/10/2026 16:21:38</t>
  </si>
  <si>
    <t>Inicio GPS anterior al horario: 00:18:00 antes de las 08:30.; Fin GPS dentro de la tolerancia del horario programado.; 1 permanencia(s) GPS detectada(s); requiere contexto.</t>
  </si>
  <si>
    <t>6.225562, -75.599151</t>
  </si>
  <si>
    <t>6.225658, -75.599071</t>
  </si>
  <si>
    <t>9d2efded79ea7d5e</t>
  </si>
  <si>
    <t>06_10_2026_DR_Diur.gpx</t>
  </si>
  <si>
    <t>9d2efded79ea7d5e1e9829c914a62b23ea606f38fb13051df790893616c456a1</t>
  </si>
  <si>
    <t>06/10/2026 08:26:25</t>
  </si>
  <si>
    <t>06/10/2026 16:30:56</t>
  </si>
  <si>
    <t>6.233598, -75.602124</t>
  </si>
  <si>
    <t>6.238812, -75.603425</t>
  </si>
  <si>
    <t>18e919bb77859506</t>
  </si>
  <si>
    <t>06_10_2026_HC_Diur.gpx</t>
  </si>
  <si>
    <t>18e919bb77859506cc0ec2d1dc2ac65612bf7c2ff3eae19a7487f3a0c3ba9873</t>
  </si>
  <si>
    <t>06/10/2026 08:25:08</t>
  </si>
  <si>
    <t>06/10/2026 13:53:00</t>
  </si>
  <si>
    <t>Inicio GPS dentro de la tolerancia del horario programado.; Fin GPS anticipado: 02:37:00 antes de las 16:30.; 1 hueco(s) GPS &gt;= 10 min.; 1 permanencia(s) GPS detectada(s); requiere contexto.</t>
  </si>
  <si>
    <t>6.225747, -75.599438</t>
  </si>
  <si>
    <t>6.235405, -75.603436</t>
  </si>
  <si>
    <t>803a78c382942ba8</t>
  </si>
  <si>
    <t>06_10_2026_IQ_Diur.gpx</t>
  </si>
  <si>
    <t>803a78c382942ba81434716a35c53bb8d95f5f51c1aa094e4fdc6d14d431889f</t>
  </si>
  <si>
    <t>06/10/2026 08:37:19</t>
  </si>
  <si>
    <t>06/10/2026 16:26:50</t>
  </si>
  <si>
    <t>Inicio GPS dentro de la tolerancia del horario programado.; Fin GPS dentro de la tolerancia del horario programado.; 9 hueco(s) GPS &gt;= 10 min.</t>
  </si>
  <si>
    <t>6.245427, -75.601678</t>
  </si>
  <si>
    <t>6.267248, -75.553902</t>
  </si>
  <si>
    <t>6840b2f8f77e43c2</t>
  </si>
  <si>
    <t>06_10_2026_JHP_Diur.gpx</t>
  </si>
  <si>
    <t>6840b2f8f77e43c22549afdf58137918bbae8cb0bd3768b19e1f2966d215b92d</t>
  </si>
  <si>
    <t>06/10/2026 08:28:34</t>
  </si>
  <si>
    <t>06/10/2026 16:19:30</t>
  </si>
  <si>
    <t>Inicio GPS dentro de la tolerancia del horario programado.; Fin GPS dentro de la tolerancia del horario programado.; 1 permanencia(s) GPS detectada(s); requiere contexto.</t>
  </si>
  <si>
    <t>6.272806, -75.574393</t>
  </si>
  <si>
    <t>6.272813, -75.574410</t>
  </si>
  <si>
    <t>06/10/2026 08:20:00</t>
  </si>
  <si>
    <t>6.225547, -75.599412</t>
  </si>
  <si>
    <t>06/10/2026 16:56:17</t>
  </si>
  <si>
    <t>6.251738, -75.551792</t>
  </si>
  <si>
    <t>5e4daeb415a7a104</t>
  </si>
  <si>
    <t>06_10_2026_JZ_Diur.gpx</t>
  </si>
  <si>
    <t>5e4daeb415a7a10429f52383f2475d615f1f9e6e8221f682fd5e235c8cb50c90</t>
  </si>
  <si>
    <t>06/10/2026 08:14:00</t>
  </si>
  <si>
    <t>06/10/2026 16:31:24</t>
  </si>
  <si>
    <t>Inicio GPS anterior al horario: 00:16:00 antes de las 08:30.; Fin GPS dentro de la tolerancia del horario programado.</t>
  </si>
  <si>
    <t>6.226333, -75.599212</t>
  </si>
  <si>
    <t>6.280109, -75.572559</t>
  </si>
  <si>
    <t>4b22fdd5b64f5ffc</t>
  </si>
  <si>
    <t>06_10_2026_YL_Diur.gpx</t>
  </si>
  <si>
    <t>4b22fdd5b64f5ffc54fa3c98f4a15bcf72f5967d0725de582fc141a008c5cee3</t>
  </si>
  <si>
    <t>06/10/2026 08:11:48</t>
  </si>
  <si>
    <t>06/10/2026 16:31:00</t>
  </si>
  <si>
    <t>Inicio GPS anterior al horario: 00:18:12 antes de las 08:30.; Fin GPS dentro de la tolerancia del horario programado.; 1 permanencia(s) GPS detectada(s); requiere contexto.</t>
  </si>
  <si>
    <t>6.225634, -75.599228</t>
  </si>
  <si>
    <t>6.258506, -75.616108</t>
  </si>
  <si>
    <t>d78f4ad8f367eb27</t>
  </si>
  <si>
    <t>06_10_2026_JP_Diur1.gpx + 06_10_2026_JP_Diur2.gpx</t>
  </si>
  <si>
    <t>d78f4ad8f367eb27be96d70e129f641290c33c716e14b6f17852864b0db7d2ee</t>
  </si>
  <si>
    <t>Recorrido unificado: 2 tramos (06_10_2026_JP_Diur1.gpx + 06_10_2026_JP_Diur2.gpx).; Inicio GPS dentro de la tolerancia del horario programado.; Fin GPS posterior: 00:26:17 después de las 16:30.; 1 hueco(s) GPS &gt;= 10 min.</t>
  </si>
  <si>
    <t>b91107a35565abff</t>
  </si>
  <si>
    <t>06_10_2026_DV_Noct.gpx</t>
  </si>
  <si>
    <t>b91107a35565abff4946074d3e646fdcc58c5d37c123da567febf3382e9c8f97</t>
  </si>
  <si>
    <t>06/10/2026 17:10:20</t>
  </si>
  <si>
    <t>07/10/2026 00:21:40</t>
  </si>
  <si>
    <t>Inicio GPS anterior al horario: 00:49:40 antes de las 18:00.; Fin GPS posterior: 00:21:40 después de las 00:00.; 1 permanencia(s) GPS detectada(s); requiere contexto.</t>
  </si>
  <si>
    <t>6.228431, -75.599153</t>
  </si>
  <si>
    <t>6.272858, -75.602092</t>
  </si>
  <si>
    <t>179db2a9ece79893</t>
  </si>
  <si>
    <t>06_10_2026_JA_Noct.gpx</t>
  </si>
  <si>
    <t>179db2a9ece7989345dd5c5812a19f0a1422faebac8cc465d443d2c2ebd364ca</t>
  </si>
  <si>
    <t>06/10/2026 16:36:29</t>
  </si>
  <si>
    <t>06/10/2026 23:04:41</t>
  </si>
  <si>
    <t>Inicio GPS anterior al horario: 01:23:31 antes de las 18:00.; Fin GPS anticipado: 00:55:19 antes de las 00:00.</t>
  </si>
  <si>
    <t>6.225775, -75.598817</t>
  </si>
  <si>
    <t>6.237004, -75.558804</t>
  </si>
  <si>
    <t>80cf2bf436a95fcb</t>
  </si>
  <si>
    <t>06_10_2026_JO_Noct.gpx</t>
  </si>
  <si>
    <t>80cf2bf436a95fcb4fbfb1b9daf376ef83b75c6f49bb79ae65319acec2dd0cf5</t>
  </si>
  <si>
    <t>06/10/2026 17:33:10</t>
  </si>
  <si>
    <t>06/10/2026 23:47:29</t>
  </si>
  <si>
    <t>Inicio GPS anterior al horario: 00:26:50 antes de las 18:00.; Fin GPS dentro de la tolerancia del horario programado.; 13 hueco(s) GPS &gt;= 10 min.</t>
  </si>
  <si>
    <t>6.225728, -75.599418</t>
  </si>
  <si>
    <t>6.255521, -75.620493</t>
  </si>
  <si>
    <t>be4c98fbe5532b22</t>
  </si>
  <si>
    <t>06_10_2026_LA_Noct.gpx</t>
  </si>
  <si>
    <t>be4c98fbe5532b22d8d26f83e9130bf9f576d06b0df34995446733de79f8fc7b</t>
  </si>
  <si>
    <t>06/10/2026 17:22:31</t>
  </si>
  <si>
    <t>07/10/2026 00:03:27</t>
  </si>
  <si>
    <t>Inicio GPS anterior al horario: 00:37:28 antes de las 18:00.; Fin GPS dentro de la tolerancia del horario programado.; 3 hueco(s) GPS &gt;= 10 min.</t>
  </si>
  <si>
    <t>6.227088, -75.599095</t>
  </si>
  <si>
    <t>6.268485, -75.599273</t>
  </si>
  <si>
    <t>a07b0fde3fde23e4</t>
  </si>
  <si>
    <t>06_10_2026_SJ_Noct.gpx</t>
  </si>
  <si>
    <t>a07b0fde3fde23e4f74a8a33bac2e339b0d95f36d4367b4a007109506e849233</t>
  </si>
  <si>
    <t>06/10/2026 17:29:35</t>
  </si>
  <si>
    <t>06/10/2026 23:28:07</t>
  </si>
  <si>
    <t>Inicio GPS anterior al horario: 00:30:25 antes de las 18:00.; Fin GPS anticipado: 00:31:53 antes de las 00:00.</t>
  </si>
  <si>
    <t>6.225821, -75.599392</t>
  </si>
  <si>
    <t>6.308009, -75.576628</t>
  </si>
  <si>
    <t>0f5907be229eb822</t>
  </si>
  <si>
    <t>07_10_2026_AO_Diur.gpx</t>
  </si>
  <si>
    <t>0f5907be229eb8225544bc1907a6ebe23bf7956461aeb7ecd85388f406aeae55</t>
  </si>
  <si>
    <t>07/10/2026</t>
  </si>
  <si>
    <t>07/10/2026 09:12:26</t>
  </si>
  <si>
    <t>07/10/2026 15:00:53</t>
  </si>
  <si>
    <t>Inicio GPS tardío: 00:42:27 después de las 08:30.; Fin GPS anticipado: 01:29:06 antes de las 16:30.; 4 hueco(s) GPS &gt;= 10 min.</t>
  </si>
  <si>
    <t>6.203339, -75.601052</t>
  </si>
  <si>
    <t>6.221813, -75.593834</t>
  </si>
  <si>
    <t>fc38733f90ae00de</t>
  </si>
  <si>
    <t>07_10_2026_AR_Diur.gpx</t>
  </si>
  <si>
    <t>fc38733f90ae00de1bd544340507d34b69708eead63dd43f1474dde053dfd350</t>
  </si>
  <si>
    <t>07/10/2026 08:32:49</t>
  </si>
  <si>
    <t>07/10/2026 16:19:52</t>
  </si>
  <si>
    <t>6.225203, -75.599356</t>
  </si>
  <si>
    <t>6.225819, -75.599132</t>
  </si>
  <si>
    <t>9e183893710cff8d</t>
  </si>
  <si>
    <t>07_10_2026_HC_DIur.gpx</t>
  </si>
  <si>
    <t>9e183893710cff8d292adc65ec93c624f8f7b05289dfb25cb424499e26065ae7</t>
  </si>
  <si>
    <t>07/10/2026 08:38:52</t>
  </si>
  <si>
    <t>07/10/2026 14:10:16</t>
  </si>
  <si>
    <t>Inicio GPS dentro de la tolerancia del horario programado.; Fin GPS anticipado: 02:19:44 antes de las 16:30.</t>
  </si>
  <si>
    <t>6.225820, -75.599392</t>
  </si>
  <si>
    <t>6.223946, -75.606025</t>
  </si>
  <si>
    <t>f7579a464938748c</t>
  </si>
  <si>
    <t>07_10_2026_IQ_Diur.gpx</t>
  </si>
  <si>
    <t>f7579a464938748c6e5feb63be8b55ffa582d2c3f53fed20299568af44aa6dd8</t>
  </si>
  <si>
    <t>07/10/2026 08:26:28</t>
  </si>
  <si>
    <t>07/10/2026 16:35:47</t>
  </si>
  <si>
    <t>6.255573, -75.571351</t>
  </si>
  <si>
    <t>4d1493d1b84ac9ed</t>
  </si>
  <si>
    <t>07_10_2026_JHP_Diur.gpx</t>
  </si>
  <si>
    <t>4d1493d1b84ac9ed32a0f91d1c475f9372f775cfdebcaacc8780a8a56fbd679a</t>
  </si>
  <si>
    <t>07/10/2026 08:25:21</t>
  </si>
  <si>
    <t>07/10/2026 16:14:02</t>
  </si>
  <si>
    <t>Inicio GPS dentro de la tolerancia del horario programado.; Fin GPS anticipado: 00:15:58 antes de las 16:30.</t>
  </si>
  <si>
    <t>6.225735, -75.599179</t>
  </si>
  <si>
    <t>6.272866, -75.574490</t>
  </si>
  <si>
    <t>ac00ea68f1c55973</t>
  </si>
  <si>
    <t>07_10_2026_JP_Diur.gpx</t>
  </si>
  <si>
    <t>ac00ea68f1c559737d4a9e2e7537a550ffa36e5cfe35e2459ca85e85ff76ecb7</t>
  </si>
  <si>
    <t>07/10/2026 08:35:22</t>
  </si>
  <si>
    <t>07/10/2026 17:23:16</t>
  </si>
  <si>
    <t>Inicio GPS dentro de la tolerancia del horario programado.; Fin GPS posterior: 00:53:16 después de las 16:30.; 1 hueco(s) GPS &gt;= 10 min.; 1 permanencia(s) GPS detectada(s); requiere contexto.</t>
  </si>
  <si>
    <t>6.225700, -75.599428</t>
  </si>
  <si>
    <t>6.251817, -75.551798</t>
  </si>
  <si>
    <t>24c444cc1d518cec</t>
  </si>
  <si>
    <t>07_10_2026_JZ_Diur.gpx</t>
  </si>
  <si>
    <t>24c444cc1d518cec0c87a4916461e457d39a5f82d965cbe4c761f1fb625cd0f6</t>
  </si>
  <si>
    <t>07/10/2026 08:14:49</t>
  </si>
  <si>
    <t>07/10/2026 12:48:58</t>
  </si>
  <si>
    <t>Inicio GPS anterior al horario: 00:15:11 antes de las 08:30.; Fin GPS anticipado: 03:41:02 antes de las 16:30.</t>
  </si>
  <si>
    <t>6.226574, -75.599252</t>
  </si>
  <si>
    <t>6.215536, -75.577033</t>
  </si>
  <si>
    <t>00c9fb665004f982</t>
  </si>
  <si>
    <t>07_10_2026_YL_Diur.gpx</t>
  </si>
  <si>
    <t>00c9fb665004f982dbe52088a3fe3a69a128d8c50219092f05d1c34e729b09ce</t>
  </si>
  <si>
    <t>07/10/2026 08:35:43</t>
  </si>
  <si>
    <t>07/10/2026 16:32:35</t>
  </si>
  <si>
    <t>Inicio GPS dentro de la tolerancia del horario programado.; Fin GPS dentro de la tolerancia del horario programado.; 1 hueco(s) GPS &gt;= 10 min.; 1 permanencia(s) GPS detectada(s); requiere contexto.</t>
  </si>
  <si>
    <t>6.225557, -75.599400</t>
  </si>
  <si>
    <t>6.258886, -75.616542</t>
  </si>
  <si>
    <t>07/10/2026 08:37:03</t>
  </si>
  <si>
    <t>07/10/2026 15:44:18</t>
  </si>
  <si>
    <t>6.231818, -75.602150</t>
  </si>
  <si>
    <t>6.248960, -75.587493</t>
  </si>
  <si>
    <t>c12d71e34cfb305e</t>
  </si>
  <si>
    <t>07_10_2026_DR_Diur.gpx</t>
  </si>
  <si>
    <t>c12d71e34cfb305ebb77ffcd08c464db2e205cb3a25740c422559fb8e36232bf</t>
  </si>
  <si>
    <t>Inicio GPS dentro de la tolerancia del horario programado.; Fin GPS anticipado: 00:45:42 antes de las 16:30.; 2 hueco(s) GPS &gt;= 10 min.</t>
  </si>
  <si>
    <t>26c59dfa43178de8</t>
  </si>
  <si>
    <t>07_10_2026_DV_Noct.gpx</t>
  </si>
  <si>
    <t>26c59dfa43178de80a5740c6e699fee664ffd705f5ccb4bba07deb94f074c6fa</t>
  </si>
  <si>
    <t>07/10/2026 17:52:38</t>
  </si>
  <si>
    <t>08/10/2026 00:11:16</t>
  </si>
  <si>
    <t>6.226424, -75.599276</t>
  </si>
  <si>
    <t>6.272736, -75.601936</t>
  </si>
  <si>
    <t>1c0a8c43cef0976b</t>
  </si>
  <si>
    <t>07_10_2026_JA_Noct.gpx</t>
  </si>
  <si>
    <t>1c0a8c43cef0976b96ae993f0d83a4de9341b0ac20a4e125237cce88171557c8</t>
  </si>
  <si>
    <t>07/10/2026 17:31:54</t>
  </si>
  <si>
    <t>07/10/2026 22:40:14</t>
  </si>
  <si>
    <t>Inicio GPS anterior al horario: 00:28:06 antes de las 18:00.; Fin GPS anticipado: 01:19:46 antes de las 00:00.</t>
  </si>
  <si>
    <t>6.225981, -75.599293</t>
  </si>
  <si>
    <t>6.237067, -75.558881</t>
  </si>
  <si>
    <t>27aafab07b2358fd</t>
  </si>
  <si>
    <t>07_10_2026_JO_Noct.gpx</t>
  </si>
  <si>
    <t>27aafab07b2358fd2fcbb33f05de148573521c3cfa346e152b33e07598448aad</t>
  </si>
  <si>
    <t>07/10/2026 17:51:14</t>
  </si>
  <si>
    <t>07/10/2026 23:56:48</t>
  </si>
  <si>
    <t>6.225701, -75.599422</t>
  </si>
  <si>
    <t>6.259250, -75.620927</t>
  </si>
  <si>
    <t>f6d90172af129486</t>
  </si>
  <si>
    <t>07_10_2026_LA_Noct.gpx</t>
  </si>
  <si>
    <t>f6d90172af1294868651e1f9c406d44c0b005f291ed84d40141d5aefb8989ef3</t>
  </si>
  <si>
    <t>07/10/2026 17:36:19</t>
  </si>
  <si>
    <t>08/10/2026 00:04:48</t>
  </si>
  <si>
    <t>Inicio GPS anterior al horario: 00:23:41 antes de las 18:00.; Fin GPS dentro de la tolerancia del horario programado.; 1 hueco(s) GPS &gt;= 10 min.</t>
  </si>
  <si>
    <t>6.229012, -75.602048</t>
  </si>
  <si>
    <t>6.268433, -75.599273</t>
  </si>
  <si>
    <t>efaae6553d3e8b43</t>
  </si>
  <si>
    <t>07_10_2026_SJ_Noct.gpx</t>
  </si>
  <si>
    <t>efaae6553d3e8b43f68e2be9ef22fb87c79f386798c14a3f415b2d21b39e4027</t>
  </si>
  <si>
    <t>07/10/2026 17:46:04</t>
  </si>
  <si>
    <t>07/10/2026 23:02:11</t>
  </si>
  <si>
    <t>Inicio GPS dentro de la tolerancia del horario programado.; Fin GPS anticipado: 00:57:49 antes de las 00:00.</t>
  </si>
  <si>
    <t>6.233283, -75.582739</t>
  </si>
  <si>
    <t>6.308959, -75.582460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</si>
</sst>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46" fontId="2" fillId="0" borderId="1" xfId="0" applyNumberFormat="1" applyFont="1" applyBorder="1" applyAlignment="1">
      <alignment horizontal="center"/>
    </xf>
    <xf numFmtId="46" fontId="2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45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4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15">
      <pivotArea outline="0" collapsedLevelsAreSubtotals="1" fieldPosition="0"/>
    </format>
    <format dxfId="14">
      <pivotArea field="6" type="button" dataOnly="0" labelOnly="1" outline="0" axis="axisRow" fieldPosition="0"/>
    </format>
    <format dxfId="1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2">
      <pivotArea dataOnly="0" labelOnly="1" grandRow="1" outline="0" fieldPosition="0"/>
    </format>
    <format dxfId="11">
      <pivotArea dataOnly="0" labelOnly="1" grandCol="1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7">
      <pivotArea dataOnly="0" labelOnly="1" grandRow="1" outline="0" fieldPosition="0"/>
    </format>
    <format dxfId="6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27">
      <pivotArea outline="0" collapsedLevelsAreSubtotals="1" fieldPosition="0"/>
    </format>
    <format dxfId="26">
      <pivotArea field="6" type="button" dataOnly="0" labelOnly="1" outline="0" axis="axisRow" fieldPosition="0"/>
    </format>
    <format dxfId="25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4">
      <pivotArea dataOnly="0" labelOnly="1" grandRow="1" outline="0" fieldPosition="0"/>
    </format>
    <format dxfId="23">
      <pivotArea dataOnly="0" labelOnly="1" fieldPosition="0">
        <references count="1">
          <reference field="17" count="0"/>
        </references>
      </pivotArea>
    </format>
    <format dxfId="22">
      <pivotArea dataOnly="0" labelOnly="1" grandCol="1" outline="0" fieldPosition="0"/>
    </format>
    <format dxfId="21">
      <pivotArea outline="0" collapsedLevelsAreSubtotals="1" fieldPosition="0"/>
    </format>
    <format dxfId="20">
      <pivotArea field="6" type="button" dataOnly="0" labelOnly="1" outline="0" axis="axisRow" fieldPosition="0"/>
    </format>
    <format dxfId="1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8">
      <pivotArea dataOnly="0" labelOnly="1" grandRow="1" outline="0" fieldPosition="0"/>
    </format>
    <format dxfId="17">
      <pivotArea dataOnly="0" labelOnly="1" fieldPosition="0">
        <references count="1">
          <reference field="17" count="0"/>
        </references>
      </pivotArea>
    </format>
    <format dxfId="16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28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grandCol="1" outline="0" fieldPosition="0"/>
    </format>
    <format dxfId="33">
      <pivotArea outline="0" collapsedLevelsAreSubtotals="1" fieldPosition="0"/>
    </format>
    <format dxfId="32">
      <pivotArea field="6" type="button" dataOnly="0" labelOnly="1" outline="0" axis="axisRow" fieldPosition="0"/>
    </format>
    <format dxfId="3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0">
      <pivotArea dataOnly="0" labelOnly="1" grandRow="1" outline="0" fieldPosition="0"/>
    </format>
    <format dxfId="29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4" totalsRowShown="0" headerRowDxfId="72" dataDxfId="71">
  <autoFilter ref="A1:AF1048564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82"/>
  <sheetViews>
    <sheetView tabSelected="1" zoomScale="80" zoomScaleNormal="80" workbookViewId="0">
      <pane ySplit="1" topLeftCell="A369" activePane="bottomLeft" state="frozen"/>
      <selection pane="bottomLeft" activeCell="B385" sqref="B385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hidden="1" customWidth="1"/>
    <col min="4" max="4" width="14.7109375" style="9" hidden="1" customWidth="1"/>
    <col min="5" max="5" width="12.140625" style="9" hidden="1" customWidth="1"/>
    <col min="6" max="6" width="11" style="9" hidden="1" customWidth="1"/>
    <col min="7" max="7" width="33.42578125" style="9" hidden="1" customWidth="1"/>
    <col min="8" max="9" width="11" style="9" hidden="1" customWidth="1"/>
    <col min="10" max="10" width="15.140625" style="9" hidden="1" customWidth="1"/>
    <col min="11" max="11" width="24.85546875" style="9" hidden="1" customWidth="1"/>
    <col min="12" max="12" width="21.5703125" style="9" hidden="1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322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ht="15" x14ac:dyDescent="0.25">
      <c r="A283" s="9" t="s">
        <v>2393</v>
      </c>
      <c r="B283" s="9" t="s">
        <v>2394</v>
      </c>
      <c r="C283" s="9" t="s">
        <v>2395</v>
      </c>
      <c r="D283" s="9" t="s">
        <v>2396</v>
      </c>
      <c r="E283" s="9" t="s">
        <v>36</v>
      </c>
      <c r="F283" s="9" t="s">
        <v>37</v>
      </c>
      <c r="G283" s="9" t="s">
        <v>38</v>
      </c>
      <c r="H283" s="9" t="s">
        <v>39</v>
      </c>
      <c r="I283" s="9" t="s">
        <v>40</v>
      </c>
      <c r="J283" s="9">
        <v>4161</v>
      </c>
      <c r="K283" s="9" t="s">
        <v>2397</v>
      </c>
      <c r="L283" s="9" t="s">
        <v>42</v>
      </c>
      <c r="M283" s="10">
        <v>5.4496655092592598E-2</v>
      </c>
      <c r="N283" s="9" t="s">
        <v>43</v>
      </c>
      <c r="O283" s="9" t="s">
        <v>2398</v>
      </c>
      <c r="P283" s="9" t="s">
        <v>45</v>
      </c>
      <c r="Q283" s="10">
        <v>2.1406736111111109E-2</v>
      </c>
      <c r="R283" s="9" t="s">
        <v>56</v>
      </c>
      <c r="S283" s="10">
        <v>0.25742994212962961</v>
      </c>
      <c r="T283" s="9">
        <v>31.876999999999999</v>
      </c>
      <c r="U283" s="9">
        <v>9.56</v>
      </c>
      <c r="V283" s="10">
        <v>0.1388731828703704</v>
      </c>
      <c r="W283" s="10">
        <v>9.7388356481481475E-2</v>
      </c>
      <c r="X283" s="10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4</v>
      </c>
      <c r="AE283" s="9" t="s">
        <v>57</v>
      </c>
      <c r="AF283" s="9" t="s">
        <v>2399</v>
      </c>
      <c r="AG283" s="9" t="s">
        <v>2400</v>
      </c>
      <c r="AH283" s="9">
        <v>6.255719</v>
      </c>
      <c r="AI283" s="9">
        <v>-75.613168000000002</v>
      </c>
      <c r="AJ283" s="9" t="s">
        <v>2401</v>
      </c>
      <c r="AK283" s="9">
        <v>6.2314629999999998</v>
      </c>
      <c r="AL283" s="9">
        <v>-75.596321000000003</v>
      </c>
      <c r="AM283" s="26">
        <f t="shared" si="4"/>
        <v>7.5903391203703707E-2</v>
      </c>
      <c r="AN283" s="9" t="s">
        <v>2465</v>
      </c>
    </row>
    <row r="284" spans="1:40" ht="15" x14ac:dyDescent="0.25">
      <c r="A284" s="9" t="s">
        <v>2402</v>
      </c>
      <c r="B284" s="9" t="s">
        <v>2403</v>
      </c>
      <c r="C284" s="9" t="s">
        <v>2404</v>
      </c>
      <c r="D284" s="9" t="s">
        <v>2396</v>
      </c>
      <c r="E284" s="9" t="s">
        <v>36</v>
      </c>
      <c r="F284" s="9" t="s">
        <v>37</v>
      </c>
      <c r="G284" s="9" t="s">
        <v>52</v>
      </c>
      <c r="H284" s="9" t="s">
        <v>53</v>
      </c>
      <c r="I284" s="9" t="s">
        <v>40</v>
      </c>
      <c r="J284" s="9">
        <v>3063</v>
      </c>
      <c r="K284" s="9" t="s">
        <v>2405</v>
      </c>
      <c r="L284" s="9" t="s">
        <v>42</v>
      </c>
      <c r="M284" s="10">
        <v>1.1064814814814821E-2</v>
      </c>
      <c r="N284" s="9" t="s">
        <v>127</v>
      </c>
      <c r="O284" s="9" t="s">
        <v>2406</v>
      </c>
      <c r="P284" s="9" t="s">
        <v>45</v>
      </c>
      <c r="Q284" s="10">
        <v>7.0601851851851847E-4</v>
      </c>
      <c r="R284" s="9" t="s">
        <v>46</v>
      </c>
      <c r="S284" s="10">
        <v>0.34510416666666671</v>
      </c>
      <c r="T284" s="9">
        <v>37.972999999999999</v>
      </c>
      <c r="U284" s="9">
        <v>7.66</v>
      </c>
      <c r="V284" s="10">
        <v>0.2064583333333333</v>
      </c>
      <c r="W284" s="10">
        <v>0.1340625</v>
      </c>
      <c r="X284" s="10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1</v>
      </c>
      <c r="AE284" s="9" t="s">
        <v>139</v>
      </c>
      <c r="AF284" s="9" t="s">
        <v>2407</v>
      </c>
      <c r="AG284" s="9" t="s">
        <v>2408</v>
      </c>
      <c r="AH284" s="9">
        <v>6.2257550000000004</v>
      </c>
      <c r="AI284" s="9">
        <v>-75.599535000000003</v>
      </c>
      <c r="AJ284" s="9" t="s">
        <v>2409</v>
      </c>
      <c r="AK284" s="9">
        <v>6.247738</v>
      </c>
      <c r="AL284" s="9">
        <v>-75.614966999999993</v>
      </c>
      <c r="AM284" s="26">
        <f t="shared" si="4"/>
        <v>0</v>
      </c>
      <c r="AN284" s="9"/>
    </row>
    <row r="285" spans="1:40" ht="15" x14ac:dyDescent="0.25">
      <c r="A285" s="9" t="s">
        <v>2410</v>
      </c>
      <c r="B285" s="9" t="s">
        <v>2411</v>
      </c>
      <c r="C285" s="9" t="s">
        <v>2412</v>
      </c>
      <c r="D285" s="9" t="s">
        <v>2396</v>
      </c>
      <c r="E285" s="9" t="s">
        <v>36</v>
      </c>
      <c r="F285" s="9" t="s">
        <v>37</v>
      </c>
      <c r="G285" s="9" t="s">
        <v>113</v>
      </c>
      <c r="H285" s="9" t="s">
        <v>114</v>
      </c>
      <c r="I285" s="9" t="s">
        <v>40</v>
      </c>
      <c r="J285" s="9">
        <v>2948</v>
      </c>
      <c r="K285" s="9" t="s">
        <v>2413</v>
      </c>
      <c r="L285" s="9" t="s">
        <v>42</v>
      </c>
      <c r="M285" s="10">
        <v>6.9212962962962961E-3</v>
      </c>
      <c r="N285" s="9" t="s">
        <v>65</v>
      </c>
      <c r="O285" s="9" t="s">
        <v>2414</v>
      </c>
      <c r="P285" s="9" t="s">
        <v>45</v>
      </c>
      <c r="Q285" s="10">
        <v>2.840277777777778E-2</v>
      </c>
      <c r="R285" s="9" t="s">
        <v>56</v>
      </c>
      <c r="S285" s="10">
        <v>0.29800925925925931</v>
      </c>
      <c r="T285" s="9">
        <v>39.036999999999999</v>
      </c>
      <c r="U285" s="9">
        <v>5.84</v>
      </c>
      <c r="V285" s="10">
        <v>0.27840277777777778</v>
      </c>
      <c r="W285" s="10">
        <v>0.2053703703703704</v>
      </c>
      <c r="X285" s="10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3</v>
      </c>
      <c r="AE285" s="9" t="s">
        <v>67</v>
      </c>
      <c r="AF285" s="9" t="s">
        <v>2415</v>
      </c>
      <c r="AG285" s="9" t="s">
        <v>2416</v>
      </c>
      <c r="AH285" s="9">
        <v>6.2382249999999999</v>
      </c>
      <c r="AI285" s="9">
        <v>-75.603070000000002</v>
      </c>
      <c r="AJ285" s="9" t="s">
        <v>2417</v>
      </c>
      <c r="AK285" s="9">
        <v>6.2387769999999998</v>
      </c>
      <c r="AL285" s="9">
        <v>-75.603745000000004</v>
      </c>
      <c r="AM285" s="26">
        <f t="shared" si="4"/>
        <v>2.840277777777778E-2</v>
      </c>
      <c r="AN285" s="9"/>
    </row>
    <row r="286" spans="1:40" ht="15" x14ac:dyDescent="0.25">
      <c r="A286" s="9" t="s">
        <v>2418</v>
      </c>
      <c r="B286" s="9" t="s">
        <v>2419</v>
      </c>
      <c r="C286" s="9" t="s">
        <v>2420</v>
      </c>
      <c r="D286" s="9" t="s">
        <v>2396</v>
      </c>
      <c r="E286" s="9" t="s">
        <v>36</v>
      </c>
      <c r="F286" s="9" t="s">
        <v>37</v>
      </c>
      <c r="G286" s="9" t="s">
        <v>62</v>
      </c>
      <c r="H286" s="9" t="s">
        <v>63</v>
      </c>
      <c r="I286" s="9" t="s">
        <v>40</v>
      </c>
      <c r="J286" s="9">
        <v>2091</v>
      </c>
      <c r="K286" s="9" t="s">
        <v>2421</v>
      </c>
      <c r="L286" s="9" t="s">
        <v>42</v>
      </c>
      <c r="M286" s="10">
        <v>3.2523148148148151E-3</v>
      </c>
      <c r="N286" s="9" t="s">
        <v>65</v>
      </c>
      <c r="O286" s="9" t="s">
        <v>2422</v>
      </c>
      <c r="P286" s="9" t="s">
        <v>45</v>
      </c>
      <c r="Q286" s="10">
        <v>0.1107638888888889</v>
      </c>
      <c r="R286" s="9" t="s">
        <v>56</v>
      </c>
      <c r="S286" s="10">
        <v>0.2193171296296296</v>
      </c>
      <c r="T286" s="9">
        <v>26.798999999999999</v>
      </c>
      <c r="U286" s="9">
        <v>10.14</v>
      </c>
      <c r="V286" s="10">
        <v>0.1100694444444444</v>
      </c>
      <c r="W286" s="10">
        <v>6.7951388888888895E-2</v>
      </c>
      <c r="X286" s="10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 t="s">
        <v>67</v>
      </c>
      <c r="AF286" s="9" t="s">
        <v>2423</v>
      </c>
      <c r="AG286" s="9" t="s">
        <v>2424</v>
      </c>
      <c r="AH286" s="9">
        <v>6.2259209999999996</v>
      </c>
      <c r="AI286" s="9">
        <v>-75.599410000000006</v>
      </c>
      <c r="AJ286" s="9" t="s">
        <v>2425</v>
      </c>
      <c r="AK286" s="9">
        <v>6.308389</v>
      </c>
      <c r="AL286" s="9">
        <v>-75.571085999999994</v>
      </c>
      <c r="AM286" s="26">
        <f t="shared" si="4"/>
        <v>0.1107638888888889</v>
      </c>
      <c r="AN286" s="9"/>
    </row>
    <row r="287" spans="1:40" ht="15" x14ac:dyDescent="0.25">
      <c r="A287" s="9" t="s">
        <v>2426</v>
      </c>
      <c r="B287" s="9" t="s">
        <v>2427</v>
      </c>
      <c r="C287" s="9" t="s">
        <v>2428</v>
      </c>
      <c r="D287" s="9" t="s">
        <v>2396</v>
      </c>
      <c r="E287" s="9" t="s">
        <v>36</v>
      </c>
      <c r="F287" s="9" t="s">
        <v>37</v>
      </c>
      <c r="G287" s="9" t="s">
        <v>72</v>
      </c>
      <c r="H287" s="9" t="s">
        <v>73</v>
      </c>
      <c r="I287" s="9" t="s">
        <v>40</v>
      </c>
      <c r="J287" s="9">
        <v>1780</v>
      </c>
      <c r="K287" s="9" t="s">
        <v>2429</v>
      </c>
      <c r="L287" s="9" t="s">
        <v>42</v>
      </c>
      <c r="M287" s="10">
        <v>9.3287037037037036E-3</v>
      </c>
      <c r="N287" s="9" t="s">
        <v>65</v>
      </c>
      <c r="O287" s="9" t="s">
        <v>2430</v>
      </c>
      <c r="P287" s="9" t="s">
        <v>45</v>
      </c>
      <c r="Q287" s="10">
        <v>0.13415509259259259</v>
      </c>
      <c r="R287" s="9" t="s">
        <v>56</v>
      </c>
      <c r="S287" s="10">
        <v>0.189849537037037</v>
      </c>
      <c r="T287" s="9">
        <v>23.821999999999999</v>
      </c>
      <c r="U287" s="9">
        <v>8.61</v>
      </c>
      <c r="V287" s="10">
        <v>0.1153356481481481</v>
      </c>
      <c r="W287" s="10">
        <v>7.7442129629629625E-2</v>
      </c>
      <c r="X287" s="10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1</v>
      </c>
      <c r="AE287" s="9" t="s">
        <v>67</v>
      </c>
      <c r="AF287" s="9" t="s">
        <v>2431</v>
      </c>
      <c r="AG287" s="9" t="s">
        <v>2432</v>
      </c>
      <c r="AH287" s="9">
        <v>6.225841</v>
      </c>
      <c r="AI287" s="9">
        <v>-75.599694</v>
      </c>
      <c r="AJ287" s="9" t="s">
        <v>2433</v>
      </c>
      <c r="AK287" s="9">
        <v>6.2370450000000002</v>
      </c>
      <c r="AL287" s="9">
        <v>-75.558818000000002</v>
      </c>
      <c r="AM287" s="26">
        <f t="shared" si="4"/>
        <v>0.13415509259259259</v>
      </c>
      <c r="AN287" s="9"/>
    </row>
    <row r="288" spans="1:40" ht="15" x14ac:dyDescent="0.25">
      <c r="A288" s="9" t="s">
        <v>2434</v>
      </c>
      <c r="B288" s="9" t="s">
        <v>2435</v>
      </c>
      <c r="C288" s="9" t="s">
        <v>2436</v>
      </c>
      <c r="D288" s="9" t="s">
        <v>2396</v>
      </c>
      <c r="E288" s="9" t="s">
        <v>36</v>
      </c>
      <c r="F288" s="9" t="s">
        <v>37</v>
      </c>
      <c r="G288" s="9" t="s">
        <v>80</v>
      </c>
      <c r="H288" s="9" t="s">
        <v>81</v>
      </c>
      <c r="I288" s="9" t="s">
        <v>40</v>
      </c>
      <c r="J288" s="9">
        <v>4160</v>
      </c>
      <c r="K288" s="9" t="s">
        <v>2437</v>
      </c>
      <c r="L288" s="9" t="s">
        <v>42</v>
      </c>
      <c r="M288" s="10">
        <v>3.8117581018518518E-2</v>
      </c>
      <c r="N288" s="9" t="s">
        <v>43</v>
      </c>
      <c r="O288" s="9" t="s">
        <v>2438</v>
      </c>
      <c r="P288" s="9" t="s">
        <v>45</v>
      </c>
      <c r="Q288" s="10">
        <v>1.1005474537037039E-2</v>
      </c>
      <c r="R288" s="9" t="s">
        <v>56</v>
      </c>
      <c r="S288" s="10">
        <v>0.2842102777777778</v>
      </c>
      <c r="T288" s="9">
        <v>24.449000000000002</v>
      </c>
      <c r="U288" s="9">
        <v>18.23</v>
      </c>
      <c r="V288" s="10">
        <v>5.587763888888881E-2</v>
      </c>
      <c r="W288" s="10">
        <v>3.2076886574074058E-2</v>
      </c>
      <c r="X288" s="10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9</v>
      </c>
      <c r="AE288" s="9" t="s">
        <v>57</v>
      </c>
      <c r="AF288" s="9" t="s">
        <v>2439</v>
      </c>
      <c r="AG288" s="9" t="s">
        <v>2440</v>
      </c>
      <c r="AH288" s="9">
        <v>6.2256619999999998</v>
      </c>
      <c r="AI288" s="9">
        <v>-75.599446</v>
      </c>
      <c r="AJ288" s="9" t="s">
        <v>2441</v>
      </c>
      <c r="AK288" s="9">
        <v>6.2469029999999997</v>
      </c>
      <c r="AL288" s="9">
        <v>-75.554122000000007</v>
      </c>
      <c r="AM288" s="26">
        <f t="shared" si="4"/>
        <v>4.9123055555555559E-2</v>
      </c>
      <c r="AN288" s="9"/>
    </row>
    <row r="289" spans="1:40" ht="15" x14ac:dyDescent="0.25">
      <c r="A289" s="9" t="s">
        <v>2442</v>
      </c>
      <c r="B289" s="9" t="s">
        <v>2443</v>
      </c>
      <c r="C289" s="9" t="s">
        <v>2444</v>
      </c>
      <c r="D289" s="9" t="s">
        <v>2396</v>
      </c>
      <c r="E289" s="9" t="s">
        <v>36</v>
      </c>
      <c r="F289" s="9" t="s">
        <v>37</v>
      </c>
      <c r="G289" s="9" t="s">
        <v>89</v>
      </c>
      <c r="H289" s="9" t="s">
        <v>90</v>
      </c>
      <c r="I289" s="9" t="s">
        <v>40</v>
      </c>
      <c r="J289" s="9">
        <v>3459</v>
      </c>
      <c r="K289" s="9" t="s">
        <v>2445</v>
      </c>
      <c r="L289" s="9" t="s">
        <v>42</v>
      </c>
      <c r="M289" s="10">
        <v>1.3194444444444441E-3</v>
      </c>
      <c r="N289" s="9" t="s">
        <v>65</v>
      </c>
      <c r="O289" s="9" t="s">
        <v>2446</v>
      </c>
      <c r="P289" s="9" t="s">
        <v>45</v>
      </c>
      <c r="Q289" s="10">
        <v>3.3217592592592591E-3</v>
      </c>
      <c r="R289" s="9" t="s">
        <v>46</v>
      </c>
      <c r="S289" s="10">
        <v>0.33797453703703711</v>
      </c>
      <c r="T289" s="9">
        <v>46.457000000000001</v>
      </c>
      <c r="U289" s="9">
        <v>6.24</v>
      </c>
      <c r="V289" s="10">
        <v>0.30996527777777783</v>
      </c>
      <c r="W289" s="10">
        <v>0.22189814814814809</v>
      </c>
      <c r="X289" s="10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4</v>
      </c>
      <c r="AE289" s="9" t="s">
        <v>84</v>
      </c>
      <c r="AF289" s="9" t="s">
        <v>1602</v>
      </c>
      <c r="AG289" s="9" t="s">
        <v>2447</v>
      </c>
      <c r="AH289" s="9">
        <v>6.2266269999999997</v>
      </c>
      <c r="AI289" s="9">
        <v>-75.599292000000005</v>
      </c>
      <c r="AJ289" s="9" t="s">
        <v>2448</v>
      </c>
      <c r="AK289" s="9">
        <v>6.2788810000000002</v>
      </c>
      <c r="AL289" s="9">
        <v>-75.569232</v>
      </c>
      <c r="AM289" s="26">
        <f t="shared" si="4"/>
        <v>0</v>
      </c>
      <c r="AN289" s="9"/>
    </row>
    <row r="290" spans="1:40" ht="15" x14ac:dyDescent="0.25">
      <c r="A290" s="9" t="s">
        <v>2449</v>
      </c>
      <c r="B290" s="9" t="s">
        <v>2450</v>
      </c>
      <c r="C290" s="9" t="s">
        <v>2451</v>
      </c>
      <c r="D290" s="9" t="s">
        <v>2396</v>
      </c>
      <c r="E290" s="9" t="s">
        <v>36</v>
      </c>
      <c r="F290" s="9" t="s">
        <v>37</v>
      </c>
      <c r="G290" s="9" t="s">
        <v>97</v>
      </c>
      <c r="H290" s="9" t="s">
        <v>98</v>
      </c>
      <c r="I290" s="9" t="s">
        <v>40</v>
      </c>
      <c r="J290" s="9">
        <v>2458</v>
      </c>
      <c r="K290" s="9" t="s">
        <v>2452</v>
      </c>
      <c r="L290" s="9" t="s">
        <v>42</v>
      </c>
      <c r="M290" s="10">
        <v>6.7476851851851864E-3</v>
      </c>
      <c r="N290" s="9" t="s">
        <v>65</v>
      </c>
      <c r="O290" s="9" t="s">
        <v>2453</v>
      </c>
      <c r="P290" s="9" t="s">
        <v>45</v>
      </c>
      <c r="Q290" s="10">
        <v>2.1076388888888891E-2</v>
      </c>
      <c r="R290" s="9" t="s">
        <v>56</v>
      </c>
      <c r="S290" s="10">
        <v>0.30550925925925931</v>
      </c>
      <c r="T290" s="9">
        <v>31.143000000000001</v>
      </c>
      <c r="U290" s="9">
        <v>9.49</v>
      </c>
      <c r="V290" s="10">
        <v>0.13670138888888889</v>
      </c>
      <c r="W290" s="10">
        <v>8.1828703703703709E-2</v>
      </c>
      <c r="X290" s="10">
        <v>5.5439814814814813E-3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 t="s">
        <v>67</v>
      </c>
      <c r="AF290" s="9" t="s">
        <v>2454</v>
      </c>
      <c r="AG290" s="9" t="s">
        <v>2455</v>
      </c>
      <c r="AH290" s="9">
        <v>6.2258290000000001</v>
      </c>
      <c r="AI290" s="9">
        <v>-75.599388000000005</v>
      </c>
      <c r="AJ290" s="9" t="s">
        <v>2456</v>
      </c>
      <c r="AK290" s="9">
        <v>6.30783</v>
      </c>
      <c r="AL290" s="9">
        <v>-75.577472</v>
      </c>
      <c r="AM290" s="26">
        <f t="shared" si="4"/>
        <v>2.1076388888888891E-2</v>
      </c>
      <c r="AN290" s="9"/>
    </row>
    <row r="291" spans="1:40" ht="15" x14ac:dyDescent="0.25">
      <c r="A291" s="9" t="s">
        <v>2457</v>
      </c>
      <c r="B291" s="9" t="s">
        <v>2458</v>
      </c>
      <c r="C291" s="9" t="s">
        <v>2459</v>
      </c>
      <c r="D291" s="9" t="s">
        <v>2396</v>
      </c>
      <c r="E291" s="9" t="s">
        <v>36</v>
      </c>
      <c r="F291" s="9" t="s">
        <v>37</v>
      </c>
      <c r="G291" s="9" t="s">
        <v>105</v>
      </c>
      <c r="H291" s="9" t="s">
        <v>106</v>
      </c>
      <c r="I291" s="9" t="s">
        <v>40</v>
      </c>
      <c r="J291" s="9">
        <v>5114</v>
      </c>
      <c r="K291" s="9" t="s">
        <v>2460</v>
      </c>
      <c r="L291" s="9" t="s">
        <v>42</v>
      </c>
      <c r="M291" s="10">
        <v>1.133101851851852E-2</v>
      </c>
      <c r="N291" s="9" t="s">
        <v>43</v>
      </c>
      <c r="O291" s="9" t="s">
        <v>2461</v>
      </c>
      <c r="P291" s="9" t="s">
        <v>45</v>
      </c>
      <c r="Q291" s="10">
        <v>5.0671296296296298E-2</v>
      </c>
      <c r="R291" s="9" t="s">
        <v>56</v>
      </c>
      <c r="S291" s="10">
        <v>0.27133101851851849</v>
      </c>
      <c r="T291" s="9">
        <v>67.613</v>
      </c>
      <c r="U291" s="9">
        <v>16.8</v>
      </c>
      <c r="V291" s="10">
        <v>0.16769675925925931</v>
      </c>
      <c r="W291" s="10">
        <v>5.5925925925925928E-2</v>
      </c>
      <c r="X291" s="10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 t="s">
        <v>57</v>
      </c>
      <c r="AF291" s="9" t="s">
        <v>2462</v>
      </c>
      <c r="AG291" s="9" t="s">
        <v>2463</v>
      </c>
      <c r="AH291" s="9">
        <v>6.2257850000000001</v>
      </c>
      <c r="AI291" s="9">
        <v>-75.598634000000004</v>
      </c>
      <c r="AJ291" s="9" t="s">
        <v>2464</v>
      </c>
      <c r="AK291" s="9">
        <v>6.2600230000000003</v>
      </c>
      <c r="AL291" s="9">
        <v>-75.621120000000005</v>
      </c>
      <c r="AM291" s="26">
        <f t="shared" si="4"/>
        <v>6.2002314814814816E-2</v>
      </c>
      <c r="AN291" s="9"/>
    </row>
    <row r="292" spans="1:40" ht="15" x14ac:dyDescent="0.25">
      <c r="A292" s="9" t="s">
        <v>2466</v>
      </c>
      <c r="B292" s="9" t="s">
        <v>2467</v>
      </c>
      <c r="C292" s="9" t="s">
        <v>2468</v>
      </c>
      <c r="D292" s="9" t="s">
        <v>2396</v>
      </c>
      <c r="E292" s="9" t="s">
        <v>36</v>
      </c>
      <c r="F292" s="9" t="s">
        <v>37</v>
      </c>
      <c r="G292" s="9" t="s">
        <v>124</v>
      </c>
      <c r="H292" s="9" t="s">
        <v>125</v>
      </c>
      <c r="I292" s="9" t="s">
        <v>115</v>
      </c>
      <c r="J292" s="9">
        <v>3670</v>
      </c>
      <c r="K292" s="9" t="s">
        <v>2469</v>
      </c>
      <c r="L292" s="9" t="s">
        <v>117</v>
      </c>
      <c r="M292" s="10">
        <v>1.6168981481481479E-2</v>
      </c>
      <c r="N292" s="9" t="s">
        <v>127</v>
      </c>
      <c r="O292" s="9" t="s">
        <v>2470</v>
      </c>
      <c r="P292" s="9" t="s">
        <v>119</v>
      </c>
      <c r="Q292" s="10">
        <v>1.402777777777778E-2</v>
      </c>
      <c r="R292" s="9" t="s">
        <v>129</v>
      </c>
      <c r="S292" s="10">
        <v>0.28019675925925919</v>
      </c>
      <c r="T292" s="9">
        <v>47.732999999999997</v>
      </c>
      <c r="U292" s="9">
        <v>9.25</v>
      </c>
      <c r="V292" s="10">
        <v>0.21511574074074069</v>
      </c>
      <c r="W292" s="10">
        <v>0.14226851851851849</v>
      </c>
      <c r="X292" s="10">
        <v>1.1539351851851849E-2</v>
      </c>
      <c r="Y292" s="9">
        <v>1</v>
      </c>
      <c r="Z292" s="9">
        <v>1</v>
      </c>
      <c r="AA292" s="9">
        <v>0</v>
      </c>
      <c r="AB292" s="9">
        <v>0</v>
      </c>
      <c r="AC292" s="9">
        <v>0</v>
      </c>
      <c r="AD292" s="9">
        <v>1</v>
      </c>
      <c r="AE292" s="9" t="s">
        <v>130</v>
      </c>
      <c r="AF292" s="9" t="s">
        <v>2471</v>
      </c>
      <c r="AG292" s="9" t="s">
        <v>2472</v>
      </c>
      <c r="AH292" s="9">
        <v>6.2266050000000002</v>
      </c>
      <c r="AI292" s="9">
        <v>-75.599282000000002</v>
      </c>
      <c r="AJ292" s="9" t="s">
        <v>2473</v>
      </c>
      <c r="AK292" s="9">
        <v>6.2726499999999996</v>
      </c>
      <c r="AL292" s="9">
        <v>-75.601763000000005</v>
      </c>
      <c r="AM292" s="26">
        <f t="shared" si="4"/>
        <v>0</v>
      </c>
      <c r="AN292" s="9"/>
    </row>
    <row r="293" spans="1:40" ht="15" x14ac:dyDescent="0.25">
      <c r="A293" s="9" t="s">
        <v>2474</v>
      </c>
      <c r="B293" s="9" t="s">
        <v>2475</v>
      </c>
      <c r="C293" s="9" t="s">
        <v>2476</v>
      </c>
      <c r="D293" s="9" t="s">
        <v>2396</v>
      </c>
      <c r="E293" s="9" t="s">
        <v>36</v>
      </c>
      <c r="F293" s="9" t="s">
        <v>37</v>
      </c>
      <c r="G293" s="9" t="s">
        <v>135</v>
      </c>
      <c r="H293" s="9" t="s">
        <v>136</v>
      </c>
      <c r="I293" s="9" t="s">
        <v>115</v>
      </c>
      <c r="J293" s="9">
        <v>1820</v>
      </c>
      <c r="K293" s="9" t="s">
        <v>2477</v>
      </c>
      <c r="L293" s="9" t="s">
        <v>117</v>
      </c>
      <c r="M293" s="10">
        <v>4.9212962962962972E-2</v>
      </c>
      <c r="N293" s="9" t="s">
        <v>127</v>
      </c>
      <c r="O293" s="9" t="s">
        <v>2478</v>
      </c>
      <c r="P293" s="9" t="s">
        <v>119</v>
      </c>
      <c r="Q293" s="10">
        <v>5.6944444444444447E-3</v>
      </c>
      <c r="R293" s="9" t="s">
        <v>46</v>
      </c>
      <c r="S293" s="10">
        <v>0.29351851851851851</v>
      </c>
      <c r="T293" s="9">
        <v>29.579000000000001</v>
      </c>
      <c r="U293" s="9">
        <v>13.31</v>
      </c>
      <c r="V293" s="10">
        <v>9.256944444444444E-2</v>
      </c>
      <c r="W293" s="10">
        <v>5.451388888888889E-2</v>
      </c>
      <c r="X293" s="10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7</v>
      </c>
      <c r="AE293" s="9" t="s">
        <v>139</v>
      </c>
      <c r="AF293" s="9" t="s">
        <v>2479</v>
      </c>
      <c r="AG293" s="9" t="s">
        <v>2480</v>
      </c>
      <c r="AH293" s="9">
        <v>6.2255729999999998</v>
      </c>
      <c r="AI293" s="9">
        <v>-75.599451999999999</v>
      </c>
      <c r="AJ293" s="9" t="s">
        <v>2481</v>
      </c>
      <c r="AK293" s="9">
        <v>6.2761139999999997</v>
      </c>
      <c r="AL293" s="9">
        <v>-75.572663000000006</v>
      </c>
      <c r="AM293" s="26">
        <f t="shared" si="4"/>
        <v>0</v>
      </c>
      <c r="AN293" s="9"/>
    </row>
    <row r="294" spans="1:40" ht="15" x14ac:dyDescent="0.25">
      <c r="A294" s="9" t="s">
        <v>2482</v>
      </c>
      <c r="B294" s="9" t="s">
        <v>2483</v>
      </c>
      <c r="C294" s="9" t="s">
        <v>2484</v>
      </c>
      <c r="D294" s="9" t="s">
        <v>2396</v>
      </c>
      <c r="E294" s="9" t="s">
        <v>36</v>
      </c>
      <c r="F294" s="9" t="s">
        <v>37</v>
      </c>
      <c r="G294" s="9" t="s">
        <v>144</v>
      </c>
      <c r="H294" s="9" t="s">
        <v>145</v>
      </c>
      <c r="I294" s="9" t="s">
        <v>115</v>
      </c>
      <c r="J294" s="9">
        <v>3767</v>
      </c>
      <c r="K294" s="9" t="s">
        <v>2485</v>
      </c>
      <c r="L294" s="9" t="s">
        <v>117</v>
      </c>
      <c r="M294" s="10">
        <v>1.9143518518518522E-2</v>
      </c>
      <c r="N294" s="9" t="s">
        <v>127</v>
      </c>
      <c r="O294" s="9" t="s">
        <v>2486</v>
      </c>
      <c r="P294" s="9" t="s">
        <v>119</v>
      </c>
      <c r="Q294" s="10">
        <v>2.2337962962962958E-3</v>
      </c>
      <c r="R294" s="9" t="s">
        <v>46</v>
      </c>
      <c r="S294" s="10">
        <v>0.2669097222222222</v>
      </c>
      <c r="T294" s="9">
        <v>50.171999999999997</v>
      </c>
      <c r="U294" s="9">
        <v>12.08</v>
      </c>
      <c r="V294" s="10">
        <v>0.17307870370370371</v>
      </c>
      <c r="W294" s="10">
        <v>8.9861111111111114E-2</v>
      </c>
      <c r="X294" s="10">
        <v>8.6458333333333335E-3</v>
      </c>
      <c r="Y294" s="9">
        <v>1</v>
      </c>
      <c r="Z294" s="9">
        <v>0</v>
      </c>
      <c r="AA294" s="9">
        <v>0</v>
      </c>
      <c r="AB294" s="9">
        <v>0</v>
      </c>
      <c r="AC294" s="9">
        <v>0</v>
      </c>
      <c r="AD294" s="9">
        <v>0</v>
      </c>
      <c r="AE294" s="9" t="s">
        <v>139</v>
      </c>
      <c r="AF294" s="9" t="s">
        <v>2487</v>
      </c>
      <c r="AG294" s="9" t="s">
        <v>2488</v>
      </c>
      <c r="AH294" s="9">
        <v>6.22682</v>
      </c>
      <c r="AI294" s="9">
        <v>-75.599361000000002</v>
      </c>
      <c r="AJ294" s="9" t="s">
        <v>2489</v>
      </c>
      <c r="AK294" s="9">
        <v>6.2903929999999999</v>
      </c>
      <c r="AL294" s="9">
        <v>-75.546638000000002</v>
      </c>
      <c r="AM294" s="26">
        <f t="shared" si="4"/>
        <v>0</v>
      </c>
      <c r="AN294" s="9"/>
    </row>
    <row r="295" spans="1:40" ht="15" x14ac:dyDescent="0.25">
      <c r="A295" s="9" t="s">
        <v>2490</v>
      </c>
      <c r="B295" s="9" t="s">
        <v>2491</v>
      </c>
      <c r="C295" s="9" t="s">
        <v>2492</v>
      </c>
      <c r="D295" s="9" t="s">
        <v>2396</v>
      </c>
      <c r="E295" s="9" t="s">
        <v>36</v>
      </c>
      <c r="F295" s="9" t="s">
        <v>37</v>
      </c>
      <c r="G295" s="9" t="s">
        <v>152</v>
      </c>
      <c r="H295" s="9" t="s">
        <v>153</v>
      </c>
      <c r="I295" s="9" t="s">
        <v>115</v>
      </c>
      <c r="J295" s="9">
        <v>3530</v>
      </c>
      <c r="K295" s="9" t="s">
        <v>2493</v>
      </c>
      <c r="L295" s="9" t="s">
        <v>117</v>
      </c>
      <c r="M295" s="10">
        <v>4.6203703703703712E-2</v>
      </c>
      <c r="N295" s="9" t="s">
        <v>127</v>
      </c>
      <c r="O295" s="9" t="s">
        <v>2494</v>
      </c>
      <c r="P295" s="9" t="s">
        <v>119</v>
      </c>
      <c r="Q295" s="10">
        <v>0.1083564814814815</v>
      </c>
      <c r="R295" s="9" t="s">
        <v>56</v>
      </c>
      <c r="S295" s="10">
        <v>0.18784722222222219</v>
      </c>
      <c r="T295" s="9">
        <v>46.927</v>
      </c>
      <c r="U295" s="9">
        <v>11.72</v>
      </c>
      <c r="V295" s="10">
        <v>0.1668402777777778</v>
      </c>
      <c r="W295" s="10">
        <v>8.4050925925925932E-2</v>
      </c>
      <c r="X295" s="10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1</v>
      </c>
      <c r="AE295" s="9" t="s">
        <v>139</v>
      </c>
      <c r="AF295" s="9" t="s">
        <v>2495</v>
      </c>
      <c r="AG295" s="9" t="s">
        <v>2496</v>
      </c>
      <c r="AH295" s="9">
        <v>6.225657</v>
      </c>
      <c r="AI295" s="9">
        <v>-75.599422000000004</v>
      </c>
      <c r="AJ295" s="9" t="s">
        <v>2497</v>
      </c>
      <c r="AK295" s="9">
        <v>6.2518250000000002</v>
      </c>
      <c r="AL295" s="9">
        <v>-75.551900000000003</v>
      </c>
      <c r="AM295" s="26">
        <f t="shared" si="4"/>
        <v>0.1083564814814815</v>
      </c>
      <c r="AN295" s="9"/>
    </row>
    <row r="296" spans="1:40" ht="15" x14ac:dyDescent="0.25">
      <c r="A296" s="9" t="s">
        <v>2498</v>
      </c>
      <c r="B296" s="9" t="s">
        <v>2499</v>
      </c>
      <c r="C296" s="9" t="s">
        <v>2500</v>
      </c>
      <c r="D296" s="9" t="s">
        <v>2396</v>
      </c>
      <c r="E296" s="9" t="s">
        <v>36</v>
      </c>
      <c r="F296" s="9" t="s">
        <v>37</v>
      </c>
      <c r="G296" s="9" t="s">
        <v>160</v>
      </c>
      <c r="H296" s="9" t="s">
        <v>161</v>
      </c>
      <c r="I296" s="9" t="s">
        <v>115</v>
      </c>
      <c r="J296" s="9">
        <v>6725</v>
      </c>
      <c r="K296" s="9" t="s">
        <v>2501</v>
      </c>
      <c r="L296" s="9" t="s">
        <v>117</v>
      </c>
      <c r="M296" s="10">
        <v>1.545329861111111E-2</v>
      </c>
      <c r="N296" s="9" t="s">
        <v>127</v>
      </c>
      <c r="O296" s="9" t="s">
        <v>2502</v>
      </c>
      <c r="P296" s="9" t="s">
        <v>119</v>
      </c>
      <c r="Q296" s="10">
        <v>3.748078703703704E-3</v>
      </c>
      <c r="R296" s="9" t="s">
        <v>46</v>
      </c>
      <c r="S296" s="10">
        <v>0.2692013773148148</v>
      </c>
      <c r="T296" s="9">
        <v>38.064</v>
      </c>
      <c r="U296" s="9">
        <v>8.99</v>
      </c>
      <c r="V296" s="10">
        <v>0.17641278935185181</v>
      </c>
      <c r="W296" s="10">
        <v>0.1398386458333333</v>
      </c>
      <c r="X296" s="10">
        <v>0</v>
      </c>
      <c r="Y296" s="9">
        <v>0</v>
      </c>
      <c r="Z296" s="9">
        <v>0</v>
      </c>
      <c r="AA296" s="9">
        <v>0</v>
      </c>
      <c r="AB296" s="9">
        <v>0</v>
      </c>
      <c r="AC296" s="9">
        <v>0</v>
      </c>
      <c r="AD296" s="9">
        <v>5</v>
      </c>
      <c r="AE296" s="9" t="s">
        <v>139</v>
      </c>
      <c r="AF296" s="9" t="s">
        <v>2503</v>
      </c>
      <c r="AG296" s="9" t="s">
        <v>2504</v>
      </c>
      <c r="AH296" s="9">
        <v>6.2273050000000003</v>
      </c>
      <c r="AI296" s="9">
        <v>-75.599289999999996</v>
      </c>
      <c r="AJ296" s="9" t="s">
        <v>2505</v>
      </c>
      <c r="AK296" s="9">
        <v>6.26851</v>
      </c>
      <c r="AL296" s="9">
        <v>-75.599528000000007</v>
      </c>
      <c r="AM296" s="26">
        <f t="shared" si="4"/>
        <v>0</v>
      </c>
      <c r="AN296" s="9"/>
    </row>
    <row r="297" spans="1:40" ht="15" x14ac:dyDescent="0.25">
      <c r="A297" s="9" t="s">
        <v>2506</v>
      </c>
      <c r="B297" s="9" t="s">
        <v>2507</v>
      </c>
      <c r="C297" s="9" t="s">
        <v>2508</v>
      </c>
      <c r="D297" s="9" t="s">
        <v>2509</v>
      </c>
      <c r="E297" s="9" t="s">
        <v>36</v>
      </c>
      <c r="F297" s="9" t="s">
        <v>169</v>
      </c>
      <c r="G297" s="9" t="s">
        <v>38</v>
      </c>
      <c r="H297" s="9" t="s">
        <v>39</v>
      </c>
      <c r="I297" s="9" t="s">
        <v>40</v>
      </c>
      <c r="J297" s="9">
        <v>5005</v>
      </c>
      <c r="K297" s="9" t="s">
        <v>2510</v>
      </c>
      <c r="L297" s="9" t="s">
        <v>42</v>
      </c>
      <c r="M297" s="10">
        <v>5.1577337962962967E-2</v>
      </c>
      <c r="N297" s="9" t="s">
        <v>43</v>
      </c>
      <c r="O297" s="9" t="s">
        <v>2511</v>
      </c>
      <c r="P297" s="9" t="s">
        <v>45</v>
      </c>
      <c r="Q297" s="10">
        <v>1.3672569444444439E-3</v>
      </c>
      <c r="R297" s="9" t="s">
        <v>46</v>
      </c>
      <c r="S297" s="10">
        <v>0.28312325231481478</v>
      </c>
      <c r="T297" s="9">
        <v>39.552999999999997</v>
      </c>
      <c r="U297" s="9">
        <v>34.33</v>
      </c>
      <c r="V297" s="10">
        <v>4.8002847222222277E-2</v>
      </c>
      <c r="W297" s="10">
        <v>8.6759837962962945E-3</v>
      </c>
      <c r="X297" s="10">
        <v>0</v>
      </c>
      <c r="Y297" s="9">
        <v>0</v>
      </c>
      <c r="Z297" s="9">
        <v>0</v>
      </c>
      <c r="AA297" s="9">
        <v>0</v>
      </c>
      <c r="AB297" s="9">
        <v>0</v>
      </c>
      <c r="AC297" s="9">
        <v>0</v>
      </c>
      <c r="AD297" s="9">
        <v>4</v>
      </c>
      <c r="AE297" s="9" t="s">
        <v>47</v>
      </c>
      <c r="AF297" s="9" t="s">
        <v>2512</v>
      </c>
      <c r="AG297" s="9" t="s">
        <v>2513</v>
      </c>
      <c r="AH297" s="9">
        <v>6.2217380000000002</v>
      </c>
      <c r="AI297" s="9">
        <v>-75.593903999999995</v>
      </c>
      <c r="AJ297" s="9" t="s">
        <v>2514</v>
      </c>
      <c r="AK297" s="9">
        <v>6.2455569999999998</v>
      </c>
      <c r="AL297" s="9">
        <v>-75.583618999999999</v>
      </c>
      <c r="AM297" s="26">
        <f t="shared" si="4"/>
        <v>5.1577337962962967E-2</v>
      </c>
      <c r="AN297" s="9"/>
    </row>
    <row r="298" spans="1:40" ht="15" x14ac:dyDescent="0.25">
      <c r="A298" s="9" t="s">
        <v>2515</v>
      </c>
      <c r="B298" s="9" t="s">
        <v>2516</v>
      </c>
      <c r="C298" s="9" t="s">
        <v>2517</v>
      </c>
      <c r="D298" s="9" t="s">
        <v>2509</v>
      </c>
      <c r="E298" s="9" t="s">
        <v>36</v>
      </c>
      <c r="F298" s="9" t="s">
        <v>169</v>
      </c>
      <c r="G298" s="9" t="s">
        <v>52</v>
      </c>
      <c r="H298" s="9" t="s">
        <v>53</v>
      </c>
      <c r="I298" s="9" t="s">
        <v>40</v>
      </c>
      <c r="J298" s="9">
        <v>2590</v>
      </c>
      <c r="K298" s="9" t="s">
        <v>2518</v>
      </c>
      <c r="L298" s="9" t="s">
        <v>42</v>
      </c>
      <c r="M298" s="10">
        <v>9.3518518518518525E-3</v>
      </c>
      <c r="N298" s="9" t="s">
        <v>65</v>
      </c>
      <c r="O298" s="9" t="s">
        <v>2519</v>
      </c>
      <c r="P298" s="9" t="s">
        <v>45</v>
      </c>
      <c r="Q298" s="10">
        <v>6.3171296296296295E-2</v>
      </c>
      <c r="R298" s="9" t="s">
        <v>129</v>
      </c>
      <c r="S298" s="10">
        <v>0.40585648148148151</v>
      </c>
      <c r="T298" s="9">
        <v>33.085000000000001</v>
      </c>
      <c r="U298" s="9">
        <v>3.92</v>
      </c>
      <c r="V298" s="10">
        <v>0.35123842592592591</v>
      </c>
      <c r="W298" s="10">
        <v>0.27349537037037042</v>
      </c>
      <c r="X298" s="10">
        <v>0</v>
      </c>
      <c r="Y298" s="9">
        <v>0</v>
      </c>
      <c r="Z298" s="9">
        <v>0</v>
      </c>
      <c r="AA298" s="9">
        <v>0</v>
      </c>
      <c r="AB298" s="9">
        <v>0</v>
      </c>
      <c r="AC298" s="9">
        <v>0</v>
      </c>
      <c r="AD298" s="9">
        <v>5</v>
      </c>
      <c r="AE298" s="9" t="s">
        <v>130</v>
      </c>
      <c r="AF298" s="9" t="s">
        <v>2520</v>
      </c>
      <c r="AG298" s="9" t="s">
        <v>2521</v>
      </c>
      <c r="AH298" s="9">
        <v>6.2256660000000004</v>
      </c>
      <c r="AI298" s="9">
        <v>-75.599402999999995</v>
      </c>
      <c r="AJ298" s="9" t="s">
        <v>2522</v>
      </c>
      <c r="AK298" s="9">
        <v>6.2477580000000001</v>
      </c>
      <c r="AL298" s="9">
        <v>-75.614985000000004</v>
      </c>
      <c r="AM298" s="26">
        <f t="shared" si="4"/>
        <v>0</v>
      </c>
      <c r="AN298" s="9"/>
    </row>
    <row r="299" spans="1:40" ht="15" x14ac:dyDescent="0.25">
      <c r="A299" s="9" t="s">
        <v>2523</v>
      </c>
      <c r="B299" s="9" t="s">
        <v>2524</v>
      </c>
      <c r="C299" s="9" t="s">
        <v>2525</v>
      </c>
      <c r="D299" s="9" t="s">
        <v>2509</v>
      </c>
      <c r="E299" s="9" t="s">
        <v>36</v>
      </c>
      <c r="F299" s="9" t="s">
        <v>169</v>
      </c>
      <c r="G299" s="9" t="s">
        <v>113</v>
      </c>
      <c r="H299" s="9" t="s">
        <v>114</v>
      </c>
      <c r="I299" s="9" t="s">
        <v>40</v>
      </c>
      <c r="J299" s="9">
        <v>4689</v>
      </c>
      <c r="K299" s="9" t="s">
        <v>2526</v>
      </c>
      <c r="L299" s="9" t="s">
        <v>42</v>
      </c>
      <c r="M299" s="10">
        <v>6.5856481481481478E-3</v>
      </c>
      <c r="N299" s="9" t="s">
        <v>65</v>
      </c>
      <c r="O299" s="9" t="s">
        <v>2527</v>
      </c>
      <c r="P299" s="9" t="s">
        <v>45</v>
      </c>
      <c r="Q299" s="10">
        <v>1.3310185185185181E-3</v>
      </c>
      <c r="R299" s="9" t="s">
        <v>46</v>
      </c>
      <c r="S299" s="10">
        <v>0.32807870370370368</v>
      </c>
      <c r="T299" s="9">
        <v>63.694000000000003</v>
      </c>
      <c r="U299" s="9">
        <v>8.93</v>
      </c>
      <c r="V299" s="10">
        <v>0.29726851851851849</v>
      </c>
      <c r="W299" s="10">
        <v>0.1940277777777778</v>
      </c>
      <c r="X299" s="10">
        <v>0</v>
      </c>
      <c r="Y299" s="9">
        <v>0</v>
      </c>
      <c r="Z299" s="9">
        <v>0</v>
      </c>
      <c r="AA299" s="9">
        <v>0</v>
      </c>
      <c r="AB299" s="9">
        <v>0</v>
      </c>
      <c r="AC299" s="9">
        <v>0</v>
      </c>
      <c r="AD299" s="9">
        <v>2</v>
      </c>
      <c r="AE299" s="9" t="s">
        <v>84</v>
      </c>
      <c r="AF299" s="9" t="s">
        <v>1384</v>
      </c>
      <c r="AG299" s="9" t="s">
        <v>2528</v>
      </c>
      <c r="AH299" s="9">
        <v>6.2255500000000001</v>
      </c>
      <c r="AI299" s="9">
        <v>-75.599417000000003</v>
      </c>
      <c r="AJ299" s="9" t="s">
        <v>2529</v>
      </c>
      <c r="AK299" s="9">
        <v>6.2379579999999999</v>
      </c>
      <c r="AL299" s="9">
        <v>-75.577248999999995</v>
      </c>
      <c r="AM299" s="26">
        <f t="shared" si="4"/>
        <v>0</v>
      </c>
      <c r="AN299" s="9"/>
    </row>
    <row r="300" spans="1:40" ht="15" x14ac:dyDescent="0.25">
      <c r="A300" s="9" t="s">
        <v>2530</v>
      </c>
      <c r="B300" s="9" t="s">
        <v>2531</v>
      </c>
      <c r="C300" s="9" t="s">
        <v>2532</v>
      </c>
      <c r="D300" s="9" t="s">
        <v>2509</v>
      </c>
      <c r="E300" s="9" t="s">
        <v>36</v>
      </c>
      <c r="F300" s="9" t="s">
        <v>169</v>
      </c>
      <c r="G300" s="9" t="s">
        <v>62</v>
      </c>
      <c r="H300" s="9" t="s">
        <v>63</v>
      </c>
      <c r="I300" s="9" t="s">
        <v>40</v>
      </c>
      <c r="J300" s="9">
        <v>1705</v>
      </c>
      <c r="K300" s="9" t="s">
        <v>2533</v>
      </c>
      <c r="L300" s="9" t="s">
        <v>42</v>
      </c>
      <c r="M300" s="10">
        <v>1.216435185185185E-2</v>
      </c>
      <c r="N300" s="9" t="s">
        <v>43</v>
      </c>
      <c r="O300" s="9" t="s">
        <v>2534</v>
      </c>
      <c r="P300" s="9" t="s">
        <v>45</v>
      </c>
      <c r="Q300" s="10">
        <v>9.6585648148148143E-2</v>
      </c>
      <c r="R300" s="9" t="s">
        <v>56</v>
      </c>
      <c r="S300" s="10">
        <v>0.2245833333333333</v>
      </c>
      <c r="T300" s="9">
        <v>21.669</v>
      </c>
      <c r="U300" s="9">
        <v>10.51</v>
      </c>
      <c r="V300" s="10">
        <v>8.5925925925925919E-2</v>
      </c>
      <c r="W300" s="10">
        <v>5.033564814814815E-2</v>
      </c>
      <c r="X300" s="10">
        <v>1.981481481481482E-2</v>
      </c>
      <c r="Y300" s="9">
        <v>1</v>
      </c>
      <c r="Z300" s="9">
        <v>1</v>
      </c>
      <c r="AA300" s="9">
        <v>0</v>
      </c>
      <c r="AB300" s="9">
        <v>0</v>
      </c>
      <c r="AC300" s="9">
        <v>0</v>
      </c>
      <c r="AD300" s="9">
        <v>0</v>
      </c>
      <c r="AE300" s="9" t="s">
        <v>57</v>
      </c>
      <c r="AF300" s="9" t="s">
        <v>2535</v>
      </c>
      <c r="AG300" s="9" t="s">
        <v>2536</v>
      </c>
      <c r="AH300" s="9">
        <v>6.225625</v>
      </c>
      <c r="AI300" s="9">
        <v>-75.599011000000004</v>
      </c>
      <c r="AJ300" s="9" t="s">
        <v>2537</v>
      </c>
      <c r="AK300" s="9">
        <v>6.2977610000000004</v>
      </c>
      <c r="AL300" s="9">
        <v>-75.572980000000001</v>
      </c>
      <c r="AM300" s="26">
        <f t="shared" si="4"/>
        <v>0.10874999999999999</v>
      </c>
      <c r="AN300" s="9"/>
    </row>
    <row r="301" spans="1:40" ht="15" x14ac:dyDescent="0.25">
      <c r="A301" s="9" t="s">
        <v>2538</v>
      </c>
      <c r="B301" s="9" t="s">
        <v>2539</v>
      </c>
      <c r="C301" s="9" t="s">
        <v>2540</v>
      </c>
      <c r="D301" s="9" t="s">
        <v>2509</v>
      </c>
      <c r="E301" s="9" t="s">
        <v>36</v>
      </c>
      <c r="F301" s="9" t="s">
        <v>169</v>
      </c>
      <c r="G301" s="9" t="s">
        <v>72</v>
      </c>
      <c r="H301" s="9" t="s">
        <v>73</v>
      </c>
      <c r="I301" s="9" t="s">
        <v>40</v>
      </c>
      <c r="J301" s="9">
        <v>1555</v>
      </c>
      <c r="K301" s="9" t="s">
        <v>2541</v>
      </c>
      <c r="L301" s="9" t="s">
        <v>42</v>
      </c>
      <c r="M301" s="10">
        <v>3.1712962962962962E-3</v>
      </c>
      <c r="N301" s="9" t="s">
        <v>65</v>
      </c>
      <c r="O301" s="9" t="s">
        <v>2542</v>
      </c>
      <c r="P301" s="9" t="s">
        <v>45</v>
      </c>
      <c r="Q301" s="10">
        <v>0.18982638888888889</v>
      </c>
      <c r="R301" s="9" t="s">
        <v>56</v>
      </c>
      <c r="S301" s="10">
        <v>0.14033564814814811</v>
      </c>
      <c r="T301" s="9">
        <v>21.213000000000001</v>
      </c>
      <c r="U301" s="9">
        <v>6.77</v>
      </c>
      <c r="V301" s="10">
        <v>0.1305324074074074</v>
      </c>
      <c r="W301" s="10">
        <v>0.1002314814814815</v>
      </c>
      <c r="X301" s="10">
        <v>5.9837962962962961E-3</v>
      </c>
      <c r="Y301" s="9">
        <v>0</v>
      </c>
      <c r="Z301" s="9">
        <v>0</v>
      </c>
      <c r="AA301" s="9">
        <v>0</v>
      </c>
      <c r="AB301" s="9">
        <v>0</v>
      </c>
      <c r="AC301" s="9">
        <v>0</v>
      </c>
      <c r="AD301" s="9">
        <v>1</v>
      </c>
      <c r="AE301" s="9" t="s">
        <v>67</v>
      </c>
      <c r="AF301" s="9" t="s">
        <v>2543</v>
      </c>
      <c r="AG301" s="9" t="s">
        <v>2544</v>
      </c>
      <c r="AH301" s="9">
        <v>6.2240200000000003</v>
      </c>
      <c r="AI301" s="9">
        <v>-75.601588000000007</v>
      </c>
      <c r="AJ301" s="9" t="s">
        <v>2545</v>
      </c>
      <c r="AK301" s="9">
        <v>6.241441</v>
      </c>
      <c r="AL301" s="9">
        <v>-75.559989999999999</v>
      </c>
      <c r="AM301" s="26">
        <f t="shared" si="4"/>
        <v>0.18982638888888889</v>
      </c>
      <c r="AN301" s="9"/>
    </row>
    <row r="302" spans="1:40" ht="15" x14ac:dyDescent="0.25">
      <c r="A302" s="9" t="s">
        <v>2546</v>
      </c>
      <c r="B302" s="9" t="s">
        <v>2547</v>
      </c>
      <c r="C302" s="9" t="s">
        <v>2548</v>
      </c>
      <c r="D302" s="9" t="s">
        <v>2509</v>
      </c>
      <c r="E302" s="9" t="s">
        <v>36</v>
      </c>
      <c r="F302" s="9" t="s">
        <v>169</v>
      </c>
      <c r="G302" s="9" t="s">
        <v>80</v>
      </c>
      <c r="H302" s="9" t="s">
        <v>81</v>
      </c>
      <c r="I302" s="9" t="s">
        <v>40</v>
      </c>
      <c r="J302" s="9">
        <v>4265</v>
      </c>
      <c r="K302" s="9" t="s">
        <v>2549</v>
      </c>
      <c r="L302" s="9" t="s">
        <v>42</v>
      </c>
      <c r="M302" s="10">
        <v>4.5843865740740741E-3</v>
      </c>
      <c r="N302" s="9" t="s">
        <v>65</v>
      </c>
      <c r="O302" s="9" t="s">
        <v>2550</v>
      </c>
      <c r="P302" s="9" t="s">
        <v>45</v>
      </c>
      <c r="Q302" s="10">
        <v>7.6608796296296299E-4</v>
      </c>
      <c r="R302" s="9" t="s">
        <v>46</v>
      </c>
      <c r="S302" s="10">
        <v>0.32798285879629629</v>
      </c>
      <c r="T302" s="9">
        <v>33.555</v>
      </c>
      <c r="U302" s="9">
        <v>21.06</v>
      </c>
      <c r="V302" s="10">
        <v>6.6391805555555614E-2</v>
      </c>
      <c r="W302" s="10">
        <v>2.978425925925926E-2</v>
      </c>
      <c r="X302" s="10">
        <v>0</v>
      </c>
      <c r="Y302" s="9">
        <v>0</v>
      </c>
      <c r="Z302" s="9">
        <v>0</v>
      </c>
      <c r="AA302" s="9">
        <v>0</v>
      </c>
      <c r="AB302" s="9">
        <v>0</v>
      </c>
      <c r="AC302" s="9">
        <v>0</v>
      </c>
      <c r="AD302" s="9">
        <v>14</v>
      </c>
      <c r="AE302" s="9" t="s">
        <v>84</v>
      </c>
      <c r="AF302" s="9" t="s">
        <v>1881</v>
      </c>
      <c r="AG302" s="9" t="s">
        <v>2551</v>
      </c>
      <c r="AH302" s="9">
        <v>6.2256619999999998</v>
      </c>
      <c r="AI302" s="9">
        <v>-75.599354000000005</v>
      </c>
      <c r="AJ302" s="9" t="s">
        <v>2552</v>
      </c>
      <c r="AK302" s="9">
        <v>6.2592290000000004</v>
      </c>
      <c r="AL302" s="9">
        <v>-75.62097</v>
      </c>
      <c r="AM302" s="26">
        <f t="shared" si="4"/>
        <v>0</v>
      </c>
      <c r="AN302" s="9"/>
    </row>
    <row r="303" spans="1:40" ht="15" x14ac:dyDescent="0.25">
      <c r="A303" s="9" t="s">
        <v>2553</v>
      </c>
      <c r="B303" s="9" t="s">
        <v>2554</v>
      </c>
      <c r="C303" s="9" t="s">
        <v>2555</v>
      </c>
      <c r="D303" s="9" t="s">
        <v>2509</v>
      </c>
      <c r="E303" s="9" t="s">
        <v>36</v>
      </c>
      <c r="F303" s="9" t="s">
        <v>169</v>
      </c>
      <c r="G303" s="9" t="s">
        <v>97</v>
      </c>
      <c r="H303" s="9" t="s">
        <v>98</v>
      </c>
      <c r="I303" s="9" t="s">
        <v>40</v>
      </c>
      <c r="J303" s="9">
        <v>3586</v>
      </c>
      <c r="K303" s="9" t="s">
        <v>2556</v>
      </c>
      <c r="L303" s="9" t="s">
        <v>42</v>
      </c>
      <c r="M303" s="10">
        <v>3.0902777777777782E-3</v>
      </c>
      <c r="N303" s="9" t="s">
        <v>65</v>
      </c>
      <c r="O303" s="9" t="s">
        <v>2557</v>
      </c>
      <c r="P303" s="9" t="s">
        <v>45</v>
      </c>
      <c r="Q303" s="10">
        <v>3.9583333333333337E-3</v>
      </c>
      <c r="R303" s="9" t="s">
        <v>46</v>
      </c>
      <c r="S303" s="10">
        <v>0.32628472222222221</v>
      </c>
      <c r="T303" s="9">
        <v>47.747999999999998</v>
      </c>
      <c r="U303" s="9">
        <v>11.04</v>
      </c>
      <c r="V303" s="10">
        <v>0.18016203703703701</v>
      </c>
      <c r="W303" s="10">
        <v>0.1007986111111111</v>
      </c>
      <c r="X303" s="10">
        <v>0</v>
      </c>
      <c r="Y303" s="9">
        <v>0</v>
      </c>
      <c r="Z303" s="9">
        <v>0</v>
      </c>
      <c r="AA303" s="9">
        <v>0</v>
      </c>
      <c r="AB303" s="9">
        <v>0</v>
      </c>
      <c r="AC303" s="9">
        <v>0</v>
      </c>
      <c r="AD303" s="9">
        <v>0</v>
      </c>
      <c r="AE303" s="9" t="s">
        <v>84</v>
      </c>
      <c r="AF303" s="9" t="s">
        <v>352</v>
      </c>
      <c r="AG303" s="9" t="s">
        <v>2558</v>
      </c>
      <c r="AH303" s="9">
        <v>6.2255750000000001</v>
      </c>
      <c r="AI303" s="9">
        <v>-75.599417000000003</v>
      </c>
      <c r="AJ303" s="9" t="s">
        <v>2559</v>
      </c>
      <c r="AK303" s="9">
        <v>6.3052210000000004</v>
      </c>
      <c r="AL303" s="9">
        <v>-75.581879000000001</v>
      </c>
      <c r="AM303" s="26">
        <f t="shared" si="4"/>
        <v>0</v>
      </c>
      <c r="AN303" s="9"/>
    </row>
    <row r="304" spans="1:40" ht="15" x14ac:dyDescent="0.25">
      <c r="A304" s="9" t="s">
        <v>2560</v>
      </c>
      <c r="B304" s="9" t="s">
        <v>2561</v>
      </c>
      <c r="C304" s="9" t="s">
        <v>2562</v>
      </c>
      <c r="D304" s="9" t="s">
        <v>2509</v>
      </c>
      <c r="E304" s="9" t="s">
        <v>36</v>
      </c>
      <c r="F304" s="9" t="s">
        <v>169</v>
      </c>
      <c r="G304" s="9" t="s">
        <v>105</v>
      </c>
      <c r="H304" s="9" t="s">
        <v>106</v>
      </c>
      <c r="I304" s="9" t="s">
        <v>40</v>
      </c>
      <c r="J304" s="9">
        <v>1566</v>
      </c>
      <c r="K304" s="9" t="s">
        <v>2563</v>
      </c>
      <c r="L304" s="9" t="s">
        <v>42</v>
      </c>
      <c r="M304" s="10">
        <v>7.3611111111111108E-3</v>
      </c>
      <c r="N304" s="9" t="s">
        <v>65</v>
      </c>
      <c r="O304" s="9" t="s">
        <v>2564</v>
      </c>
      <c r="P304" s="9" t="s">
        <v>45</v>
      </c>
      <c r="Q304" s="10">
        <v>1.7326388888888891E-2</v>
      </c>
      <c r="R304" s="9" t="s">
        <v>56</v>
      </c>
      <c r="S304" s="10">
        <v>0.30864583333333329</v>
      </c>
      <c r="T304" s="9">
        <v>21.155999999999999</v>
      </c>
      <c r="U304" s="9">
        <v>3.59</v>
      </c>
      <c r="V304" s="10">
        <v>0.24562500000000001</v>
      </c>
      <c r="W304" s="10">
        <v>0.21510416666666671</v>
      </c>
      <c r="X304" s="10">
        <v>0</v>
      </c>
      <c r="Y304" s="9">
        <v>0</v>
      </c>
      <c r="Z304" s="9">
        <v>0</v>
      </c>
      <c r="AA304" s="9">
        <v>0</v>
      </c>
      <c r="AB304" s="9">
        <v>0</v>
      </c>
      <c r="AC304" s="9">
        <v>0</v>
      </c>
      <c r="AD304" s="9">
        <v>5</v>
      </c>
      <c r="AE304" s="9" t="s">
        <v>67</v>
      </c>
      <c r="AF304" s="9" t="s">
        <v>2565</v>
      </c>
      <c r="AG304" s="9" t="s">
        <v>2566</v>
      </c>
      <c r="AH304" s="9">
        <v>6.2254779999999998</v>
      </c>
      <c r="AI304" s="9">
        <v>-75.598913999999994</v>
      </c>
      <c r="AJ304" s="9" t="s">
        <v>2567</v>
      </c>
      <c r="AK304" s="9">
        <v>6.2586899999999996</v>
      </c>
      <c r="AL304" s="9">
        <v>-75.616228000000007</v>
      </c>
      <c r="AM304" s="26">
        <f t="shared" si="4"/>
        <v>1.7326388888888891E-2</v>
      </c>
      <c r="AN304" s="9"/>
    </row>
    <row r="305" spans="1:40" ht="15" x14ac:dyDescent="0.2">
      <c r="A305" s="36" t="s">
        <v>2568</v>
      </c>
      <c r="B305" s="36" t="s">
        <v>2574</v>
      </c>
      <c r="C305" s="36" t="s">
        <v>2569</v>
      </c>
      <c r="D305" s="36" t="s">
        <v>2509</v>
      </c>
      <c r="E305" s="36" t="s">
        <v>36</v>
      </c>
      <c r="F305" s="36" t="s">
        <v>169</v>
      </c>
      <c r="G305" s="36" t="s">
        <v>89</v>
      </c>
      <c r="H305" s="36" t="s">
        <v>90</v>
      </c>
      <c r="I305" s="36" t="s">
        <v>40</v>
      </c>
      <c r="J305" s="36">
        <v>3416</v>
      </c>
      <c r="K305" s="36" t="s">
        <v>2570</v>
      </c>
      <c r="L305" s="36" t="s">
        <v>42</v>
      </c>
      <c r="M305" s="37">
        <v>8.5532407407407415E-3</v>
      </c>
      <c r="N305" s="36" t="s">
        <v>65</v>
      </c>
      <c r="O305" s="36" t="s">
        <v>2571</v>
      </c>
      <c r="P305" s="36" t="s">
        <v>45</v>
      </c>
      <c r="Q305" s="37">
        <v>4.8842592592592592E-3</v>
      </c>
      <c r="R305" s="36" t="s">
        <v>46</v>
      </c>
      <c r="S305" s="37">
        <v>0.32966435185185178</v>
      </c>
      <c r="T305" s="36">
        <v>43.552</v>
      </c>
      <c r="U305" s="36">
        <v>8.18</v>
      </c>
      <c r="V305" s="37">
        <v>0.22182870370370369</v>
      </c>
      <c r="W305" s="37">
        <v>0.14332175925925919</v>
      </c>
      <c r="X305" s="37">
        <v>0</v>
      </c>
      <c r="Y305" s="36">
        <v>0</v>
      </c>
      <c r="Z305" s="36">
        <v>0</v>
      </c>
      <c r="AA305" s="36">
        <v>0</v>
      </c>
      <c r="AB305" s="36">
        <v>0</v>
      </c>
      <c r="AC305" s="36">
        <v>0</v>
      </c>
      <c r="AD305" s="36">
        <v>0</v>
      </c>
      <c r="AE305" s="36" t="s">
        <v>84</v>
      </c>
      <c r="AF305" s="36" t="s">
        <v>352</v>
      </c>
      <c r="AG305" s="36" t="s">
        <v>2572</v>
      </c>
      <c r="AH305" s="36">
        <v>6.2303540000000002</v>
      </c>
      <c r="AI305" s="36">
        <v>-75.596052</v>
      </c>
      <c r="AJ305" s="36" t="s">
        <v>2573</v>
      </c>
      <c r="AK305" s="36">
        <v>6.2790949999999999</v>
      </c>
      <c r="AL305" s="36">
        <v>-75.569125999999997</v>
      </c>
      <c r="AM305" s="26">
        <f t="shared" si="4"/>
        <v>0</v>
      </c>
      <c r="AN305" s="9"/>
    </row>
    <row r="306" spans="1:40" ht="15" x14ac:dyDescent="0.25">
      <c r="A306" s="9" t="s">
        <v>2575</v>
      </c>
      <c r="B306" s="9" t="s">
        <v>2576</v>
      </c>
      <c r="C306" s="9" t="s">
        <v>2577</v>
      </c>
      <c r="D306" s="9" t="s">
        <v>2509</v>
      </c>
      <c r="E306" s="9" t="s">
        <v>36</v>
      </c>
      <c r="F306" s="9" t="s">
        <v>169</v>
      </c>
      <c r="G306" s="9" t="s">
        <v>124</v>
      </c>
      <c r="H306" s="9" t="s">
        <v>125</v>
      </c>
      <c r="I306" s="9" t="s">
        <v>115</v>
      </c>
      <c r="J306" s="9">
        <v>5364</v>
      </c>
      <c r="K306" s="9" t="s">
        <v>2578</v>
      </c>
      <c r="L306" s="9" t="s">
        <v>117</v>
      </c>
      <c r="M306" s="10">
        <v>8.4953703703703701E-3</v>
      </c>
      <c r="N306" s="9" t="s">
        <v>65</v>
      </c>
      <c r="O306" s="9" t="s">
        <v>2579</v>
      </c>
      <c r="P306" s="9" t="s">
        <v>119</v>
      </c>
      <c r="Q306" s="10">
        <v>2.388888888888889E-2</v>
      </c>
      <c r="R306" s="9" t="s">
        <v>129</v>
      </c>
      <c r="S306" s="10">
        <v>0.28238425925925931</v>
      </c>
      <c r="T306" s="9">
        <v>75.686000000000007</v>
      </c>
      <c r="U306" s="9">
        <v>18.39</v>
      </c>
      <c r="V306" s="10">
        <v>0.17146990740740739</v>
      </c>
      <c r="W306" s="10">
        <v>4.9664351851851848E-2</v>
      </c>
      <c r="X306" s="10">
        <v>2.311342592592593E-2</v>
      </c>
      <c r="Y306" s="9">
        <v>1</v>
      </c>
      <c r="Z306" s="9">
        <v>1</v>
      </c>
      <c r="AA306" s="9">
        <v>1</v>
      </c>
      <c r="AB306" s="9">
        <v>0</v>
      </c>
      <c r="AC306" s="9">
        <v>0</v>
      </c>
      <c r="AD306" s="9">
        <v>0</v>
      </c>
      <c r="AE306" s="9" t="s">
        <v>130</v>
      </c>
      <c r="AF306" s="9" t="s">
        <v>2580</v>
      </c>
      <c r="AG306" s="9" t="s">
        <v>2581</v>
      </c>
      <c r="AH306" s="9">
        <v>6.2288119999999996</v>
      </c>
      <c r="AI306" s="9">
        <v>-75.597750000000005</v>
      </c>
      <c r="AJ306" s="9" t="s">
        <v>2582</v>
      </c>
      <c r="AK306" s="9">
        <v>6.2726949999999997</v>
      </c>
      <c r="AL306" s="9">
        <v>-75.602035999999998</v>
      </c>
      <c r="AM306" s="26">
        <f t="shared" si="4"/>
        <v>0</v>
      </c>
      <c r="AN306" s="9"/>
    </row>
    <row r="307" spans="1:40" ht="15" x14ac:dyDescent="0.25">
      <c r="A307" s="9" t="s">
        <v>2583</v>
      </c>
      <c r="B307" s="9" t="s">
        <v>2584</v>
      </c>
      <c r="C307" s="9" t="s">
        <v>2585</v>
      </c>
      <c r="D307" s="9" t="s">
        <v>2509</v>
      </c>
      <c r="E307" s="9" t="s">
        <v>36</v>
      </c>
      <c r="F307" s="9" t="s">
        <v>169</v>
      </c>
      <c r="G307" s="9" t="s">
        <v>135</v>
      </c>
      <c r="H307" s="9" t="s">
        <v>136</v>
      </c>
      <c r="I307" s="9" t="s">
        <v>115</v>
      </c>
      <c r="J307" s="9">
        <v>1269</v>
      </c>
      <c r="K307" s="9" t="s">
        <v>2586</v>
      </c>
      <c r="L307" s="9" t="s">
        <v>117</v>
      </c>
      <c r="M307" s="10">
        <v>4.9583333333333333E-2</v>
      </c>
      <c r="N307" s="9" t="s">
        <v>127</v>
      </c>
      <c r="O307" s="9" t="s">
        <v>2587</v>
      </c>
      <c r="P307" s="9" t="s">
        <v>119</v>
      </c>
      <c r="Q307" s="10">
        <v>3.2638888888888891E-3</v>
      </c>
      <c r="R307" s="9" t="s">
        <v>46</v>
      </c>
      <c r="S307" s="10">
        <v>0.29631944444444452</v>
      </c>
      <c r="T307" s="9">
        <v>22.690999999999999</v>
      </c>
      <c r="U307" s="9">
        <v>11.47</v>
      </c>
      <c r="V307" s="10">
        <v>8.2395833333333335E-2</v>
      </c>
      <c r="W307" s="10">
        <v>5.2974537037037042E-2</v>
      </c>
      <c r="X307" s="10">
        <v>0</v>
      </c>
      <c r="Y307" s="9">
        <v>0</v>
      </c>
      <c r="Z307" s="9">
        <v>0</v>
      </c>
      <c r="AA307" s="9">
        <v>0</v>
      </c>
      <c r="AB307" s="9">
        <v>0</v>
      </c>
      <c r="AC307" s="9">
        <v>0</v>
      </c>
      <c r="AD307" s="9">
        <v>5</v>
      </c>
      <c r="AE307" s="9" t="s">
        <v>139</v>
      </c>
      <c r="AF307" s="9" t="s">
        <v>2588</v>
      </c>
      <c r="AG307" s="9" t="s">
        <v>2589</v>
      </c>
      <c r="AH307" s="9">
        <v>6.2255700000000003</v>
      </c>
      <c r="AI307" s="9">
        <v>-75.599332000000004</v>
      </c>
      <c r="AJ307" s="9" t="s">
        <v>2590</v>
      </c>
      <c r="AK307" s="9">
        <v>6.2941710000000004</v>
      </c>
      <c r="AL307" s="9">
        <v>-75.582819999999998</v>
      </c>
      <c r="AM307" s="26">
        <f t="shared" si="4"/>
        <v>0</v>
      </c>
      <c r="AN307" s="9"/>
    </row>
    <row r="308" spans="1:40" ht="15" x14ac:dyDescent="0.25">
      <c r="A308" s="9" t="s">
        <v>2591</v>
      </c>
      <c r="B308" s="9" t="s">
        <v>2592</v>
      </c>
      <c r="C308" s="9" t="s">
        <v>2593</v>
      </c>
      <c r="D308" s="9" t="s">
        <v>2509</v>
      </c>
      <c r="E308" s="9" t="s">
        <v>36</v>
      </c>
      <c r="F308" s="9" t="s">
        <v>169</v>
      </c>
      <c r="G308" s="9" t="s">
        <v>144</v>
      </c>
      <c r="H308" s="9" t="s">
        <v>145</v>
      </c>
      <c r="I308" s="9" t="s">
        <v>115</v>
      </c>
      <c r="J308" s="9">
        <v>5331</v>
      </c>
      <c r="K308" s="9" t="s">
        <v>2594</v>
      </c>
      <c r="L308" s="9" t="s">
        <v>117</v>
      </c>
      <c r="M308" s="10">
        <v>3.650462962962963E-2</v>
      </c>
      <c r="N308" s="9" t="s">
        <v>127</v>
      </c>
      <c r="O308" s="9" t="s">
        <v>2595</v>
      </c>
      <c r="P308" s="9" t="s">
        <v>119</v>
      </c>
      <c r="Q308" s="10">
        <v>1.2048611111111111E-2</v>
      </c>
      <c r="R308" s="9" t="s">
        <v>129</v>
      </c>
      <c r="S308" s="10">
        <v>0.29855324074074069</v>
      </c>
      <c r="T308" s="9">
        <v>72.417000000000002</v>
      </c>
      <c r="U308" s="9">
        <v>15.48</v>
      </c>
      <c r="V308" s="10">
        <v>0.19491898148148151</v>
      </c>
      <c r="W308" s="10">
        <v>8.2314814814814813E-2</v>
      </c>
      <c r="X308" s="10">
        <v>0</v>
      </c>
      <c r="Y308" s="9">
        <v>0</v>
      </c>
      <c r="Z308" s="9">
        <v>0</v>
      </c>
      <c r="AA308" s="9">
        <v>0</v>
      </c>
      <c r="AB308" s="9">
        <v>0</v>
      </c>
      <c r="AC308" s="9">
        <v>0</v>
      </c>
      <c r="AD308" s="9">
        <v>0</v>
      </c>
      <c r="AE308" s="9" t="s">
        <v>130</v>
      </c>
      <c r="AF308" s="9" t="s">
        <v>2596</v>
      </c>
      <c r="AG308" s="9" t="s">
        <v>2597</v>
      </c>
      <c r="AH308" s="9">
        <v>6.2268239999999997</v>
      </c>
      <c r="AI308" s="9">
        <v>-75.599194999999995</v>
      </c>
      <c r="AJ308" s="9" t="s">
        <v>2598</v>
      </c>
      <c r="AK308" s="9">
        <v>6.2904270000000002</v>
      </c>
      <c r="AL308" s="9">
        <v>-75.546575000000004</v>
      </c>
      <c r="AM308" s="26">
        <f t="shared" si="4"/>
        <v>0</v>
      </c>
      <c r="AN308" s="9"/>
    </row>
    <row r="309" spans="1:40" ht="15" x14ac:dyDescent="0.25">
      <c r="A309" s="9" t="s">
        <v>2599</v>
      </c>
      <c r="B309" s="9" t="s">
        <v>2600</v>
      </c>
      <c r="C309" s="9" t="s">
        <v>2601</v>
      </c>
      <c r="D309" s="9" t="s">
        <v>2509</v>
      </c>
      <c r="E309" s="9" t="s">
        <v>36</v>
      </c>
      <c r="F309" s="9" t="s">
        <v>169</v>
      </c>
      <c r="G309" s="9" t="s">
        <v>152</v>
      </c>
      <c r="H309" s="9" t="s">
        <v>153</v>
      </c>
      <c r="I309" s="9" t="s">
        <v>115</v>
      </c>
      <c r="J309" s="9">
        <v>1487</v>
      </c>
      <c r="K309" s="9" t="s">
        <v>2602</v>
      </c>
      <c r="L309" s="9" t="s">
        <v>117</v>
      </c>
      <c r="M309" s="10">
        <v>2.7893518518518519E-2</v>
      </c>
      <c r="N309" s="9" t="s">
        <v>127</v>
      </c>
      <c r="O309" s="9" t="s">
        <v>2603</v>
      </c>
      <c r="P309" s="9" t="s">
        <v>119</v>
      </c>
      <c r="Q309" s="10">
        <v>0.1075231481481481</v>
      </c>
      <c r="R309" s="9" t="s">
        <v>56</v>
      </c>
      <c r="S309" s="10">
        <v>0.17037037037037039</v>
      </c>
      <c r="T309" s="9">
        <v>19.724</v>
      </c>
      <c r="U309" s="9">
        <v>9.84</v>
      </c>
      <c r="V309" s="10">
        <v>8.3530092592592586E-2</v>
      </c>
      <c r="W309" s="10">
        <v>5.9131944444444452E-2</v>
      </c>
      <c r="X309" s="10">
        <v>0</v>
      </c>
      <c r="Y309" s="9">
        <v>0</v>
      </c>
      <c r="Z309" s="9">
        <v>0</v>
      </c>
      <c r="AA309" s="9">
        <v>0</v>
      </c>
      <c r="AB309" s="9">
        <v>0</v>
      </c>
      <c r="AC309" s="9">
        <v>0</v>
      </c>
      <c r="AD309" s="9">
        <v>0</v>
      </c>
      <c r="AE309" s="9" t="s">
        <v>139</v>
      </c>
      <c r="AF309" s="9" t="s">
        <v>2604</v>
      </c>
      <c r="AG309" s="9" t="s">
        <v>2605</v>
      </c>
      <c r="AH309" s="9">
        <v>6.2280550000000003</v>
      </c>
      <c r="AI309" s="9">
        <v>-75.599642000000003</v>
      </c>
      <c r="AJ309" s="9" t="s">
        <v>2606</v>
      </c>
      <c r="AK309" s="9">
        <v>6.2517969999999998</v>
      </c>
      <c r="AL309" s="9">
        <v>-75.551833000000002</v>
      </c>
      <c r="AM309" s="26">
        <f t="shared" si="4"/>
        <v>0.1075231481481481</v>
      </c>
      <c r="AN309" s="9"/>
    </row>
    <row r="310" spans="1:40" ht="15" x14ac:dyDescent="0.25">
      <c r="A310" s="9" t="s">
        <v>2607</v>
      </c>
      <c r="B310" s="9" t="s">
        <v>2608</v>
      </c>
      <c r="C310" s="9" t="s">
        <v>2609</v>
      </c>
      <c r="D310" s="9" t="s">
        <v>2509</v>
      </c>
      <c r="E310" s="9" t="s">
        <v>36</v>
      </c>
      <c r="F310" s="9" t="s">
        <v>169</v>
      </c>
      <c r="G310" s="9" t="s">
        <v>160</v>
      </c>
      <c r="H310" s="9" t="s">
        <v>161</v>
      </c>
      <c r="I310" s="9" t="s">
        <v>115</v>
      </c>
      <c r="J310" s="9">
        <v>5449</v>
      </c>
      <c r="K310" s="9" t="s">
        <v>2610</v>
      </c>
      <c r="L310" s="9" t="s">
        <v>117</v>
      </c>
      <c r="M310" s="10">
        <v>1.460140046296296E-2</v>
      </c>
      <c r="N310" s="9" t="s">
        <v>127</v>
      </c>
      <c r="O310" s="9" t="s">
        <v>2611</v>
      </c>
      <c r="P310" s="9" t="s">
        <v>119</v>
      </c>
      <c r="Q310" s="10">
        <v>1.2538194444444451E-4</v>
      </c>
      <c r="R310" s="9" t="s">
        <v>46</v>
      </c>
      <c r="S310" s="10">
        <v>0.26472678240740738</v>
      </c>
      <c r="T310" s="9">
        <v>37.631</v>
      </c>
      <c r="U310" s="9">
        <v>9.4700000000000006</v>
      </c>
      <c r="V310" s="10">
        <v>0.16553550925925911</v>
      </c>
      <c r="W310" s="10">
        <v>0.12789334490740731</v>
      </c>
      <c r="X310" s="10">
        <v>0</v>
      </c>
      <c r="Y310" s="9">
        <v>0</v>
      </c>
      <c r="Z310" s="9">
        <v>0</v>
      </c>
      <c r="AA310" s="9">
        <v>0</v>
      </c>
      <c r="AB310" s="9">
        <v>0</v>
      </c>
      <c r="AC310" s="9">
        <v>0</v>
      </c>
      <c r="AD310" s="9">
        <v>3</v>
      </c>
      <c r="AE310" s="9" t="s">
        <v>139</v>
      </c>
      <c r="AF310" s="9" t="s">
        <v>2612</v>
      </c>
      <c r="AG310" s="9" t="s">
        <v>2613</v>
      </c>
      <c r="AH310" s="9">
        <v>6.2267869999999998</v>
      </c>
      <c r="AI310" s="9">
        <v>-75.599261999999996</v>
      </c>
      <c r="AJ310" s="9" t="s">
        <v>2614</v>
      </c>
      <c r="AK310" s="9">
        <v>6.2601699999999996</v>
      </c>
      <c r="AL310" s="9">
        <v>-75.590198000000001</v>
      </c>
      <c r="AM310" s="26">
        <f t="shared" si="4"/>
        <v>0</v>
      </c>
      <c r="AN310" s="9"/>
    </row>
    <row r="311" spans="1:40" ht="15" x14ac:dyDescent="0.25">
      <c r="A311" s="9" t="s">
        <v>2615</v>
      </c>
      <c r="B311" s="9" t="s">
        <v>2616</v>
      </c>
      <c r="C311" s="9" t="s">
        <v>2617</v>
      </c>
      <c r="D311" s="9" t="s">
        <v>2618</v>
      </c>
      <c r="E311" s="9" t="s">
        <v>2619</v>
      </c>
      <c r="F311" s="9" t="s">
        <v>315</v>
      </c>
      <c r="G311" s="9" t="s">
        <v>38</v>
      </c>
      <c r="H311" s="9" t="s">
        <v>39</v>
      </c>
      <c r="I311" s="9" t="s">
        <v>40</v>
      </c>
      <c r="J311" s="9">
        <v>7442</v>
      </c>
      <c r="K311" s="9" t="s">
        <v>2620</v>
      </c>
      <c r="L311" s="9" t="s">
        <v>42</v>
      </c>
      <c r="M311" s="10">
        <v>4.4482939814814812E-2</v>
      </c>
      <c r="N311" s="9" t="s">
        <v>43</v>
      </c>
      <c r="O311" s="9" t="s">
        <v>2621</v>
      </c>
      <c r="P311" s="9" t="s">
        <v>45</v>
      </c>
      <c r="Q311" s="10">
        <v>2.3925057870370369E-2</v>
      </c>
      <c r="R311" s="9" t="s">
        <v>129</v>
      </c>
      <c r="S311" s="10">
        <v>0.3127754513888889</v>
      </c>
      <c r="T311" s="9">
        <v>39.548000000000002</v>
      </c>
      <c r="U311" s="9">
        <v>20.02</v>
      </c>
      <c r="V311" s="10">
        <v>8.2330046296296311E-2</v>
      </c>
      <c r="W311" s="10">
        <v>3.7823252314814808E-2</v>
      </c>
      <c r="X311" s="10">
        <v>2.7823807870370369E-2</v>
      </c>
      <c r="Y311" s="9">
        <v>1</v>
      </c>
      <c r="Z311" s="9">
        <v>1</v>
      </c>
      <c r="AA311" s="9">
        <v>1</v>
      </c>
      <c r="AB311" s="9">
        <v>1</v>
      </c>
      <c r="AC311" s="9">
        <v>0</v>
      </c>
      <c r="AD311" s="9">
        <v>4</v>
      </c>
      <c r="AE311" s="9" t="s">
        <v>130</v>
      </c>
      <c r="AF311" s="9" t="s">
        <v>2622</v>
      </c>
      <c r="AG311" s="9" t="s">
        <v>2623</v>
      </c>
      <c r="AH311" s="9">
        <v>6.2032970000000001</v>
      </c>
      <c r="AI311" s="9">
        <v>-75.600990999999993</v>
      </c>
      <c r="AJ311" s="9" t="s">
        <v>2624</v>
      </c>
      <c r="AK311" s="9">
        <v>6.2255520000000004</v>
      </c>
      <c r="AL311" s="9">
        <v>-75.599130000000002</v>
      </c>
      <c r="AM311" s="26">
        <f t="shared" si="4"/>
        <v>4.4482939814814812E-2</v>
      </c>
      <c r="AN311" s="9" t="s">
        <v>2689</v>
      </c>
    </row>
    <row r="312" spans="1:40" ht="15" x14ac:dyDescent="0.25">
      <c r="A312" s="9" t="s">
        <v>2625</v>
      </c>
      <c r="B312" s="9" t="s">
        <v>2626</v>
      </c>
      <c r="C312" s="9" t="s">
        <v>2627</v>
      </c>
      <c r="D312" s="9" t="s">
        <v>2618</v>
      </c>
      <c r="E312" s="9" t="s">
        <v>2619</v>
      </c>
      <c r="F312" s="9" t="s">
        <v>315</v>
      </c>
      <c r="G312" s="9" t="s">
        <v>52</v>
      </c>
      <c r="H312" s="9" t="s">
        <v>53</v>
      </c>
      <c r="I312" s="9" t="s">
        <v>40</v>
      </c>
      <c r="J312" s="9">
        <v>3776</v>
      </c>
      <c r="K312" s="9" t="s">
        <v>2628</v>
      </c>
      <c r="L312" s="9" t="s">
        <v>42</v>
      </c>
      <c r="M312" s="10">
        <v>2.4143518518518519E-2</v>
      </c>
      <c r="N312" s="9" t="s">
        <v>43</v>
      </c>
      <c r="O312" s="9" t="s">
        <v>2629</v>
      </c>
      <c r="P312" s="9" t="s">
        <v>45</v>
      </c>
      <c r="Q312" s="10">
        <v>8.86574074074074E-3</v>
      </c>
      <c r="R312" s="9" t="s">
        <v>46</v>
      </c>
      <c r="S312" s="10">
        <v>0.30032407407407408</v>
      </c>
      <c r="T312" s="9">
        <v>50.17</v>
      </c>
      <c r="U312" s="9">
        <v>9.19</v>
      </c>
      <c r="V312" s="10">
        <v>0.22748842592592591</v>
      </c>
      <c r="W312" s="10">
        <v>0.13734953703703701</v>
      </c>
      <c r="X312" s="10">
        <v>0</v>
      </c>
      <c r="Y312" s="9">
        <v>0</v>
      </c>
      <c r="Z312" s="9">
        <v>0</v>
      </c>
      <c r="AA312" s="9">
        <v>0</v>
      </c>
      <c r="AB312" s="9">
        <v>0</v>
      </c>
      <c r="AC312" s="9">
        <v>0</v>
      </c>
      <c r="AD312" s="9">
        <v>2</v>
      </c>
      <c r="AE312" s="9" t="s">
        <v>47</v>
      </c>
      <c r="AF312" s="9" t="s">
        <v>2630</v>
      </c>
      <c r="AG312" s="9" t="s">
        <v>2631</v>
      </c>
      <c r="AH312" s="9">
        <v>6.2256309999999999</v>
      </c>
      <c r="AI312" s="9">
        <v>-75.599384999999998</v>
      </c>
      <c r="AJ312" s="9" t="s">
        <v>2632</v>
      </c>
      <c r="AK312" s="9">
        <v>6.2477470000000004</v>
      </c>
      <c r="AL312" s="9">
        <v>-75.615037000000001</v>
      </c>
      <c r="AM312" s="26">
        <f t="shared" si="4"/>
        <v>2.4143518518518519E-2</v>
      </c>
      <c r="AN312" s="9" t="s">
        <v>2689</v>
      </c>
    </row>
    <row r="313" spans="1:40" ht="15" x14ac:dyDescent="0.25">
      <c r="A313" s="9" t="s">
        <v>2633</v>
      </c>
      <c r="B313" s="9" t="s">
        <v>2634</v>
      </c>
      <c r="C313" s="9" t="s">
        <v>2635</v>
      </c>
      <c r="D313" s="9" t="s">
        <v>2618</v>
      </c>
      <c r="E313" s="9" t="s">
        <v>2619</v>
      </c>
      <c r="F313" s="9" t="s">
        <v>315</v>
      </c>
      <c r="G313" s="9" t="s">
        <v>113</v>
      </c>
      <c r="H313" s="9" t="s">
        <v>114</v>
      </c>
      <c r="I313" s="9" t="s">
        <v>40</v>
      </c>
      <c r="J313" s="9">
        <v>2659</v>
      </c>
      <c r="K313" s="9" t="s">
        <v>2636</v>
      </c>
      <c r="L313" s="9" t="s">
        <v>42</v>
      </c>
      <c r="M313" s="10">
        <v>4.071759259259259E-2</v>
      </c>
      <c r="N313" s="9" t="s">
        <v>43</v>
      </c>
      <c r="O313" s="9" t="s">
        <v>2637</v>
      </c>
      <c r="P313" s="9" t="s">
        <v>45</v>
      </c>
      <c r="Q313" s="10">
        <v>4.1666666666666669E-4</v>
      </c>
      <c r="R313" s="9" t="s">
        <v>46</v>
      </c>
      <c r="S313" s="10">
        <v>0.29219907407407408</v>
      </c>
      <c r="T313" s="9">
        <v>34.234000000000002</v>
      </c>
      <c r="U313" s="9">
        <v>6.26</v>
      </c>
      <c r="V313" s="10">
        <v>0.2277777777777778</v>
      </c>
      <c r="W313" s="10">
        <v>0.16596064814814809</v>
      </c>
      <c r="X313" s="10">
        <v>0</v>
      </c>
      <c r="Y313" s="9">
        <v>0</v>
      </c>
      <c r="Z313" s="9">
        <v>0</v>
      </c>
      <c r="AA313" s="9">
        <v>0</v>
      </c>
      <c r="AB313" s="9">
        <v>0</v>
      </c>
      <c r="AC313" s="9">
        <v>0</v>
      </c>
      <c r="AD313" s="9">
        <v>2</v>
      </c>
      <c r="AE313" s="9" t="s">
        <v>47</v>
      </c>
      <c r="AF313" s="9" t="s">
        <v>2638</v>
      </c>
      <c r="AG313" s="9" t="s">
        <v>2639</v>
      </c>
      <c r="AH313" s="9">
        <v>6.2269769999999998</v>
      </c>
      <c r="AI313" s="9">
        <v>-75.601635000000002</v>
      </c>
      <c r="AJ313" s="9" t="s">
        <v>2640</v>
      </c>
      <c r="AK313" s="9">
        <v>6.2636779999999996</v>
      </c>
      <c r="AL313" s="9">
        <v>-75.597012000000007</v>
      </c>
      <c r="AM313" s="26">
        <f t="shared" si="4"/>
        <v>4.071759259259259E-2</v>
      </c>
      <c r="AN313" s="9" t="s">
        <v>2689</v>
      </c>
    </row>
    <row r="314" spans="1:40" ht="15" x14ac:dyDescent="0.25">
      <c r="A314" s="9" t="s">
        <v>2641</v>
      </c>
      <c r="B314" s="9" t="s">
        <v>2642</v>
      </c>
      <c r="C314" s="9" t="s">
        <v>2643</v>
      </c>
      <c r="D314" s="9" t="s">
        <v>2618</v>
      </c>
      <c r="E314" s="9" t="s">
        <v>2619</v>
      </c>
      <c r="F314" s="9" t="s">
        <v>315</v>
      </c>
      <c r="G314" s="9" t="s">
        <v>62</v>
      </c>
      <c r="H314" s="9" t="s">
        <v>63</v>
      </c>
      <c r="I314" s="9" t="s">
        <v>40</v>
      </c>
      <c r="J314" s="9">
        <v>3570</v>
      </c>
      <c r="K314" s="9" t="s">
        <v>2644</v>
      </c>
      <c r="L314" s="9" t="s">
        <v>42</v>
      </c>
      <c r="M314" s="10">
        <v>3.1342592592592602E-2</v>
      </c>
      <c r="N314" s="9" t="s">
        <v>43</v>
      </c>
      <c r="O314" s="9" t="s">
        <v>2645</v>
      </c>
      <c r="P314" s="9" t="s">
        <v>45</v>
      </c>
      <c r="Q314" s="10">
        <v>8.2511574074074071E-2</v>
      </c>
      <c r="R314" s="9" t="s">
        <v>56</v>
      </c>
      <c r="S314" s="10">
        <v>0.2194791666666667</v>
      </c>
      <c r="T314" s="9">
        <v>47.231000000000002</v>
      </c>
      <c r="U314" s="9">
        <v>16.149999999999999</v>
      </c>
      <c r="V314" s="10">
        <v>0.12185185185185191</v>
      </c>
      <c r="W314" s="10">
        <v>3.3229166666666657E-2</v>
      </c>
      <c r="X314" s="10">
        <v>0</v>
      </c>
      <c r="Y314" s="9">
        <v>0</v>
      </c>
      <c r="Z314" s="9">
        <v>0</v>
      </c>
      <c r="AA314" s="9">
        <v>0</v>
      </c>
      <c r="AB314" s="9">
        <v>0</v>
      </c>
      <c r="AC314" s="9">
        <v>0</v>
      </c>
      <c r="AD314" s="9">
        <v>0</v>
      </c>
      <c r="AE314" s="9" t="s">
        <v>57</v>
      </c>
      <c r="AF314" s="9" t="s">
        <v>2646</v>
      </c>
      <c r="AG314" s="9" t="s">
        <v>2647</v>
      </c>
      <c r="AH314" s="9">
        <v>6.2258899999999997</v>
      </c>
      <c r="AI314" s="9">
        <v>-75.599390999999997</v>
      </c>
      <c r="AJ314" s="9" t="s">
        <v>2648</v>
      </c>
      <c r="AK314" s="9">
        <v>6.3046550000000003</v>
      </c>
      <c r="AL314" s="9">
        <v>-75.569092999999995</v>
      </c>
      <c r="AM314" s="26">
        <f t="shared" si="4"/>
        <v>0.11385416666666667</v>
      </c>
      <c r="AN314" s="9" t="s">
        <v>2689</v>
      </c>
    </row>
    <row r="315" spans="1:40" ht="15" x14ac:dyDescent="0.25">
      <c r="A315" s="9" t="s">
        <v>2649</v>
      </c>
      <c r="B315" s="9" t="s">
        <v>2650</v>
      </c>
      <c r="C315" s="9" t="s">
        <v>2651</v>
      </c>
      <c r="D315" s="9" t="s">
        <v>2618</v>
      </c>
      <c r="E315" s="9" t="s">
        <v>2619</v>
      </c>
      <c r="F315" s="9" t="s">
        <v>315</v>
      </c>
      <c r="G315" s="9" t="s">
        <v>72</v>
      </c>
      <c r="H315" s="9" t="s">
        <v>73</v>
      </c>
      <c r="I315" s="9" t="s">
        <v>40</v>
      </c>
      <c r="J315" s="9">
        <v>3095</v>
      </c>
      <c r="K315" s="9" t="s">
        <v>2652</v>
      </c>
      <c r="L315" s="9" t="s">
        <v>42</v>
      </c>
      <c r="M315" s="10">
        <v>2.2743055555555551E-2</v>
      </c>
      <c r="N315" s="9" t="s">
        <v>43</v>
      </c>
      <c r="O315" s="9" t="s">
        <v>2653</v>
      </c>
      <c r="P315" s="9" t="s">
        <v>45</v>
      </c>
      <c r="Q315" s="10">
        <v>0.1496875</v>
      </c>
      <c r="R315" s="9" t="s">
        <v>56</v>
      </c>
      <c r="S315" s="10">
        <v>0.16090277777777781</v>
      </c>
      <c r="T315" s="9">
        <v>41.935000000000002</v>
      </c>
      <c r="U315" s="9">
        <v>13.15</v>
      </c>
      <c r="V315" s="10">
        <v>0.13289351851851849</v>
      </c>
      <c r="W315" s="10">
        <v>6.913194444444444E-2</v>
      </c>
      <c r="X315" s="10">
        <v>0</v>
      </c>
      <c r="Y315" s="9">
        <v>0</v>
      </c>
      <c r="Z315" s="9">
        <v>0</v>
      </c>
      <c r="AA315" s="9">
        <v>0</v>
      </c>
      <c r="AB315" s="9">
        <v>0</v>
      </c>
      <c r="AC315" s="9">
        <v>0</v>
      </c>
      <c r="AD315" s="9">
        <v>0</v>
      </c>
      <c r="AE315" s="9" t="s">
        <v>57</v>
      </c>
      <c r="AF315" s="9" t="s">
        <v>2654</v>
      </c>
      <c r="AG315" s="9" t="s">
        <v>2655</v>
      </c>
      <c r="AH315" s="9">
        <v>6.2255039999999999</v>
      </c>
      <c r="AI315" s="9">
        <v>-75.599469999999997</v>
      </c>
      <c r="AJ315" s="9" t="s">
        <v>2656</v>
      </c>
      <c r="AK315" s="9">
        <v>6.2366400000000004</v>
      </c>
      <c r="AL315" s="9">
        <v>-75.559618</v>
      </c>
      <c r="AM315" s="26">
        <f t="shared" si="4"/>
        <v>0.17243055555555556</v>
      </c>
      <c r="AN315" s="9" t="s">
        <v>2689</v>
      </c>
    </row>
    <row r="316" spans="1:40" ht="15" x14ac:dyDescent="0.25">
      <c r="A316" s="9" t="s">
        <v>2657</v>
      </c>
      <c r="B316" s="9" t="s">
        <v>2658</v>
      </c>
      <c r="C316" s="9" t="s">
        <v>2659</v>
      </c>
      <c r="D316" s="9" t="s">
        <v>2618</v>
      </c>
      <c r="E316" s="9" t="s">
        <v>2619</v>
      </c>
      <c r="F316" s="9" t="s">
        <v>315</v>
      </c>
      <c r="G316" s="9" t="s">
        <v>80</v>
      </c>
      <c r="H316" s="9" t="s">
        <v>81</v>
      </c>
      <c r="I316" s="9" t="s">
        <v>40</v>
      </c>
      <c r="J316" s="9">
        <v>5113</v>
      </c>
      <c r="K316" s="9" t="s">
        <v>2660</v>
      </c>
      <c r="L316" s="9" t="s">
        <v>42</v>
      </c>
      <c r="M316" s="10">
        <v>3.0107025462962959E-2</v>
      </c>
      <c r="N316" s="9" t="s">
        <v>43</v>
      </c>
      <c r="O316" s="9" t="s">
        <v>2661</v>
      </c>
      <c r="P316" s="9" t="s">
        <v>45</v>
      </c>
      <c r="Q316" s="10">
        <v>7.2680555555555552E-4</v>
      </c>
      <c r="R316" s="9" t="s">
        <v>46</v>
      </c>
      <c r="S316" s="10">
        <v>0.3039531134259259</v>
      </c>
      <c r="T316" s="9">
        <v>37.741</v>
      </c>
      <c r="U316" s="9">
        <v>32.47</v>
      </c>
      <c r="V316" s="10">
        <v>4.8433564814814811E-2</v>
      </c>
      <c r="W316" s="10">
        <v>5.2889120370370364E-3</v>
      </c>
      <c r="X316" s="10">
        <v>5.5164699074074074E-3</v>
      </c>
      <c r="Y316" s="9">
        <v>0</v>
      </c>
      <c r="Z316" s="9">
        <v>0</v>
      </c>
      <c r="AA316" s="9">
        <v>0</v>
      </c>
      <c r="AB316" s="9">
        <v>0</v>
      </c>
      <c r="AC316" s="9">
        <v>0</v>
      </c>
      <c r="AD316" s="9">
        <v>12</v>
      </c>
      <c r="AE316" s="9" t="s">
        <v>47</v>
      </c>
      <c r="AF316" s="9" t="s">
        <v>2662</v>
      </c>
      <c r="AG316" s="9" t="s">
        <v>2663</v>
      </c>
      <c r="AH316" s="9">
        <v>6.2255770000000004</v>
      </c>
      <c r="AI316" s="9">
        <v>-75.599402999999995</v>
      </c>
      <c r="AJ316" s="9" t="s">
        <v>2664</v>
      </c>
      <c r="AK316" s="9">
        <v>6.2577879999999997</v>
      </c>
      <c r="AL316" s="9">
        <v>-75.614191000000005</v>
      </c>
      <c r="AM316" s="26">
        <f t="shared" si="4"/>
        <v>3.0107025462962959E-2</v>
      </c>
      <c r="AN316" s="9" t="s">
        <v>2689</v>
      </c>
    </row>
    <row r="317" spans="1:40" ht="15" x14ac:dyDescent="0.25">
      <c r="A317" s="9" t="s">
        <v>2665</v>
      </c>
      <c r="B317" s="9" t="s">
        <v>2666</v>
      </c>
      <c r="C317" s="9" t="s">
        <v>2667</v>
      </c>
      <c r="D317" s="9" t="s">
        <v>2618</v>
      </c>
      <c r="E317" s="9" t="s">
        <v>2619</v>
      </c>
      <c r="F317" s="9" t="s">
        <v>315</v>
      </c>
      <c r="G317" s="9" t="s">
        <v>89</v>
      </c>
      <c r="H317" s="9" t="s">
        <v>90</v>
      </c>
      <c r="I317" s="9" t="s">
        <v>40</v>
      </c>
      <c r="J317" s="9">
        <v>3328</v>
      </c>
      <c r="K317" s="9" t="s">
        <v>2668</v>
      </c>
      <c r="L317" s="9" t="s">
        <v>42</v>
      </c>
      <c r="M317" s="10">
        <v>3.2997685185185192E-2</v>
      </c>
      <c r="N317" s="9" t="s">
        <v>43</v>
      </c>
      <c r="O317" s="9" t="s">
        <v>2669</v>
      </c>
      <c r="P317" s="9" t="s">
        <v>45</v>
      </c>
      <c r="Q317" s="10">
        <v>5.0231481481481481E-3</v>
      </c>
      <c r="R317" s="9" t="s">
        <v>46</v>
      </c>
      <c r="S317" s="10">
        <v>0.30535879629629631</v>
      </c>
      <c r="T317" s="9">
        <v>40.808999999999997</v>
      </c>
      <c r="U317" s="9">
        <v>7.4</v>
      </c>
      <c r="V317" s="10">
        <v>0.22973379629629631</v>
      </c>
      <c r="W317" s="10">
        <v>0.1222569444444444</v>
      </c>
      <c r="X317" s="10">
        <v>0</v>
      </c>
      <c r="Y317" s="9">
        <v>0</v>
      </c>
      <c r="Z317" s="9">
        <v>0</v>
      </c>
      <c r="AA317" s="9">
        <v>0</v>
      </c>
      <c r="AB317" s="9">
        <v>0</v>
      </c>
      <c r="AC317" s="9">
        <v>0</v>
      </c>
      <c r="AD317" s="9">
        <v>0</v>
      </c>
      <c r="AE317" s="9" t="s">
        <v>47</v>
      </c>
      <c r="AF317" s="9" t="s">
        <v>2670</v>
      </c>
      <c r="AG317" s="9" t="s">
        <v>2671</v>
      </c>
      <c r="AH317" s="9">
        <v>6.2265670000000002</v>
      </c>
      <c r="AI317" s="9">
        <v>-75.599172999999993</v>
      </c>
      <c r="AJ317" s="9" t="s">
        <v>2672</v>
      </c>
      <c r="AK317" s="9">
        <v>6.2801179999999999</v>
      </c>
      <c r="AL317" s="9">
        <v>-75.572308000000007</v>
      </c>
      <c r="AM317" s="26">
        <f t="shared" si="4"/>
        <v>3.2997685185185192E-2</v>
      </c>
      <c r="AN317" s="9" t="s">
        <v>2689</v>
      </c>
    </row>
    <row r="318" spans="1:40" ht="15" x14ac:dyDescent="0.25">
      <c r="A318" s="9" t="s">
        <v>2673</v>
      </c>
      <c r="B318" s="9" t="s">
        <v>2674</v>
      </c>
      <c r="C318" s="9" t="s">
        <v>2675</v>
      </c>
      <c r="D318" s="9" t="s">
        <v>2618</v>
      </c>
      <c r="E318" s="9" t="s">
        <v>2619</v>
      </c>
      <c r="F318" s="9" t="s">
        <v>315</v>
      </c>
      <c r="G318" s="9" t="s">
        <v>97</v>
      </c>
      <c r="H318" s="9" t="s">
        <v>98</v>
      </c>
      <c r="I318" s="9" t="s">
        <v>40</v>
      </c>
      <c r="J318" s="9">
        <v>4910</v>
      </c>
      <c r="K318" s="9" t="s">
        <v>2676</v>
      </c>
      <c r="L318" s="9" t="s">
        <v>42</v>
      </c>
      <c r="M318" s="10">
        <v>2.072916666666667E-2</v>
      </c>
      <c r="N318" s="9" t="s">
        <v>43</v>
      </c>
      <c r="O318" s="9" t="s">
        <v>2677</v>
      </c>
      <c r="P318" s="9" t="s">
        <v>45</v>
      </c>
      <c r="Q318" s="10">
        <v>1.1342592592592589E-3</v>
      </c>
      <c r="R318" s="9" t="s">
        <v>46</v>
      </c>
      <c r="S318" s="10">
        <v>0.31146990740740738</v>
      </c>
      <c r="T318" s="9">
        <v>68.269000000000005</v>
      </c>
      <c r="U318" s="9">
        <v>15.51</v>
      </c>
      <c r="V318" s="10">
        <v>0.1834375</v>
      </c>
      <c r="W318" s="10">
        <v>8.4004629629629624E-2</v>
      </c>
      <c r="X318" s="10">
        <v>0</v>
      </c>
      <c r="Y318" s="9">
        <v>0</v>
      </c>
      <c r="Z318" s="9">
        <v>0</v>
      </c>
      <c r="AA318" s="9">
        <v>0</v>
      </c>
      <c r="AB318" s="9">
        <v>0</v>
      </c>
      <c r="AC318" s="9">
        <v>0</v>
      </c>
      <c r="AD318" s="9">
        <v>0</v>
      </c>
      <c r="AE318" s="9" t="s">
        <v>47</v>
      </c>
      <c r="AF318" s="9" t="s">
        <v>2678</v>
      </c>
      <c r="AG318" s="9" t="s">
        <v>2679</v>
      </c>
      <c r="AH318" s="9">
        <v>6.2256739999999997</v>
      </c>
      <c r="AI318" s="9">
        <v>-75.599473000000003</v>
      </c>
      <c r="AJ318" s="9" t="s">
        <v>2680</v>
      </c>
      <c r="AK318" s="9">
        <v>6.3041270000000003</v>
      </c>
      <c r="AL318" s="9">
        <v>-75.581996000000004</v>
      </c>
      <c r="AM318" s="26">
        <f t="shared" si="4"/>
        <v>2.072916666666667E-2</v>
      </c>
      <c r="AN318" s="9" t="s">
        <v>2689</v>
      </c>
    </row>
    <row r="319" spans="1:40" ht="15" x14ac:dyDescent="0.25">
      <c r="A319" s="9" t="s">
        <v>2681</v>
      </c>
      <c r="B319" s="9" t="s">
        <v>2682</v>
      </c>
      <c r="C319" s="9" t="s">
        <v>2683</v>
      </c>
      <c r="D319" s="9" t="s">
        <v>2618</v>
      </c>
      <c r="E319" s="9" t="s">
        <v>2619</v>
      </c>
      <c r="F319" s="9" t="s">
        <v>315</v>
      </c>
      <c r="G319" s="9" t="s">
        <v>105</v>
      </c>
      <c r="H319" s="9" t="s">
        <v>106</v>
      </c>
      <c r="I319" s="9" t="s">
        <v>40</v>
      </c>
      <c r="J319" s="9">
        <v>982</v>
      </c>
      <c r="K319" s="9" t="s">
        <v>2684</v>
      </c>
      <c r="L319" s="9" t="s">
        <v>42</v>
      </c>
      <c r="M319" s="10">
        <v>1.46412037037037E-2</v>
      </c>
      <c r="N319" s="9" t="s">
        <v>43</v>
      </c>
      <c r="O319" s="9" t="s">
        <v>2685</v>
      </c>
      <c r="P319" s="9" t="s">
        <v>45</v>
      </c>
      <c r="Q319" s="10">
        <v>1.9756944444444448E-2</v>
      </c>
      <c r="R319" s="9" t="s">
        <v>56</v>
      </c>
      <c r="S319" s="10">
        <v>0.29893518518518519</v>
      </c>
      <c r="T319" s="9">
        <v>22.599</v>
      </c>
      <c r="U319" s="9">
        <v>3.21</v>
      </c>
      <c r="V319" s="10">
        <v>0.29296296296296298</v>
      </c>
      <c r="W319" s="10">
        <v>0.27302083333333332</v>
      </c>
      <c r="X319" s="10">
        <v>0</v>
      </c>
      <c r="Y319" s="9">
        <v>0</v>
      </c>
      <c r="Z319" s="9">
        <v>0</v>
      </c>
      <c r="AA319" s="9">
        <v>0</v>
      </c>
      <c r="AB319" s="9">
        <v>0</v>
      </c>
      <c r="AC319" s="9">
        <v>0</v>
      </c>
      <c r="AD319" s="9">
        <v>1</v>
      </c>
      <c r="AE319" s="9" t="s">
        <v>57</v>
      </c>
      <c r="AF319" s="9" t="s">
        <v>2686</v>
      </c>
      <c r="AG319" s="9" t="s">
        <v>2687</v>
      </c>
      <c r="AH319" s="9">
        <v>6.2255260000000003</v>
      </c>
      <c r="AI319" s="9">
        <v>-75.599444000000005</v>
      </c>
      <c r="AJ319" s="9" t="s">
        <v>2688</v>
      </c>
      <c r="AK319" s="9">
        <v>6.2581959999999999</v>
      </c>
      <c r="AL319" s="9">
        <v>-75.615995999999996</v>
      </c>
      <c r="AM319" s="26">
        <f t="shared" si="4"/>
        <v>3.439814814814815E-2</v>
      </c>
      <c r="AN319" s="9" t="s">
        <v>2689</v>
      </c>
    </row>
    <row r="320" spans="1:40" ht="15" x14ac:dyDescent="0.25">
      <c r="A320" s="9" t="s">
        <v>2690</v>
      </c>
      <c r="B320" s="9" t="s">
        <v>2691</v>
      </c>
      <c r="C320" s="9" t="s">
        <v>2692</v>
      </c>
      <c r="D320" s="9" t="s">
        <v>2618</v>
      </c>
      <c r="E320" s="9" t="s">
        <v>2619</v>
      </c>
      <c r="F320" s="9" t="s">
        <v>315</v>
      </c>
      <c r="G320" s="9" t="s">
        <v>124</v>
      </c>
      <c r="H320" s="9" t="s">
        <v>125</v>
      </c>
      <c r="I320" s="9" t="s">
        <v>115</v>
      </c>
      <c r="J320" s="9">
        <v>4038</v>
      </c>
      <c r="K320" s="9" t="s">
        <v>2693</v>
      </c>
      <c r="L320" s="9" t="s">
        <v>117</v>
      </c>
      <c r="M320" s="10">
        <v>5.0486111111111107E-2</v>
      </c>
      <c r="N320" s="9" t="s">
        <v>127</v>
      </c>
      <c r="O320" s="9" t="s">
        <v>2694</v>
      </c>
      <c r="P320" s="9" t="s">
        <v>119</v>
      </c>
      <c r="Q320" s="10">
        <v>1.263888888888889E-2</v>
      </c>
      <c r="R320" s="9" t="s">
        <v>129</v>
      </c>
      <c r="S320" s="10">
        <v>0.31312499999999999</v>
      </c>
      <c r="T320" s="9">
        <v>49.478000000000002</v>
      </c>
      <c r="U320" s="9">
        <v>8.48</v>
      </c>
      <c r="V320" s="10">
        <v>0.24300925925925931</v>
      </c>
      <c r="W320" s="10">
        <v>0.1121412037037037</v>
      </c>
      <c r="X320" s="10">
        <v>9.571759259259259E-3</v>
      </c>
      <c r="Y320" s="9">
        <v>1</v>
      </c>
      <c r="Z320" s="9">
        <v>0</v>
      </c>
      <c r="AA320" s="9">
        <v>0</v>
      </c>
      <c r="AB320" s="9">
        <v>0</v>
      </c>
      <c r="AC320" s="9">
        <v>0</v>
      </c>
      <c r="AD320" s="9">
        <v>0</v>
      </c>
      <c r="AE320" s="9" t="s">
        <v>130</v>
      </c>
      <c r="AF320" s="9" t="s">
        <v>2695</v>
      </c>
      <c r="AG320" s="9" t="s">
        <v>2696</v>
      </c>
      <c r="AH320" s="9">
        <v>6.2259589999999996</v>
      </c>
      <c r="AI320" s="9">
        <v>-75.599346999999995</v>
      </c>
      <c r="AJ320" s="9" t="s">
        <v>2697</v>
      </c>
      <c r="AK320" s="9">
        <v>6.2726090000000001</v>
      </c>
      <c r="AL320" s="9">
        <v>-75.602417000000003</v>
      </c>
      <c r="AM320" s="26">
        <f t="shared" si="4"/>
        <v>0</v>
      </c>
      <c r="AN320" s="9"/>
    </row>
    <row r="321" spans="1:40" ht="15" x14ac:dyDescent="0.25">
      <c r="A321" s="9" t="s">
        <v>2698</v>
      </c>
      <c r="B321" s="9" t="s">
        <v>2699</v>
      </c>
      <c r="C321" s="9" t="s">
        <v>2700</v>
      </c>
      <c r="D321" s="9" t="s">
        <v>2618</v>
      </c>
      <c r="E321" s="9" t="s">
        <v>2619</v>
      </c>
      <c r="F321" s="9" t="s">
        <v>315</v>
      </c>
      <c r="G321" s="9" t="s">
        <v>135</v>
      </c>
      <c r="H321" s="9" t="s">
        <v>136</v>
      </c>
      <c r="I321" s="9" t="s">
        <v>115</v>
      </c>
      <c r="J321" s="9">
        <v>1405</v>
      </c>
      <c r="K321" s="9" t="s">
        <v>2701</v>
      </c>
      <c r="L321" s="9" t="s">
        <v>117</v>
      </c>
      <c r="M321" s="10">
        <v>4.2002314814814812E-2</v>
      </c>
      <c r="N321" s="9" t="s">
        <v>127</v>
      </c>
      <c r="O321" s="9" t="s">
        <v>2702</v>
      </c>
      <c r="P321" s="9" t="s">
        <v>119</v>
      </c>
      <c r="Q321" s="10">
        <v>1.217592592592593E-2</v>
      </c>
      <c r="R321" s="9" t="s">
        <v>56</v>
      </c>
      <c r="S321" s="10">
        <v>0.27982638888888889</v>
      </c>
      <c r="T321" s="9">
        <v>20.927</v>
      </c>
      <c r="U321" s="9">
        <v>9.2899999999999991</v>
      </c>
      <c r="V321" s="10">
        <v>9.3865740740740736E-2</v>
      </c>
      <c r="W321" s="10">
        <v>5.6828703703703701E-2</v>
      </c>
      <c r="X321" s="10">
        <v>0</v>
      </c>
      <c r="Y321" s="9">
        <v>0</v>
      </c>
      <c r="Z321" s="9">
        <v>0</v>
      </c>
      <c r="AA321" s="9">
        <v>0</v>
      </c>
      <c r="AB321" s="9">
        <v>0</v>
      </c>
      <c r="AC321" s="9">
        <v>0</v>
      </c>
      <c r="AD321" s="9">
        <v>2</v>
      </c>
      <c r="AE321" s="9" t="s">
        <v>139</v>
      </c>
      <c r="AF321" s="9" t="s">
        <v>2703</v>
      </c>
      <c r="AG321" s="9" t="s">
        <v>2704</v>
      </c>
      <c r="AH321" s="9">
        <v>6.2257049999999996</v>
      </c>
      <c r="AI321" s="9">
        <v>-75.599189999999993</v>
      </c>
      <c r="AJ321" s="9" t="s">
        <v>2705</v>
      </c>
      <c r="AK321" s="9">
        <v>6.2951839999999999</v>
      </c>
      <c r="AL321" s="9">
        <v>-75.554969999999997</v>
      </c>
      <c r="AM321" s="26">
        <f t="shared" si="4"/>
        <v>1.217592592592593E-2</v>
      </c>
      <c r="AN321" s="9"/>
    </row>
    <row r="322" spans="1:40" ht="15" x14ac:dyDescent="0.25">
      <c r="A322" s="9" t="s">
        <v>2706</v>
      </c>
      <c r="B322" s="9" t="s">
        <v>2707</v>
      </c>
      <c r="C322" s="9" t="s">
        <v>2708</v>
      </c>
      <c r="D322" s="9" t="s">
        <v>2618</v>
      </c>
      <c r="E322" s="9" t="s">
        <v>2619</v>
      </c>
      <c r="F322" s="9" t="s">
        <v>315</v>
      </c>
      <c r="G322" s="9" t="s">
        <v>144</v>
      </c>
      <c r="H322" s="9" t="s">
        <v>145</v>
      </c>
      <c r="I322" s="9" t="s">
        <v>115</v>
      </c>
      <c r="J322" s="9">
        <v>6739</v>
      </c>
      <c r="K322" s="9" t="s">
        <v>2709</v>
      </c>
      <c r="L322" s="9" t="s">
        <v>117</v>
      </c>
      <c r="M322" s="10">
        <v>1.8576388888888889E-2</v>
      </c>
      <c r="N322" s="9" t="s">
        <v>127</v>
      </c>
      <c r="O322" s="9" t="s">
        <v>2710</v>
      </c>
      <c r="P322" s="9" t="s">
        <v>119</v>
      </c>
      <c r="Q322" s="10">
        <v>4.3541666666666673E-2</v>
      </c>
      <c r="R322" s="9" t="s">
        <v>129</v>
      </c>
      <c r="S322" s="10">
        <v>0.31211805555555561</v>
      </c>
      <c r="T322" s="9">
        <v>101.31100000000001</v>
      </c>
      <c r="U322" s="9">
        <v>19.34</v>
      </c>
      <c r="V322" s="10">
        <v>0.218287037037037</v>
      </c>
      <c r="W322" s="10">
        <v>6.0520833333333343E-2</v>
      </c>
      <c r="X322" s="10">
        <v>0</v>
      </c>
      <c r="Y322" s="9">
        <v>0</v>
      </c>
      <c r="Z322" s="9">
        <v>0</v>
      </c>
      <c r="AA322" s="9">
        <v>0</v>
      </c>
      <c r="AB322" s="9">
        <v>0</v>
      </c>
      <c r="AC322" s="9">
        <v>0</v>
      </c>
      <c r="AD322" s="9">
        <v>0</v>
      </c>
      <c r="AE322" s="9" t="s">
        <v>130</v>
      </c>
      <c r="AF322" s="9" t="s">
        <v>2711</v>
      </c>
      <c r="AG322" s="9" t="s">
        <v>2712</v>
      </c>
      <c r="AH322" s="9">
        <v>6.2268650000000001</v>
      </c>
      <c r="AI322" s="9">
        <v>-75.599376000000007</v>
      </c>
      <c r="AJ322" s="9" t="s">
        <v>2713</v>
      </c>
      <c r="AK322" s="9">
        <v>6.2904039999999997</v>
      </c>
      <c r="AL322" s="9">
        <v>-75.546580000000006</v>
      </c>
      <c r="AM322" s="26">
        <f t="shared" si="4"/>
        <v>0</v>
      </c>
      <c r="AN322" s="9"/>
    </row>
    <row r="323" spans="1:40" ht="15" x14ac:dyDescent="0.25">
      <c r="A323" s="9" t="s">
        <v>2714</v>
      </c>
      <c r="B323" s="9" t="s">
        <v>2715</v>
      </c>
      <c r="C323" s="9" t="s">
        <v>2716</v>
      </c>
      <c r="D323" s="9" t="s">
        <v>2618</v>
      </c>
      <c r="E323" s="9" t="s">
        <v>2619</v>
      </c>
      <c r="F323" s="9" t="s">
        <v>315</v>
      </c>
      <c r="G323" s="9" t="s">
        <v>152</v>
      </c>
      <c r="H323" s="9" t="s">
        <v>153</v>
      </c>
      <c r="I323" s="9" t="s">
        <v>115</v>
      </c>
      <c r="J323" s="9">
        <v>1420</v>
      </c>
      <c r="K323" s="9" t="s">
        <v>2717</v>
      </c>
      <c r="L323" s="9" t="s">
        <v>117</v>
      </c>
      <c r="M323" s="10">
        <v>3.1724537037037037E-2</v>
      </c>
      <c r="N323" s="9" t="s">
        <v>127</v>
      </c>
      <c r="O323" s="9" t="s">
        <v>2718</v>
      </c>
      <c r="P323" s="9" t="s">
        <v>119</v>
      </c>
      <c r="Q323" s="10">
        <v>0.1288194444444444</v>
      </c>
      <c r="R323" s="9" t="s">
        <v>56</v>
      </c>
      <c r="S323" s="10">
        <v>0.15290509259259261</v>
      </c>
      <c r="T323" s="9">
        <v>18.783999999999999</v>
      </c>
      <c r="U323" s="9">
        <v>7.74</v>
      </c>
      <c r="V323" s="10">
        <v>0.1010763888888889</v>
      </c>
      <c r="W323" s="10">
        <v>6.9780092592592588E-2</v>
      </c>
      <c r="X323" s="10">
        <v>0</v>
      </c>
      <c r="Y323" s="9">
        <v>0</v>
      </c>
      <c r="Z323" s="9">
        <v>0</v>
      </c>
      <c r="AA323" s="9">
        <v>0</v>
      </c>
      <c r="AB323" s="9">
        <v>0</v>
      </c>
      <c r="AC323" s="9">
        <v>0</v>
      </c>
      <c r="AD323" s="9">
        <v>1</v>
      </c>
      <c r="AE323" s="9" t="s">
        <v>139</v>
      </c>
      <c r="AF323" s="9" t="s">
        <v>2719</v>
      </c>
      <c r="AG323" s="9" t="s">
        <v>2720</v>
      </c>
      <c r="AH323" s="9">
        <v>6.2260249999999999</v>
      </c>
      <c r="AI323" s="9">
        <v>-75.599369999999993</v>
      </c>
      <c r="AJ323" s="9" t="s">
        <v>2721</v>
      </c>
      <c r="AK323" s="9">
        <v>6.2517670000000001</v>
      </c>
      <c r="AL323" s="9">
        <v>-75.551829999999995</v>
      </c>
      <c r="AM323" s="26">
        <f t="shared" ref="AM323:AM325" si="5">IF(N323="INICIO TARDÍO",M323,0)+IF(R323="TERMINÓ ANTES",Q323,0)</f>
        <v>0.1288194444444444</v>
      </c>
      <c r="AN323" s="9"/>
    </row>
    <row r="324" spans="1:40" ht="15" x14ac:dyDescent="0.25">
      <c r="A324" s="9" t="s">
        <v>2722</v>
      </c>
      <c r="B324" s="9" t="s">
        <v>2723</v>
      </c>
      <c r="C324" s="9" t="s">
        <v>2724</v>
      </c>
      <c r="D324" s="9" t="s">
        <v>2618</v>
      </c>
      <c r="E324" s="9" t="s">
        <v>2619</v>
      </c>
      <c r="F324" s="9" t="s">
        <v>315</v>
      </c>
      <c r="G324" s="9" t="s">
        <v>160</v>
      </c>
      <c r="H324" s="9" t="s">
        <v>161</v>
      </c>
      <c r="I324" s="9" t="s">
        <v>115</v>
      </c>
      <c r="J324" s="9">
        <v>9563</v>
      </c>
      <c r="K324" s="9" t="s">
        <v>2725</v>
      </c>
      <c r="L324" s="9" t="s">
        <v>117</v>
      </c>
      <c r="M324" s="10">
        <v>1.9616215277777779E-2</v>
      </c>
      <c r="N324" s="9" t="s">
        <v>127</v>
      </c>
      <c r="O324" s="9" t="s">
        <v>2726</v>
      </c>
      <c r="P324" s="9" t="s">
        <v>119</v>
      </c>
      <c r="Q324" s="10">
        <v>1.4685555555555559E-2</v>
      </c>
      <c r="R324" s="9" t="s">
        <v>129</v>
      </c>
      <c r="S324" s="10">
        <v>0.2843017708333333</v>
      </c>
      <c r="T324" s="9">
        <v>55.212000000000003</v>
      </c>
      <c r="U324" s="9">
        <v>13.09</v>
      </c>
      <c r="V324" s="10">
        <v>0.17577624999999991</v>
      </c>
      <c r="W324" s="10">
        <v>0.12171476851851851</v>
      </c>
      <c r="X324" s="10">
        <v>5.9606134259259256E-3</v>
      </c>
      <c r="Y324" s="9">
        <v>0</v>
      </c>
      <c r="Z324" s="9">
        <v>0</v>
      </c>
      <c r="AA324" s="9">
        <v>0</v>
      </c>
      <c r="AB324" s="9">
        <v>0</v>
      </c>
      <c r="AC324" s="9">
        <v>0</v>
      </c>
      <c r="AD324" s="9">
        <v>3</v>
      </c>
      <c r="AE324" s="9" t="s">
        <v>130</v>
      </c>
      <c r="AF324" s="9" t="s">
        <v>2727</v>
      </c>
      <c r="AG324" s="9" t="s">
        <v>2728</v>
      </c>
      <c r="AH324" s="9">
        <v>6.2264699999999999</v>
      </c>
      <c r="AI324" s="9">
        <v>-75.599547999999999</v>
      </c>
      <c r="AJ324" s="9" t="s">
        <v>2729</v>
      </c>
      <c r="AK324" s="9">
        <v>6.2684319999999998</v>
      </c>
      <c r="AL324" s="9">
        <v>-75.599476999999993</v>
      </c>
      <c r="AM324" s="26">
        <f t="shared" si="5"/>
        <v>0</v>
      </c>
      <c r="AN324" s="9"/>
    </row>
    <row r="325" spans="1:40" ht="15" x14ac:dyDescent="0.25">
      <c r="A325" s="9" t="s">
        <v>2730</v>
      </c>
      <c r="B325" s="9" t="s">
        <v>2731</v>
      </c>
      <c r="C325" s="9" t="s">
        <v>2732</v>
      </c>
      <c r="D325" s="9" t="s">
        <v>2733</v>
      </c>
      <c r="E325" s="9" t="s">
        <v>2619</v>
      </c>
      <c r="F325" s="9" t="s">
        <v>406</v>
      </c>
      <c r="G325" s="9" t="s">
        <v>38</v>
      </c>
      <c r="H325" s="9" t="s">
        <v>39</v>
      </c>
      <c r="I325" s="9" t="s">
        <v>40</v>
      </c>
      <c r="J325" s="9">
        <v>7959</v>
      </c>
      <c r="K325" s="9" t="s">
        <v>2734</v>
      </c>
      <c r="L325" s="9" t="s">
        <v>42</v>
      </c>
      <c r="M325" s="10">
        <v>1.377377314814815E-2</v>
      </c>
      <c r="N325" s="9" t="s">
        <v>43</v>
      </c>
      <c r="O325" s="9" t="s">
        <v>2735</v>
      </c>
      <c r="P325" s="9" t="s">
        <v>413</v>
      </c>
      <c r="Q325" s="10">
        <v>5.5670601851851853E-3</v>
      </c>
      <c r="R325" s="9" t="s">
        <v>46</v>
      </c>
      <c r="S325" s="10">
        <v>0.29315916666666669</v>
      </c>
      <c r="T325" s="9">
        <v>52.771999999999998</v>
      </c>
      <c r="U325" s="9">
        <v>21.83</v>
      </c>
      <c r="V325" s="10">
        <v>0.10070980324074071</v>
      </c>
      <c r="W325" s="10">
        <v>3.478936342592593E-2</v>
      </c>
      <c r="X325" s="10">
        <v>0</v>
      </c>
      <c r="Y325" s="9">
        <v>0</v>
      </c>
      <c r="Z325" s="9">
        <v>0</v>
      </c>
      <c r="AA325" s="9">
        <v>0</v>
      </c>
      <c r="AB325" s="9">
        <v>0</v>
      </c>
      <c r="AC325" s="9">
        <v>0</v>
      </c>
      <c r="AD325" s="9">
        <v>6</v>
      </c>
      <c r="AE325" s="9" t="s">
        <v>47</v>
      </c>
      <c r="AF325" s="9" t="s">
        <v>2736</v>
      </c>
      <c r="AG325" s="9" t="s">
        <v>2737</v>
      </c>
      <c r="AH325" s="9">
        <v>6.2217750000000001</v>
      </c>
      <c r="AI325" s="9">
        <v>-75.593822000000003</v>
      </c>
      <c r="AJ325" s="9" t="s">
        <v>2738</v>
      </c>
      <c r="AK325" s="9">
        <v>6.2217039999999999</v>
      </c>
      <c r="AL325" s="9">
        <v>-75.593849000000006</v>
      </c>
      <c r="AM325" s="26">
        <f t="shared" si="5"/>
        <v>1.377377314814815E-2</v>
      </c>
      <c r="AN325" s="9"/>
    </row>
    <row r="326" spans="1:40" ht="15" x14ac:dyDescent="0.25">
      <c r="A326" s="9" t="s">
        <v>2739</v>
      </c>
      <c r="B326" s="9" t="s">
        <v>2740</v>
      </c>
      <c r="C326" s="9" t="s">
        <v>2741</v>
      </c>
      <c r="D326" s="9" t="s">
        <v>2733</v>
      </c>
      <c r="E326" s="9" t="s">
        <v>2619</v>
      </c>
      <c r="F326" s="9" t="s">
        <v>406</v>
      </c>
      <c r="G326" s="9" t="s">
        <v>52</v>
      </c>
      <c r="H326" s="9" t="s">
        <v>53</v>
      </c>
      <c r="I326" s="9" t="s">
        <v>40</v>
      </c>
      <c r="J326" s="9">
        <v>3894</v>
      </c>
      <c r="K326" s="9" t="s">
        <v>2742</v>
      </c>
      <c r="L326" s="9" t="s">
        <v>42</v>
      </c>
      <c r="M326" s="10">
        <v>1.608796296296296E-2</v>
      </c>
      <c r="N326" s="9" t="s">
        <v>127</v>
      </c>
      <c r="O326" s="9" t="s">
        <v>2743</v>
      </c>
      <c r="P326" s="9" t="s">
        <v>413</v>
      </c>
      <c r="Q326" s="10">
        <v>1.631944444444445E-3</v>
      </c>
      <c r="R326" s="9" t="s">
        <v>46</v>
      </c>
      <c r="S326" s="10">
        <v>0.33021990740740742</v>
      </c>
      <c r="T326" s="9">
        <v>55.936999999999998</v>
      </c>
      <c r="U326" s="9">
        <v>8.2899999999999991</v>
      </c>
      <c r="V326" s="10">
        <v>0.28120370370370368</v>
      </c>
      <c r="W326" s="10">
        <v>0.18986111111111109</v>
      </c>
      <c r="X326" s="10">
        <v>0</v>
      </c>
      <c r="Y326" s="9">
        <v>0</v>
      </c>
      <c r="Z326" s="9">
        <v>0</v>
      </c>
      <c r="AA326" s="9">
        <v>0</v>
      </c>
      <c r="AB326" s="9">
        <v>0</v>
      </c>
      <c r="AC326" s="9">
        <v>0</v>
      </c>
      <c r="AD326" s="9">
        <v>3</v>
      </c>
      <c r="AE326" s="9" t="s">
        <v>139</v>
      </c>
      <c r="AF326" s="9" t="s">
        <v>2744</v>
      </c>
      <c r="AG326" s="9" t="s">
        <v>2745</v>
      </c>
      <c r="AH326" s="9">
        <v>6.225841</v>
      </c>
      <c r="AI326" s="9">
        <v>-75.599310000000003</v>
      </c>
      <c r="AJ326" s="9" t="s">
        <v>2746</v>
      </c>
      <c r="AK326" s="9">
        <v>6.2477780000000003</v>
      </c>
      <c r="AL326" s="9">
        <v>-75.614999999999995</v>
      </c>
      <c r="AM326" s="26">
        <f t="shared" ref="AM326:AM381" si="6">IF(N326="INICIO TARDÍO",M326,0)+IF(R326="TERMINÓ ANTES",Q326,0)</f>
        <v>0</v>
      </c>
    </row>
    <row r="327" spans="1:40" ht="15" x14ac:dyDescent="0.25">
      <c r="A327" s="9" t="s">
        <v>2747</v>
      </c>
      <c r="B327" s="9" t="s">
        <v>2748</v>
      </c>
      <c r="C327" s="9" t="s">
        <v>2749</v>
      </c>
      <c r="D327" s="9" t="s">
        <v>2733</v>
      </c>
      <c r="E327" s="9" t="s">
        <v>2619</v>
      </c>
      <c r="F327" s="9" t="s">
        <v>406</v>
      </c>
      <c r="G327" s="9" t="s">
        <v>113</v>
      </c>
      <c r="H327" s="9" t="s">
        <v>114</v>
      </c>
      <c r="I327" s="9" t="s">
        <v>40</v>
      </c>
      <c r="J327" s="9">
        <v>2444</v>
      </c>
      <c r="K327" s="9" t="s">
        <v>2750</v>
      </c>
      <c r="L327" s="9" t="s">
        <v>42</v>
      </c>
      <c r="M327" s="10">
        <v>1.711805555555556E-2</v>
      </c>
      <c r="N327" s="9" t="s">
        <v>43</v>
      </c>
      <c r="O327" s="9" t="s">
        <v>2751</v>
      </c>
      <c r="P327" s="9" t="s">
        <v>413</v>
      </c>
      <c r="Q327" s="10">
        <v>2.9953703703703701E-2</v>
      </c>
      <c r="R327" s="9" t="s">
        <v>56</v>
      </c>
      <c r="S327" s="10">
        <v>0.26542824074074067</v>
      </c>
      <c r="T327" s="9">
        <v>32.552</v>
      </c>
      <c r="U327" s="9">
        <v>6.43</v>
      </c>
      <c r="V327" s="10">
        <v>0.21079861111111109</v>
      </c>
      <c r="W327" s="10">
        <v>0.15156249999999999</v>
      </c>
      <c r="X327" s="10">
        <v>0</v>
      </c>
      <c r="Y327" s="9">
        <v>0</v>
      </c>
      <c r="Z327" s="9">
        <v>0</v>
      </c>
      <c r="AA327" s="9">
        <v>0</v>
      </c>
      <c r="AB327" s="9">
        <v>0</v>
      </c>
      <c r="AC327" s="9">
        <v>0</v>
      </c>
      <c r="AD327" s="9">
        <v>2</v>
      </c>
      <c r="AE327" s="9" t="s">
        <v>57</v>
      </c>
      <c r="AF327" s="9" t="s">
        <v>2752</v>
      </c>
      <c r="AG327" s="9" t="s">
        <v>2753</v>
      </c>
      <c r="AH327" s="9">
        <v>6.22675</v>
      </c>
      <c r="AI327" s="9">
        <v>-75.601354000000001</v>
      </c>
      <c r="AJ327" s="9" t="s">
        <v>2754</v>
      </c>
      <c r="AK327" s="9">
        <v>6.2511450000000002</v>
      </c>
      <c r="AL327" s="9">
        <v>-75.602317999999997</v>
      </c>
      <c r="AM327" s="26">
        <f t="shared" si="6"/>
        <v>4.7071759259259258E-2</v>
      </c>
    </row>
    <row r="328" spans="1:40" ht="15" x14ac:dyDescent="0.25">
      <c r="A328" s="9" t="s">
        <v>2755</v>
      </c>
      <c r="B328" s="9" t="s">
        <v>2756</v>
      </c>
      <c r="C328" s="9" t="s">
        <v>2757</v>
      </c>
      <c r="D328" s="9" t="s">
        <v>2733</v>
      </c>
      <c r="E328" s="9" t="s">
        <v>2619</v>
      </c>
      <c r="F328" s="9" t="s">
        <v>406</v>
      </c>
      <c r="G328" s="9" t="s">
        <v>62</v>
      </c>
      <c r="H328" s="9" t="s">
        <v>63</v>
      </c>
      <c r="I328" s="9" t="s">
        <v>40</v>
      </c>
      <c r="J328" s="9">
        <v>3262</v>
      </c>
      <c r="K328" s="9" t="s">
        <v>2758</v>
      </c>
      <c r="L328" s="9" t="s">
        <v>42</v>
      </c>
      <c r="M328" s="10">
        <v>2.945601851851852E-2</v>
      </c>
      <c r="N328" s="9" t="s">
        <v>43</v>
      </c>
      <c r="O328" s="9" t="s">
        <v>2759</v>
      </c>
      <c r="P328" s="9" t="s">
        <v>413</v>
      </c>
      <c r="Q328" s="10">
        <v>9.6030092592592597E-2</v>
      </c>
      <c r="R328" s="9" t="s">
        <v>56</v>
      </c>
      <c r="S328" s="10">
        <v>0.1870138888888889</v>
      </c>
      <c r="T328" s="9">
        <v>44.158999999999999</v>
      </c>
      <c r="U328" s="9">
        <v>15.18</v>
      </c>
      <c r="V328" s="10">
        <v>0.12119212962962959</v>
      </c>
      <c r="W328" s="10">
        <v>4.5902777777777778E-2</v>
      </c>
      <c r="X328" s="10">
        <v>0</v>
      </c>
      <c r="Y328" s="9">
        <v>0</v>
      </c>
      <c r="Z328" s="9">
        <v>0</v>
      </c>
      <c r="AA328" s="9">
        <v>0</v>
      </c>
      <c r="AB328" s="9">
        <v>0</v>
      </c>
      <c r="AC328" s="9">
        <v>0</v>
      </c>
      <c r="AD328" s="9">
        <v>0</v>
      </c>
      <c r="AE328" s="9" t="s">
        <v>57</v>
      </c>
      <c r="AF328" s="9" t="s">
        <v>2760</v>
      </c>
      <c r="AG328" s="9" t="s">
        <v>2761</v>
      </c>
      <c r="AH328" s="9">
        <v>6.2352509999999999</v>
      </c>
      <c r="AI328" s="9">
        <v>-75.600564000000006</v>
      </c>
      <c r="AJ328" s="9" t="s">
        <v>2762</v>
      </c>
      <c r="AK328" s="9">
        <v>6.300592</v>
      </c>
      <c r="AL328" s="9">
        <v>-75.568960000000004</v>
      </c>
      <c r="AM328" s="26">
        <f t="shared" si="6"/>
        <v>0.12548611111111113</v>
      </c>
    </row>
    <row r="329" spans="1:40" ht="15" x14ac:dyDescent="0.25">
      <c r="A329" s="9" t="s">
        <v>2763</v>
      </c>
      <c r="B329" s="9" t="s">
        <v>2764</v>
      </c>
      <c r="C329" s="9" t="s">
        <v>2765</v>
      </c>
      <c r="D329" s="9" t="s">
        <v>2733</v>
      </c>
      <c r="E329" s="9" t="s">
        <v>2619</v>
      </c>
      <c r="F329" s="9" t="s">
        <v>406</v>
      </c>
      <c r="G329" s="9" t="s">
        <v>80</v>
      </c>
      <c r="H329" s="9" t="s">
        <v>81</v>
      </c>
      <c r="I329" s="9" t="s">
        <v>40</v>
      </c>
      <c r="J329" s="9">
        <v>6000</v>
      </c>
      <c r="K329" s="9" t="s">
        <v>2766</v>
      </c>
      <c r="L329" s="9" t="s">
        <v>42</v>
      </c>
      <c r="M329" s="10">
        <v>3.102303240740741E-3</v>
      </c>
      <c r="N329" s="9" t="s">
        <v>65</v>
      </c>
      <c r="O329" s="9" t="s">
        <v>2767</v>
      </c>
      <c r="P329" s="9" t="s">
        <v>413</v>
      </c>
      <c r="Q329" s="10">
        <v>2.086569444444444E-2</v>
      </c>
      <c r="R329" s="9" t="s">
        <v>129</v>
      </c>
      <c r="S329" s="10">
        <v>0.33026339120370368</v>
      </c>
      <c r="T329" s="9">
        <v>39.268000000000001</v>
      </c>
      <c r="U329" s="9">
        <v>18.03</v>
      </c>
      <c r="V329" s="10">
        <v>9.0739675925925883E-2</v>
      </c>
      <c r="W329" s="10">
        <v>4.3603831018518523E-2</v>
      </c>
      <c r="X329" s="10">
        <v>0</v>
      </c>
      <c r="Y329" s="9">
        <v>0</v>
      </c>
      <c r="Z329" s="9">
        <v>0</v>
      </c>
      <c r="AA329" s="9">
        <v>0</v>
      </c>
      <c r="AB329" s="9">
        <v>0</v>
      </c>
      <c r="AC329" s="9">
        <v>0</v>
      </c>
      <c r="AD329" s="9">
        <v>14</v>
      </c>
      <c r="AE329" s="9" t="s">
        <v>130</v>
      </c>
      <c r="AF329" s="9" t="s">
        <v>2768</v>
      </c>
      <c r="AG329" s="9" t="s">
        <v>2769</v>
      </c>
      <c r="AH329" s="9">
        <v>6.2256489999999998</v>
      </c>
      <c r="AI329" s="9">
        <v>-75.599413999999996</v>
      </c>
      <c r="AJ329" s="9" t="s">
        <v>2770</v>
      </c>
      <c r="AK329" s="9">
        <v>6.2468830000000004</v>
      </c>
      <c r="AL329" s="9">
        <v>-75.554148999999995</v>
      </c>
      <c r="AM329" s="26">
        <f t="shared" si="6"/>
        <v>0</v>
      </c>
    </row>
    <row r="330" spans="1:40" ht="15" x14ac:dyDescent="0.25">
      <c r="A330" s="9" t="s">
        <v>2771</v>
      </c>
      <c r="B330" s="9" t="s">
        <v>2772</v>
      </c>
      <c r="C330" s="9" t="s">
        <v>2773</v>
      </c>
      <c r="D330" s="9" t="s">
        <v>2733</v>
      </c>
      <c r="E330" s="9" t="s">
        <v>2619</v>
      </c>
      <c r="F330" s="9" t="s">
        <v>406</v>
      </c>
      <c r="G330" s="9" t="s">
        <v>89</v>
      </c>
      <c r="H330" s="9" t="s">
        <v>90</v>
      </c>
      <c r="I330" s="9" t="s">
        <v>40</v>
      </c>
      <c r="J330" s="9">
        <v>4031</v>
      </c>
      <c r="K330" s="9" t="s">
        <v>2774</v>
      </c>
      <c r="L330" s="9" t="s">
        <v>42</v>
      </c>
      <c r="M330" s="10">
        <v>1.805555555555555E-3</v>
      </c>
      <c r="N330" s="9" t="s">
        <v>65</v>
      </c>
      <c r="O330" s="9" t="s">
        <v>2775</v>
      </c>
      <c r="P330" s="9" t="s">
        <v>413</v>
      </c>
      <c r="Q330" s="10">
        <v>9.432870370370371E-3</v>
      </c>
      <c r="R330" s="9" t="s">
        <v>46</v>
      </c>
      <c r="S330" s="10">
        <v>0.30126157407407411</v>
      </c>
      <c r="T330" s="9">
        <v>49.186999999999998</v>
      </c>
      <c r="U330" s="9">
        <v>8.08</v>
      </c>
      <c r="V330" s="10">
        <v>0.25365740740740739</v>
      </c>
      <c r="W330" s="10">
        <v>0.12096064814814821</v>
      </c>
      <c r="X330" s="10">
        <v>0</v>
      </c>
      <c r="Y330" s="9">
        <v>0</v>
      </c>
      <c r="Z330" s="9">
        <v>0</v>
      </c>
      <c r="AA330" s="9">
        <v>0</v>
      </c>
      <c r="AB330" s="9">
        <v>0</v>
      </c>
      <c r="AC330" s="9">
        <v>0</v>
      </c>
      <c r="AD330" s="9">
        <v>0</v>
      </c>
      <c r="AE330" s="9" t="s">
        <v>84</v>
      </c>
      <c r="AF330" s="9" t="s">
        <v>352</v>
      </c>
      <c r="AG330" s="9" t="s">
        <v>2776</v>
      </c>
      <c r="AH330" s="9">
        <v>6.2268699999999999</v>
      </c>
      <c r="AI330" s="9">
        <v>-75.599140000000006</v>
      </c>
      <c r="AJ330" s="9" t="s">
        <v>2777</v>
      </c>
      <c r="AK330" s="9">
        <v>6.2794489999999996</v>
      </c>
      <c r="AL330" s="9">
        <v>-75.569809000000006</v>
      </c>
      <c r="AM330" s="26">
        <f t="shared" si="6"/>
        <v>0</v>
      </c>
    </row>
    <row r="331" spans="1:40" ht="15" x14ac:dyDescent="0.25">
      <c r="A331" s="9" t="s">
        <v>2778</v>
      </c>
      <c r="B331" s="9" t="s">
        <v>2779</v>
      </c>
      <c r="C331" s="9" t="s">
        <v>2780</v>
      </c>
      <c r="D331" s="9" t="s">
        <v>2733</v>
      </c>
      <c r="E331" s="9" t="s">
        <v>2619</v>
      </c>
      <c r="F331" s="9" t="s">
        <v>406</v>
      </c>
      <c r="G331" s="9" t="s">
        <v>97</v>
      </c>
      <c r="H331" s="9" t="s">
        <v>98</v>
      </c>
      <c r="I331" s="9" t="s">
        <v>40</v>
      </c>
      <c r="J331" s="9">
        <v>4983</v>
      </c>
      <c r="K331" s="9" t="s">
        <v>2781</v>
      </c>
      <c r="L331" s="9" t="s">
        <v>42</v>
      </c>
      <c r="M331" s="10">
        <v>8.5532407407407415E-3</v>
      </c>
      <c r="N331" s="9" t="s">
        <v>65</v>
      </c>
      <c r="O331" s="9" t="s">
        <v>2782</v>
      </c>
      <c r="P331" s="9" t="s">
        <v>413</v>
      </c>
      <c r="Q331" s="10">
        <v>4.9247685185185193E-2</v>
      </c>
      <c r="R331" s="9" t="s">
        <v>56</v>
      </c>
      <c r="S331" s="10">
        <v>0.25469907407407399</v>
      </c>
      <c r="T331" s="9">
        <v>67.352000000000004</v>
      </c>
      <c r="U331" s="9">
        <v>15.17</v>
      </c>
      <c r="V331" s="10">
        <v>0.1850347222222222</v>
      </c>
      <c r="W331" s="10">
        <v>9.3159722222222227E-2</v>
      </c>
      <c r="X331" s="10">
        <v>4.3518518518518524E-3</v>
      </c>
      <c r="Y331" s="9">
        <v>0</v>
      </c>
      <c r="Z331" s="9">
        <v>0</v>
      </c>
      <c r="AA331" s="9">
        <v>0</v>
      </c>
      <c r="AB331" s="9">
        <v>0</v>
      </c>
      <c r="AC331" s="9">
        <v>0</v>
      </c>
      <c r="AD331" s="9">
        <v>1</v>
      </c>
      <c r="AE331" s="9" t="s">
        <v>67</v>
      </c>
      <c r="AF331" s="9" t="s">
        <v>2783</v>
      </c>
      <c r="AG331" s="9" t="s">
        <v>2784</v>
      </c>
      <c r="AH331" s="9">
        <v>6.2257360000000004</v>
      </c>
      <c r="AI331" s="9">
        <v>-75.599547000000001</v>
      </c>
      <c r="AJ331" s="9" t="s">
        <v>2785</v>
      </c>
      <c r="AK331" s="9">
        <v>6.3070430000000002</v>
      </c>
      <c r="AL331" s="9">
        <v>-75.555594999999997</v>
      </c>
      <c r="AM331" s="26">
        <f t="shared" si="6"/>
        <v>4.9247685185185193E-2</v>
      </c>
    </row>
    <row r="332" spans="1:40" ht="15" x14ac:dyDescent="0.25">
      <c r="A332" s="9" t="s">
        <v>2786</v>
      </c>
      <c r="B332" s="9" t="s">
        <v>2787</v>
      </c>
      <c r="C332" s="9" t="s">
        <v>2788</v>
      </c>
      <c r="D332" s="9" t="s">
        <v>2733</v>
      </c>
      <c r="E332" s="9" t="s">
        <v>2619</v>
      </c>
      <c r="F332" s="9" t="s">
        <v>406</v>
      </c>
      <c r="G332" s="9" t="s">
        <v>105</v>
      </c>
      <c r="H332" s="9" t="s">
        <v>106</v>
      </c>
      <c r="I332" s="9" t="s">
        <v>40</v>
      </c>
      <c r="J332" s="9">
        <v>2153</v>
      </c>
      <c r="K332" s="9" t="s">
        <v>2789</v>
      </c>
      <c r="L332" s="9" t="s">
        <v>42</v>
      </c>
      <c r="M332" s="10">
        <v>2.210648148148148E-2</v>
      </c>
      <c r="N332" s="9" t="s">
        <v>43</v>
      </c>
      <c r="O332" s="9" t="s">
        <v>2790</v>
      </c>
      <c r="P332" s="9" t="s">
        <v>413</v>
      </c>
      <c r="Q332" s="10">
        <v>7.6273148148148151E-3</v>
      </c>
      <c r="R332" s="9" t="s">
        <v>46</v>
      </c>
      <c r="S332" s="10">
        <v>0.29802083333333329</v>
      </c>
      <c r="T332" s="9">
        <v>27.184999999999999</v>
      </c>
      <c r="U332" s="9">
        <v>9.01</v>
      </c>
      <c r="V332" s="10">
        <v>0.1257638888888889</v>
      </c>
      <c r="W332" s="10">
        <v>8.6365740740740743E-2</v>
      </c>
      <c r="X332" s="10">
        <v>0</v>
      </c>
      <c r="Y332" s="9">
        <v>0</v>
      </c>
      <c r="Z332" s="9">
        <v>0</v>
      </c>
      <c r="AA332" s="9">
        <v>0</v>
      </c>
      <c r="AB332" s="9">
        <v>0</v>
      </c>
      <c r="AC332" s="9">
        <v>0</v>
      </c>
      <c r="AD332" s="9">
        <v>1</v>
      </c>
      <c r="AE332" s="9" t="s">
        <v>47</v>
      </c>
      <c r="AF332" s="9" t="s">
        <v>2791</v>
      </c>
      <c r="AG332" s="9" t="s">
        <v>2792</v>
      </c>
      <c r="AH332" s="9">
        <v>6.2257860000000003</v>
      </c>
      <c r="AI332" s="9">
        <v>-75.599468000000002</v>
      </c>
      <c r="AJ332" s="9" t="s">
        <v>2793</v>
      </c>
      <c r="AK332" s="9">
        <v>6.2319110000000002</v>
      </c>
      <c r="AL332" s="9">
        <v>-75.603089999999995</v>
      </c>
      <c r="AM332" s="26">
        <f t="shared" si="6"/>
        <v>2.210648148148148E-2</v>
      </c>
    </row>
    <row r="333" spans="1:40" ht="15" x14ac:dyDescent="0.25">
      <c r="A333" s="9" t="s">
        <v>2794</v>
      </c>
      <c r="B333" s="9" t="s">
        <v>2795</v>
      </c>
      <c r="C333" s="9" t="s">
        <v>2796</v>
      </c>
      <c r="D333" s="9" t="s">
        <v>2797</v>
      </c>
      <c r="E333" s="9" t="s">
        <v>2619</v>
      </c>
      <c r="F333" s="9" t="s">
        <v>455</v>
      </c>
      <c r="G333" s="9" t="s">
        <v>52</v>
      </c>
      <c r="H333" s="9" t="s">
        <v>53</v>
      </c>
      <c r="I333" s="9" t="s">
        <v>40</v>
      </c>
      <c r="J333" s="9">
        <v>3130</v>
      </c>
      <c r="K333" s="9" t="s">
        <v>2798</v>
      </c>
      <c r="L333" s="9" t="s">
        <v>42</v>
      </c>
      <c r="M333" s="10">
        <v>1.380787037037037E-2</v>
      </c>
      <c r="N333" s="9" t="s">
        <v>43</v>
      </c>
      <c r="O333" s="9" t="s">
        <v>2799</v>
      </c>
      <c r="P333" s="9" t="s">
        <v>413</v>
      </c>
      <c r="Q333" s="10">
        <v>1.819444444444444E-2</v>
      </c>
      <c r="R333" s="9" t="s">
        <v>56</v>
      </c>
      <c r="S333" s="10">
        <v>0.2804976851851852</v>
      </c>
      <c r="T333" s="9">
        <v>40.445</v>
      </c>
      <c r="U333" s="9">
        <v>7.65</v>
      </c>
      <c r="V333" s="10">
        <v>0.22027777777777779</v>
      </c>
      <c r="W333" s="10">
        <v>0.1456365740740741</v>
      </c>
      <c r="X333" s="10">
        <v>0</v>
      </c>
      <c r="Y333" s="9">
        <v>0</v>
      </c>
      <c r="Z333" s="9">
        <v>0</v>
      </c>
      <c r="AA333" s="9">
        <v>0</v>
      </c>
      <c r="AB333" s="9">
        <v>0</v>
      </c>
      <c r="AC333" s="9">
        <v>0</v>
      </c>
      <c r="AD333" s="9">
        <v>2</v>
      </c>
      <c r="AE333" s="9" t="s">
        <v>57</v>
      </c>
      <c r="AF333" s="9" t="s">
        <v>2800</v>
      </c>
      <c r="AG333" s="9" t="s">
        <v>2801</v>
      </c>
      <c r="AH333" s="9">
        <v>6.2478400000000001</v>
      </c>
      <c r="AI333" s="9">
        <v>-75.615064000000004</v>
      </c>
      <c r="AJ333" s="9" t="s">
        <v>2802</v>
      </c>
      <c r="AK333" s="9">
        <v>6.2288399999999999</v>
      </c>
      <c r="AL333" s="9">
        <v>-75.578445000000002</v>
      </c>
      <c r="AM333" s="26">
        <f t="shared" si="6"/>
        <v>3.200231481481481E-2</v>
      </c>
    </row>
    <row r="334" spans="1:40" ht="15" x14ac:dyDescent="0.25">
      <c r="A334" s="9" t="s">
        <v>2803</v>
      </c>
      <c r="B334" s="9" t="s">
        <v>2804</v>
      </c>
      <c r="C334" s="9" t="s">
        <v>2805</v>
      </c>
      <c r="D334" s="9" t="s">
        <v>2797</v>
      </c>
      <c r="E334" s="9" t="s">
        <v>2619</v>
      </c>
      <c r="F334" s="9" t="s">
        <v>455</v>
      </c>
      <c r="G334" s="9" t="s">
        <v>113</v>
      </c>
      <c r="H334" s="9" t="s">
        <v>114</v>
      </c>
      <c r="I334" s="9" t="s">
        <v>40</v>
      </c>
      <c r="J334" s="9">
        <v>2471</v>
      </c>
      <c r="K334" s="9" t="s">
        <v>2806</v>
      </c>
      <c r="L334" s="9" t="s">
        <v>42</v>
      </c>
      <c r="M334" s="10">
        <v>3.6030092592592593E-2</v>
      </c>
      <c r="N334" s="9" t="s">
        <v>43</v>
      </c>
      <c r="O334" s="9" t="s">
        <v>2807</v>
      </c>
      <c r="P334" s="9" t="s">
        <v>413</v>
      </c>
      <c r="Q334" s="10">
        <v>2.266203703703704E-2</v>
      </c>
      <c r="R334" s="9" t="s">
        <v>56</v>
      </c>
      <c r="S334" s="10">
        <v>0.25380787037037039</v>
      </c>
      <c r="T334" s="9">
        <v>30.024999999999999</v>
      </c>
      <c r="U334" s="9">
        <v>6.81</v>
      </c>
      <c r="V334" s="10">
        <v>0.1837847222222222</v>
      </c>
      <c r="W334" s="10">
        <v>0.1191435185185185</v>
      </c>
      <c r="X334" s="10">
        <v>0</v>
      </c>
      <c r="Y334" s="9">
        <v>0</v>
      </c>
      <c r="Z334" s="9">
        <v>0</v>
      </c>
      <c r="AA334" s="9">
        <v>0</v>
      </c>
      <c r="AB334" s="9">
        <v>0</v>
      </c>
      <c r="AC334" s="9">
        <v>0</v>
      </c>
      <c r="AD334" s="9">
        <v>1</v>
      </c>
      <c r="AE334" s="9" t="s">
        <v>57</v>
      </c>
      <c r="AF334" s="9" t="s">
        <v>2808</v>
      </c>
      <c r="AG334" s="9" t="s">
        <v>2809</v>
      </c>
      <c r="AH334" s="9">
        <v>6.2504619999999997</v>
      </c>
      <c r="AI334" s="9">
        <v>-75.601303999999999</v>
      </c>
      <c r="AJ334" s="9" t="s">
        <v>2810</v>
      </c>
      <c r="AK334" s="9">
        <v>6.2432840000000001</v>
      </c>
      <c r="AL334" s="9">
        <v>-75.602463999999998</v>
      </c>
      <c r="AM334" s="26">
        <f t="shared" si="6"/>
        <v>5.8692129629629636E-2</v>
      </c>
    </row>
    <row r="335" spans="1:40" ht="15" x14ac:dyDescent="0.25">
      <c r="A335" s="9" t="s">
        <v>2811</v>
      </c>
      <c r="B335" s="9" t="s">
        <v>2812</v>
      </c>
      <c r="C335" s="9" t="s">
        <v>2813</v>
      </c>
      <c r="D335" s="9" t="s">
        <v>2733</v>
      </c>
      <c r="E335" s="9" t="s">
        <v>2619</v>
      </c>
      <c r="F335" s="9" t="s">
        <v>406</v>
      </c>
      <c r="G335" s="9" t="s">
        <v>72</v>
      </c>
      <c r="H335" s="9" t="s">
        <v>73</v>
      </c>
      <c r="I335" s="9" t="s">
        <v>40</v>
      </c>
      <c r="J335" s="9">
        <v>4157</v>
      </c>
      <c r="K335" s="9" t="s">
        <v>2814</v>
      </c>
      <c r="L335" s="9" t="s">
        <v>42</v>
      </c>
      <c r="M335" s="10">
        <v>9.6296296296296303E-3</v>
      </c>
      <c r="N335" s="9" t="s">
        <v>65</v>
      </c>
      <c r="O335" s="9" t="s">
        <v>2815</v>
      </c>
      <c r="P335" s="9" t="s">
        <v>413</v>
      </c>
      <c r="Q335" s="10">
        <v>7.1435185185185185E-2</v>
      </c>
      <c r="R335" s="9" t="s">
        <v>56</v>
      </c>
      <c r="S335" s="10">
        <v>0.25069444444444439</v>
      </c>
      <c r="T335" s="9">
        <v>57.838000000000001</v>
      </c>
      <c r="U335" s="9">
        <v>9.67</v>
      </c>
      <c r="V335" s="10">
        <v>0.24929398148148149</v>
      </c>
      <c r="W335" s="10">
        <v>0.15414351851851851</v>
      </c>
      <c r="X335" s="10">
        <v>0</v>
      </c>
      <c r="Y335" s="9">
        <v>0</v>
      </c>
      <c r="Z335" s="9">
        <v>0</v>
      </c>
      <c r="AA335" s="9">
        <v>0</v>
      </c>
      <c r="AB335" s="9">
        <v>0</v>
      </c>
      <c r="AC335" s="9">
        <v>0</v>
      </c>
      <c r="AD335" s="9">
        <v>3</v>
      </c>
      <c r="AE335" s="9" t="s">
        <v>67</v>
      </c>
      <c r="AF335" s="9" t="s">
        <v>2816</v>
      </c>
      <c r="AG335" s="9" t="s">
        <v>2817</v>
      </c>
      <c r="AH335" s="9">
        <v>6.2249990000000004</v>
      </c>
      <c r="AI335" s="9">
        <v>-75.598747000000003</v>
      </c>
      <c r="AJ335" s="9" t="s">
        <v>2818</v>
      </c>
      <c r="AK335" s="9">
        <v>6.2369199999999996</v>
      </c>
      <c r="AL335" s="9">
        <v>-75.558722000000003</v>
      </c>
      <c r="AM335" s="26">
        <f t="shared" si="6"/>
        <v>7.1435185185185185E-2</v>
      </c>
    </row>
    <row r="336" spans="1:40" ht="15" x14ac:dyDescent="0.25">
      <c r="A336" s="9" t="s">
        <v>2819</v>
      </c>
      <c r="B336" s="9" t="s">
        <v>2820</v>
      </c>
      <c r="C336" s="9" t="s">
        <v>2821</v>
      </c>
      <c r="D336" s="9" t="s">
        <v>2733</v>
      </c>
      <c r="E336" s="9" t="s">
        <v>2619</v>
      </c>
      <c r="F336" s="9" t="s">
        <v>406</v>
      </c>
      <c r="G336" s="9" t="s">
        <v>124</v>
      </c>
      <c r="H336" s="9" t="s">
        <v>125</v>
      </c>
      <c r="I336" s="9" t="s">
        <v>115</v>
      </c>
      <c r="J336" s="9">
        <v>3739</v>
      </c>
      <c r="K336" s="9" t="s">
        <v>2822</v>
      </c>
      <c r="L336" s="9" t="s">
        <v>117</v>
      </c>
      <c r="M336" s="10">
        <v>6.2962962962962964E-3</v>
      </c>
      <c r="N336" s="9" t="s">
        <v>65</v>
      </c>
      <c r="O336" s="9" t="s">
        <v>2823</v>
      </c>
      <c r="P336" s="9" t="s">
        <v>119</v>
      </c>
      <c r="Q336" s="10">
        <v>1.9861111111111111E-2</v>
      </c>
      <c r="R336" s="9" t="s">
        <v>129</v>
      </c>
      <c r="S336" s="10">
        <v>0.27615740740740741</v>
      </c>
      <c r="T336" s="9">
        <v>46.383000000000003</v>
      </c>
      <c r="U336" s="9">
        <v>9.67</v>
      </c>
      <c r="V336" s="10">
        <v>0.19993055555555561</v>
      </c>
      <c r="W336" s="10">
        <v>9.3611111111111117E-2</v>
      </c>
      <c r="X336" s="10">
        <v>2.8310185185185181E-2</v>
      </c>
      <c r="Y336" s="9">
        <v>1</v>
      </c>
      <c r="Z336" s="9">
        <v>1</v>
      </c>
      <c r="AA336" s="9">
        <v>1</v>
      </c>
      <c r="AB336" s="9">
        <v>1</v>
      </c>
      <c r="AC336" s="9">
        <v>0</v>
      </c>
      <c r="AD336" s="9">
        <v>0</v>
      </c>
      <c r="AE336" s="9" t="s">
        <v>130</v>
      </c>
      <c r="AF336" s="9" t="s">
        <v>2824</v>
      </c>
      <c r="AG336" s="9" t="s">
        <v>2825</v>
      </c>
      <c r="AH336" s="9">
        <v>6.2727029999999999</v>
      </c>
      <c r="AI336" s="9">
        <v>-75.602028000000004</v>
      </c>
      <c r="AJ336" s="9" t="s">
        <v>2826</v>
      </c>
      <c r="AK336" s="9">
        <v>6.272627</v>
      </c>
      <c r="AL336" s="9">
        <v>-75.602096000000003</v>
      </c>
      <c r="AM336" s="26">
        <f t="shared" si="6"/>
        <v>0</v>
      </c>
    </row>
    <row r="337" spans="1:39" ht="15" x14ac:dyDescent="0.25">
      <c r="A337" s="9" t="s">
        <v>2827</v>
      </c>
      <c r="B337" s="9" t="s">
        <v>2828</v>
      </c>
      <c r="C337" s="9" t="s">
        <v>2829</v>
      </c>
      <c r="D337" s="9" t="s">
        <v>2733</v>
      </c>
      <c r="E337" s="9" t="s">
        <v>2619</v>
      </c>
      <c r="F337" s="9" t="s">
        <v>406</v>
      </c>
      <c r="G337" s="9" t="s">
        <v>135</v>
      </c>
      <c r="H337" s="9" t="s">
        <v>136</v>
      </c>
      <c r="I337" s="9" t="s">
        <v>115</v>
      </c>
      <c r="J337" s="9">
        <v>2046</v>
      </c>
      <c r="K337" s="9" t="s">
        <v>2830</v>
      </c>
      <c r="L337" s="9" t="s">
        <v>117</v>
      </c>
      <c r="M337" s="10">
        <v>7.1296296296296299E-3</v>
      </c>
      <c r="N337" s="9" t="s">
        <v>65</v>
      </c>
      <c r="O337" s="9" t="s">
        <v>2831</v>
      </c>
      <c r="P337" s="9" t="s">
        <v>119</v>
      </c>
      <c r="Q337" s="10">
        <v>4.0509259259259258E-4</v>
      </c>
      <c r="R337" s="9" t="s">
        <v>46</v>
      </c>
      <c r="S337" s="10">
        <v>0.25672453703703701</v>
      </c>
      <c r="T337" s="9">
        <v>49.902999999999999</v>
      </c>
      <c r="U337" s="9">
        <v>18.760000000000002</v>
      </c>
      <c r="V337" s="10">
        <v>0.11081018518518521</v>
      </c>
      <c r="W337" s="10">
        <v>5.3761574074074073E-2</v>
      </c>
      <c r="X337" s="10">
        <v>0</v>
      </c>
      <c r="Y337" s="9">
        <v>0</v>
      </c>
      <c r="Z337" s="9">
        <v>0</v>
      </c>
      <c r="AA337" s="9">
        <v>0</v>
      </c>
      <c r="AB337" s="9">
        <v>0</v>
      </c>
      <c r="AC337" s="9">
        <v>0</v>
      </c>
      <c r="AD337" s="9">
        <v>7</v>
      </c>
      <c r="AE337" s="9" t="s">
        <v>84</v>
      </c>
      <c r="AF337" s="9" t="s">
        <v>2832</v>
      </c>
      <c r="AG337" s="9" t="s">
        <v>2833</v>
      </c>
      <c r="AH337" s="9">
        <v>6.1896180000000003</v>
      </c>
      <c r="AI337" s="9">
        <v>-75.580875000000006</v>
      </c>
      <c r="AJ337" s="9" t="s">
        <v>2834</v>
      </c>
      <c r="AK337" s="9">
        <v>6.2493990000000004</v>
      </c>
      <c r="AL337" s="9">
        <v>-75.591261000000003</v>
      </c>
      <c r="AM337" s="26">
        <f t="shared" si="6"/>
        <v>0</v>
      </c>
    </row>
    <row r="338" spans="1:39" ht="15" x14ac:dyDescent="0.25">
      <c r="A338" s="9" t="s">
        <v>2835</v>
      </c>
      <c r="B338" s="9" t="s">
        <v>2836</v>
      </c>
      <c r="C338" s="9" t="s">
        <v>2837</v>
      </c>
      <c r="D338" s="9" t="s">
        <v>2733</v>
      </c>
      <c r="E338" s="9" t="s">
        <v>2619</v>
      </c>
      <c r="F338" s="9" t="s">
        <v>406</v>
      </c>
      <c r="G338" s="9" t="s">
        <v>144</v>
      </c>
      <c r="H338" s="9" t="s">
        <v>145</v>
      </c>
      <c r="I338" s="9" t="s">
        <v>115</v>
      </c>
      <c r="J338" s="9">
        <v>7038</v>
      </c>
      <c r="K338" s="9" t="s">
        <v>2838</v>
      </c>
      <c r="L338" s="9" t="s">
        <v>117</v>
      </c>
      <c r="M338" s="10">
        <v>4.6354166666666669E-2</v>
      </c>
      <c r="N338" s="9" t="s">
        <v>43</v>
      </c>
      <c r="O338" s="9" t="s">
        <v>2839</v>
      </c>
      <c r="P338" s="9" t="s">
        <v>119</v>
      </c>
      <c r="Q338" s="10">
        <v>1.423611111111111E-3</v>
      </c>
      <c r="R338" s="9" t="s">
        <v>46</v>
      </c>
      <c r="S338" s="10">
        <v>0.20222222222222219</v>
      </c>
      <c r="T338" s="9">
        <v>94.42</v>
      </c>
      <c r="U338" s="9">
        <v>23.33</v>
      </c>
      <c r="V338" s="10">
        <v>0.1686111111111111</v>
      </c>
      <c r="W338" s="10">
        <v>3.5972222222222218E-2</v>
      </c>
      <c r="X338" s="10">
        <v>0</v>
      </c>
      <c r="Y338" s="9">
        <v>0</v>
      </c>
      <c r="Z338" s="9">
        <v>0</v>
      </c>
      <c r="AA338" s="9">
        <v>0</v>
      </c>
      <c r="AB338" s="9">
        <v>0</v>
      </c>
      <c r="AC338" s="9">
        <v>0</v>
      </c>
      <c r="AD338" s="9">
        <v>0</v>
      </c>
      <c r="AE338" s="9" t="s">
        <v>47</v>
      </c>
      <c r="AF338" s="9" t="s">
        <v>2840</v>
      </c>
      <c r="AG338" s="9" t="s">
        <v>2841</v>
      </c>
      <c r="AH338" s="9">
        <v>6.2906500000000003</v>
      </c>
      <c r="AI338" s="9">
        <v>-75.546368999999999</v>
      </c>
      <c r="AJ338" s="9" t="s">
        <v>2842</v>
      </c>
      <c r="AK338" s="9">
        <v>6.2905110000000004</v>
      </c>
      <c r="AL338" s="9">
        <v>-75.546474000000003</v>
      </c>
      <c r="AM338" s="26">
        <f t="shared" si="6"/>
        <v>4.6354166666666669E-2</v>
      </c>
    </row>
    <row r="339" spans="1:39" ht="15" x14ac:dyDescent="0.25">
      <c r="A339" s="9" t="s">
        <v>2843</v>
      </c>
      <c r="B339" s="9" t="s">
        <v>2844</v>
      </c>
      <c r="C339" s="9" t="s">
        <v>2845</v>
      </c>
      <c r="D339" s="9" t="s">
        <v>2733</v>
      </c>
      <c r="E339" s="9" t="s">
        <v>2619</v>
      </c>
      <c r="F339" s="9" t="s">
        <v>406</v>
      </c>
      <c r="G339" s="9" t="s">
        <v>152</v>
      </c>
      <c r="H339" s="9" t="s">
        <v>153</v>
      </c>
      <c r="I339" s="9" t="s">
        <v>115</v>
      </c>
      <c r="J339" s="9">
        <v>2286</v>
      </c>
      <c r="K339" s="9" t="s">
        <v>2846</v>
      </c>
      <c r="L339" s="9" t="s">
        <v>117</v>
      </c>
      <c r="M339" s="10">
        <v>9.5833333333333326E-3</v>
      </c>
      <c r="N339" s="9" t="s">
        <v>65</v>
      </c>
      <c r="O339" s="9" t="s">
        <v>2847</v>
      </c>
      <c r="P339" s="9" t="s">
        <v>119</v>
      </c>
      <c r="Q339" s="10">
        <v>5.6261574074074068E-2</v>
      </c>
      <c r="R339" s="9" t="s">
        <v>56</v>
      </c>
      <c r="S339" s="10">
        <v>0.2033217592592593</v>
      </c>
      <c r="T339" s="9">
        <v>29.177</v>
      </c>
      <c r="U339" s="9">
        <v>9.42</v>
      </c>
      <c r="V339" s="10">
        <v>0.12908564814814821</v>
      </c>
      <c r="W339" s="10">
        <v>7.8333333333333338E-2</v>
      </c>
      <c r="X339" s="10">
        <v>0</v>
      </c>
      <c r="Y339" s="9">
        <v>0</v>
      </c>
      <c r="Z339" s="9">
        <v>0</v>
      </c>
      <c r="AA339" s="9">
        <v>0</v>
      </c>
      <c r="AB339" s="9">
        <v>0</v>
      </c>
      <c r="AC339" s="9">
        <v>0</v>
      </c>
      <c r="AD339" s="9">
        <v>0</v>
      </c>
      <c r="AE339" s="9" t="s">
        <v>67</v>
      </c>
      <c r="AF339" s="9" t="s">
        <v>2848</v>
      </c>
      <c r="AG339" s="9" t="s">
        <v>2849</v>
      </c>
      <c r="AH339" s="9">
        <v>6.3070700000000004</v>
      </c>
      <c r="AI339" s="9">
        <v>-75.565537000000006</v>
      </c>
      <c r="AJ339" s="9" t="s">
        <v>2850</v>
      </c>
      <c r="AK339" s="9">
        <v>6.2518799999999999</v>
      </c>
      <c r="AL339" s="9">
        <v>-75.551851999999997</v>
      </c>
      <c r="AM339" s="26">
        <f t="shared" si="6"/>
        <v>5.6261574074074068E-2</v>
      </c>
    </row>
    <row r="340" spans="1:39" ht="15" x14ac:dyDescent="0.25">
      <c r="A340" s="9" t="s">
        <v>2851</v>
      </c>
      <c r="B340" s="9" t="s">
        <v>2852</v>
      </c>
      <c r="C340" s="9" t="s">
        <v>2853</v>
      </c>
      <c r="D340" s="9" t="s">
        <v>2733</v>
      </c>
      <c r="E340" s="9" t="s">
        <v>2619</v>
      </c>
      <c r="F340" s="9" t="s">
        <v>406</v>
      </c>
      <c r="G340" s="9" t="s">
        <v>160</v>
      </c>
      <c r="H340" s="9" t="s">
        <v>161</v>
      </c>
      <c r="I340" s="9" t="s">
        <v>115</v>
      </c>
      <c r="J340" s="9">
        <v>9937</v>
      </c>
      <c r="K340" s="9" t="s">
        <v>2854</v>
      </c>
      <c r="L340" s="9" t="s">
        <v>117</v>
      </c>
      <c r="M340" s="10">
        <v>9.1107523148148146E-3</v>
      </c>
      <c r="N340" s="9" t="s">
        <v>65</v>
      </c>
      <c r="O340" s="9" t="s">
        <v>2855</v>
      </c>
      <c r="P340" s="9" t="s">
        <v>119</v>
      </c>
      <c r="Q340" s="10">
        <v>1.5373958333333331E-3</v>
      </c>
      <c r="R340" s="9" t="s">
        <v>46</v>
      </c>
      <c r="S340" s="10">
        <v>0.26064814814814807</v>
      </c>
      <c r="T340" s="9">
        <v>46.326999999999998</v>
      </c>
      <c r="U340" s="9">
        <v>14.25</v>
      </c>
      <c r="V340" s="10">
        <v>0.13541670138888889</v>
      </c>
      <c r="W340" s="10">
        <v>0.10228023148148151</v>
      </c>
      <c r="X340" s="10">
        <v>0</v>
      </c>
      <c r="Y340" s="9">
        <v>0</v>
      </c>
      <c r="Z340" s="9">
        <v>0</v>
      </c>
      <c r="AA340" s="9">
        <v>0</v>
      </c>
      <c r="AB340" s="9">
        <v>0</v>
      </c>
      <c r="AC340" s="9">
        <v>0</v>
      </c>
      <c r="AD340" s="9">
        <v>1</v>
      </c>
      <c r="AE340" s="9" t="s">
        <v>84</v>
      </c>
      <c r="AF340" s="9" t="s">
        <v>324</v>
      </c>
      <c r="AG340" s="9" t="s">
        <v>2856</v>
      </c>
      <c r="AH340" s="9">
        <v>6.267468</v>
      </c>
      <c r="AI340" s="9">
        <v>-75.597284999999999</v>
      </c>
      <c r="AJ340" s="9" t="s">
        <v>2857</v>
      </c>
      <c r="AK340" s="9">
        <v>6.2682219999999997</v>
      </c>
      <c r="AL340" s="9">
        <v>-75.598875000000007</v>
      </c>
      <c r="AM340" s="26">
        <f t="shared" si="6"/>
        <v>0</v>
      </c>
    </row>
    <row r="341" spans="1:39" ht="15" x14ac:dyDescent="0.25">
      <c r="A341" s="9" t="s">
        <v>2858</v>
      </c>
      <c r="B341" s="9" t="s">
        <v>2859</v>
      </c>
      <c r="C341" s="9" t="s">
        <v>2860</v>
      </c>
      <c r="D341" s="9" t="s">
        <v>2797</v>
      </c>
      <c r="E341" s="9" t="s">
        <v>2619</v>
      </c>
      <c r="F341" s="9" t="s">
        <v>455</v>
      </c>
      <c r="G341" s="9" t="s">
        <v>135</v>
      </c>
      <c r="H341" s="9" t="s">
        <v>136</v>
      </c>
      <c r="I341" s="9" t="s">
        <v>115</v>
      </c>
      <c r="J341" s="9">
        <v>3994</v>
      </c>
      <c r="K341" s="9" t="s">
        <v>2861</v>
      </c>
      <c r="L341" s="9" t="s">
        <v>117</v>
      </c>
      <c r="M341" s="10">
        <v>2.8888888888888891E-2</v>
      </c>
      <c r="N341" s="9" t="s">
        <v>127</v>
      </c>
      <c r="O341" s="9" t="s">
        <v>2862</v>
      </c>
      <c r="P341" s="9" t="s">
        <v>119</v>
      </c>
      <c r="Q341" s="10">
        <v>2.5000000000000001E-3</v>
      </c>
      <c r="R341" s="9" t="s">
        <v>46</v>
      </c>
      <c r="S341" s="10">
        <v>0.27638888888888891</v>
      </c>
      <c r="T341" s="9">
        <v>57.478000000000002</v>
      </c>
      <c r="U341" s="9">
        <v>12.57</v>
      </c>
      <c r="V341" s="10">
        <v>0.1905324074074074</v>
      </c>
      <c r="W341" s="10">
        <v>7.2245370370370376E-2</v>
      </c>
      <c r="X341" s="10">
        <v>0</v>
      </c>
      <c r="Y341" s="9">
        <v>0</v>
      </c>
      <c r="Z341" s="9">
        <v>0</v>
      </c>
      <c r="AA341" s="9">
        <v>0</v>
      </c>
      <c r="AB341" s="9">
        <v>0</v>
      </c>
      <c r="AC341" s="9">
        <v>0</v>
      </c>
      <c r="AD341" s="9">
        <v>2</v>
      </c>
      <c r="AE341" s="9" t="s">
        <v>139</v>
      </c>
      <c r="AF341" s="9" t="s">
        <v>2863</v>
      </c>
      <c r="AG341" s="9" t="s">
        <v>2864</v>
      </c>
      <c r="AH341" s="9">
        <v>6.2722100000000003</v>
      </c>
      <c r="AI341" s="9">
        <v>-75.541079999999994</v>
      </c>
      <c r="AJ341" s="9" t="s">
        <v>2865</v>
      </c>
      <c r="AK341" s="9">
        <v>6.2708820000000003</v>
      </c>
      <c r="AL341" s="9">
        <v>-75.575441999999995</v>
      </c>
      <c r="AM341" s="26">
        <f t="shared" si="6"/>
        <v>0</v>
      </c>
    </row>
    <row r="342" spans="1:39" ht="15" x14ac:dyDescent="0.25">
      <c r="A342" s="9" t="s">
        <v>2872</v>
      </c>
      <c r="B342" s="9" t="s">
        <v>2873</v>
      </c>
      <c r="C342" s="9" t="s">
        <v>2874</v>
      </c>
      <c r="D342" s="9" t="s">
        <v>2875</v>
      </c>
      <c r="E342" s="9" t="s">
        <v>2619</v>
      </c>
      <c r="F342" s="9" t="s">
        <v>508</v>
      </c>
      <c r="G342" s="9" t="s">
        <v>38</v>
      </c>
      <c r="H342" s="9" t="s">
        <v>39</v>
      </c>
      <c r="I342" s="9" t="s">
        <v>40</v>
      </c>
      <c r="J342" s="9">
        <v>4802</v>
      </c>
      <c r="K342" s="9" t="s">
        <v>2876</v>
      </c>
      <c r="L342" s="9" t="s">
        <v>42</v>
      </c>
      <c r="M342" s="10">
        <v>2.472304398148148E-2</v>
      </c>
      <c r="N342" s="9" t="s">
        <v>43</v>
      </c>
      <c r="O342" s="9" t="s">
        <v>2877</v>
      </c>
      <c r="P342" s="9" t="s">
        <v>45</v>
      </c>
      <c r="Q342" s="10">
        <v>6.8415740740740737E-3</v>
      </c>
      <c r="R342" s="9" t="s">
        <v>46</v>
      </c>
      <c r="S342" s="10">
        <v>0.30176871527777782</v>
      </c>
      <c r="T342" s="9">
        <v>39.985999999999997</v>
      </c>
      <c r="U342" s="9">
        <v>9.33</v>
      </c>
      <c r="V342" s="10">
        <v>0.17851856481481501</v>
      </c>
      <c r="W342" s="10">
        <v>0.1334761574074074</v>
      </c>
      <c r="X342" s="10">
        <v>8.5300613425925931E-2</v>
      </c>
      <c r="Y342" s="9">
        <v>1</v>
      </c>
      <c r="Z342" s="9">
        <v>1</v>
      </c>
      <c r="AA342" s="9">
        <v>1</v>
      </c>
      <c r="AB342" s="9">
        <v>1</v>
      </c>
      <c r="AC342" s="9">
        <v>1</v>
      </c>
      <c r="AD342" s="9">
        <v>4</v>
      </c>
      <c r="AE342" s="9" t="s">
        <v>47</v>
      </c>
      <c r="AF342" s="9" t="s">
        <v>2878</v>
      </c>
      <c r="AG342" s="9" t="s">
        <v>2879</v>
      </c>
      <c r="AH342" s="9">
        <v>6.2032809999999996</v>
      </c>
      <c r="AI342" s="9">
        <v>-75.600700000000003</v>
      </c>
      <c r="AJ342" s="9" t="s">
        <v>2880</v>
      </c>
      <c r="AK342" s="9">
        <v>6.2033469999999999</v>
      </c>
      <c r="AL342" s="9">
        <v>-75.600768000000002</v>
      </c>
      <c r="AM342" s="26">
        <f t="shared" si="6"/>
        <v>2.472304398148148E-2</v>
      </c>
    </row>
    <row r="343" spans="1:39" ht="15" x14ac:dyDescent="0.25">
      <c r="A343" s="9" t="s">
        <v>2881</v>
      </c>
      <c r="B343" s="9" t="s">
        <v>2882</v>
      </c>
      <c r="C343" s="9" t="s">
        <v>2883</v>
      </c>
      <c r="D343" s="9" t="s">
        <v>2875</v>
      </c>
      <c r="E343" s="9" t="s">
        <v>2619</v>
      </c>
      <c r="F343" s="9" t="s">
        <v>508</v>
      </c>
      <c r="G343" s="9" t="s">
        <v>52</v>
      </c>
      <c r="H343" s="9" t="s">
        <v>53</v>
      </c>
      <c r="I343" s="9" t="s">
        <v>40</v>
      </c>
      <c r="J343" s="9">
        <v>3159</v>
      </c>
      <c r="K343" s="9" t="s">
        <v>2884</v>
      </c>
      <c r="L343" s="9" t="s">
        <v>42</v>
      </c>
      <c r="M343" s="10">
        <v>2.237268518518519E-2</v>
      </c>
      <c r="N343" s="9" t="s">
        <v>127</v>
      </c>
      <c r="O343" s="9" t="s">
        <v>2885</v>
      </c>
      <c r="P343" s="9" t="s">
        <v>45</v>
      </c>
      <c r="Q343" s="10">
        <v>3.1053240740740739E-2</v>
      </c>
      <c r="R343" s="9" t="s">
        <v>129</v>
      </c>
      <c r="S343" s="10">
        <v>0.38675925925925919</v>
      </c>
      <c r="T343" s="9">
        <v>40.656999999999996</v>
      </c>
      <c r="U343" s="9">
        <v>7.75</v>
      </c>
      <c r="V343" s="10">
        <v>0.21869212962962961</v>
      </c>
      <c r="W343" s="10">
        <v>0.13667824074074081</v>
      </c>
      <c r="X343" s="10">
        <v>0</v>
      </c>
      <c r="Y343" s="9">
        <v>0</v>
      </c>
      <c r="Z343" s="9">
        <v>0</v>
      </c>
      <c r="AA343" s="9">
        <v>0</v>
      </c>
      <c r="AB343" s="9">
        <v>0</v>
      </c>
      <c r="AC343" s="9">
        <v>0</v>
      </c>
      <c r="AD343" s="9">
        <v>0</v>
      </c>
      <c r="AE343" s="9" t="s">
        <v>130</v>
      </c>
      <c r="AF343" s="9" t="s">
        <v>2886</v>
      </c>
      <c r="AG343" s="9" t="s">
        <v>2887</v>
      </c>
      <c r="AH343" s="9">
        <v>6.2256780000000003</v>
      </c>
      <c r="AI343" s="9">
        <v>-75.598974999999996</v>
      </c>
      <c r="AJ343" s="9" t="s">
        <v>2888</v>
      </c>
      <c r="AK343" s="9">
        <v>6.2477580000000001</v>
      </c>
      <c r="AL343" s="9">
        <v>-75.615007000000006</v>
      </c>
      <c r="AM343" s="26">
        <f t="shared" si="6"/>
        <v>0</v>
      </c>
    </row>
    <row r="344" spans="1:39" ht="15" x14ac:dyDescent="0.25">
      <c r="A344" s="9" t="s">
        <v>2889</v>
      </c>
      <c r="B344" s="9" t="s">
        <v>2890</v>
      </c>
      <c r="C344" s="9" t="s">
        <v>2891</v>
      </c>
      <c r="D344" s="9" t="s">
        <v>2875</v>
      </c>
      <c r="E344" s="9" t="s">
        <v>2619</v>
      </c>
      <c r="F344" s="9" t="s">
        <v>508</v>
      </c>
      <c r="G344" s="9" t="s">
        <v>113</v>
      </c>
      <c r="H344" s="9" t="s">
        <v>114</v>
      </c>
      <c r="I344" s="9" t="s">
        <v>40</v>
      </c>
      <c r="J344" s="9">
        <v>2251</v>
      </c>
      <c r="K344" s="9" t="s">
        <v>2892</v>
      </c>
      <c r="L344" s="9" t="s">
        <v>42</v>
      </c>
      <c r="M344" s="10">
        <v>2.8819444444444439E-3</v>
      </c>
      <c r="N344" s="9" t="s">
        <v>65</v>
      </c>
      <c r="O344" s="9" t="s">
        <v>2893</v>
      </c>
      <c r="P344" s="9" t="s">
        <v>45</v>
      </c>
      <c r="Q344" s="10">
        <v>2.1527777777777782E-3</v>
      </c>
      <c r="R344" s="9" t="s">
        <v>46</v>
      </c>
      <c r="S344" s="10">
        <v>0.32829861111111108</v>
      </c>
      <c r="T344" s="9">
        <v>28.411999999999999</v>
      </c>
      <c r="U344" s="9">
        <v>5.81</v>
      </c>
      <c r="V344" s="10">
        <v>0.2036574074074074</v>
      </c>
      <c r="W344" s="10">
        <v>0.1653125</v>
      </c>
      <c r="X344" s="10">
        <v>5.6585648148148149E-2</v>
      </c>
      <c r="Y344" s="9">
        <v>1</v>
      </c>
      <c r="Z344" s="9">
        <v>1</v>
      </c>
      <c r="AA344" s="9">
        <v>1</v>
      </c>
      <c r="AB344" s="9">
        <v>1</v>
      </c>
      <c r="AC344" s="9">
        <v>1</v>
      </c>
      <c r="AD344" s="9">
        <v>2</v>
      </c>
      <c r="AE344" s="9" t="s">
        <v>84</v>
      </c>
      <c r="AF344" s="9" t="s">
        <v>2894</v>
      </c>
      <c r="AG344" s="9" t="s">
        <v>2895</v>
      </c>
      <c r="AH344" s="9">
        <v>6.2292379999999996</v>
      </c>
      <c r="AI344" s="9">
        <v>-75.602113000000003</v>
      </c>
      <c r="AJ344" s="9" t="s">
        <v>2896</v>
      </c>
      <c r="AK344" s="9">
        <v>6.239096</v>
      </c>
      <c r="AL344" s="9">
        <v>-75.582786999999996</v>
      </c>
      <c r="AM344" s="26">
        <f t="shared" si="6"/>
        <v>0</v>
      </c>
    </row>
    <row r="345" spans="1:39" ht="15" x14ac:dyDescent="0.25">
      <c r="A345" s="9" t="s">
        <v>2897</v>
      </c>
      <c r="B345" s="9" t="s">
        <v>2898</v>
      </c>
      <c r="C345" s="9" t="s">
        <v>2899</v>
      </c>
      <c r="D345" s="9" t="s">
        <v>2875</v>
      </c>
      <c r="E345" s="9" t="s">
        <v>2619</v>
      </c>
      <c r="F345" s="9" t="s">
        <v>508</v>
      </c>
      <c r="G345" s="9" t="s">
        <v>144</v>
      </c>
      <c r="H345" s="9" t="s">
        <v>145</v>
      </c>
      <c r="I345" s="9" t="s">
        <v>40</v>
      </c>
      <c r="J345" s="9">
        <v>5880</v>
      </c>
      <c r="K345" s="9" t="s">
        <v>2900</v>
      </c>
      <c r="L345" s="9" t="s">
        <v>42</v>
      </c>
      <c r="M345" s="10">
        <v>5.1041666666666666E-3</v>
      </c>
      <c r="N345" s="9" t="s">
        <v>65</v>
      </c>
      <c r="O345" s="9" t="s">
        <v>2901</v>
      </c>
      <c r="P345" s="9" t="s">
        <v>45</v>
      </c>
      <c r="Q345" s="10">
        <v>1.9340277777777779E-2</v>
      </c>
      <c r="R345" s="9" t="s">
        <v>56</v>
      </c>
      <c r="S345" s="10">
        <v>0.30888888888888888</v>
      </c>
      <c r="T345" s="9">
        <v>75.355999999999995</v>
      </c>
      <c r="U345" s="9">
        <v>13.71</v>
      </c>
      <c r="V345" s="10">
        <v>0.2290625</v>
      </c>
      <c r="W345" s="10">
        <v>6.653935185185185E-2</v>
      </c>
      <c r="X345" s="10">
        <v>0</v>
      </c>
      <c r="Y345" s="9">
        <v>0</v>
      </c>
      <c r="Z345" s="9">
        <v>0</v>
      </c>
      <c r="AA345" s="9">
        <v>0</v>
      </c>
      <c r="AB345" s="9">
        <v>0</v>
      </c>
      <c r="AC345" s="9">
        <v>0</v>
      </c>
      <c r="AD345" s="9">
        <v>0</v>
      </c>
      <c r="AE345" s="9" t="s">
        <v>67</v>
      </c>
      <c r="AF345" s="9" t="s">
        <v>2902</v>
      </c>
      <c r="AG345" s="9" t="s">
        <v>2903</v>
      </c>
      <c r="AH345" s="9">
        <v>6.2255289999999999</v>
      </c>
      <c r="AI345" s="9">
        <v>-75.599312999999995</v>
      </c>
      <c r="AJ345" s="9" t="s">
        <v>2904</v>
      </c>
      <c r="AK345" s="9">
        <v>6.2728400000000004</v>
      </c>
      <c r="AL345" s="9">
        <v>-75.574475000000007</v>
      </c>
      <c r="AM345" s="26">
        <f t="shared" si="6"/>
        <v>1.9340277777777779E-2</v>
      </c>
    </row>
    <row r="346" spans="1:39" ht="15" x14ac:dyDescent="0.25">
      <c r="A346" s="9" t="s">
        <v>2905</v>
      </c>
      <c r="B346" s="9" t="s">
        <v>2906</v>
      </c>
      <c r="C346" s="9" t="s">
        <v>2907</v>
      </c>
      <c r="D346" s="9" t="s">
        <v>2875</v>
      </c>
      <c r="E346" s="9" t="s">
        <v>2619</v>
      </c>
      <c r="F346" s="9" t="s">
        <v>508</v>
      </c>
      <c r="G346" s="9" t="s">
        <v>152</v>
      </c>
      <c r="H346" s="9" t="s">
        <v>153</v>
      </c>
      <c r="I346" s="9" t="s">
        <v>40</v>
      </c>
      <c r="J346" s="9">
        <v>7656</v>
      </c>
      <c r="K346" s="9" t="s">
        <v>2908</v>
      </c>
      <c r="L346" s="9" t="s">
        <v>42</v>
      </c>
      <c r="M346" s="10">
        <v>1.083333333333333E-2</v>
      </c>
      <c r="N346" s="9" t="s">
        <v>43</v>
      </c>
      <c r="O346" s="9" t="s">
        <v>2909</v>
      </c>
      <c r="P346" s="9" t="s">
        <v>45</v>
      </c>
      <c r="Q346" s="10">
        <v>1.096064814814815E-2</v>
      </c>
      <c r="R346" s="9" t="s">
        <v>56</v>
      </c>
      <c r="S346" s="10">
        <v>0.31153935185185178</v>
      </c>
      <c r="T346" s="9">
        <v>98.263999999999996</v>
      </c>
      <c r="U346" s="9">
        <v>15.35</v>
      </c>
      <c r="V346" s="10">
        <v>0.26672453703703702</v>
      </c>
      <c r="W346" s="10">
        <v>8.1215277777777775E-2</v>
      </c>
      <c r="X346" s="10">
        <v>0</v>
      </c>
      <c r="Y346" s="9">
        <v>0</v>
      </c>
      <c r="Z346" s="9">
        <v>0</v>
      </c>
      <c r="AA346" s="9">
        <v>0</v>
      </c>
      <c r="AB346" s="9">
        <v>0</v>
      </c>
      <c r="AC346" s="9">
        <v>0</v>
      </c>
      <c r="AD346" s="9">
        <v>0</v>
      </c>
      <c r="AE346" s="9" t="s">
        <v>57</v>
      </c>
      <c r="AF346" s="9" t="s">
        <v>2910</v>
      </c>
      <c r="AG346" s="9" t="s">
        <v>2911</v>
      </c>
      <c r="AH346" s="9">
        <v>6.2254750000000003</v>
      </c>
      <c r="AI346" s="9">
        <v>-75.599275000000006</v>
      </c>
      <c r="AJ346" s="9" t="s">
        <v>2912</v>
      </c>
      <c r="AK346" s="9">
        <v>6.251798</v>
      </c>
      <c r="AL346" s="9">
        <v>-75.551810000000003</v>
      </c>
      <c r="AM346" s="26">
        <f t="shared" si="6"/>
        <v>2.179398148148148E-2</v>
      </c>
    </row>
    <row r="347" spans="1:39" ht="15" x14ac:dyDescent="0.25">
      <c r="A347" s="9" t="s">
        <v>2913</v>
      </c>
      <c r="B347" s="9" t="s">
        <v>2914</v>
      </c>
      <c r="C347" s="9" t="s">
        <v>2915</v>
      </c>
      <c r="D347" s="9" t="s">
        <v>2875</v>
      </c>
      <c r="E347" s="9" t="s">
        <v>2619</v>
      </c>
      <c r="F347" s="9" t="s">
        <v>508</v>
      </c>
      <c r="G347" s="9" t="s">
        <v>89</v>
      </c>
      <c r="H347" s="9" t="s">
        <v>90</v>
      </c>
      <c r="I347" s="9" t="s">
        <v>40</v>
      </c>
      <c r="J347" s="9">
        <v>5571</v>
      </c>
      <c r="K347" s="9" t="s">
        <v>2916</v>
      </c>
      <c r="L347" s="9" t="s">
        <v>42</v>
      </c>
      <c r="M347" s="10">
        <v>5.0462962962962961E-3</v>
      </c>
      <c r="N347" s="9" t="s">
        <v>65</v>
      </c>
      <c r="O347" s="9" t="s">
        <v>2917</v>
      </c>
      <c r="P347" s="9" t="s">
        <v>45</v>
      </c>
      <c r="Q347" s="10">
        <v>2.1388888888888891E-2</v>
      </c>
      <c r="R347" s="9" t="s">
        <v>56</v>
      </c>
      <c r="S347" s="10">
        <v>0.31699074074074068</v>
      </c>
      <c r="T347" s="9">
        <v>71.75</v>
      </c>
      <c r="U347" s="9">
        <v>11.71</v>
      </c>
      <c r="V347" s="10">
        <v>0.25528935185185192</v>
      </c>
      <c r="W347" s="10">
        <v>0.1098611111111111</v>
      </c>
      <c r="X347" s="10">
        <v>0</v>
      </c>
      <c r="Y347" s="9">
        <v>0</v>
      </c>
      <c r="Z347" s="9">
        <v>0</v>
      </c>
      <c r="AA347" s="9">
        <v>0</v>
      </c>
      <c r="AB347" s="9">
        <v>0</v>
      </c>
      <c r="AC347" s="9">
        <v>0</v>
      </c>
      <c r="AD347" s="9">
        <v>0</v>
      </c>
      <c r="AE347" s="9" t="s">
        <v>67</v>
      </c>
      <c r="AF347" s="9" t="s">
        <v>2918</v>
      </c>
      <c r="AG347" s="9" t="s">
        <v>2919</v>
      </c>
      <c r="AH347" s="9">
        <v>6.2264520000000001</v>
      </c>
      <c r="AI347" s="9">
        <v>-75.599304000000004</v>
      </c>
      <c r="AJ347" s="9" t="s">
        <v>2920</v>
      </c>
      <c r="AK347" s="9">
        <v>6.2253530000000001</v>
      </c>
      <c r="AL347" s="9">
        <v>-75.599345</v>
      </c>
      <c r="AM347" s="26">
        <f t="shared" si="6"/>
        <v>2.1388888888888891E-2</v>
      </c>
    </row>
    <row r="348" spans="1:39" ht="15" x14ac:dyDescent="0.25">
      <c r="A348" s="9" t="s">
        <v>2921</v>
      </c>
      <c r="B348" s="9" t="s">
        <v>2922</v>
      </c>
      <c r="C348" s="9" t="s">
        <v>2923</v>
      </c>
      <c r="D348" s="9" t="s">
        <v>2875</v>
      </c>
      <c r="E348" s="9" t="s">
        <v>2619</v>
      </c>
      <c r="F348" s="9" t="s">
        <v>508</v>
      </c>
      <c r="G348" s="9" t="s">
        <v>105</v>
      </c>
      <c r="H348" s="9" t="s">
        <v>106</v>
      </c>
      <c r="I348" s="9" t="s">
        <v>40</v>
      </c>
      <c r="J348" s="9">
        <v>4384</v>
      </c>
      <c r="K348" s="9" t="s">
        <v>2924</v>
      </c>
      <c r="L348" s="9" t="s">
        <v>42</v>
      </c>
      <c r="M348" s="10">
        <v>2.430555555555556E-3</v>
      </c>
      <c r="N348" s="9" t="s">
        <v>65</v>
      </c>
      <c r="O348" s="9" t="s">
        <v>2925</v>
      </c>
      <c r="P348" s="9" t="s">
        <v>45</v>
      </c>
      <c r="Q348" s="10">
        <v>4.9976851851851849E-2</v>
      </c>
      <c r="R348" s="9" t="s">
        <v>129</v>
      </c>
      <c r="S348" s="10">
        <v>0.38574074074074072</v>
      </c>
      <c r="T348" s="9">
        <v>57.83</v>
      </c>
      <c r="U348" s="9">
        <v>12.99</v>
      </c>
      <c r="V348" s="10">
        <v>0.185462962962963</v>
      </c>
      <c r="W348" s="10">
        <v>0.102037037037037</v>
      </c>
      <c r="X348" s="10">
        <v>0</v>
      </c>
      <c r="Y348" s="9">
        <v>0</v>
      </c>
      <c r="Z348" s="9">
        <v>0</v>
      </c>
      <c r="AA348" s="9">
        <v>0</v>
      </c>
      <c r="AB348" s="9">
        <v>0</v>
      </c>
      <c r="AC348" s="9">
        <v>0</v>
      </c>
      <c r="AD348" s="9">
        <v>0</v>
      </c>
      <c r="AE348" s="9" t="s">
        <v>130</v>
      </c>
      <c r="AF348" s="9" t="s">
        <v>2926</v>
      </c>
      <c r="AG348" s="9" t="s">
        <v>2927</v>
      </c>
      <c r="AH348" s="9">
        <v>6.2256489999999998</v>
      </c>
      <c r="AI348" s="9">
        <v>-75.599080999999998</v>
      </c>
      <c r="AJ348" s="9" t="s">
        <v>2928</v>
      </c>
      <c r="AK348" s="9">
        <v>6.2582259999999996</v>
      </c>
      <c r="AL348" s="9">
        <v>-75.615801000000005</v>
      </c>
      <c r="AM348" s="26">
        <f t="shared" si="6"/>
        <v>0</v>
      </c>
    </row>
    <row r="349" spans="1:39" ht="15" x14ac:dyDescent="0.25">
      <c r="A349" s="9" t="s">
        <v>2929</v>
      </c>
      <c r="B349" s="9" t="s">
        <v>2930</v>
      </c>
      <c r="C349" s="9" t="s">
        <v>2931</v>
      </c>
      <c r="D349" s="9" t="s">
        <v>2875</v>
      </c>
      <c r="E349" s="9" t="s">
        <v>2619</v>
      </c>
      <c r="F349" s="9" t="s">
        <v>508</v>
      </c>
      <c r="G349" s="9" t="s">
        <v>124</v>
      </c>
      <c r="H349" s="9" t="s">
        <v>125</v>
      </c>
      <c r="I349" s="9" t="s">
        <v>115</v>
      </c>
      <c r="J349" s="9">
        <v>5271</v>
      </c>
      <c r="K349" s="9" t="s">
        <v>2932</v>
      </c>
      <c r="L349" s="9" t="s">
        <v>117</v>
      </c>
      <c r="M349" s="10">
        <v>2.9490740740740741E-2</v>
      </c>
      <c r="N349" s="9" t="s">
        <v>127</v>
      </c>
      <c r="O349" s="9" t="s">
        <v>2933</v>
      </c>
      <c r="P349" s="9" t="s">
        <v>119</v>
      </c>
      <c r="Q349" s="10">
        <v>8.5532407407407415E-3</v>
      </c>
      <c r="R349" s="9" t="s">
        <v>46</v>
      </c>
      <c r="S349" s="10">
        <v>0.28804398148148153</v>
      </c>
      <c r="T349" s="9">
        <v>67.358000000000004</v>
      </c>
      <c r="U349" s="9">
        <v>11.83</v>
      </c>
      <c r="V349" s="10">
        <v>0.237337962962963</v>
      </c>
      <c r="W349" s="10">
        <v>7.9965277777777774E-2</v>
      </c>
      <c r="X349" s="10">
        <v>0</v>
      </c>
      <c r="Y349" s="9">
        <v>0</v>
      </c>
      <c r="Z349" s="9">
        <v>0</v>
      </c>
      <c r="AA349" s="9">
        <v>0</v>
      </c>
      <c r="AB349" s="9">
        <v>0</v>
      </c>
      <c r="AC349" s="9">
        <v>0</v>
      </c>
      <c r="AD349" s="9">
        <v>0</v>
      </c>
      <c r="AE349" s="9" t="s">
        <v>139</v>
      </c>
      <c r="AF349" s="9" t="s">
        <v>2934</v>
      </c>
      <c r="AG349" s="9" t="s">
        <v>2935</v>
      </c>
      <c r="AH349" s="9">
        <v>6.229133</v>
      </c>
      <c r="AI349" s="9">
        <v>-75.602097999999998</v>
      </c>
      <c r="AJ349" s="9" t="s">
        <v>2936</v>
      </c>
      <c r="AK349" s="9">
        <v>6.2726949999999997</v>
      </c>
      <c r="AL349" s="9">
        <v>-75.602114</v>
      </c>
      <c r="AM349" s="26">
        <f t="shared" si="6"/>
        <v>0</v>
      </c>
    </row>
    <row r="350" spans="1:39" ht="15" x14ac:dyDescent="0.25">
      <c r="A350" s="9" t="s">
        <v>2937</v>
      </c>
      <c r="B350" s="9" t="s">
        <v>2938</v>
      </c>
      <c r="C350" s="9" t="s">
        <v>2939</v>
      </c>
      <c r="D350" s="9" t="s">
        <v>2875</v>
      </c>
      <c r="E350" s="9" t="s">
        <v>2619</v>
      </c>
      <c r="F350" s="9" t="s">
        <v>508</v>
      </c>
      <c r="G350" s="9" t="s">
        <v>72</v>
      </c>
      <c r="H350" s="9" t="s">
        <v>73</v>
      </c>
      <c r="I350" s="9" t="s">
        <v>115</v>
      </c>
      <c r="J350" s="9">
        <v>2237</v>
      </c>
      <c r="K350" s="9" t="s">
        <v>2940</v>
      </c>
      <c r="L350" s="9" t="s">
        <v>117</v>
      </c>
      <c r="M350" s="10">
        <v>7.3032407407407407E-2</v>
      </c>
      <c r="N350" s="9" t="s">
        <v>127</v>
      </c>
      <c r="O350" s="9" t="s">
        <v>2941</v>
      </c>
      <c r="P350" s="9" t="s">
        <v>119</v>
      </c>
      <c r="Q350" s="10">
        <v>4.9988425925925929E-2</v>
      </c>
      <c r="R350" s="9" t="s">
        <v>56</v>
      </c>
      <c r="S350" s="10">
        <v>0.27304398148148151</v>
      </c>
      <c r="T350" s="9">
        <v>38.756999999999998</v>
      </c>
      <c r="U350" s="9">
        <v>9.94</v>
      </c>
      <c r="V350" s="10">
        <v>0.16240740740740739</v>
      </c>
      <c r="W350" s="10">
        <v>0.10299768518518521</v>
      </c>
      <c r="X350" s="10">
        <v>0</v>
      </c>
      <c r="Y350" s="9">
        <v>0</v>
      </c>
      <c r="Z350" s="9">
        <v>0</v>
      </c>
      <c r="AA350" s="9">
        <v>0</v>
      </c>
      <c r="AB350" s="9">
        <v>0</v>
      </c>
      <c r="AC350" s="9">
        <v>0</v>
      </c>
      <c r="AD350" s="9">
        <v>0</v>
      </c>
      <c r="AE350" s="9" t="s">
        <v>139</v>
      </c>
      <c r="AF350" s="9" t="s">
        <v>2942</v>
      </c>
      <c r="AG350" s="9" t="s">
        <v>2943</v>
      </c>
      <c r="AH350" s="9">
        <v>6.2257309999999997</v>
      </c>
      <c r="AI350" s="9">
        <v>-75.599151000000006</v>
      </c>
      <c r="AJ350" s="9" t="s">
        <v>2944</v>
      </c>
      <c r="AK350" s="9">
        <v>6.2365810000000002</v>
      </c>
      <c r="AL350" s="9">
        <v>-75.558187000000004</v>
      </c>
      <c r="AM350" s="26">
        <f t="shared" si="6"/>
        <v>4.9988425925925929E-2</v>
      </c>
    </row>
    <row r="351" spans="1:39" ht="15" x14ac:dyDescent="0.25">
      <c r="A351" s="9" t="s">
        <v>2945</v>
      </c>
      <c r="B351" s="9" t="s">
        <v>2946</v>
      </c>
      <c r="C351" s="9" t="s">
        <v>2947</v>
      </c>
      <c r="D351" s="9" t="s">
        <v>2875</v>
      </c>
      <c r="E351" s="9" t="s">
        <v>2619</v>
      </c>
      <c r="F351" s="9" t="s">
        <v>508</v>
      </c>
      <c r="G351" s="9" t="s">
        <v>80</v>
      </c>
      <c r="H351" s="9" t="s">
        <v>81</v>
      </c>
      <c r="I351" s="9" t="s">
        <v>115</v>
      </c>
      <c r="J351" s="9">
        <v>5240</v>
      </c>
      <c r="K351" s="9" t="s">
        <v>2948</v>
      </c>
      <c r="L351" s="9" t="s">
        <v>117</v>
      </c>
      <c r="M351" s="10">
        <v>2.0569016203703699E-2</v>
      </c>
      <c r="N351" s="9" t="s">
        <v>127</v>
      </c>
      <c r="O351" s="9" t="s">
        <v>2949</v>
      </c>
      <c r="P351" s="9" t="s">
        <v>119</v>
      </c>
      <c r="Q351" s="10">
        <v>1.8229861111111109E-3</v>
      </c>
      <c r="R351" s="9" t="s">
        <v>46</v>
      </c>
      <c r="S351" s="10">
        <v>0.26874603009259262</v>
      </c>
      <c r="T351" s="9">
        <v>35.654000000000003</v>
      </c>
      <c r="U351" s="9">
        <v>17.940000000000001</v>
      </c>
      <c r="V351" s="10">
        <v>8.282295138888883E-2</v>
      </c>
      <c r="W351" s="10">
        <v>3.6693217592592593E-2</v>
      </c>
      <c r="X351" s="10">
        <v>0</v>
      </c>
      <c r="Y351" s="9">
        <v>0</v>
      </c>
      <c r="Z351" s="9">
        <v>0</v>
      </c>
      <c r="AA351" s="9">
        <v>0</v>
      </c>
      <c r="AB351" s="9">
        <v>0</v>
      </c>
      <c r="AC351" s="9">
        <v>0</v>
      </c>
      <c r="AD351" s="9">
        <v>9</v>
      </c>
      <c r="AE351" s="9" t="s">
        <v>139</v>
      </c>
      <c r="AF351" s="9" t="s">
        <v>2950</v>
      </c>
      <c r="AG351" s="9" t="s">
        <v>2951</v>
      </c>
      <c r="AH351" s="9">
        <v>6.225822</v>
      </c>
      <c r="AI351" s="9">
        <v>-75.599323999999996</v>
      </c>
      <c r="AJ351" s="9" t="s">
        <v>2952</v>
      </c>
      <c r="AK351" s="9">
        <v>6.2592689999999997</v>
      </c>
      <c r="AL351" s="9">
        <v>-75.620921999999993</v>
      </c>
      <c r="AM351" s="26">
        <f t="shared" si="6"/>
        <v>0</v>
      </c>
    </row>
    <row r="352" spans="1:39" ht="15" x14ac:dyDescent="0.25">
      <c r="A352" s="9" t="s">
        <v>2953</v>
      </c>
      <c r="B352" s="9" t="s">
        <v>2954</v>
      </c>
      <c r="C352" s="9" t="s">
        <v>2955</v>
      </c>
      <c r="D352" s="9" t="s">
        <v>2875</v>
      </c>
      <c r="E352" s="9" t="s">
        <v>2619</v>
      </c>
      <c r="F352" s="9" t="s">
        <v>508</v>
      </c>
      <c r="G352" s="9" t="s">
        <v>160</v>
      </c>
      <c r="H352" s="9" t="s">
        <v>161</v>
      </c>
      <c r="I352" s="9" t="s">
        <v>115</v>
      </c>
      <c r="J352" s="9">
        <v>12071</v>
      </c>
      <c r="K352" s="9" t="s">
        <v>2956</v>
      </c>
      <c r="L352" s="9" t="s">
        <v>117</v>
      </c>
      <c r="M352" s="10">
        <v>3.7351469907407397E-2</v>
      </c>
      <c r="N352" s="9" t="s">
        <v>127</v>
      </c>
      <c r="O352" s="9" t="s">
        <v>2957</v>
      </c>
      <c r="P352" s="9" t="s">
        <v>119</v>
      </c>
      <c r="Q352" s="10">
        <v>1.032048611111111E-3</v>
      </c>
      <c r="R352" s="9" t="s">
        <v>46</v>
      </c>
      <c r="S352" s="10">
        <v>0.28631942129629628</v>
      </c>
      <c r="T352" s="9">
        <v>70.233000000000004</v>
      </c>
      <c r="U352" s="9">
        <v>17.25</v>
      </c>
      <c r="V352" s="10">
        <v>0.16968402777777791</v>
      </c>
      <c r="W352" s="10">
        <v>9.995311342592593E-2</v>
      </c>
      <c r="X352" s="10">
        <v>0</v>
      </c>
      <c r="Y352" s="9">
        <v>0</v>
      </c>
      <c r="Z352" s="9">
        <v>0</v>
      </c>
      <c r="AA352" s="9">
        <v>0</v>
      </c>
      <c r="AB352" s="9">
        <v>0</v>
      </c>
      <c r="AC352" s="9">
        <v>0</v>
      </c>
      <c r="AD352" s="9">
        <v>2</v>
      </c>
      <c r="AE352" s="9" t="s">
        <v>139</v>
      </c>
      <c r="AF352" s="9" t="s">
        <v>2958</v>
      </c>
      <c r="AG352" s="9" t="s">
        <v>2959</v>
      </c>
      <c r="AH352" s="9">
        <v>6.2412669999999997</v>
      </c>
      <c r="AI352" s="9">
        <v>-75.586453000000006</v>
      </c>
      <c r="AJ352" s="9" t="s">
        <v>2960</v>
      </c>
      <c r="AK352" s="9">
        <v>6.2568000000000001</v>
      </c>
      <c r="AL352" s="9">
        <v>-75.580860000000001</v>
      </c>
      <c r="AM352" s="26">
        <f t="shared" si="6"/>
        <v>0</v>
      </c>
    </row>
    <row r="353" spans="1:54" ht="15" x14ac:dyDescent="0.25">
      <c r="A353" s="9" t="s">
        <v>2961</v>
      </c>
      <c r="B353" s="9" t="s">
        <v>2962</v>
      </c>
      <c r="C353" s="9" t="s">
        <v>2963</v>
      </c>
      <c r="D353" s="9" t="s">
        <v>2875</v>
      </c>
      <c r="E353" s="9" t="s">
        <v>2619</v>
      </c>
      <c r="F353" s="9" t="s">
        <v>508</v>
      </c>
      <c r="G353" s="9" t="s">
        <v>97</v>
      </c>
      <c r="H353" s="9" t="s">
        <v>98</v>
      </c>
      <c r="I353" s="9" t="s">
        <v>115</v>
      </c>
      <c r="J353" s="9">
        <v>2045</v>
      </c>
      <c r="K353" s="9" t="s">
        <v>2964</v>
      </c>
      <c r="L353" s="9" t="s">
        <v>117</v>
      </c>
      <c r="M353" s="10">
        <v>1.862268518518519E-2</v>
      </c>
      <c r="N353" s="9" t="s">
        <v>127</v>
      </c>
      <c r="O353" s="9" t="s">
        <v>2965</v>
      </c>
      <c r="P353" s="9" t="s">
        <v>119</v>
      </c>
      <c r="Q353" s="10">
        <v>3.4629629629629628E-2</v>
      </c>
      <c r="R353" s="9" t="s">
        <v>56</v>
      </c>
      <c r="S353" s="10">
        <v>0.23399305555555561</v>
      </c>
      <c r="T353" s="9">
        <v>26.561</v>
      </c>
      <c r="U353" s="9">
        <v>8.34</v>
      </c>
      <c r="V353" s="10">
        <v>0.13269675925925931</v>
      </c>
      <c r="W353" s="10">
        <v>9.2789351851851845E-2</v>
      </c>
      <c r="X353" s="10">
        <v>4.0277777777777777E-3</v>
      </c>
      <c r="Y353" s="9">
        <v>0</v>
      </c>
      <c r="Z353" s="9">
        <v>0</v>
      </c>
      <c r="AA353" s="9">
        <v>0</v>
      </c>
      <c r="AB353" s="9">
        <v>0</v>
      </c>
      <c r="AC353" s="9">
        <v>0</v>
      </c>
      <c r="AD353" s="9">
        <v>0</v>
      </c>
      <c r="AE353" s="9" t="s">
        <v>139</v>
      </c>
      <c r="AF353" s="9" t="s">
        <v>2966</v>
      </c>
      <c r="AG353" s="9" t="s">
        <v>2967</v>
      </c>
      <c r="AH353" s="9">
        <v>6.2257999999999996</v>
      </c>
      <c r="AI353" s="9">
        <v>-75.599362999999997</v>
      </c>
      <c r="AJ353" s="9" t="s">
        <v>2968</v>
      </c>
      <c r="AK353" s="9">
        <v>6.2765709999999997</v>
      </c>
      <c r="AL353" s="9">
        <v>-75.573234999999997</v>
      </c>
      <c r="AM353" s="26">
        <f t="shared" si="6"/>
        <v>3.4629629629629628E-2</v>
      </c>
    </row>
    <row r="354" spans="1:54" ht="15" x14ac:dyDescent="0.25">
      <c r="A354" s="9" t="s">
        <v>2866</v>
      </c>
      <c r="B354" s="9" t="s">
        <v>2969</v>
      </c>
      <c r="C354" s="9" t="s">
        <v>2867</v>
      </c>
      <c r="D354" s="9" t="s">
        <v>2875</v>
      </c>
      <c r="E354" s="9" t="s">
        <v>2619</v>
      </c>
      <c r="F354" s="9" t="s">
        <v>508</v>
      </c>
      <c r="G354" s="9" t="s">
        <v>62</v>
      </c>
      <c r="H354" s="9" t="s">
        <v>63</v>
      </c>
      <c r="I354" s="9" t="s">
        <v>40</v>
      </c>
      <c r="J354" s="9">
        <v>3889</v>
      </c>
      <c r="K354" s="9" t="s">
        <v>2868</v>
      </c>
      <c r="L354" s="9" t="s">
        <v>42</v>
      </c>
      <c r="M354" s="10">
        <v>1.496527777777778E-2</v>
      </c>
      <c r="N354" s="9" t="s">
        <v>43</v>
      </c>
      <c r="O354" s="9" t="s">
        <v>2869</v>
      </c>
      <c r="P354" s="9" t="s">
        <v>45</v>
      </c>
      <c r="Q354" s="10">
        <v>1.6736111111111111E-2</v>
      </c>
      <c r="R354" s="9" t="s">
        <v>56</v>
      </c>
      <c r="S354" s="10">
        <v>0.30163194444444452</v>
      </c>
      <c r="T354" s="9">
        <v>53.493000000000002</v>
      </c>
      <c r="U354" s="9">
        <v>11.85</v>
      </c>
      <c r="V354" s="10">
        <v>0.18815972222222219</v>
      </c>
      <c r="W354" s="10">
        <v>0.11869212962962961</v>
      </c>
      <c r="X354" s="10">
        <v>1.252314814814815E-2</v>
      </c>
      <c r="Y354" s="9">
        <v>1</v>
      </c>
      <c r="Z354" s="9">
        <v>1</v>
      </c>
      <c r="AA354" s="9">
        <v>0</v>
      </c>
      <c r="AB354" s="9">
        <v>0</v>
      </c>
      <c r="AC354" s="9">
        <v>0</v>
      </c>
      <c r="AD354" s="9">
        <v>0</v>
      </c>
      <c r="AE354" s="9" t="s">
        <v>57</v>
      </c>
      <c r="AF354" s="9" t="s">
        <v>2970</v>
      </c>
      <c r="AG354" s="9" t="s">
        <v>2870</v>
      </c>
      <c r="AH354" s="9">
        <v>6.2258089999999999</v>
      </c>
      <c r="AI354" s="9">
        <v>-75.599311</v>
      </c>
      <c r="AJ354" s="9" t="s">
        <v>2871</v>
      </c>
      <c r="AK354" s="9">
        <v>6.2229749999999999</v>
      </c>
      <c r="AL354" s="9">
        <v>-75.597690999999998</v>
      </c>
      <c r="AM354" s="26">
        <f t="shared" si="6"/>
        <v>3.170138888888889E-2</v>
      </c>
    </row>
    <row r="355" spans="1:54" ht="15" x14ac:dyDescent="0.25">
      <c r="A355" s="9" t="s">
        <v>2971</v>
      </c>
      <c r="B355" s="9" t="s">
        <v>2972</v>
      </c>
      <c r="C355" s="9" t="s">
        <v>2973</v>
      </c>
      <c r="D355" s="9" t="s">
        <v>2974</v>
      </c>
      <c r="E355" s="9" t="s">
        <v>2619</v>
      </c>
      <c r="F355" s="9" t="s">
        <v>37</v>
      </c>
      <c r="G355" s="9" t="s">
        <v>38</v>
      </c>
      <c r="H355" s="9" t="s">
        <v>39</v>
      </c>
      <c r="I355" s="9" t="s">
        <v>40</v>
      </c>
      <c r="J355" s="9">
        <v>9411</v>
      </c>
      <c r="K355" s="9" t="s">
        <v>2975</v>
      </c>
      <c r="L355" s="9" t="s">
        <v>42</v>
      </c>
      <c r="M355" s="10">
        <v>2.1525613425925929E-2</v>
      </c>
      <c r="N355" s="9" t="s">
        <v>43</v>
      </c>
      <c r="O355" s="9" t="s">
        <v>2976</v>
      </c>
      <c r="P355" s="9" t="s">
        <v>45</v>
      </c>
      <c r="Q355" s="10">
        <v>2.5210416666666671E-3</v>
      </c>
      <c r="R355" s="9" t="s">
        <v>46</v>
      </c>
      <c r="S355" s="10">
        <v>0.31432876157407408</v>
      </c>
      <c r="T355" s="9">
        <v>67.908000000000001</v>
      </c>
      <c r="U355" s="9">
        <v>17.46</v>
      </c>
      <c r="V355" s="10">
        <v>0.1620192939814814</v>
      </c>
      <c r="W355" s="10">
        <v>7.6907731481481473E-2</v>
      </c>
      <c r="X355" s="10">
        <v>0</v>
      </c>
      <c r="Y355" s="9">
        <v>0</v>
      </c>
      <c r="Z355" s="9">
        <v>0</v>
      </c>
      <c r="AA355" s="9">
        <v>0</v>
      </c>
      <c r="AB355" s="9">
        <v>0</v>
      </c>
      <c r="AC355" s="9">
        <v>0</v>
      </c>
      <c r="AD355" s="9">
        <v>4</v>
      </c>
      <c r="AE355" s="9" t="s">
        <v>47</v>
      </c>
      <c r="AF355" s="9" t="s">
        <v>2977</v>
      </c>
      <c r="AG355" s="9" t="s">
        <v>2978</v>
      </c>
      <c r="AH355" s="9">
        <v>6.2032439999999998</v>
      </c>
      <c r="AI355" s="9">
        <v>-75.600825999999998</v>
      </c>
      <c r="AJ355" s="9" t="s">
        <v>2979</v>
      </c>
      <c r="AK355" s="9">
        <v>6.2371790000000003</v>
      </c>
      <c r="AL355" s="9">
        <v>-75.569823999999997</v>
      </c>
      <c r="AM355" s="26">
        <f t="shared" si="6"/>
        <v>2.1525613425925929E-2</v>
      </c>
    </row>
    <row r="356" spans="1:54" ht="15" x14ac:dyDescent="0.25">
      <c r="A356" s="9" t="s">
        <v>2980</v>
      </c>
      <c r="B356" s="9" t="s">
        <v>2981</v>
      </c>
      <c r="C356" s="9" t="s">
        <v>2982</v>
      </c>
      <c r="D356" s="9" t="s">
        <v>2974</v>
      </c>
      <c r="E356" s="9" t="s">
        <v>2619</v>
      </c>
      <c r="F356" s="9" t="s">
        <v>37</v>
      </c>
      <c r="G356" s="9" t="s">
        <v>52</v>
      </c>
      <c r="H356" s="9" t="s">
        <v>53</v>
      </c>
      <c r="I356" s="9" t="s">
        <v>40</v>
      </c>
      <c r="J356" s="9">
        <v>3031</v>
      </c>
      <c r="K356" s="9" t="s">
        <v>2983</v>
      </c>
      <c r="L356" s="9" t="s">
        <v>42</v>
      </c>
      <c r="M356" s="10">
        <v>1.2500000000000001E-2</v>
      </c>
      <c r="N356" s="9" t="s">
        <v>127</v>
      </c>
      <c r="O356" s="9" t="s">
        <v>2984</v>
      </c>
      <c r="P356" s="9" t="s">
        <v>45</v>
      </c>
      <c r="Q356" s="10">
        <v>5.8101851851851856E-3</v>
      </c>
      <c r="R356" s="9" t="s">
        <v>46</v>
      </c>
      <c r="S356" s="10">
        <v>0.34002314814814821</v>
      </c>
      <c r="T356" s="9">
        <v>38.945</v>
      </c>
      <c r="U356" s="9">
        <v>9</v>
      </c>
      <c r="V356" s="10">
        <v>0.1803703703703704</v>
      </c>
      <c r="W356" s="10">
        <v>0.12047453703703701</v>
      </c>
      <c r="X356" s="10">
        <v>6.8634259259259256E-3</v>
      </c>
      <c r="Y356" s="9">
        <v>0</v>
      </c>
      <c r="Z356" s="9">
        <v>0</v>
      </c>
      <c r="AA356" s="9">
        <v>0</v>
      </c>
      <c r="AB356" s="9">
        <v>0</v>
      </c>
      <c r="AC356" s="9">
        <v>0</v>
      </c>
      <c r="AD356" s="9">
        <v>0</v>
      </c>
      <c r="AE356" s="9" t="s">
        <v>139</v>
      </c>
      <c r="AF356" s="9" t="s">
        <v>2985</v>
      </c>
      <c r="AG356" s="9" t="s">
        <v>2986</v>
      </c>
      <c r="AH356" s="9">
        <v>6.225562</v>
      </c>
      <c r="AI356" s="9">
        <v>-75.599151000000006</v>
      </c>
      <c r="AJ356" s="9" t="s">
        <v>2987</v>
      </c>
      <c r="AK356" s="9">
        <v>6.2256580000000001</v>
      </c>
      <c r="AL356" s="9">
        <v>-75.599070999999995</v>
      </c>
      <c r="AM356" s="26">
        <f t="shared" si="6"/>
        <v>0</v>
      </c>
    </row>
    <row r="357" spans="1:54" ht="15" x14ac:dyDescent="0.25">
      <c r="A357" s="9" t="s">
        <v>2988</v>
      </c>
      <c r="B357" s="9" t="s">
        <v>2989</v>
      </c>
      <c r="C357" s="9" t="s">
        <v>2990</v>
      </c>
      <c r="D357" s="9" t="s">
        <v>2974</v>
      </c>
      <c r="E357" s="9" t="s">
        <v>2619</v>
      </c>
      <c r="F357" s="9" t="s">
        <v>37</v>
      </c>
      <c r="G357" s="9" t="s">
        <v>113</v>
      </c>
      <c r="H357" s="9" t="s">
        <v>114</v>
      </c>
      <c r="I357" s="9" t="s">
        <v>40</v>
      </c>
      <c r="J357" s="9">
        <v>2513</v>
      </c>
      <c r="K357" s="9" t="s">
        <v>2991</v>
      </c>
      <c r="L357" s="9" t="s">
        <v>42</v>
      </c>
      <c r="M357" s="10">
        <v>2.488425925925926E-3</v>
      </c>
      <c r="N357" s="9" t="s">
        <v>65</v>
      </c>
      <c r="O357" s="9" t="s">
        <v>2992</v>
      </c>
      <c r="P357" s="9" t="s">
        <v>45</v>
      </c>
      <c r="Q357" s="10">
        <v>6.4814814814814813E-4</v>
      </c>
      <c r="R357" s="9" t="s">
        <v>46</v>
      </c>
      <c r="S357" s="10">
        <v>0.3364699074074074</v>
      </c>
      <c r="T357" s="9">
        <v>34.430999999999997</v>
      </c>
      <c r="U357" s="9">
        <v>5.22</v>
      </c>
      <c r="V357" s="10">
        <v>0.27484953703703702</v>
      </c>
      <c r="W357" s="10">
        <v>0.2268634259259259</v>
      </c>
      <c r="X357" s="10">
        <v>0</v>
      </c>
      <c r="Y357" s="9">
        <v>0</v>
      </c>
      <c r="Z357" s="9">
        <v>0</v>
      </c>
      <c r="AA357" s="9">
        <v>0</v>
      </c>
      <c r="AB357" s="9">
        <v>0</v>
      </c>
      <c r="AC357" s="9">
        <v>0</v>
      </c>
      <c r="AD357" s="9">
        <v>3</v>
      </c>
      <c r="AE357" s="9" t="s">
        <v>84</v>
      </c>
      <c r="AF357" s="9" t="s">
        <v>292</v>
      </c>
      <c r="AG357" s="9" t="s">
        <v>2993</v>
      </c>
      <c r="AH357" s="9">
        <v>6.2335979999999998</v>
      </c>
      <c r="AI357" s="9">
        <v>-75.602124000000003</v>
      </c>
      <c r="AJ357" s="9" t="s">
        <v>2994</v>
      </c>
      <c r="AK357" s="9">
        <v>6.2388120000000002</v>
      </c>
      <c r="AL357" s="9">
        <v>-75.603425000000001</v>
      </c>
      <c r="AM357" s="26">
        <f t="shared" si="6"/>
        <v>0</v>
      </c>
    </row>
    <row r="358" spans="1:54" ht="15" x14ac:dyDescent="0.25">
      <c r="A358" s="9" t="s">
        <v>2995</v>
      </c>
      <c r="B358" s="9" t="s">
        <v>2996</v>
      </c>
      <c r="C358" s="9" t="s">
        <v>2997</v>
      </c>
      <c r="D358" s="9" t="s">
        <v>2974</v>
      </c>
      <c r="E358" s="9" t="s">
        <v>2619</v>
      </c>
      <c r="F358" s="9" t="s">
        <v>37</v>
      </c>
      <c r="G358" s="9" t="s">
        <v>62</v>
      </c>
      <c r="H358" s="9" t="s">
        <v>63</v>
      </c>
      <c r="I358" s="9" t="s">
        <v>40</v>
      </c>
      <c r="J358" s="9">
        <v>4253</v>
      </c>
      <c r="K358" s="9" t="s">
        <v>2998</v>
      </c>
      <c r="L358" s="9" t="s">
        <v>42</v>
      </c>
      <c r="M358" s="10">
        <v>3.37962962962963E-3</v>
      </c>
      <c r="N358" s="9" t="s">
        <v>65</v>
      </c>
      <c r="O358" s="9" t="s">
        <v>2999</v>
      </c>
      <c r="P358" s="9" t="s">
        <v>45</v>
      </c>
      <c r="Q358" s="10">
        <v>0.10902777777777781</v>
      </c>
      <c r="R358" s="9" t="s">
        <v>56</v>
      </c>
      <c r="S358" s="10">
        <v>0.22768518518518521</v>
      </c>
      <c r="T358" s="9">
        <v>56.817</v>
      </c>
      <c r="U358" s="9">
        <v>12.95</v>
      </c>
      <c r="V358" s="10">
        <v>0.18285879629629631</v>
      </c>
      <c r="W358" s="10">
        <v>7.6597222222222219E-2</v>
      </c>
      <c r="X358" s="10">
        <v>4.0509259259259257E-3</v>
      </c>
      <c r="Y358" s="9">
        <v>0</v>
      </c>
      <c r="Z358" s="9">
        <v>0</v>
      </c>
      <c r="AA358" s="9">
        <v>0</v>
      </c>
      <c r="AB358" s="9">
        <v>0</v>
      </c>
      <c r="AC358" s="9">
        <v>0</v>
      </c>
      <c r="AD358" s="9">
        <v>1</v>
      </c>
      <c r="AE358" s="9" t="s">
        <v>67</v>
      </c>
      <c r="AF358" s="9" t="s">
        <v>3000</v>
      </c>
      <c r="AG358" s="9" t="s">
        <v>3001</v>
      </c>
      <c r="AH358" s="9">
        <v>6.2257470000000001</v>
      </c>
      <c r="AI358" s="9">
        <v>-75.599438000000006</v>
      </c>
      <c r="AJ358" s="9" t="s">
        <v>3002</v>
      </c>
      <c r="AK358" s="9">
        <v>6.2354050000000001</v>
      </c>
      <c r="AL358" s="9">
        <v>-75.603436000000002</v>
      </c>
      <c r="AM358" s="26">
        <f t="shared" si="6"/>
        <v>0.10902777777777781</v>
      </c>
    </row>
    <row r="359" spans="1:54" ht="15" x14ac:dyDescent="0.25">
      <c r="A359" s="9" t="s">
        <v>3003</v>
      </c>
      <c r="B359" s="9" t="s">
        <v>3004</v>
      </c>
      <c r="C359" s="9" t="s">
        <v>3005</v>
      </c>
      <c r="D359" s="9" t="s">
        <v>2974</v>
      </c>
      <c r="E359" s="9" t="s">
        <v>2619</v>
      </c>
      <c r="F359" s="9" t="s">
        <v>37</v>
      </c>
      <c r="G359" s="9" t="s">
        <v>135</v>
      </c>
      <c r="H359" s="9" t="s">
        <v>136</v>
      </c>
      <c r="I359" s="9" t="s">
        <v>40</v>
      </c>
      <c r="J359" s="9">
        <v>1583</v>
      </c>
      <c r="K359" s="9" t="s">
        <v>3006</v>
      </c>
      <c r="L359" s="9" t="s">
        <v>42</v>
      </c>
      <c r="M359" s="10">
        <v>5.0810185185185194E-3</v>
      </c>
      <c r="N359" s="9" t="s">
        <v>65</v>
      </c>
      <c r="O359" s="9" t="s">
        <v>3007</v>
      </c>
      <c r="P359" s="9" t="s">
        <v>45</v>
      </c>
      <c r="Q359" s="10">
        <v>2.1990740740740742E-3</v>
      </c>
      <c r="R359" s="9" t="s">
        <v>46</v>
      </c>
      <c r="S359" s="10">
        <v>0.32605324074074082</v>
      </c>
      <c r="T359" s="9">
        <v>23.855</v>
      </c>
      <c r="U359" s="9">
        <v>10.38</v>
      </c>
      <c r="V359" s="10">
        <v>9.571759259259259E-2</v>
      </c>
      <c r="W359" s="10">
        <v>6.4421296296296296E-2</v>
      </c>
      <c r="X359" s="10">
        <v>0</v>
      </c>
      <c r="Y359" s="9">
        <v>0</v>
      </c>
      <c r="Z359" s="9">
        <v>0</v>
      </c>
      <c r="AA359" s="9">
        <v>0</v>
      </c>
      <c r="AB359" s="9">
        <v>0</v>
      </c>
      <c r="AC359" s="9">
        <v>0</v>
      </c>
      <c r="AD359" s="9">
        <v>9</v>
      </c>
      <c r="AE359" s="9" t="s">
        <v>84</v>
      </c>
      <c r="AF359" s="9" t="s">
        <v>3008</v>
      </c>
      <c r="AG359" s="9" t="s">
        <v>3009</v>
      </c>
      <c r="AH359" s="9">
        <v>6.2454270000000003</v>
      </c>
      <c r="AI359" s="9">
        <v>-75.601678000000007</v>
      </c>
      <c r="AJ359" s="9" t="s">
        <v>3010</v>
      </c>
      <c r="AK359" s="9">
        <v>6.2672480000000004</v>
      </c>
      <c r="AL359" s="9">
        <v>-75.553901999999994</v>
      </c>
      <c r="AM359" s="26">
        <f t="shared" si="6"/>
        <v>0</v>
      </c>
    </row>
    <row r="360" spans="1:54" ht="15" x14ac:dyDescent="0.25">
      <c r="A360" s="9" t="s">
        <v>3011</v>
      </c>
      <c r="B360" s="9" t="s">
        <v>3012</v>
      </c>
      <c r="C360" s="9" t="s">
        <v>3013</v>
      </c>
      <c r="D360" s="9" t="s">
        <v>2974</v>
      </c>
      <c r="E360" s="9" t="s">
        <v>2619</v>
      </c>
      <c r="F360" s="9" t="s">
        <v>37</v>
      </c>
      <c r="G360" s="9" t="s">
        <v>144</v>
      </c>
      <c r="H360" s="9" t="s">
        <v>145</v>
      </c>
      <c r="I360" s="9" t="s">
        <v>40</v>
      </c>
      <c r="J360" s="9">
        <v>5062</v>
      </c>
      <c r="K360" s="9" t="s">
        <v>3014</v>
      </c>
      <c r="L360" s="9" t="s">
        <v>42</v>
      </c>
      <c r="M360" s="10">
        <v>9.9537037037037042E-4</v>
      </c>
      <c r="N360" s="9" t="s">
        <v>65</v>
      </c>
      <c r="O360" s="9" t="s">
        <v>3015</v>
      </c>
      <c r="P360" s="9" t="s">
        <v>45</v>
      </c>
      <c r="Q360" s="10">
        <v>7.2916666666666668E-3</v>
      </c>
      <c r="R360" s="9" t="s">
        <v>46</v>
      </c>
      <c r="S360" s="10">
        <v>0.32703703703703701</v>
      </c>
      <c r="T360" s="9">
        <v>60.158999999999999</v>
      </c>
      <c r="U360" s="9">
        <v>10.14</v>
      </c>
      <c r="V360" s="10">
        <v>0.24721064814814811</v>
      </c>
      <c r="W360" s="10">
        <v>6.3807870370370376E-2</v>
      </c>
      <c r="X360" s="10">
        <v>4.3750000000000004E-3</v>
      </c>
      <c r="Y360" s="9">
        <v>0</v>
      </c>
      <c r="Z360" s="9">
        <v>0</v>
      </c>
      <c r="AA360" s="9">
        <v>0</v>
      </c>
      <c r="AB360" s="9">
        <v>0</v>
      </c>
      <c r="AC360" s="9">
        <v>0</v>
      </c>
      <c r="AD360" s="9">
        <v>0</v>
      </c>
      <c r="AE360" s="9" t="s">
        <v>84</v>
      </c>
      <c r="AF360" s="9" t="s">
        <v>3016</v>
      </c>
      <c r="AG360" s="9" t="s">
        <v>3017</v>
      </c>
      <c r="AH360" s="9">
        <v>6.2728060000000001</v>
      </c>
      <c r="AI360" s="9">
        <v>-75.574393000000001</v>
      </c>
      <c r="AJ360" s="9" t="s">
        <v>3018</v>
      </c>
      <c r="AK360" s="9">
        <v>6.2728130000000002</v>
      </c>
      <c r="AL360" s="9">
        <v>-75.57441</v>
      </c>
      <c r="AM360" s="26">
        <f t="shared" si="6"/>
        <v>0</v>
      </c>
    </row>
    <row r="361" spans="1:54" ht="15" x14ac:dyDescent="0.25">
      <c r="A361" s="9" t="s">
        <v>3023</v>
      </c>
      <c r="B361" s="9" t="s">
        <v>3024</v>
      </c>
      <c r="C361" s="9" t="s">
        <v>3025</v>
      </c>
      <c r="D361" s="9" t="s">
        <v>2974</v>
      </c>
      <c r="E361" s="9" t="s">
        <v>2619</v>
      </c>
      <c r="F361" s="9" t="s">
        <v>37</v>
      </c>
      <c r="G361" s="9" t="s">
        <v>89</v>
      </c>
      <c r="H361" s="9" t="s">
        <v>90</v>
      </c>
      <c r="I361" s="9" t="s">
        <v>40</v>
      </c>
      <c r="J361" s="9">
        <v>4598</v>
      </c>
      <c r="K361" s="9" t="s">
        <v>3026</v>
      </c>
      <c r="L361" s="9" t="s">
        <v>42</v>
      </c>
      <c r="M361" s="10">
        <v>1.111111111111111E-2</v>
      </c>
      <c r="N361" s="9" t="s">
        <v>127</v>
      </c>
      <c r="O361" s="9" t="s">
        <v>3027</v>
      </c>
      <c r="P361" s="9" t="s">
        <v>45</v>
      </c>
      <c r="Q361" s="10">
        <v>9.7222222222222219E-4</v>
      </c>
      <c r="R361" s="9" t="s">
        <v>46</v>
      </c>
      <c r="S361" s="10">
        <v>0.34541666666666659</v>
      </c>
      <c r="T361" s="9">
        <v>57.073999999999998</v>
      </c>
      <c r="U361" s="9">
        <v>8.51</v>
      </c>
      <c r="V361" s="10">
        <v>0.27959490740740739</v>
      </c>
      <c r="W361" s="10">
        <v>0.1541666666666667</v>
      </c>
      <c r="X361" s="10">
        <v>0</v>
      </c>
      <c r="Y361" s="9">
        <v>0</v>
      </c>
      <c r="Z361" s="9">
        <v>0</v>
      </c>
      <c r="AA361" s="9">
        <v>0</v>
      </c>
      <c r="AB361" s="9">
        <v>0</v>
      </c>
      <c r="AC361" s="9">
        <v>0</v>
      </c>
      <c r="AD361" s="9">
        <v>0</v>
      </c>
      <c r="AE361" s="9" t="s">
        <v>139</v>
      </c>
      <c r="AF361" s="9" t="s">
        <v>3028</v>
      </c>
      <c r="AG361" s="9" t="s">
        <v>3029</v>
      </c>
      <c r="AH361" s="9">
        <v>6.2263330000000003</v>
      </c>
      <c r="AI361" s="9">
        <v>-75.599211999999994</v>
      </c>
      <c r="AJ361" s="9" t="s">
        <v>3030</v>
      </c>
      <c r="AK361" s="9">
        <v>6.2801090000000004</v>
      </c>
      <c r="AL361" s="9">
        <v>-75.572558999999998</v>
      </c>
      <c r="AM361" s="26">
        <f t="shared" si="6"/>
        <v>0</v>
      </c>
    </row>
    <row r="362" spans="1:54" ht="15" x14ac:dyDescent="0.25">
      <c r="A362" s="9" t="s">
        <v>3031</v>
      </c>
      <c r="B362" s="9" t="s">
        <v>3032</v>
      </c>
      <c r="C362" s="9" t="s">
        <v>3033</v>
      </c>
      <c r="D362" s="9" t="s">
        <v>2974</v>
      </c>
      <c r="E362" s="9" t="s">
        <v>2619</v>
      </c>
      <c r="F362" s="9" t="s">
        <v>37</v>
      </c>
      <c r="G362" s="9" t="s">
        <v>105</v>
      </c>
      <c r="H362" s="9" t="s">
        <v>106</v>
      </c>
      <c r="I362" s="9" t="s">
        <v>40</v>
      </c>
      <c r="J362" s="9">
        <v>4812</v>
      </c>
      <c r="K362" s="9" t="s">
        <v>3034</v>
      </c>
      <c r="L362" s="9" t="s">
        <v>42</v>
      </c>
      <c r="M362" s="10">
        <v>1.263888888888889E-2</v>
      </c>
      <c r="N362" s="9" t="s">
        <v>127</v>
      </c>
      <c r="O362" s="9" t="s">
        <v>3035</v>
      </c>
      <c r="P362" s="9" t="s">
        <v>45</v>
      </c>
      <c r="Q362" s="10">
        <v>6.9444444444444447E-4</v>
      </c>
      <c r="R362" s="9" t="s">
        <v>46</v>
      </c>
      <c r="S362" s="10">
        <v>0.34666666666666668</v>
      </c>
      <c r="T362" s="9">
        <v>66.102999999999994</v>
      </c>
      <c r="U362" s="9">
        <v>18.64</v>
      </c>
      <c r="V362" s="10">
        <v>0.14780092592592589</v>
      </c>
      <c r="W362" s="10">
        <v>5.7708333333333327E-2</v>
      </c>
      <c r="X362" s="10">
        <v>2.613425925925926E-2</v>
      </c>
      <c r="Y362" s="9">
        <v>1</v>
      </c>
      <c r="Z362" s="9">
        <v>1</v>
      </c>
      <c r="AA362" s="9">
        <v>1</v>
      </c>
      <c r="AB362" s="9">
        <v>0</v>
      </c>
      <c r="AC362" s="9">
        <v>0</v>
      </c>
      <c r="AD362" s="9">
        <v>0</v>
      </c>
      <c r="AE362" s="9" t="s">
        <v>139</v>
      </c>
      <c r="AF362" s="9" t="s">
        <v>3036</v>
      </c>
      <c r="AG362" s="9" t="s">
        <v>3037</v>
      </c>
      <c r="AH362" s="9">
        <v>6.2256340000000003</v>
      </c>
      <c r="AI362" s="9">
        <v>-75.599227999999997</v>
      </c>
      <c r="AJ362" s="9" t="s">
        <v>3038</v>
      </c>
      <c r="AK362" s="9">
        <v>6.2585059999999997</v>
      </c>
      <c r="AL362" s="9">
        <v>-75.616107999999997</v>
      </c>
      <c r="AM362" s="26">
        <f t="shared" si="6"/>
        <v>0</v>
      </c>
    </row>
    <row r="363" spans="1:54" ht="15" x14ac:dyDescent="0.25">
      <c r="A363" s="1" t="s">
        <v>3039</v>
      </c>
      <c r="B363" s="1" t="s">
        <v>3040</v>
      </c>
      <c r="C363" s="1" t="s">
        <v>3041</v>
      </c>
      <c r="D363" s="1" t="s">
        <v>2974</v>
      </c>
      <c r="E363" s="1" t="s">
        <v>2619</v>
      </c>
      <c r="F363" s="1" t="s">
        <v>37</v>
      </c>
      <c r="G363" s="1" t="s">
        <v>152</v>
      </c>
      <c r="H363" s="1" t="s">
        <v>153</v>
      </c>
      <c r="I363" s="1" t="s">
        <v>40</v>
      </c>
      <c r="J363" s="1">
        <v>7652</v>
      </c>
      <c r="K363" s="1" t="s">
        <v>3019</v>
      </c>
      <c r="L363" s="1" t="s">
        <v>42</v>
      </c>
      <c r="M363" s="38">
        <v>6.9444444444444441E-3</v>
      </c>
      <c r="N363" s="1" t="s">
        <v>65</v>
      </c>
      <c r="O363" s="1" t="s">
        <v>3021</v>
      </c>
      <c r="P363" s="1" t="s">
        <v>45</v>
      </c>
      <c r="Q363" s="38">
        <v>1.8252314814814811E-2</v>
      </c>
      <c r="R363" s="1" t="s">
        <v>129</v>
      </c>
      <c r="S363" s="38">
        <v>0.35853009259259261</v>
      </c>
      <c r="T363" s="1">
        <v>99.364000000000004</v>
      </c>
      <c r="U363" s="1">
        <v>13.82</v>
      </c>
      <c r="V363" s="38">
        <v>0.2996064814814815</v>
      </c>
      <c r="W363" s="38">
        <v>0.1025462962962963</v>
      </c>
      <c r="X363" s="38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1</v>
      </c>
      <c r="AE363" s="1" t="s">
        <v>130</v>
      </c>
      <c r="AF363" s="1" t="s">
        <v>3042</v>
      </c>
      <c r="AG363" s="1" t="s">
        <v>3020</v>
      </c>
      <c r="AH363" s="1">
        <v>6.2255469999999997</v>
      </c>
      <c r="AI363" s="1">
        <v>-75.599412000000001</v>
      </c>
      <c r="AJ363" s="1" t="s">
        <v>3022</v>
      </c>
      <c r="AK363" s="1">
        <v>6.2517379999999996</v>
      </c>
      <c r="AL363" s="1">
        <v>-75.551792000000006</v>
      </c>
      <c r="AM363" s="26">
        <f t="shared" si="6"/>
        <v>0</v>
      </c>
      <c r="AY363" s="1"/>
      <c r="AZ363" s="1"/>
      <c r="BA363" s="1"/>
      <c r="BB363" s="1"/>
    </row>
    <row r="364" spans="1:54" ht="15" x14ac:dyDescent="0.25">
      <c r="A364" s="9" t="s">
        <v>3043</v>
      </c>
      <c r="B364" s="9" t="s">
        <v>3044</v>
      </c>
      <c r="C364" s="9" t="s">
        <v>3045</v>
      </c>
      <c r="D364" s="9" t="s">
        <v>2974</v>
      </c>
      <c r="E364" s="9" t="s">
        <v>2619</v>
      </c>
      <c r="F364" s="9" t="s">
        <v>37</v>
      </c>
      <c r="G364" s="9" t="s">
        <v>124</v>
      </c>
      <c r="H364" s="9" t="s">
        <v>125</v>
      </c>
      <c r="I364" s="9" t="s">
        <v>115</v>
      </c>
      <c r="J364" s="9">
        <v>4477</v>
      </c>
      <c r="K364" s="9" t="s">
        <v>3046</v>
      </c>
      <c r="L364" s="9" t="s">
        <v>117</v>
      </c>
      <c r="M364" s="10">
        <v>3.4490740740740738E-2</v>
      </c>
      <c r="N364" s="9" t="s">
        <v>127</v>
      </c>
      <c r="O364" s="9" t="s">
        <v>3047</v>
      </c>
      <c r="P364" s="9" t="s">
        <v>119</v>
      </c>
      <c r="Q364" s="10">
        <v>1.5046296296296301E-2</v>
      </c>
      <c r="R364" s="9" t="s">
        <v>129</v>
      </c>
      <c r="S364" s="10">
        <v>0.29953703703703699</v>
      </c>
      <c r="T364" s="9">
        <v>55.436999999999998</v>
      </c>
      <c r="U364" s="9">
        <v>12.31</v>
      </c>
      <c r="V364" s="10">
        <v>0.18763888888888891</v>
      </c>
      <c r="W364" s="10">
        <v>5.1203703703703703E-2</v>
      </c>
      <c r="X364" s="10">
        <v>1.126157407407407E-2</v>
      </c>
      <c r="Y364" s="9">
        <v>1</v>
      </c>
      <c r="Z364" s="9">
        <v>1</v>
      </c>
      <c r="AA364" s="9">
        <v>0</v>
      </c>
      <c r="AB364" s="9">
        <v>0</v>
      </c>
      <c r="AC364" s="9">
        <v>0</v>
      </c>
      <c r="AD364" s="9">
        <v>0</v>
      </c>
      <c r="AE364" s="9" t="s">
        <v>130</v>
      </c>
      <c r="AF364" s="9" t="s">
        <v>3048</v>
      </c>
      <c r="AG364" s="9" t="s">
        <v>3049</v>
      </c>
      <c r="AH364" s="9">
        <v>6.2284309999999996</v>
      </c>
      <c r="AI364" s="9">
        <v>-75.599153000000001</v>
      </c>
      <c r="AJ364" s="9" t="s">
        <v>3050</v>
      </c>
      <c r="AK364" s="9">
        <v>6.2728580000000003</v>
      </c>
      <c r="AL364" s="9">
        <v>-75.602091999999999</v>
      </c>
      <c r="AM364" s="26">
        <f t="shared" si="6"/>
        <v>0</v>
      </c>
    </row>
    <row r="365" spans="1:54" ht="15" x14ac:dyDescent="0.25">
      <c r="A365" s="9" t="s">
        <v>3051</v>
      </c>
      <c r="B365" s="9" t="s">
        <v>3052</v>
      </c>
      <c r="C365" s="9" t="s">
        <v>3053</v>
      </c>
      <c r="D365" s="9" t="s">
        <v>2974</v>
      </c>
      <c r="E365" s="9" t="s">
        <v>2619</v>
      </c>
      <c r="F365" s="9" t="s">
        <v>37</v>
      </c>
      <c r="G365" s="9" t="s">
        <v>72</v>
      </c>
      <c r="H365" s="9" t="s">
        <v>73</v>
      </c>
      <c r="I365" s="9" t="s">
        <v>115</v>
      </c>
      <c r="J365" s="9">
        <v>2949</v>
      </c>
      <c r="K365" s="9" t="s">
        <v>3054</v>
      </c>
      <c r="L365" s="9" t="s">
        <v>117</v>
      </c>
      <c r="M365" s="10">
        <v>5.7997685185185187E-2</v>
      </c>
      <c r="N365" s="9" t="s">
        <v>127</v>
      </c>
      <c r="O365" s="9" t="s">
        <v>3055</v>
      </c>
      <c r="P365" s="9" t="s">
        <v>119</v>
      </c>
      <c r="Q365" s="10">
        <v>3.8414351851851852E-2</v>
      </c>
      <c r="R365" s="9" t="s">
        <v>56</v>
      </c>
      <c r="S365" s="10">
        <v>0.26958333333333329</v>
      </c>
      <c r="T365" s="9">
        <v>43.320999999999998</v>
      </c>
      <c r="U365" s="9">
        <v>10.7</v>
      </c>
      <c r="V365" s="10">
        <v>0.16875000000000001</v>
      </c>
      <c r="W365" s="10">
        <v>0.10906250000000001</v>
      </c>
      <c r="X365" s="10">
        <v>0</v>
      </c>
      <c r="Y365" s="9">
        <v>0</v>
      </c>
      <c r="Z365" s="9">
        <v>0</v>
      </c>
      <c r="AA365" s="9">
        <v>0</v>
      </c>
      <c r="AB365" s="9">
        <v>0</v>
      </c>
      <c r="AC365" s="9">
        <v>0</v>
      </c>
      <c r="AD365" s="9">
        <v>0</v>
      </c>
      <c r="AE365" s="9" t="s">
        <v>139</v>
      </c>
      <c r="AF365" s="9" t="s">
        <v>3056</v>
      </c>
      <c r="AG365" s="9" t="s">
        <v>3057</v>
      </c>
      <c r="AH365" s="9">
        <v>6.2257749999999996</v>
      </c>
      <c r="AI365" s="9">
        <v>-75.598816999999997</v>
      </c>
      <c r="AJ365" s="9" t="s">
        <v>3058</v>
      </c>
      <c r="AK365" s="9">
        <v>6.2370039999999998</v>
      </c>
      <c r="AL365" s="9">
        <v>-75.558803999999995</v>
      </c>
      <c r="AM365" s="26">
        <f t="shared" si="6"/>
        <v>3.8414351851851852E-2</v>
      </c>
    </row>
    <row r="366" spans="1:54" ht="15" x14ac:dyDescent="0.25">
      <c r="A366" s="9" t="s">
        <v>3059</v>
      </c>
      <c r="B366" s="9" t="s">
        <v>3060</v>
      </c>
      <c r="C366" s="9" t="s">
        <v>3061</v>
      </c>
      <c r="D366" s="9" t="s">
        <v>2974</v>
      </c>
      <c r="E366" s="9" t="s">
        <v>2619</v>
      </c>
      <c r="F366" s="9" t="s">
        <v>37</v>
      </c>
      <c r="G366" s="9" t="s">
        <v>80</v>
      </c>
      <c r="H366" s="9" t="s">
        <v>81</v>
      </c>
      <c r="I366" s="9" t="s">
        <v>115</v>
      </c>
      <c r="J366" s="9">
        <v>5232</v>
      </c>
      <c r="K366" s="9" t="s">
        <v>3062</v>
      </c>
      <c r="L366" s="9" t="s">
        <v>117</v>
      </c>
      <c r="M366" s="10">
        <v>1.863108796296296E-2</v>
      </c>
      <c r="N366" s="9" t="s">
        <v>127</v>
      </c>
      <c r="O366" s="9" t="s">
        <v>3063</v>
      </c>
      <c r="P366" s="9" t="s">
        <v>119</v>
      </c>
      <c r="Q366" s="10">
        <v>8.6834490740740743E-3</v>
      </c>
      <c r="R366" s="9" t="s">
        <v>46</v>
      </c>
      <c r="S366" s="10">
        <v>0.25994763888888889</v>
      </c>
      <c r="T366" s="9">
        <v>36.991</v>
      </c>
      <c r="U366" s="9">
        <v>19.579999999999998</v>
      </c>
      <c r="V366" s="10">
        <v>7.8722800925925845E-2</v>
      </c>
      <c r="W366" s="10">
        <v>3.4429942129629632E-2</v>
      </c>
      <c r="X366" s="10">
        <v>0</v>
      </c>
      <c r="Y366" s="9">
        <v>0</v>
      </c>
      <c r="Z366" s="9">
        <v>0</v>
      </c>
      <c r="AA366" s="9">
        <v>0</v>
      </c>
      <c r="AB366" s="9">
        <v>0</v>
      </c>
      <c r="AC366" s="9">
        <v>0</v>
      </c>
      <c r="AD366" s="9">
        <v>13</v>
      </c>
      <c r="AE366" s="9" t="s">
        <v>139</v>
      </c>
      <c r="AF366" s="9" t="s">
        <v>3064</v>
      </c>
      <c r="AG366" s="9" t="s">
        <v>3065</v>
      </c>
      <c r="AH366" s="9">
        <v>6.2257280000000002</v>
      </c>
      <c r="AI366" s="9">
        <v>-75.599418</v>
      </c>
      <c r="AJ366" s="9" t="s">
        <v>3066</v>
      </c>
      <c r="AK366" s="9">
        <v>6.2555209999999999</v>
      </c>
      <c r="AL366" s="9">
        <v>-75.620492999999996</v>
      </c>
      <c r="AM366" s="26">
        <f t="shared" si="6"/>
        <v>0</v>
      </c>
    </row>
    <row r="367" spans="1:54" ht="15" x14ac:dyDescent="0.25">
      <c r="A367" s="9" t="s">
        <v>3067</v>
      </c>
      <c r="B367" s="9" t="s">
        <v>3068</v>
      </c>
      <c r="C367" s="9" t="s">
        <v>3069</v>
      </c>
      <c r="D367" s="9" t="s">
        <v>2974</v>
      </c>
      <c r="E367" s="9" t="s">
        <v>2619</v>
      </c>
      <c r="F367" s="9" t="s">
        <v>37</v>
      </c>
      <c r="G367" s="9" t="s">
        <v>160</v>
      </c>
      <c r="H367" s="9" t="s">
        <v>161</v>
      </c>
      <c r="I367" s="9" t="s">
        <v>115</v>
      </c>
      <c r="J367" s="9">
        <v>10628</v>
      </c>
      <c r="K367" s="9" t="s">
        <v>3070</v>
      </c>
      <c r="L367" s="9" t="s">
        <v>117</v>
      </c>
      <c r="M367" s="10">
        <v>2.6019247685185189E-2</v>
      </c>
      <c r="N367" s="9" t="s">
        <v>127</v>
      </c>
      <c r="O367" s="9" t="s">
        <v>3071</v>
      </c>
      <c r="P367" s="9" t="s">
        <v>119</v>
      </c>
      <c r="Q367" s="10">
        <v>2.4040856481481478E-3</v>
      </c>
      <c r="R367" s="9" t="s">
        <v>46</v>
      </c>
      <c r="S367" s="10">
        <v>0.27842333333333341</v>
      </c>
      <c r="T367" s="9">
        <v>53.326000000000001</v>
      </c>
      <c r="U367" s="9">
        <v>13.87</v>
      </c>
      <c r="V367" s="10">
        <v>0.1602309606481481</v>
      </c>
      <c r="W367" s="10">
        <v>0.11474509259259261</v>
      </c>
      <c r="X367" s="10">
        <v>0</v>
      </c>
      <c r="Y367" s="9">
        <v>0</v>
      </c>
      <c r="Z367" s="9">
        <v>0</v>
      </c>
      <c r="AA367" s="9">
        <v>0</v>
      </c>
      <c r="AB367" s="9">
        <v>0</v>
      </c>
      <c r="AC367" s="9">
        <v>0</v>
      </c>
      <c r="AD367" s="9">
        <v>3</v>
      </c>
      <c r="AE367" s="9" t="s">
        <v>139</v>
      </c>
      <c r="AF367" s="9" t="s">
        <v>3072</v>
      </c>
      <c r="AG367" s="9" t="s">
        <v>3073</v>
      </c>
      <c r="AH367" s="9">
        <v>6.2270880000000002</v>
      </c>
      <c r="AI367" s="9">
        <v>-75.599095000000005</v>
      </c>
      <c r="AJ367" s="9" t="s">
        <v>3074</v>
      </c>
      <c r="AK367" s="9">
        <v>6.2684850000000001</v>
      </c>
      <c r="AL367" s="9">
        <v>-75.599272999999997</v>
      </c>
      <c r="AM367" s="26">
        <f t="shared" si="6"/>
        <v>0</v>
      </c>
    </row>
    <row r="368" spans="1:54" ht="15" x14ac:dyDescent="0.25">
      <c r="A368" s="9" t="s">
        <v>3075</v>
      </c>
      <c r="B368" s="9" t="s">
        <v>3076</v>
      </c>
      <c r="C368" s="9" t="s">
        <v>3077</v>
      </c>
      <c r="D368" s="9" t="s">
        <v>2974</v>
      </c>
      <c r="E368" s="9" t="s">
        <v>2619</v>
      </c>
      <c r="F368" s="9" t="s">
        <v>37</v>
      </c>
      <c r="G368" s="9" t="s">
        <v>97</v>
      </c>
      <c r="H368" s="9" t="s">
        <v>98</v>
      </c>
      <c r="I368" s="9" t="s">
        <v>115</v>
      </c>
      <c r="J368" s="9">
        <v>2278</v>
      </c>
      <c r="K368" s="9" t="s">
        <v>3078</v>
      </c>
      <c r="L368" s="9" t="s">
        <v>117</v>
      </c>
      <c r="M368" s="10">
        <v>2.1122685185185189E-2</v>
      </c>
      <c r="N368" s="9" t="s">
        <v>127</v>
      </c>
      <c r="O368" s="9" t="s">
        <v>3079</v>
      </c>
      <c r="P368" s="9" t="s">
        <v>119</v>
      </c>
      <c r="Q368" s="10">
        <v>2.2141203703703701E-2</v>
      </c>
      <c r="R368" s="9" t="s">
        <v>56</v>
      </c>
      <c r="S368" s="10">
        <v>0.2489814814814815</v>
      </c>
      <c r="T368" s="9">
        <v>30.131</v>
      </c>
      <c r="U368" s="9">
        <v>8.75</v>
      </c>
      <c r="V368" s="10">
        <v>0.14354166666666671</v>
      </c>
      <c r="W368" s="10">
        <v>9.2083333333333336E-2</v>
      </c>
      <c r="X368" s="10">
        <v>0</v>
      </c>
      <c r="Y368" s="9">
        <v>0</v>
      </c>
      <c r="Z368" s="9">
        <v>0</v>
      </c>
      <c r="AA368" s="9">
        <v>0</v>
      </c>
      <c r="AB368" s="9">
        <v>0</v>
      </c>
      <c r="AC368" s="9">
        <v>0</v>
      </c>
      <c r="AD368" s="9">
        <v>0</v>
      </c>
      <c r="AE368" s="9" t="s">
        <v>139</v>
      </c>
      <c r="AF368" s="9" t="s">
        <v>3080</v>
      </c>
      <c r="AG368" s="9" t="s">
        <v>3081</v>
      </c>
      <c r="AH368" s="9">
        <v>6.2258209999999998</v>
      </c>
      <c r="AI368" s="9">
        <v>-75.599391999999995</v>
      </c>
      <c r="AJ368" s="9" t="s">
        <v>3082</v>
      </c>
      <c r="AK368" s="9">
        <v>6.3080090000000002</v>
      </c>
      <c r="AL368" s="9">
        <v>-75.576627999999999</v>
      </c>
      <c r="AM368" s="26">
        <f t="shared" si="6"/>
        <v>2.2141203703703701E-2</v>
      </c>
    </row>
    <row r="369" spans="1:39" ht="15" x14ac:dyDescent="0.25">
      <c r="A369" s="9" t="s">
        <v>3083</v>
      </c>
      <c r="B369" s="9" t="s">
        <v>3084</v>
      </c>
      <c r="C369" s="9" t="s">
        <v>3085</v>
      </c>
      <c r="D369" s="9" t="s">
        <v>3086</v>
      </c>
      <c r="E369" s="9" t="s">
        <v>2619</v>
      </c>
      <c r="F369" s="9" t="s">
        <v>169</v>
      </c>
      <c r="G369" s="9" t="s">
        <v>38</v>
      </c>
      <c r="H369" s="9" t="s">
        <v>39</v>
      </c>
      <c r="I369" s="9" t="s">
        <v>40</v>
      </c>
      <c r="J369" s="9">
        <v>5848</v>
      </c>
      <c r="K369" s="9" t="s">
        <v>3087</v>
      </c>
      <c r="L369" s="9" t="s">
        <v>42</v>
      </c>
      <c r="M369" s="10">
        <v>2.9476909722222219E-2</v>
      </c>
      <c r="N369" s="9" t="s">
        <v>43</v>
      </c>
      <c r="O369" s="9" t="s">
        <v>3088</v>
      </c>
      <c r="P369" s="9" t="s">
        <v>45</v>
      </c>
      <c r="Q369" s="10">
        <v>6.1877256944444438E-2</v>
      </c>
      <c r="R369" s="9" t="s">
        <v>56</v>
      </c>
      <c r="S369" s="10">
        <v>0.24197916666666669</v>
      </c>
      <c r="T369" s="9">
        <v>49.36</v>
      </c>
      <c r="U369" s="9">
        <v>27.33</v>
      </c>
      <c r="V369" s="10">
        <v>7.5249293981481238E-2</v>
      </c>
      <c r="W369" s="10">
        <v>1.364130787037037E-2</v>
      </c>
      <c r="X369" s="10">
        <v>0</v>
      </c>
      <c r="Y369" s="9">
        <v>0</v>
      </c>
      <c r="Z369" s="9">
        <v>0</v>
      </c>
      <c r="AA369" s="9">
        <v>0</v>
      </c>
      <c r="AB369" s="9">
        <v>0</v>
      </c>
      <c r="AC369" s="9">
        <v>0</v>
      </c>
      <c r="AD369" s="9">
        <v>4</v>
      </c>
      <c r="AE369" s="9" t="s">
        <v>57</v>
      </c>
      <c r="AF369" s="9" t="s">
        <v>3089</v>
      </c>
      <c r="AG369" s="9" t="s">
        <v>3090</v>
      </c>
      <c r="AH369" s="9">
        <v>6.2033389999999997</v>
      </c>
      <c r="AI369" s="9">
        <v>-75.601051999999996</v>
      </c>
      <c r="AJ369" s="9" t="s">
        <v>3091</v>
      </c>
      <c r="AK369" s="9">
        <v>6.221813</v>
      </c>
      <c r="AL369" s="9">
        <v>-75.593834000000001</v>
      </c>
      <c r="AM369" s="26">
        <f t="shared" si="6"/>
        <v>9.1354166666666653E-2</v>
      </c>
    </row>
    <row r="370" spans="1:39" ht="15" x14ac:dyDescent="0.25">
      <c r="A370" s="9" t="s">
        <v>3092</v>
      </c>
      <c r="B370" s="9" t="s">
        <v>3093</v>
      </c>
      <c r="C370" s="9" t="s">
        <v>3094</v>
      </c>
      <c r="D370" s="9" t="s">
        <v>3086</v>
      </c>
      <c r="E370" s="9" t="s">
        <v>2619</v>
      </c>
      <c r="F370" s="9" t="s">
        <v>169</v>
      </c>
      <c r="G370" s="9" t="s">
        <v>52</v>
      </c>
      <c r="H370" s="9" t="s">
        <v>53</v>
      </c>
      <c r="I370" s="9" t="s">
        <v>40</v>
      </c>
      <c r="J370" s="9">
        <v>3193</v>
      </c>
      <c r="K370" s="9" t="s">
        <v>3095</v>
      </c>
      <c r="L370" s="9" t="s">
        <v>42</v>
      </c>
      <c r="M370" s="10">
        <v>1.956018518518518E-3</v>
      </c>
      <c r="N370" s="9" t="s">
        <v>65</v>
      </c>
      <c r="O370" s="9" t="s">
        <v>3096</v>
      </c>
      <c r="P370" s="9" t="s">
        <v>45</v>
      </c>
      <c r="Q370" s="10">
        <v>7.037037037037037E-3</v>
      </c>
      <c r="R370" s="9" t="s">
        <v>46</v>
      </c>
      <c r="S370" s="10">
        <v>0.3243402777777778</v>
      </c>
      <c r="T370" s="9">
        <v>41.216000000000001</v>
      </c>
      <c r="U370" s="9">
        <v>9.0399999999999991</v>
      </c>
      <c r="V370" s="10">
        <v>0.18989583333333329</v>
      </c>
      <c r="W370" s="10">
        <v>0.1273148148148148</v>
      </c>
      <c r="X370" s="10">
        <v>0</v>
      </c>
      <c r="Y370" s="9">
        <v>0</v>
      </c>
      <c r="Z370" s="9">
        <v>0</v>
      </c>
      <c r="AA370" s="9">
        <v>0</v>
      </c>
      <c r="AB370" s="9">
        <v>0</v>
      </c>
      <c r="AC370" s="9">
        <v>0</v>
      </c>
      <c r="AD370" s="9">
        <v>0</v>
      </c>
      <c r="AE370" s="9" t="s">
        <v>84</v>
      </c>
      <c r="AF370" s="9" t="s">
        <v>352</v>
      </c>
      <c r="AG370" s="9" t="s">
        <v>3097</v>
      </c>
      <c r="AH370" s="9">
        <v>6.2252029999999996</v>
      </c>
      <c r="AI370" s="9">
        <v>-75.599356</v>
      </c>
      <c r="AJ370" s="9" t="s">
        <v>3098</v>
      </c>
      <c r="AK370" s="9">
        <v>6.2258190000000004</v>
      </c>
      <c r="AL370" s="9">
        <v>-75.599131999999997</v>
      </c>
      <c r="AM370" s="26">
        <f t="shared" si="6"/>
        <v>0</v>
      </c>
    </row>
    <row r="371" spans="1:39" ht="15" x14ac:dyDescent="0.25">
      <c r="A371" s="9" t="s">
        <v>3099</v>
      </c>
      <c r="B371" s="9" t="s">
        <v>3100</v>
      </c>
      <c r="C371" s="9" t="s">
        <v>3101</v>
      </c>
      <c r="D371" s="9" t="s">
        <v>3086</v>
      </c>
      <c r="E371" s="9" t="s">
        <v>2619</v>
      </c>
      <c r="F371" s="9" t="s">
        <v>169</v>
      </c>
      <c r="G371" s="9" t="s">
        <v>62</v>
      </c>
      <c r="H371" s="9" t="s">
        <v>63</v>
      </c>
      <c r="I371" s="9" t="s">
        <v>40</v>
      </c>
      <c r="J371" s="9">
        <v>4062</v>
      </c>
      <c r="K371" s="9" t="s">
        <v>3102</v>
      </c>
      <c r="L371" s="9" t="s">
        <v>42</v>
      </c>
      <c r="M371" s="10">
        <v>6.1574074074074066E-3</v>
      </c>
      <c r="N371" s="9" t="s">
        <v>65</v>
      </c>
      <c r="O371" s="9" t="s">
        <v>3103</v>
      </c>
      <c r="P371" s="9" t="s">
        <v>45</v>
      </c>
      <c r="Q371" s="10">
        <v>9.7037037037037033E-2</v>
      </c>
      <c r="R371" s="9" t="s">
        <v>56</v>
      </c>
      <c r="S371" s="10">
        <v>0.23013888888888889</v>
      </c>
      <c r="T371" s="9">
        <v>55.100999999999999</v>
      </c>
      <c r="U371" s="9">
        <v>16.670000000000002</v>
      </c>
      <c r="V371" s="10">
        <v>0.13768518518518519</v>
      </c>
      <c r="W371" s="10">
        <v>4.8634259259259259E-2</v>
      </c>
      <c r="X371" s="10">
        <v>0</v>
      </c>
      <c r="Y371" s="9">
        <v>0</v>
      </c>
      <c r="Z371" s="9">
        <v>0</v>
      </c>
      <c r="AA371" s="9">
        <v>0</v>
      </c>
      <c r="AB371" s="9">
        <v>0</v>
      </c>
      <c r="AC371" s="9">
        <v>0</v>
      </c>
      <c r="AD371" s="9">
        <v>0</v>
      </c>
      <c r="AE371" s="9" t="s">
        <v>67</v>
      </c>
      <c r="AF371" s="9" t="s">
        <v>3104</v>
      </c>
      <c r="AG371" s="9" t="s">
        <v>3105</v>
      </c>
      <c r="AH371" s="9">
        <v>6.2258199999999997</v>
      </c>
      <c r="AI371" s="9">
        <v>-75.599391999999995</v>
      </c>
      <c r="AJ371" s="9" t="s">
        <v>3106</v>
      </c>
      <c r="AK371" s="9">
        <v>6.2239459999999998</v>
      </c>
      <c r="AL371" s="9">
        <v>-75.606025000000002</v>
      </c>
      <c r="AM371" s="26">
        <f t="shared" si="6"/>
        <v>9.7037037037037033E-2</v>
      </c>
    </row>
    <row r="372" spans="1:39" ht="15" x14ac:dyDescent="0.25">
      <c r="A372" s="9" t="s">
        <v>3107</v>
      </c>
      <c r="B372" s="9" t="s">
        <v>3108</v>
      </c>
      <c r="C372" s="9" t="s">
        <v>3109</v>
      </c>
      <c r="D372" s="9" t="s">
        <v>3086</v>
      </c>
      <c r="E372" s="9" t="s">
        <v>2619</v>
      </c>
      <c r="F372" s="9" t="s">
        <v>169</v>
      </c>
      <c r="G372" s="9" t="s">
        <v>135</v>
      </c>
      <c r="H372" s="9" t="s">
        <v>136</v>
      </c>
      <c r="I372" s="9" t="s">
        <v>40</v>
      </c>
      <c r="J372" s="9">
        <v>2185</v>
      </c>
      <c r="K372" s="9" t="s">
        <v>3110</v>
      </c>
      <c r="L372" s="9" t="s">
        <v>42</v>
      </c>
      <c r="M372" s="10">
        <v>2.453703703703704E-3</v>
      </c>
      <c r="N372" s="9" t="s">
        <v>65</v>
      </c>
      <c r="O372" s="9" t="s">
        <v>3111</v>
      </c>
      <c r="P372" s="9" t="s">
        <v>45</v>
      </c>
      <c r="Q372" s="10">
        <v>4.0162037037037041E-3</v>
      </c>
      <c r="R372" s="9" t="s">
        <v>46</v>
      </c>
      <c r="S372" s="10">
        <v>0.33980324074074081</v>
      </c>
      <c r="T372" s="9">
        <v>65.489999999999995</v>
      </c>
      <c r="U372" s="9">
        <v>26.58</v>
      </c>
      <c r="V372" s="10">
        <v>0.102662037037037</v>
      </c>
      <c r="W372" s="10">
        <v>6.4733796296296303E-2</v>
      </c>
      <c r="X372" s="10">
        <v>0</v>
      </c>
      <c r="Y372" s="9">
        <v>0</v>
      </c>
      <c r="Z372" s="9">
        <v>0</v>
      </c>
      <c r="AA372" s="9">
        <v>0</v>
      </c>
      <c r="AB372" s="9">
        <v>0</v>
      </c>
      <c r="AC372" s="9">
        <v>0</v>
      </c>
      <c r="AD372" s="9">
        <v>7</v>
      </c>
      <c r="AE372" s="9" t="s">
        <v>84</v>
      </c>
      <c r="AF372" s="9" t="s">
        <v>2832</v>
      </c>
      <c r="AG372" s="9" t="s">
        <v>3010</v>
      </c>
      <c r="AH372" s="9">
        <v>6.2672480000000004</v>
      </c>
      <c r="AI372" s="9">
        <v>-75.553901999999994</v>
      </c>
      <c r="AJ372" s="9" t="s">
        <v>3112</v>
      </c>
      <c r="AK372" s="9">
        <v>6.2555730000000001</v>
      </c>
      <c r="AL372" s="9">
        <v>-75.571351000000007</v>
      </c>
      <c r="AM372" s="26">
        <f t="shared" si="6"/>
        <v>0</v>
      </c>
    </row>
    <row r="373" spans="1:39" ht="15" x14ac:dyDescent="0.25">
      <c r="A373" s="9" t="s">
        <v>3113</v>
      </c>
      <c r="B373" s="9" t="s">
        <v>3114</v>
      </c>
      <c r="C373" s="9" t="s">
        <v>3115</v>
      </c>
      <c r="D373" s="9" t="s">
        <v>3086</v>
      </c>
      <c r="E373" s="9" t="s">
        <v>2619</v>
      </c>
      <c r="F373" s="9" t="s">
        <v>169</v>
      </c>
      <c r="G373" s="9" t="s">
        <v>144</v>
      </c>
      <c r="H373" s="9" t="s">
        <v>145</v>
      </c>
      <c r="I373" s="9" t="s">
        <v>40</v>
      </c>
      <c r="J373" s="9">
        <v>6432</v>
      </c>
      <c r="K373" s="9" t="s">
        <v>3116</v>
      </c>
      <c r="L373" s="9" t="s">
        <v>42</v>
      </c>
      <c r="M373" s="10">
        <v>3.2291666666666671E-3</v>
      </c>
      <c r="N373" s="9" t="s">
        <v>65</v>
      </c>
      <c r="O373" s="9" t="s">
        <v>3117</v>
      </c>
      <c r="P373" s="9" t="s">
        <v>45</v>
      </c>
      <c r="Q373" s="10">
        <v>1.1087962962962959E-2</v>
      </c>
      <c r="R373" s="9" t="s">
        <v>56</v>
      </c>
      <c r="S373" s="10">
        <v>0.32547453703703699</v>
      </c>
      <c r="T373" s="9">
        <v>82.218999999999994</v>
      </c>
      <c r="U373" s="9">
        <v>13.71</v>
      </c>
      <c r="V373" s="10">
        <v>0.24984953703703711</v>
      </c>
      <c r="W373" s="10">
        <v>6.8310185185185182E-2</v>
      </c>
      <c r="X373" s="10">
        <v>0</v>
      </c>
      <c r="Y373" s="9">
        <v>0</v>
      </c>
      <c r="Z373" s="9">
        <v>0</v>
      </c>
      <c r="AA373" s="9">
        <v>0</v>
      </c>
      <c r="AB373" s="9">
        <v>0</v>
      </c>
      <c r="AC373" s="9">
        <v>0</v>
      </c>
      <c r="AD373" s="9">
        <v>0</v>
      </c>
      <c r="AE373" s="9" t="s">
        <v>67</v>
      </c>
      <c r="AF373" s="9" t="s">
        <v>3118</v>
      </c>
      <c r="AG373" s="9" t="s">
        <v>3119</v>
      </c>
      <c r="AH373" s="9">
        <v>6.2257350000000002</v>
      </c>
      <c r="AI373" s="9">
        <v>-75.599179000000007</v>
      </c>
      <c r="AJ373" s="9" t="s">
        <v>3120</v>
      </c>
      <c r="AK373" s="9">
        <v>6.2728659999999996</v>
      </c>
      <c r="AL373" s="9">
        <v>-75.574489999999997</v>
      </c>
      <c r="AM373" s="26">
        <f t="shared" si="6"/>
        <v>1.1087962962962959E-2</v>
      </c>
    </row>
    <row r="374" spans="1:39" ht="15" x14ac:dyDescent="0.25">
      <c r="A374" s="9" t="s">
        <v>3121</v>
      </c>
      <c r="B374" s="9" t="s">
        <v>3122</v>
      </c>
      <c r="C374" s="9" t="s">
        <v>3123</v>
      </c>
      <c r="D374" s="9" t="s">
        <v>3086</v>
      </c>
      <c r="E374" s="9" t="s">
        <v>2619</v>
      </c>
      <c r="F374" s="9" t="s">
        <v>169</v>
      </c>
      <c r="G374" s="9" t="s">
        <v>152</v>
      </c>
      <c r="H374" s="9" t="s">
        <v>153</v>
      </c>
      <c r="I374" s="9" t="s">
        <v>40</v>
      </c>
      <c r="J374" s="9">
        <v>4558</v>
      </c>
      <c r="K374" s="9" t="s">
        <v>3124</v>
      </c>
      <c r="L374" s="9" t="s">
        <v>42</v>
      </c>
      <c r="M374" s="10">
        <v>3.7268518518518519E-3</v>
      </c>
      <c r="N374" s="9" t="s">
        <v>65</v>
      </c>
      <c r="O374" s="9" t="s">
        <v>3125</v>
      </c>
      <c r="P374" s="9" t="s">
        <v>45</v>
      </c>
      <c r="Q374" s="10">
        <v>3.6990740740740741E-2</v>
      </c>
      <c r="R374" s="9" t="s">
        <v>129</v>
      </c>
      <c r="S374" s="10">
        <v>0.36659722222222219</v>
      </c>
      <c r="T374" s="9">
        <v>58.271000000000001</v>
      </c>
      <c r="U374" s="9">
        <v>10.65</v>
      </c>
      <c r="V374" s="10">
        <v>0.22795138888888891</v>
      </c>
      <c r="W374" s="10">
        <v>0.11430555555555549</v>
      </c>
      <c r="X374" s="10">
        <v>2.4976851851851851E-2</v>
      </c>
      <c r="Y374" s="9">
        <v>1</v>
      </c>
      <c r="Z374" s="9">
        <v>1</v>
      </c>
      <c r="AA374" s="9">
        <v>1</v>
      </c>
      <c r="AB374" s="9">
        <v>0</v>
      </c>
      <c r="AC374" s="9">
        <v>0</v>
      </c>
      <c r="AD374" s="9">
        <v>1</v>
      </c>
      <c r="AE374" s="9" t="s">
        <v>130</v>
      </c>
      <c r="AF374" s="9" t="s">
        <v>3126</v>
      </c>
      <c r="AG374" s="9" t="s">
        <v>3127</v>
      </c>
      <c r="AH374" s="9">
        <v>6.2256999999999998</v>
      </c>
      <c r="AI374" s="9">
        <v>-75.599428000000003</v>
      </c>
      <c r="AJ374" s="9" t="s">
        <v>3128</v>
      </c>
      <c r="AK374" s="9">
        <v>6.251817</v>
      </c>
      <c r="AL374" s="9">
        <v>-75.551798000000005</v>
      </c>
      <c r="AM374" s="26">
        <f t="shared" si="6"/>
        <v>0</v>
      </c>
    </row>
    <row r="375" spans="1:39" ht="15" x14ac:dyDescent="0.25">
      <c r="A375" s="9" t="s">
        <v>3129</v>
      </c>
      <c r="B375" s="9" t="s">
        <v>3130</v>
      </c>
      <c r="C375" s="9" t="s">
        <v>3131</v>
      </c>
      <c r="D375" s="9" t="s">
        <v>3086</v>
      </c>
      <c r="E375" s="9" t="s">
        <v>2619</v>
      </c>
      <c r="F375" s="9" t="s">
        <v>169</v>
      </c>
      <c r="G375" s="9" t="s">
        <v>89</v>
      </c>
      <c r="H375" s="9" t="s">
        <v>90</v>
      </c>
      <c r="I375" s="9" t="s">
        <v>40</v>
      </c>
      <c r="J375" s="9">
        <v>3930</v>
      </c>
      <c r="K375" s="9" t="s">
        <v>3132</v>
      </c>
      <c r="L375" s="9" t="s">
        <v>42</v>
      </c>
      <c r="M375" s="10">
        <v>1.0543981481481481E-2</v>
      </c>
      <c r="N375" s="9" t="s">
        <v>127</v>
      </c>
      <c r="O375" s="9" t="s">
        <v>3133</v>
      </c>
      <c r="P375" s="9" t="s">
        <v>45</v>
      </c>
      <c r="Q375" s="10">
        <v>0.15349537037037039</v>
      </c>
      <c r="R375" s="9" t="s">
        <v>56</v>
      </c>
      <c r="S375" s="10">
        <v>0.19038194444444451</v>
      </c>
      <c r="T375" s="9">
        <v>50.012</v>
      </c>
      <c r="U375" s="9">
        <v>11.91</v>
      </c>
      <c r="V375" s="10">
        <v>0.17497685185185191</v>
      </c>
      <c r="W375" s="10">
        <v>5.5868055555555553E-2</v>
      </c>
      <c r="X375" s="10">
        <v>0</v>
      </c>
      <c r="Y375" s="9">
        <v>0</v>
      </c>
      <c r="Z375" s="9">
        <v>0</v>
      </c>
      <c r="AA375" s="9">
        <v>0</v>
      </c>
      <c r="AB375" s="9">
        <v>0</v>
      </c>
      <c r="AC375" s="9">
        <v>0</v>
      </c>
      <c r="AD375" s="9">
        <v>0</v>
      </c>
      <c r="AE375" s="9" t="s">
        <v>139</v>
      </c>
      <c r="AF375" s="9" t="s">
        <v>3134</v>
      </c>
      <c r="AG375" s="9" t="s">
        <v>3135</v>
      </c>
      <c r="AH375" s="9">
        <v>6.2265740000000003</v>
      </c>
      <c r="AI375" s="9">
        <v>-75.599252000000007</v>
      </c>
      <c r="AJ375" s="9" t="s">
        <v>3136</v>
      </c>
      <c r="AK375" s="9">
        <v>6.2155360000000002</v>
      </c>
      <c r="AL375" s="9">
        <v>-75.577033</v>
      </c>
      <c r="AM375" s="26">
        <f t="shared" si="6"/>
        <v>0.15349537037037039</v>
      </c>
    </row>
    <row r="376" spans="1:39" ht="15" x14ac:dyDescent="0.25">
      <c r="A376" s="9" t="s">
        <v>3137</v>
      </c>
      <c r="B376" s="9" t="s">
        <v>3138</v>
      </c>
      <c r="C376" s="9" t="s">
        <v>3139</v>
      </c>
      <c r="D376" s="9" t="s">
        <v>3086</v>
      </c>
      <c r="E376" s="9" t="s">
        <v>2619</v>
      </c>
      <c r="F376" s="9" t="s">
        <v>169</v>
      </c>
      <c r="G376" s="9" t="s">
        <v>105</v>
      </c>
      <c r="H376" s="9" t="s">
        <v>106</v>
      </c>
      <c r="I376" s="9" t="s">
        <v>40</v>
      </c>
      <c r="J376" s="9">
        <v>3303</v>
      </c>
      <c r="K376" s="9" t="s">
        <v>3140</v>
      </c>
      <c r="L376" s="9" t="s">
        <v>42</v>
      </c>
      <c r="M376" s="10">
        <v>3.9699074074074072E-3</v>
      </c>
      <c r="N376" s="9" t="s">
        <v>65</v>
      </c>
      <c r="O376" s="9" t="s">
        <v>3141</v>
      </c>
      <c r="P376" s="9" t="s">
        <v>45</v>
      </c>
      <c r="Q376" s="10">
        <v>1.793981481481481E-3</v>
      </c>
      <c r="R376" s="9" t="s">
        <v>46</v>
      </c>
      <c r="S376" s="10">
        <v>0.3311574074074074</v>
      </c>
      <c r="T376" s="9">
        <v>44.533999999999999</v>
      </c>
      <c r="U376" s="9">
        <v>11</v>
      </c>
      <c r="V376" s="10">
        <v>0.16870370370370369</v>
      </c>
      <c r="W376" s="10">
        <v>0.11034722222222219</v>
      </c>
      <c r="X376" s="10">
        <v>4.5844907407407411E-2</v>
      </c>
      <c r="Y376" s="9">
        <v>1</v>
      </c>
      <c r="Z376" s="9">
        <v>1</v>
      </c>
      <c r="AA376" s="9">
        <v>1</v>
      </c>
      <c r="AB376" s="9">
        <v>1</v>
      </c>
      <c r="AC376" s="9">
        <v>1</v>
      </c>
      <c r="AD376" s="9">
        <v>1</v>
      </c>
      <c r="AE376" s="9" t="s">
        <v>84</v>
      </c>
      <c r="AF376" s="9" t="s">
        <v>3142</v>
      </c>
      <c r="AG376" s="9" t="s">
        <v>3143</v>
      </c>
      <c r="AH376" s="9">
        <v>6.2255570000000002</v>
      </c>
      <c r="AI376" s="9">
        <v>-75.599400000000003</v>
      </c>
      <c r="AJ376" s="9" t="s">
        <v>3144</v>
      </c>
      <c r="AK376" s="9">
        <v>6.2588860000000004</v>
      </c>
      <c r="AL376" s="9">
        <v>-75.616541999999995</v>
      </c>
      <c r="AM376" s="26">
        <f t="shared" si="6"/>
        <v>0</v>
      </c>
    </row>
    <row r="377" spans="1:39" ht="15" x14ac:dyDescent="0.25">
      <c r="A377" s="9" t="s">
        <v>3149</v>
      </c>
      <c r="B377" s="9" t="s">
        <v>3150</v>
      </c>
      <c r="C377" s="9" t="s">
        <v>3151</v>
      </c>
      <c r="D377" s="9" t="s">
        <v>3086</v>
      </c>
      <c r="E377" s="9" t="s">
        <v>2619</v>
      </c>
      <c r="F377" s="9" t="s">
        <v>169</v>
      </c>
      <c r="G377" s="9" t="s">
        <v>113</v>
      </c>
      <c r="H377" s="9" t="s">
        <v>114</v>
      </c>
      <c r="I377" s="9" t="s">
        <v>40</v>
      </c>
      <c r="J377" s="9">
        <v>2144</v>
      </c>
      <c r="K377" s="9" t="s">
        <v>3145</v>
      </c>
      <c r="L377" s="9" t="s">
        <v>42</v>
      </c>
      <c r="M377" s="10">
        <v>4.8958333333333336E-3</v>
      </c>
      <c r="N377" s="9" t="s">
        <v>65</v>
      </c>
      <c r="O377" s="9" t="s">
        <v>3146</v>
      </c>
      <c r="P377" s="9" t="s">
        <v>45</v>
      </c>
      <c r="Q377" s="10">
        <v>3.1736111111111111E-2</v>
      </c>
      <c r="R377" s="9" t="s">
        <v>56</v>
      </c>
      <c r="S377" s="10">
        <v>0.29670138888888892</v>
      </c>
      <c r="T377" s="9">
        <v>28.207000000000001</v>
      </c>
      <c r="U377" s="9">
        <v>5.38</v>
      </c>
      <c r="V377" s="10">
        <v>0.21827546296296299</v>
      </c>
      <c r="W377" s="10">
        <v>0.16694444444444451</v>
      </c>
      <c r="X377" s="10">
        <v>0</v>
      </c>
      <c r="Y377" s="9">
        <v>0</v>
      </c>
      <c r="Z377" s="9">
        <v>0</v>
      </c>
      <c r="AA377" s="9">
        <v>0</v>
      </c>
      <c r="AB377" s="9">
        <v>0</v>
      </c>
      <c r="AC377" s="9">
        <v>0</v>
      </c>
      <c r="AD377" s="9">
        <v>2</v>
      </c>
      <c r="AE377" s="9" t="s">
        <v>67</v>
      </c>
      <c r="AF377" s="9" t="s">
        <v>3152</v>
      </c>
      <c r="AG377" s="9" t="s">
        <v>3147</v>
      </c>
      <c r="AH377" s="9">
        <v>6.2318179999999996</v>
      </c>
      <c r="AI377" s="9">
        <v>-75.602149999999995</v>
      </c>
      <c r="AJ377" s="9" t="s">
        <v>3148</v>
      </c>
      <c r="AK377" s="9">
        <v>6.2489600000000003</v>
      </c>
      <c r="AL377" s="9">
        <v>-75.587492999999995</v>
      </c>
      <c r="AM377" s="26">
        <f t="shared" si="6"/>
        <v>3.1736111111111111E-2</v>
      </c>
    </row>
    <row r="378" spans="1:39" ht="15" x14ac:dyDescent="0.25">
      <c r="A378" s="9" t="s">
        <v>3153</v>
      </c>
      <c r="B378" s="9" t="s">
        <v>3154</v>
      </c>
      <c r="C378" s="9" t="s">
        <v>3155</v>
      </c>
      <c r="D378" s="9" t="s">
        <v>3086</v>
      </c>
      <c r="E378" s="9" t="s">
        <v>2619</v>
      </c>
      <c r="F378" s="9" t="s">
        <v>169</v>
      </c>
      <c r="G378" s="9" t="s">
        <v>124</v>
      </c>
      <c r="H378" s="9" t="s">
        <v>125</v>
      </c>
      <c r="I378" s="9" t="s">
        <v>115</v>
      </c>
      <c r="J378" s="9">
        <v>4028</v>
      </c>
      <c r="K378" s="9" t="s">
        <v>3156</v>
      </c>
      <c r="L378" s="9" t="s">
        <v>117</v>
      </c>
      <c r="M378" s="10">
        <v>5.115740740740741E-3</v>
      </c>
      <c r="N378" s="9" t="s">
        <v>65</v>
      </c>
      <c r="O378" s="9" t="s">
        <v>3157</v>
      </c>
      <c r="P378" s="9" t="s">
        <v>119</v>
      </c>
      <c r="Q378" s="10">
        <v>7.8240740740740736E-3</v>
      </c>
      <c r="R378" s="9" t="s">
        <v>46</v>
      </c>
      <c r="S378" s="10">
        <v>0.26293981481481482</v>
      </c>
      <c r="T378" s="9">
        <v>54.890999999999998</v>
      </c>
      <c r="U378" s="9">
        <v>14.52</v>
      </c>
      <c r="V378" s="10">
        <v>0.15755787037037039</v>
      </c>
      <c r="W378" s="10">
        <v>7.9178240740740743E-2</v>
      </c>
      <c r="X378" s="10">
        <v>0</v>
      </c>
      <c r="Y378" s="9">
        <v>0</v>
      </c>
      <c r="Z378" s="9">
        <v>0</v>
      </c>
      <c r="AA378" s="9">
        <v>0</v>
      </c>
      <c r="AB378" s="9">
        <v>0</v>
      </c>
      <c r="AC378" s="9">
        <v>0</v>
      </c>
      <c r="AD378" s="9">
        <v>0</v>
      </c>
      <c r="AE378" s="9" t="s">
        <v>84</v>
      </c>
      <c r="AF378" s="9" t="s">
        <v>352</v>
      </c>
      <c r="AG378" s="39" t="s">
        <v>3158</v>
      </c>
      <c r="AH378" s="39">
        <v>6.2264239999999997</v>
      </c>
      <c r="AI378" s="39">
        <v>-75.599276000000003</v>
      </c>
      <c r="AJ378" s="39" t="s">
        <v>3159</v>
      </c>
      <c r="AK378" s="39">
        <v>6.2727360000000001</v>
      </c>
      <c r="AL378" s="39">
        <v>-75.601935999999995</v>
      </c>
      <c r="AM378" s="26">
        <f t="shared" si="6"/>
        <v>0</v>
      </c>
    </row>
    <row r="379" spans="1:39" ht="15" x14ac:dyDescent="0.25">
      <c r="A379" s="9" t="s">
        <v>3160</v>
      </c>
      <c r="B379" s="9" t="s">
        <v>3161</v>
      </c>
      <c r="C379" s="9" t="s">
        <v>3162</v>
      </c>
      <c r="D379" s="9" t="s">
        <v>3086</v>
      </c>
      <c r="E379" s="9" t="s">
        <v>2619</v>
      </c>
      <c r="F379" s="9" t="s">
        <v>169</v>
      </c>
      <c r="G379" s="9" t="s">
        <v>72</v>
      </c>
      <c r="H379" s="9" t="s">
        <v>73</v>
      </c>
      <c r="I379" s="9" t="s">
        <v>115</v>
      </c>
      <c r="J379" s="9">
        <v>2243</v>
      </c>
      <c r="K379" s="9" t="s">
        <v>3163</v>
      </c>
      <c r="L379" s="9" t="s">
        <v>117</v>
      </c>
      <c r="M379" s="10">
        <v>1.951388888888889E-2</v>
      </c>
      <c r="N379" s="9" t="s">
        <v>127</v>
      </c>
      <c r="O379" s="9" t="s">
        <v>3164</v>
      </c>
      <c r="P379" s="9" t="s">
        <v>119</v>
      </c>
      <c r="Q379" s="10">
        <v>5.5393518518518522E-2</v>
      </c>
      <c r="R379" s="9" t="s">
        <v>56</v>
      </c>
      <c r="S379" s="10">
        <v>0.21412037037037041</v>
      </c>
      <c r="T379" s="9">
        <v>30.224</v>
      </c>
      <c r="U379" s="9">
        <v>8.18</v>
      </c>
      <c r="V379" s="10">
        <v>0.153900462962963</v>
      </c>
      <c r="W379" s="10">
        <v>0.105</v>
      </c>
      <c r="X379" s="10">
        <v>0</v>
      </c>
      <c r="Y379" s="9">
        <v>0</v>
      </c>
      <c r="Z379" s="9">
        <v>0</v>
      </c>
      <c r="AA379" s="9">
        <v>0</v>
      </c>
      <c r="AB379" s="9">
        <v>0</v>
      </c>
      <c r="AC379" s="9">
        <v>0</v>
      </c>
      <c r="AD379" s="9">
        <v>0</v>
      </c>
      <c r="AE379" s="9" t="s">
        <v>139</v>
      </c>
      <c r="AF379" s="9" t="s">
        <v>3165</v>
      </c>
      <c r="AG379" s="39" t="s">
        <v>3166</v>
      </c>
      <c r="AH379" s="39">
        <v>6.225981</v>
      </c>
      <c r="AI379" s="39">
        <v>-75.599293000000003</v>
      </c>
      <c r="AJ379" s="39" t="s">
        <v>3167</v>
      </c>
      <c r="AK379" s="39">
        <v>6.2370669999999997</v>
      </c>
      <c r="AL379" s="39">
        <v>-75.558881</v>
      </c>
      <c r="AM379" s="26">
        <f t="shared" si="6"/>
        <v>5.5393518518518522E-2</v>
      </c>
    </row>
    <row r="380" spans="1:39" ht="15" x14ac:dyDescent="0.25">
      <c r="A380" s="9" t="s">
        <v>3168</v>
      </c>
      <c r="B380" s="9" t="s">
        <v>3169</v>
      </c>
      <c r="C380" s="9" t="s">
        <v>3170</v>
      </c>
      <c r="D380" s="9" t="s">
        <v>3086</v>
      </c>
      <c r="E380" s="9" t="s">
        <v>2619</v>
      </c>
      <c r="F380" s="9" t="s">
        <v>169</v>
      </c>
      <c r="G380" s="9" t="s">
        <v>80</v>
      </c>
      <c r="H380" s="9" t="s">
        <v>81</v>
      </c>
      <c r="I380" s="9" t="s">
        <v>115</v>
      </c>
      <c r="J380" s="9">
        <v>5357</v>
      </c>
      <c r="K380" s="9" t="s">
        <v>3171</v>
      </c>
      <c r="L380" s="9" t="s">
        <v>117</v>
      </c>
      <c r="M380" s="10">
        <v>6.0820833333333326E-3</v>
      </c>
      <c r="N380" s="9" t="s">
        <v>65</v>
      </c>
      <c r="O380" s="9" t="s">
        <v>3172</v>
      </c>
      <c r="P380" s="9" t="s">
        <v>119</v>
      </c>
      <c r="Q380" s="10">
        <v>2.2138773148148148E-3</v>
      </c>
      <c r="R380" s="9" t="s">
        <v>46</v>
      </c>
      <c r="S380" s="10">
        <v>0.25386820601851851</v>
      </c>
      <c r="T380" s="9">
        <v>38.408999999999999</v>
      </c>
      <c r="U380" s="9">
        <v>24.08</v>
      </c>
      <c r="V380" s="10">
        <v>6.6464421296296372E-2</v>
      </c>
      <c r="W380" s="10">
        <v>1.7652500000000002E-2</v>
      </c>
      <c r="X380" s="10">
        <v>0</v>
      </c>
      <c r="Y380" s="9">
        <v>0</v>
      </c>
      <c r="Z380" s="9">
        <v>0</v>
      </c>
      <c r="AA380" s="9">
        <v>0</v>
      </c>
      <c r="AB380" s="9">
        <v>0</v>
      </c>
      <c r="AC380" s="9">
        <v>0</v>
      </c>
      <c r="AD380" s="9">
        <v>10</v>
      </c>
      <c r="AE380" s="9" t="s">
        <v>84</v>
      </c>
      <c r="AF380" s="9" t="s">
        <v>591</v>
      </c>
      <c r="AG380" s="39" t="s">
        <v>3173</v>
      </c>
      <c r="AH380" s="39">
        <v>6.2257009999999999</v>
      </c>
      <c r="AI380" s="39">
        <v>-75.599422000000004</v>
      </c>
      <c r="AJ380" s="39" t="s">
        <v>3174</v>
      </c>
      <c r="AK380" s="39">
        <v>6.2592499999999998</v>
      </c>
      <c r="AL380" s="39">
        <v>-75.620926999999995</v>
      </c>
      <c r="AM380" s="26">
        <f t="shared" si="6"/>
        <v>0</v>
      </c>
    </row>
    <row r="381" spans="1:39" ht="15" x14ac:dyDescent="0.25">
      <c r="A381" s="9" t="s">
        <v>3175</v>
      </c>
      <c r="B381" s="9" t="s">
        <v>3176</v>
      </c>
      <c r="C381" s="9" t="s">
        <v>3177</v>
      </c>
      <c r="D381" s="9" t="s">
        <v>3086</v>
      </c>
      <c r="E381" s="9" t="s">
        <v>2619</v>
      </c>
      <c r="F381" s="9" t="s">
        <v>169</v>
      </c>
      <c r="G381" s="9" t="s">
        <v>160</v>
      </c>
      <c r="H381" s="9" t="s">
        <v>161</v>
      </c>
      <c r="I381" s="9" t="s">
        <v>115</v>
      </c>
      <c r="J381" s="9">
        <v>10883</v>
      </c>
      <c r="K381" s="9" t="s">
        <v>3178</v>
      </c>
      <c r="L381" s="9" t="s">
        <v>117</v>
      </c>
      <c r="M381" s="10">
        <v>1.644640046296296E-2</v>
      </c>
      <c r="N381" s="9" t="s">
        <v>127</v>
      </c>
      <c r="O381" s="9" t="s">
        <v>3179</v>
      </c>
      <c r="P381" s="9" t="s">
        <v>119</v>
      </c>
      <c r="Q381" s="10">
        <v>3.3443518518518518E-3</v>
      </c>
      <c r="R381" s="9" t="s">
        <v>46</v>
      </c>
      <c r="S381" s="10">
        <v>0.26979075231481481</v>
      </c>
      <c r="T381" s="9">
        <v>54.942</v>
      </c>
      <c r="U381" s="9">
        <v>14.85</v>
      </c>
      <c r="V381" s="10">
        <v>0.15410851851851851</v>
      </c>
      <c r="W381" s="10">
        <v>0.1092252083333333</v>
      </c>
      <c r="X381" s="10">
        <v>0</v>
      </c>
      <c r="Y381" s="9">
        <v>0</v>
      </c>
      <c r="Z381" s="9">
        <v>0</v>
      </c>
      <c r="AA381" s="9">
        <v>0</v>
      </c>
      <c r="AB381" s="9">
        <v>0</v>
      </c>
      <c r="AC381" s="9">
        <v>0</v>
      </c>
      <c r="AD381" s="9">
        <v>1</v>
      </c>
      <c r="AE381" s="9" t="s">
        <v>139</v>
      </c>
      <c r="AF381" s="9" t="s">
        <v>3180</v>
      </c>
      <c r="AG381" s="39" t="s">
        <v>3181</v>
      </c>
      <c r="AH381" s="39">
        <v>6.229012</v>
      </c>
      <c r="AI381" s="39">
        <v>-75.602047999999996</v>
      </c>
      <c r="AJ381" s="39" t="s">
        <v>3182</v>
      </c>
      <c r="AK381" s="39">
        <v>6.2684329999999999</v>
      </c>
      <c r="AL381" s="39">
        <v>-75.599272999999997</v>
      </c>
      <c r="AM381" s="26">
        <f t="shared" si="6"/>
        <v>0</v>
      </c>
    </row>
    <row r="382" spans="1:39" x14ac:dyDescent="0.25">
      <c r="A382" s="1" t="s">
        <v>3183</v>
      </c>
      <c r="B382" s="1" t="s">
        <v>3184</v>
      </c>
      <c r="C382" s="1" t="s">
        <v>3185</v>
      </c>
      <c r="D382" s="1" t="s">
        <v>3086</v>
      </c>
      <c r="E382" s="1" t="s">
        <v>2619</v>
      </c>
      <c r="F382" s="1" t="s">
        <v>169</v>
      </c>
      <c r="G382" s="1" t="s">
        <v>97</v>
      </c>
      <c r="H382" s="1" t="s">
        <v>98</v>
      </c>
      <c r="I382" s="1" t="s">
        <v>115</v>
      </c>
      <c r="J382" s="1">
        <v>1871</v>
      </c>
      <c r="K382" s="1" t="s">
        <v>3186</v>
      </c>
      <c r="L382" s="1" t="s">
        <v>117</v>
      </c>
      <c r="M382" s="38">
        <v>9.6759259259259264E-3</v>
      </c>
      <c r="N382" s="1" t="s">
        <v>65</v>
      </c>
      <c r="O382" s="1" t="s">
        <v>3187</v>
      </c>
      <c r="P382" s="1" t="s">
        <v>119</v>
      </c>
      <c r="Q382" s="38">
        <v>4.0150462962962957E-2</v>
      </c>
      <c r="R382" s="1" t="s">
        <v>56</v>
      </c>
      <c r="S382" s="38">
        <v>0.21952546296296299</v>
      </c>
      <c r="T382" s="1">
        <v>24.082000000000001</v>
      </c>
      <c r="U382" s="1">
        <v>6.1</v>
      </c>
      <c r="V382" s="38">
        <v>0.16457175925925929</v>
      </c>
      <c r="W382" s="38">
        <v>0.12917824074074069</v>
      </c>
      <c r="X382" s="38">
        <v>0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D382" s="1">
        <v>0</v>
      </c>
      <c r="AE382" s="1" t="s">
        <v>67</v>
      </c>
      <c r="AF382" s="1" t="s">
        <v>3188</v>
      </c>
      <c r="AG382" s="1" t="s">
        <v>3189</v>
      </c>
      <c r="AH382" s="1">
        <v>6.2332830000000001</v>
      </c>
      <c r="AI382" s="1">
        <v>-75.582739000000004</v>
      </c>
      <c r="AJ382" s="1" t="s">
        <v>3190</v>
      </c>
      <c r="AK382" s="1">
        <v>6.3089589999999998</v>
      </c>
      <c r="AL382" s="1">
        <v>-75.582459999999998</v>
      </c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4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2026-10-08T20:34:39Z</dcterms:modified>
</cp:coreProperties>
</file>