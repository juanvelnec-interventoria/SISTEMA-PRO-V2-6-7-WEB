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43AD6980-D157-4D9F-BC32-108EACE9F806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 iterateDelta="1E-4"/>
  <pivotCaches>
    <pivotCache cacheId="8" r:id="rId8"/>
    <pivotCache cacheId="9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71" i="2" l="1"/>
  <c r="AM565" i="2"/>
  <c r="AM566" i="2"/>
  <c r="AM567" i="2"/>
  <c r="AM568" i="2"/>
  <c r="AM569" i="2"/>
  <c r="AM570" i="2"/>
  <c r="AM564" i="2"/>
  <c r="AM559" i="2"/>
  <c r="AM560" i="2"/>
  <c r="AM561" i="2"/>
  <c r="AM562" i="2"/>
  <c r="AM563" i="2"/>
  <c r="AM552" i="2"/>
  <c r="AM553" i="2"/>
  <c r="AM554" i="2"/>
  <c r="AM555" i="2"/>
  <c r="AM556" i="2"/>
  <c r="AM557" i="2"/>
  <c r="AM558" i="2"/>
  <c r="AM551" i="2"/>
  <c r="AM545" i="2"/>
  <c r="AM546" i="2"/>
  <c r="AM547" i="2"/>
  <c r="AM548" i="2"/>
  <c r="AM549" i="2"/>
  <c r="AM550" i="2"/>
  <c r="AM538" i="2"/>
  <c r="AM539" i="2"/>
  <c r="AM540" i="2"/>
  <c r="AM541" i="2"/>
  <c r="AM542" i="2"/>
  <c r="AM543" i="2"/>
  <c r="AM544" i="2"/>
  <c r="AM532" i="2"/>
  <c r="AM533" i="2"/>
  <c r="AM534" i="2"/>
  <c r="AM535" i="2"/>
  <c r="AM536" i="2"/>
  <c r="AM537" i="2"/>
  <c r="AM526" i="2"/>
  <c r="AM527" i="2"/>
  <c r="AM528" i="2"/>
  <c r="AM529" i="2"/>
  <c r="AM530" i="2"/>
  <c r="AM531" i="2"/>
  <c r="AM521" i="2"/>
  <c r="AM522" i="2"/>
  <c r="AM523" i="2"/>
  <c r="AM524" i="2"/>
  <c r="AM525" i="2"/>
  <c r="AM514" i="2"/>
  <c r="AM515" i="2"/>
  <c r="AM516" i="2"/>
  <c r="AM517" i="2"/>
  <c r="AM518" i="2"/>
  <c r="AM519" i="2"/>
  <c r="AM520" i="2"/>
  <c r="AM507" i="2"/>
  <c r="AM508" i="2"/>
  <c r="AM509" i="2"/>
  <c r="AM510" i="2"/>
  <c r="AM511" i="2"/>
  <c r="AM512" i="2"/>
  <c r="AM513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486" i="2"/>
  <c r="AM487" i="2"/>
  <c r="AM488" i="2"/>
  <c r="AM489" i="2"/>
  <c r="AM490" i="2"/>
  <c r="AM491" i="2"/>
  <c r="AM492" i="2"/>
  <c r="AM493" i="2"/>
  <c r="AM494" i="2"/>
  <c r="AM482" i="2"/>
  <c r="AM483" i="2"/>
  <c r="AM484" i="2"/>
  <c r="AM485" i="2"/>
  <c r="AM473" i="2"/>
  <c r="AM474" i="2"/>
  <c r="AM475" i="2"/>
  <c r="AM476" i="2"/>
  <c r="AM477" i="2"/>
  <c r="AM478" i="2"/>
  <c r="AM479" i="2"/>
  <c r="AM480" i="2"/>
  <c r="AM481" i="2"/>
  <c r="AM468" i="2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<sst xmlns="http://schemas.openxmlformats.org/spreadsheetml/2006/main" count="11834" uniqueCount="4679">
  <si>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</si>
  <si>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</si>
  <si>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</si>
  <si>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</si>
  <si>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</si>
  <si>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</si>
  <si>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</si>
  <si>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</si>
  <si>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</si>
  <si>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</si>
  <si>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</si>
  <si>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</si>
  <si>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</si>
  <si>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</si>
  <si>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</si>
  <si>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</si>
  <si>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</si>
  <si>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</si>
  <si>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</si>
  <si>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</si>
  <si>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</si>
  <si>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</si>
  <si>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</si>
  <si>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</si>
  <si>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</si>
  <si>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</si>
  <si>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</si>
  <si>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</si>
  <si>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</si>
  <si>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</si>
  <si>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</si>
  <si>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</si>
  <si>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</si>
  <si>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</si>
  <si>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</si>
  <si>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</si>
  <si>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</si>
  <si>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</si>
  <si>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</si>
  <si>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</si>
  <si>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</si>
  <si>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</si>
  <si>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</si>
  <si>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</si>
  <si>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</si>
  <si>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</si>
  <si>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</si>
  <si>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</si>
  <si>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</si>
  <si>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</si>
  <si>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</si>
  <si>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</si>
  <si>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</si>
  <si>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</si>
  <si>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</si>
  <si>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</si>
  <si>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</si>
  <si>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</si>
  <si>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</si>
  <si>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</si>
  <si>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</si>
  <si>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</si>
  <si>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</si>
  <si>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</si>
  <si>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</si>
  <si>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</si>
  <si>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</si>
  <si>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</si>
  <si>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</si>
  <si>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</si>
  <si>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</si>
  <si>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</si>
  <si>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</si>
  <si>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</si>
  <si>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</si>
  <si>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</si>
  <si>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</si>
  <si>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</si>
  <si>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</si>
  <si>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</si>
  <si>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</si>
  <si>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</si>
  <si>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</si>
  <si>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</si>
  <si>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</si>
  <si>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</si>
  <si>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</si>
  <si>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</si>
  <si>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</si>
  <si>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</si>
  <si>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</si>
  <si>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</si>
  <si>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</si>
  <si>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</si>
  <si>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</si>
  <si>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</si>
  <si>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</si>
  <si>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</si>
  <si>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</si>
  <si>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</si>
  <si>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</si>
  <si>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</si>
  <si>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</si>
  <si>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</si>
  <si>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</si>
  <si>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</si>
  <si>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</si>
  <si>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</si>
  <si>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</si>
  <si>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</si>
  <si>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</si>
  <si>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</si>
  <si>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</si>
  <si>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</si>
  <si>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</si>
  <si>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</si>
  <si>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</si>
  <si>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</si>
  <si>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</si>
  <si>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</si>
  <si>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</si>
  <si>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</si>
  <si>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</si>
  <si>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</si>
  <si>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</si>
  <si>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</si>
  <si>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</si>
  <si>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</si>
  <si>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</si>
  <si>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</si>
  <si>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</si>
  <si>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</si>
  <si>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</si>
  <si>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</si>
  <si>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</si>
  <si>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</si>
  <si>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</si>
  <si>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</si>
  <si>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</si>
  <si>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</si>
  <si>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</si>
  <si>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</si>
  <si>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</si>
  <si>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</si>
  <si>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</si>
  <si>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</si>
  <si>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</si>
  <si>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</si>
  <si>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</si>
  <si>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</si>
  <si>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</si>
  <si>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</si>
  <si>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</si>
  <si>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</si>
  <si>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</si>
  <si>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</si>
  <si>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</si>
  <si>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</si>
  <si>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</si>
  <si>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</si>
  <si>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</si>
  <si>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</si>
  <si>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</si>
  <si>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</si>
  <si>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</si>
  <si>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</si>
  <si>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</si>
  <si>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</si>
  <si>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</si>
  <si>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</si>
  <si>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</si>
  <si>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</si>
  <si>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</si>
  <si>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</si>
  <si>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</si>
  <si>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</si>
  <si>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</si>
  <si>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</si>
  <si>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</si>
  <si>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</si>
  <si>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</si>
  <si>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</si>
  <si>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</si>
  <si>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</si>
  <si>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</si>
  <si>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</si>
  <si>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</si>
  <si>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</si>
  <si>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</si>
  <si>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</si>
  <si>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</si>
  <si>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</si>
  <si>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</si>
  <si>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</si>
  <si>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</si>
  <si>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</si>
  <si>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</si>
  <si>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</si>
  <si>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</si>
  <si>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</si>
  <si>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</si>
  <si>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</si>
  <si>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</si>
  <si>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</si>
  <si>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</si>
  <si>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</si>
  <si>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</si>
  <si>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</si>
  <si>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</si>
  <si>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</si>
  <si>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</si>
  <si>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</si>
  <si>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</si>
  <si>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</si>
  <si>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</si>
  <si>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</si>
  <si>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</si>
  <si>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</si>
  <si>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</si>
  <si>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</si>
  <si>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</si>
  <si>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</si>
  <si>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</si>
  <si>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</si>
  <si>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</si>
  <si>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</si>
  <si>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</si>
  <si>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</si>
  <si>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</si>
  <si>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</si>
  <si>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</si>
  <si>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</si>
  <si>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</si>
  <si>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</si>
  <si>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</si>
  <si>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</si>
  <si>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</si>
  <si>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</si>
  <si>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</si>
  <si>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</si>
  <si>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</si>
  <si>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</si>
  <si>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</si>
  <si>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</si>
  <si>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</si>
  <si>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</si>
  <si>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</si>
  <si>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</si>
  <si>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</si>
  <si>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</si>
  <si>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</si>
  <si>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</si>
  <si>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</si>
  <si>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</si>
  <si>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</si>
  <si>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</si>
  <si>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</si>
  <si>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</si>
  <si>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</si>
  <si>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</si>
  <si>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</si>
  <si>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</si>
  <si>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</si>
  <si>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</si>
  <si>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</si>
  <si>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</si>
  <si>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</si>
  <si>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</si>
  <si>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</si>
  <si>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</si>
  <si>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</si>
  <si>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</si>
  <si>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</si>
  <si>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</si>
  <si>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</si>
  <si>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</si>
  <si>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</si>
  <si>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</si>
  <si>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</si>
  <si>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</si>
  <si>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</si>
  <si>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</si>
  <si>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</si>
  <si>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</si>
  <si>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</si>
  <si>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</si>
  <si>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</si>
  <si>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</si>
  <si>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</si>
  <si>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</si>
  <si>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</si>
  <si>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</si>
  <si>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</si>
  <si>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</si>
  <si>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</si>
  <si>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</si>
  <si>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</si>
  <si>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</si>
  <si>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</si>
  <si>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</si>
  <si>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</si>
  <si>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</si>
  <si>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</si>
  <si>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</si>
  <si>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</si>
  <si>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</si>
  <si>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</si>
  <si>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</si>
  <si>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</si>
  <si>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</si>
  <si>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</si>
  <si>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</si>
  <si>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</si>
  <si>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</si>
  <si>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</si>
  <si>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</si>
  <si>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</si>
  <si>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</si>
  <si>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</si>
  <si>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</si>
  <si>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</si>
  <si>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</si>
  <si>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</si>
  <si>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</si>
  <si>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</si>
  <si>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</si>
  <si>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</si>
  <si>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</si>
  <si>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</si>
  <si>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</si>
  <si>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</si>
  <si>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</si>
  <si>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</si>
  <si>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</si>
  <si>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</si>
  <si>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</si>
  <si>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</si>
  <si>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</si>
  <si>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</si>
  <si>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</si>
  <si>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</si>
  <si>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</si>
  <si>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</si>
  <si>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</si>
  <si>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</si>
  <si>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</si>
  <si>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</si>
  <si>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</si>
  <si>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</si>
  <si>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</si>
  <si>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</si>
  <si>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</si>
  <si>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</si>
  <si>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</si>
  <si>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</si>
  <si>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</si>
  <si>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</si>
  <si>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</si>
  <si>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</si>
  <si>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</si>
  <si>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</si>
  <si>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</si>
  <si>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</si>
  <si>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</si>
  <si>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</si>
  <si>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</si>
  <si>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</si>
  <si>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</si>
  <si>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</si>
  <si>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</si>
  <si>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</si>
  <si>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</si>
  <si>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</si>
  <si>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</si>
  <si>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</si>
  <si>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</si>
  <si>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</si>
  <si>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</si>
  <si>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</si>
  <si>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</si>
  <si>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</si>
  <si>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</si>
  <si>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</si>
  <si>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</si>
  <si>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</si>
  <si>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</si>
  <si>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</si>
  <si>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</si>
  <si>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</si>
  <si>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</si>
  <si>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</si>
  <si>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</si>
  <si>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</si>
  <si>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</si>
  <si>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</si>
  <si>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</si>
  <si>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</si>
  <si>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</si>
  <si>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</si>
  <si>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</si>
  <si>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</si>
  <si>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</si>
  <si>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</si>
  <si>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</si>
  <si>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</si>
  <si>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</si>
  <si>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</si>
  <si>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</si>
  <si>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</si>
  <si>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</si>
  <si>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</si>
  <si>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</si>
  <si>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</si>
  <si>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</si>
  <si>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</si>
  <si>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</si>
  <si>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</si>
  <si>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</si>
  <si>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</si>
  <si>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</si>
  <si>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</si>
  <si>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</si>
  <si>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</si>
  <si>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</si>
  <si>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</si>
  <si>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</si>
  <si>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</si>
  <si>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</si>
  <si>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</si>
  <si>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</si>
  <si>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</si>
  <si>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</si>
  <si>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</si>
  <si>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</si>
  <si>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</si>
  <si>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</si>
  <si>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</si>
  <si>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</si>
  <si>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</si>
  <si>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</si>
  <si>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</si>
  <si>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</si>
  <si>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</si>
  <si>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</si>
  <si>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</si>
  <si>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</si>
  <si>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</si>
  <si>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</si>
  <si>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</si>
  <si>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</si>
  <si>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</si>
  <si>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</si>
  <si>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</si>
  <si>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</si>
  <si>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</si>
  <si>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</si>
  <si>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</si>
  <si>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</si>
  <si>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</si>
  <si>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</si>
  <si>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</si>
  <si>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</si>
  <si>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</si>
  <si>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</si>
  <si>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</si>
  <si>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</si>
  <si>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</si>
  <si>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</si>
  <si>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</si>
  <si>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</si>
  <si>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</si>
  <si>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</si>
  <si>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</si>
  <si>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</si>
  <si>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</si>
  <si>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</si>
  <si>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</si>
  <si>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</si>
  <si>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</si>
  <si>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</si>
  <si>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</si>
  <si>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</si>
  <si>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</si>
  <si>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</si>
  <si>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</si>
  <si>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</si>
  <si>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</si>
  <si>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</si>
  <si>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</si>
  <si>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</si>
  <si>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</si>
  <si>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</si>
  <si>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</si>
  <si>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</si>
  <si>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</si>
  <si>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</si>
  <si>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</si>
  <si>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</si>
  <si>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</si>
  <si>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</si>
  <si>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</si>
  <si>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</si>
  <si>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</si>
  <si>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</si>
  <si>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</si>
  <si>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</si>
  <si>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</si>
  <si>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</si>
  <si>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</si>
  <si>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</si>
  <si>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</si>
  <si>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</si>
  <si>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</si>
  <si>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</si>
  <si>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</si>
  <si>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</si>
  <si>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</si>
  <si>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</si>
  <si>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</si>
  <si>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</si>
  <si>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</si>
  <si>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</si>
  <si>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</si>
  <si>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</si>
  <si>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</si>
  <si>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</si>
  <si>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</si>
  <si>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</si>
  <si>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</si>
  <si>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</si>
  <si>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</si>
  <si>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</si>
  <si>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</si>
  <si>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</si>
  <si>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</si>
  <si>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</si>
  <si>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</si>
  <si>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</si>
  <si>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</si>
  <si>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</si>
  <si>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</si>
  <si>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</si>
  <si>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</si>
  <si>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</si>
  <si>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</si>
  <si>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</si>
  <si>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</si>
  <si>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</si>
  <si>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</si>
  <si>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</si>
  <si>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</si>
  <si>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</si>
  <si>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</si>
  <si>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</si>
  <si>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</si>
  <si>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</si>
  <si>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</si>
  <si>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</si>
  <si>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</si>
  <si>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</si>
  <si>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</si>
  <si>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</si>
  <si>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</si>
  <si>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</si>
  <si>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</si>
  <si>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</si>
  <si>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</si>
  <si>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</si>
  <si>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</si>
  <si>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</si>
  <si>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</si>
  <si>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</si>
  <si>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</si>
  <si>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</si>
  <si>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</si>
  <si>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</si>
  <si>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</si>
  <si>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</si>
  <si>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</si>
  <si>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</si>
  <si>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</si>
  <si>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</si>
  <si>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</si>
  <si>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</si>
  <si>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</si>
  <si>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</si>
  <si>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</si>
  <si>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</si>
  <si>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</si>
  <si>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</si>
  <si>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</si>
  <si>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</si>
  <si>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</si>
  <si>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</si>
  <si>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</si>
  <si>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</si>
  <si>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</si>
  <si>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</si>
  <si>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</si>
  <si>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</si>
  <si>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</si>
  <si>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</si>
  <si>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</si>
  <si>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</si>
  <si>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</si>
  <si>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</si>
  <si>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</si>
  <si>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</si>
  <si>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</si>
  <si>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</si>
  <si>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</si>
  <si>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</si>
  <si>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</si>
  <si>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</si>
  <si>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</si>
  <si>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</si>
  <si>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</si>
  <si>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</si>
  <si>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</si>
  <si>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</si>
  <si>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</si>
  <si>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</si>
  <si>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</si>
  <si>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</si>
  <si>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</si>
  <si>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</si>
  <si>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</si>
  <si>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</si>
  <si>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</si>
  <si>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</si>
  <si>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</si>
  <si>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</si>
  <si>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</si>
  <si>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</si>
  <si>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</si>
  <si>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</si>
  <si>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</si>
  <si>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</si>
  <si>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</si>
  <si>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</si>
  <si>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</si>
  <si>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</si>
  <si>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</si>
  <si>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</si>
  <si>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</si>
  <si>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</si>
  <si>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</si>
  <si>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</si>
  <si>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</si>
  <si>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</si>
  <si>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</si>
  <si>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</si>
  <si>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</si>
  <si>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</si>
  <si>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</si>
  <si>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</si>
  <si>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</si>
  <si>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</si>
  <si>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</si>
  <si>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</si>
  <si>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</si>
  <si>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</si>
  <si>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</si>
  <si>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</si>
  <si>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</si>
  <si>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</si>
  <si>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</si>
  <si>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</si>
  <si>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</si>
  <si>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</si>
  <si>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</si>
  <si>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</si>
  <si>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</si>
  <si>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</si>
  <si>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</si>
  <si>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</si>
  <si>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</si>
  <si>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</si>
  <si>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</si>
  <si>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</si>
  <si>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</si>
  <si>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</si>
  <si>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</si>
  <si>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</si>
  <si>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</si>
  <si>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</si>
  <si>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</si>
  <si>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</si>
  <si>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</si>
  <si>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</si>
  <si>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</si>
  <si>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</si>
  <si>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</si>
  <si>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</si>
  <si>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</si>
  <si>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</si>
  <si>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</si>
  <si>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</si>
  <si>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</si>
  <si>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</si>
  <si>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</si>
  <si>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</si>
  <si>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</si>
  <si>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</si>
  <si>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</si>
  <si>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</si>
  <si>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</si>
  <si>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</si>
  <si>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</si>
  <si>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</si>
  <si>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</si>
  <si>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</si>
  <si>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</si>
  <si>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</si>
  <si>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</si>
  <si>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</si>
  <si>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</si>
  <si>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</si>
  <si>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</si>
  <si>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</si>
  <si>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</si>
  <si>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</si>
  <si>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</si>
  <si>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</si>
  <si>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</si>
  <si>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</si>
  <si>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</si>
  <si>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</si>
  <si>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</si>
  <si>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</si>
  <si>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</si>
  <si>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</si>
  <si>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</si>
  <si>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</si>
  <si>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</si>
  <si>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</si>
  <si>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</si>
  <si>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</si>
  <si>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</si>
  <si>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</si>
  <si>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</si>
  <si>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</si>
  <si>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</si>
  <si>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</si>
  <si>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</si>
  <si>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</si>
  <si>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</si>
  <si>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</si>
  <si>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</si>
  <si>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</si>
  <si>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</si>
  <si>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</si>
  <si>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</si>
  <si>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</si>
  <si>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</si>
  <si>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</si>
  <si>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</si>
  <si>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</si>
  <si>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</si>
  <si>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</si>
  <si>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</si>
  <si>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</si>
  <si>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</si>
  <si>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</si>
  <si>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</si>
  <si>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</si>
  <si>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</si>
  <si>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</si>
  <si>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</si>
  <si>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</si>
  <si>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</si>
  <si>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</si>
  <si>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</si>
  <si>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</si>
  <si>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</si>
  <si>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</si>
  <si>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</si>
  <si>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</si>
  <si>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</si>
  <si>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</si>
  <si>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</si>
  <si>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</si>
  <si>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</si>
  <si>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</si>
  <si>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</si>
  <si>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</si>
  <si>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</si>
  <si>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</si>
  <si>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</si>
  <si>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</si>
  <si>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</si>
  <si>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</si>
  <si>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</si>
  <si>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</si>
  <si>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</si>
  <si>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</si>
  <si>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</si>
  <si>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</si>
  <si>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</si>
  <si>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</si>
  <si>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</si>
  <si>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</si>
  <si>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</si>
  <si>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</si>
  <si>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</si>
  <si>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</si>
  <si>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</si>
  <si>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</si>
  <si>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</si>
  <si>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</si>
  <si>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</si>
  <si>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</si>
  <si>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</si>
  <si>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</si>
  <si>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</si>
  <si>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</si>
  <si>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</si>
  <si>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</si>
  <si>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</si>
  <si>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</si>
  <si>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</si>
  <si>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</si>
  <si>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</si>
  <si>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</si>
  <si>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</si>
  <si>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</si>
  <si>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</si>
  <si>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</si>
  <si>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</si>
  <si>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</si>
  <si>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</si>
  <si>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</si>
  <si>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</si>
  <si>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</si>
  <si>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</si>
  <si>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</si>
  <si>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</si>
  <si>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</si>
  <si>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</si>
  <si>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</si>
  <si>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</si>
  <si>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</si>
  <si>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</si>
  <si>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</si>
  <si>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</si>
  <si>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</si>
  <si>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</si>
  <si>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</si>
  <si>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</si>
  <si>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</si>
  <si>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</si>
  <si>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</si>
  <si>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</si>
  <si>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</si>
  <si>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</si>
  <si>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</si>
  <si>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</si>
  <si>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</si>
  <si>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</si>
  <si>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</si>
  <si>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</si>
  <si>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</si>
  <si>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</si>
  <si>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</si>
  <si>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</si>
  <si>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</si>
  <si>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</si>
  <si>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</si>
  <si>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</si>
  <si>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</si>
  <si>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</si>
  <si>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</si>
  <si>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</si>
  <si>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</si>
  <si>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</si>
  <si>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</si>
  <si>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</si>
  <si>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</si>
  <si>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</si>
  <si>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</si>
  <si>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</si>
  <si>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</si>
  <si>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</si>
  <si>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</si>
  <si>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</si>
  <si>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</si>
  <si>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</si>
  <si>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</si>
  <si>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</si>
  <si>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</si>
  <si>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</si>
  <si>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</si>
  <si>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</si>
  <si>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</si>
  <si>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</si>
  <si>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</si>
  <si>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</si>
  <si>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</si>
  <si>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</si>
  <si>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</si>
  <si>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</si>
  <si>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</si>
  <si>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</si>
  <si>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</si>
  <si>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</si>
  <si>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</si>
  <si>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</si>
  <si>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</si>
  <si>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</si>
  <si>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</si>
  <si>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</si>
  <si>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</si>
  <si>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</si>
  <si>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</si>
  <si>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</si>
  <si>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</si>
  <si>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</si>
  <si>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</si>
  <si>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</si>
  <si>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</si>
  <si>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</si>
  <si>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</si>
  <si>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</si>
  <si>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</si>
  <si>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</si>
  <si>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</si>
  <si>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</si>
  <si>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</si>
  <si>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</si>
  <si>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</si>
  <si>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</si>
  <si>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</si>
  <si>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</si>
  <si>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</si>
  <si>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</si>
  <si>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</si>
  <si>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</si>
  <si>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</si>
  <si>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</si>
  <si>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</si>
  <si>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</si>
  <si>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</si>
  <si>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</si>
  <si>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</si>
  <si>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</si>
  <si>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</si>
  <si>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</si>
  <si>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</si>
  <si>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</si>
  <si>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</si>
  <si>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</si>
  <si>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</si>
  <si>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</si>
  <si>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</si>
  <si>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</si>
  <si>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</si>
  <si>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</si>
  <si>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</si>
  <si>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</si>
  <si>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</si>
  <si>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</si>
  <si>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</si>
  <si>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</si>
  <si>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</si>
  <si>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</si>
  <si>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</si>
  <si>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</si>
  <si>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</si>
  <si>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</si>
  <si>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</si>
  <si>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</si>
  <si>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</si>
  <si>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</si>
  <si>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</si>
  <si>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</si>
  <si>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</si>
  <si>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</si>
  <si>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</si>
  <si>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</si>
  <si>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</si>
  <si>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</si>
  <si>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</si>
  <si>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</si>
  <si>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</si>
  <si>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</si>
  <si>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</si>
  <si>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</si>
  <si>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</si>
  <si>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</si>
  <si>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</si>
  <si>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</si>
  <si>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</si>
  <si>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</si>
  <si>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</si>
  <si>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</si>
  <si>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</si>
  <si>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</si>
  <si>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</si>
  <si>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</si>
  <si>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</si>
  <si>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</si>
  <si>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</si>
  <si>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</si>
  <si>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</si>
  <si>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</si>
  <si>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</si>
  <si>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</si>
  <si>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</si>
  <si>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</si>
  <si>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</si>
  <si>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</si>
  <si>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</si>
  <si>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</si>
  <si>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</si>
  <si>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</si>
  <si>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</si>
  <si>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</si>
  <si>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</si>
  <si>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</si>
  <si>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</si>
  <si>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</si>
  <si>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</si>
  <si>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</si>
  <si>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</si>
  <si>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</si>
  <si>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</si>
  <si>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</si>
  <si>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</si>
  <si>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</si>
  <si>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</si>
  <si>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</si>
  <si>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</si>
  <si>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</si>
  <si>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</si>
  <si>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</si>
  <si>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</si>
  <si>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</si>
  <si>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</si>
  <si>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</si>
  <si>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</si>
  <si>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</si>
  <si>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</si>
  <si>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</si>
  <si>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</si>
  <si>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</si>
  <si>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</si>
  <si>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</si>
  <si>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</si>
  <si>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</si>
  <si>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</si>
  <si>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</si>
  <si>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</si>
  <si>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</si>
  <si>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</si>
  <si>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</si>
  <si>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</si>
  <si>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</si>
  <si>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</si>
  <si>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</si>
  <si>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</si>
  <si>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</si>
  <si>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</si>
  <si>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</si>
  <si>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</si>
  <si>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</si>
  <si>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</si>
  <si>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</si>
  <si>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</si>
  <si>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</si>
  <si>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</si>
  <si>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</si>
  <si>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</si>
  <si>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</si>
  <si>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</si>
  <si>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</si>
  <si>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</si>
  <si>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</si>
  <si>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</si>
  <si>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</si>
  <si>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</si>
  <si>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</si>
  <si>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</si>
  <si>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</si>
  <si>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</si>
  <si>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</si>
  <si>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</si>
  <si>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</si>
  <si>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</si>
  <si>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</si>
  <si>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</si>
  <si>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</si>
  <si>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</si>
  <si>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</si>
  <si>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</si>
  <si>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</si>
  <si>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</si>
  <si>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</si>
  <si>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</si>
  <si>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</si>
  <si>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</si>
  <si>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</si>
  <si>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</si>
  <si>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</si>
  <si>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</si>
  <si>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</si>
  <si>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</si>
  <si>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</si>
  <si>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</si>
  <si>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</si>
  <si>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</si>
  <si>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</si>
  <si>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</si>
  <si>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</si>
  <si>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</si>
  <si>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</si>
  <si>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</si>
  <si>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</si>
  <si>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</si>
  <si>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</si>
  <si>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</si>
  <si>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</si>
  <si>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</si>
  <si>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</si>
  <si>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</si>
  <si>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</si>
  <si>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</si>
  <si>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</si>
  <si>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</si>
  <si>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</si>
  <si>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</si>
  <si>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</si>
  <si>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</si>
  <si>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</si>
  <si>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</si>
  <si>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</si>
  <si>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</si>
  <si>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</si>
  <si>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</si>
  <si>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</si>
  <si>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</si>
  <si>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</si>
  <si>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</si>
  <si>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</si>
  <si>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</si>
  <si>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</si>
  <si>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</si>
  <si>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</si>
  <si>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</si>
  <si>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</si>
  <si>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</si>
  <si>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</si>
  <si>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</si>
  <si>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</si>
  <si>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</si>
  <si>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</si>
  <si>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</si>
  <si>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</si>
  <si>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</si>
  <si>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</si>
  <si>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</si>
  <si>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</si>
  <si>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</si>
  <si>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</si>
  <si>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</si>
  <si>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</si>
  <si>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</si>
  <si>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</si>
  <si>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</si>
  <si>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</si>
  <si>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</si>
  <si>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</si>
  <si>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</si>
  <si>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</si>
  <si>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</si>
  <si>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</si>
  <si>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</si>
  <si>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</si>
  <si>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</si>
  <si>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</si>
  <si>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</si>
  <si>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</si>
  <si>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</si>
  <si>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</si>
  <si>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</si>
  <si>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</si>
  <si>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</si>
  <si>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</si>
  <si>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</si>
  <si>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</si>
  <si>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</si>
  <si>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</si>
  <si>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</si>
  <si>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</si>
  <si>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</si>
  <si>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</si>
  <si>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</si>
  <si>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</si>
  <si>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</si>
  <si>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</si>
  <si>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</si>
  <si>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</si>
  <si>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</si>
  <si>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</si>
  <si>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</si>
  <si>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</si>
  <si>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</si>
  <si>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</si>
  <si>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</si>
  <si>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</si>
  <si>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</si>
  <si>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</si>
  <si>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</si>
  <si>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</si>
  <si>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</si>
  <si>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</si>
  <si>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</si>
  <si>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</si>
  <si>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</si>
  <si>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</si>
  <si>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</si>
  <si>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</si>
  <si>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</si>
  <si>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</si>
  <si>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</si>
  <si>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</si>
  <si>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</si>
  <si>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</si>
  <si>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</si>
  <si>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</si>
  <si>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</si>
  <si>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</si>
  <si>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</si>
  <si>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</si>
  <si>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</si>
  <si>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</si>
  <si>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</si>
  <si>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</si>
  <si>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</si>
  <si>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</si>
  <si>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</si>
  <si>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</si>
  <si>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</si>
  <si>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</si>
  <si>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</si>
  <si>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</si>
  <si>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</si>
  <si>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</si>
  <si>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</si>
  <si>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</si>
  <si>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</si>
  <si>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</si>
  <si>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</si>
  <si>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</si>
  <si>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</si>
  <si>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</si>
  <si>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</si>
  <si>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</si>
  <si>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</si>
  <si>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</si>
  <si>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</si>
  <si>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</si>
  <si>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</si>
  <si>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</si>
  <si>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</si>
  <si>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</si>
  <si>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</si>
  <si>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</si>
  <si>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</si>
  <si>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</si>
  <si>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</si>
  <si>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</si>
  <si>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</si>
  <si>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</si>
  <si>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</si>
  <si>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</si>
  <si>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</si>
  <si>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</si>
  <si>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</si>
  <si>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</si>
  <si>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</si>
  <si>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</si>
  <si>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</si>
  <si>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</si>
  <si>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</si>
  <si>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</si>
  <si>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</si>
  <si>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</si>
  <si>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</si>
  <si>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</si>
  <si>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</si>
  <si>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</si>
  <si>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</si>
  <si>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</si>
  <si>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</si>
  <si>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</si>
  <si>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</si>
  <si>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</si>
  <si>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</si>
  <si>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</si>
  <si>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</si>
  <si>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</si>
  <si>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</si>
  <si>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</si>
  <si>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</si>
  <si>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</si>
  <si>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</si>
  <si>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</si>
  <si>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</si>
  <si>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</si>
  <si>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</si>
  <si>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</si>
  <si>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</si>
  <si>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</si>
  <si>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</si>
  <si>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</si>
  <si>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</si>
  <si>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</si>
  <si>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</si>
  <si>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</si>
  <si>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</si>
  <si>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</si>
  <si>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</si>
  <si>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</si>
  <si>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</si>
  <si>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</si>
  <si>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</si>
  <si>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</si>
  <si>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</si>
  <si>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</si>
  <si>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</si>
  <si>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</si>
  <si>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</si>
  <si>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</si>
  <si>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</si>
  <si>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</si>
  <si>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</si>
  <si>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</si>
  <si>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</si>
  <si>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</si>
  <si>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</si>
  <si>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</si>
  <si>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</si>
  <si>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</si>
  <si>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</si>
  <si>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</si>
  <si>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</si>
  <si>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</si>
  <si>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</si>
  <si>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</si>
  <si>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</si>
  <si>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</si>
  <si>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</si>
  <si>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</si>
  <si>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</si>
  <si>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</si>
  <si>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</si>
  <si>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</si>
  <si>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</si>
  <si>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</si>
  <si>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</si>
  <si>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</si>
  <si>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</si>
  <si>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</si>
  <si>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</si>
  <si>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</si>
  <si>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</si>
  <si>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</si>
  <si>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</si>
  <si>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</si>
  <si>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</si>
  <si>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</si>
  <si>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</si>
  <si>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</si>
  <si>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</si>
  <si>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</si>
  <si>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</si>
  <si>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</si>
  <si>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</si>
  <si>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</si>
  <si>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</si>
  <si>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</si>
  <si>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</si>
  <si>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</si>
  <si>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</si>
  <si>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</si>
  <si>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</si>
  <si>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</si>
  <si>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</si>
  <si>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</si>
  <si>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</si>
  <si>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</si>
  <si>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</si>
  <si>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</si>
  <si>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</si>
  <si>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</si>
  <si>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</si>
  <si>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</si>
  <si>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</si>
  <si>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</si>
  <si>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</si>
  <si>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</si>
  <si>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</si>
  <si>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</si>
  <si>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</si>
  <si>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</si>
  <si>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</si>
  <si>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</si>
  <si>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</si>
  <si>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</si>
  <si>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</si>
  <si>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</si>
  <si>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</si>
  <si>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</si>
  <si>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</si>
  <si>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</si>
  <si>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</si>
  <si>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</si>
  <si>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</si>
  <si>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</si>
  <si>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</si>
  <si>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</si>
  <si>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</si>
  <si>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</si>
  <si>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</si>
  <si>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</si>
  <si>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</si>
  <si>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</si>
  <si>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</si>
  <si>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</si>
  <si>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</si>
  <si>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</si>
  <si>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</si>
  <si>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</si>
  <si>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</si>
  <si>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</si>
  <si>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</si>
  <si>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</si>
  <si>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</si>
  <si>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</si>
  <si>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</si>
  <si>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</si>
  <si>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</si>
  <si>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</si>
  <si>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</si>
  <si>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</si>
  <si>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</si>
  <si>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</si>
  <si>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</si>
  <si>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</si>
  <si>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</si>
  <si>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</si>
  <si>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</si>
  <si>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</si>
  <si>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</si>
  <si>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</si>
  <si>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</si>
  <si>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</si>
  <si>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</si>
  <si>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</si>
  <si>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</si>
  <si>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</si>
  <si>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</si>
  <si>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</si>
  <si>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</si>
  <si>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</si>
  <si>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</si>
  <si>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</si>
  <si>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</si>
  <si>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</si>
  <si>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</si>
  <si>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</si>
  <si>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</si>
  <si>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</si>
  <si>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</si>
  <si>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</si>
  <si>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</si>
  <si>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</si>
  <si>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</si>
  <si>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</si>
  <si>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</si>
  <si>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</si>
  <si>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</si>
  <si>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</si>
  <si>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</si>
  <si>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</si>
  <si>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</si>
  <si>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</si>
  <si>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</si>
  <si>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</si>
  <si>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</si>
  <si>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</si>
  <si>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</si>
  <si>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</si>
  <si>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</si>
  <si>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</si>
  <si>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</si>
  <si>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</si>
  <si>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</si>
  <si>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</si>
  <si>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</si>
  <si>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</si>
  <si>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</si>
  <si>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</si>
  <si>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</si>
  <si>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</si>
  <si>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</si>
  <si>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</si>
  <si>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</si>
  <si>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</si>
  <si>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</si>
  <si>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</si>
  <si>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</si>
  <si>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</si>
  <si>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</si>
  <si>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</si>
  <si>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</si>
  <si>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</si>
  <si>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</si>
  <si>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</si>
  <si>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</si>
  <si>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</si>
  <si>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</si>
  <si>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</si>
  <si>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</si>
  <si>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</si>
  <si>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</si>
  <si>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</si>
  <si>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</si>
  <si>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</si>
  <si>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</si>
  <si>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</si>
  <si>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</si>
  <si>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</si>
  <si>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</si>
  <si>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</si>
  <si>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</si>
  <si>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</si>
  <si>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</si>
  <si>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</si>
  <si>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</si>
  <si>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</si>
  <si>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</si>
  <si>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</si>
  <si>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</si>
  <si>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</si>
  <si>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</si>
  <si>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</si>
  <si>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</si>
  <si>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</si>
  <si>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</si>
  <si>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</si>
  <si>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</si>
  <si>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</si>
  <si>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</si>
  <si>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</si>
  <si>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</si>
  <si>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</si>
  <si>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</si>
  <si>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</si>
  <si>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</si>
  <si>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</si>
  <si>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</si>
  <si>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</si>
  <si>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</si>
  <si>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</si>
  <si>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</si>
  <si>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</si>
  <si>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</si>
  <si>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</si>
  <si>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</si>
  <si>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</si>
  <si>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</si>
  <si>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</si>
  <si>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</si>
  <si>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</si>
  <si>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</si>
  <si>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</si>
  <si>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</si>
  <si>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</si>
  <si>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</si>
  <si>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</si>
  <si>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</si>
  <si>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</si>
  <si>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</si>
  <si>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</si>
  <si>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</si>
  <si>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</si>
  <si>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</si>
  <si>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</si>
  <si>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</si>
  <si>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</si>
  <si>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</si>
  <si>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</si>
  <si>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</si>
  <si>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</si>
  <si>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</si>
  <si>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</si>
  <si>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</si>
  <si>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</si>
  <si>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</si>
  <si>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</si>
  <si>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</si>
  <si>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</si>
  <si>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</si>
  <si>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</si>
  <si>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</si>
  <si>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</si>
  <si>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</si>
  <si>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</si>
  <si>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</si>
  <si>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</si>
  <si>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</si>
  <si>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</si>
  <si>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</si>
  <si>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</si>
  <si>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</si>
  <si>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</si>
  <si>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</si>
  <si>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</si>
  <si>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</si>
  <si>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</si>
  <si>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</si>
  <si>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</si>
  <si>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</si>
  <si>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</si>
  <si>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</si>
  <si>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</si>
  <si>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</si>
  <si>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</si>
  <si>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</si>
  <si>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</si>
  <si>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</si>
  <si>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</si>
  <si>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</si>
  <si>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</si>
  <si>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</si>
  <si>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</si>
  <si>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</si>
  <si>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</si>
  <si>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</si>
  <si>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</si>
  <si>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</si>
  <si>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</si>
  <si>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</si>
  <si>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</si>
  <si>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</si>
  <si>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</si>
  <si>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</si>
  <si>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</si>
  <si>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</si>
  <si>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</si>
  <si>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</si>
  <si>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</si>
  <si>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</si>
  <si>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</si>
  <si>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</si>
  <si>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</si>
  <si>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</si>
  <si>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</si>
  <si>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</si>
  <si>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</si>
  <si>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</si>
  <si>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</si>
  <si>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</si>
  <si>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</si>
  <si>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</si>
  <si>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</si>
  <si>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</si>
  <si>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</si>
  <si>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</si>
  <si>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</si>
  <si>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</si>
  <si>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</si>
  <si>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</si>
  <si>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</si>
  <si>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</si>
  <si>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</si>
  <si>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</si>
  <si>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</si>
  <si>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</si>
  <si>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</si>
  <si>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</si>
  <si>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</si>
  <si>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</si>
  <si>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</si>
  <si>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</si>
  <si>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</si>
  <si>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</si>
  <si>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</si>
  <si>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</si>
  <si>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</si>
  <si>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</si>
  <si>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</si>
  <si>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</si>
  <si>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</si>
  <si>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</si>
  <si>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</si>
  <si>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</si>
  <si>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</si>
  <si>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</si>
  <si>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</si>
  <si>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</si>
  <si>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</si>
  <si>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</si>
  <si>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</si>
  <si>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</si>
  <si>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</si>
  <si>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</si>
  <si>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</si>
  <si>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</si>
  <si>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</si>
  <si>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</si>
  <si>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</si>
  <si>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</si>
  <si>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</si>
  <si>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</si>
  <si>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</si>
  <si>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</si>
  <si>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</si>
  <si>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</si>
  <si>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</si>
  <si>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</si>
  <si>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</si>
  <si>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</si>
  <si>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</si>
  <si>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</si>
  <si>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</si>
  <si>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</si>
  <si>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</si>
  <si>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</si>
  <si>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</si>
  <si>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</si>
  <si>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</si>
  <si>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</si>
  <si>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</si>
  <si>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</si>
  <si>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</si>
  <si>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</si>
  <si>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</si>
  <si>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</si>
  <si>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</si>
  <si>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</si>
  <si>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</si>
  <si>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</si>
  <si>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</si>
  <si>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</si>
  <si>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</si>
  <si>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</si>
  <si>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</si>
  <si>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</si>
  <si>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</si>
  <si>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</si>
  <si>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</si>
  <si>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</si>
  <si>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</si>
  <si>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</si>
  <si>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</si>
  <si>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</si>
  <si>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</si>
  <si>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</si>
  <si>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</si>
  <si>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</si>
  <si>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</si>
  <si>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</si>
  <si>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</si>
  <si>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</si>
  <si>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</si>
  <si>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</si>
  <si>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</si>
  <si>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</si>
  <si>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</si>
  <si>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</si>
  <si>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</si>
  <si>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</si>
  <si>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</si>
  <si>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</si>
  <si>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</si>
  <si>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</si>
  <si>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</si>
  <si>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</si>
  <si>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</si>
  <si>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</si>
  <si>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</si>
  <si>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</si>
  <si>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</si>
  <si>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</si>
  <si>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</si>
  <si>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</si>
  <si>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</si>
  <si>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</si>
  <si>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</si>
  <si>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</si>
  <si>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</si>
  <si>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</si>
  <si>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</si>
  <si>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</si>
  <si>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</si>
  <si>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</si>
  <si>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</si>
  <si>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</si>
  <si>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</si>
  <si>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</si>
  <si>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</si>
  <si>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</si>
  <si>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</si>
  <si>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</si>
  <si>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</si>
  <si>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</si>
  <si>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</si>
  <si>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</si>
  <si>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</si>
  <si>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</si>
  <si>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</si>
  <si>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</si>
  <si>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</si>
  <si>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</si>
  <si>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</si>
  <si>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</si>
  <si>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</si>
  <si>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</si>
  <si>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</si>
  <si>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</si>
  <si>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</si>
  <si>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</si>
  <si>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</si>
  <si>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</si>
  <si>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</si>
  <si>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</si>
  <si>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</si>
  <si>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</si>
  <si>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</si>
  <si>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</si>
  <si>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</si>
  <si>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</si>
  <si>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</si>
  <si>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</si>
  <si>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</si>
  <si>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</si>
  <si>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</si>
  <si>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</si>
  <si>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</si>
  <si>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</si>
  <si>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</si>
  <si>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</si>
  <si>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</si>
  <si>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</si>
  <si>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</si>
  <si>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</si>
  <si>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</si>
  <si>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</si>
  <si>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</si>
  <si>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</si>
  <si>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</si>
  <si>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</si>
  <si>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</si>
  <si>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</si>
  <si>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</si>
  <si>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</si>
  <si>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</si>
  <si>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</si>
  <si>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</si>
  <si>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</si>
  <si>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</si>
  <si>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</si>
  <si>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</si>
  <si>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</si>
  <si>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</si>
  <si>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</si>
  <si>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</si>
  <si>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</si>
  <si>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</si>
  <si>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</si>
  <si>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</si>
  <si>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</si>
  <si>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</si>
  <si>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</si>
  <si>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</si>
  <si>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</si>
  <si>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</si>
  <si>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</si>
  <si>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</si>
  <si>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</si>
  <si>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</si>
  <si>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</si>
  <si>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</si>
  <si>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</si>
  <si>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</si>
  <si>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</si>
  <si>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</si>
  <si>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</si>
  <si>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</si>
  <si>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</si>
  <si>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</si>
  <si>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</si>
  <si>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</si>
  <si>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</si>
  <si>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</si>
  <si>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</si>
  <si>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</si>
  <si>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</si>
  <si>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</si>
  <si>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</si>
  <si>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</si>
  <si>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</si>
  <si>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</si>
  <si>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</si>
  <si>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</si>
  <si>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</si>
  <si>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</si>
  <si>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</si>
  <si>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</si>
  <si>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</si>
  <si>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</si>
  <si>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</si>
  <si>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</si>
  <si>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</si>
  <si>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</si>
  <si>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</si>
  <si>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</si>
  <si>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</si>
  <si>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</si>
  <si>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</si>
  <si>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</si>
  <si>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</si>
  <si>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</si>
  <si>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</si>
  <si>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</si>
  <si>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</si>
  <si>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</si>
  <si>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</si>
  <si>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</si>
  <si>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</si>
  <si>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</si>
  <si>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</si>
  <si>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</si>
  <si>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</si>
  <si>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</si>
  <si>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</si>
  <si>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</si>
  <si>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</si>
  <si>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</si>
  <si>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</si>
  <si>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</si>
  <si>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</si>
  <si>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</si>
  <si>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</si>
  <si>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</si>
  <si>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</si>
  <si>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</si>
  <si>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</si>
  <si>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</si>
  <si>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</si>
  <si>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</si>
  <si>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</si>
  <si>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</si>
  <si>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</si>
  <si>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</si>
  <si>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</si>
  <si>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</si>
  <si>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</si>
  <si>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</si>
  <si>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</si>
  <si>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</si>
  <si>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</si>
  <si>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</si>
  <si>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</si>
  <si>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</si>
  <si>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</si>
  <si>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</si>
  <si>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</si>
  <si>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</si>
  <si>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</si>
  <si>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</si>
  <si>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</si>
  <si>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</si>
  <si>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</si>
  <si>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</si>
  <si>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</si>
  <si>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</si>
  <si>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</si>
  <si>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</si>
  <si>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</si>
  <si>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</si>
  <si>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</si>
  <si>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</si>
  <si>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</si>
  <si>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</si>
  <si>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</si>
  <si>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</si>
  <si>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</si>
  <si>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</si>
  <si>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</si>
  <si>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</si>
  <si>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</si>
  <si>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</si>
  <si>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</si>
  <si>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</si>
  <si>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</si>
  <si>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</si>
  <si>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</si>
  <si>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</si>
  <si>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</si>
  <si>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</si>
  <si>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</si>
  <si>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</si>
  <si>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</si>
  <si>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</si>
  <si>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</si>
  <si>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</si>
  <si>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</si>
  <si>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</si>
  <si>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</si>
  <si>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</si>
  <si>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</si>
  <si>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</si>
  <si>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</si>
  <si>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</si>
  <si>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</si>
  <si>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</si>
  <si>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</si>
  <si>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</si>
  <si>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</si>
  <si>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</si>
  <si>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</si>
  <si>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</si>
  <si>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</si>
  <si>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</si>
  <si>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</si>
  <si>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</si>
  <si>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</si>
  <si>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</si>
  <si>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</si>
  <si>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</si>
  <si>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</si>
  <si>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</si>
  <si>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</si>
  <si>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</si>
  <si>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</si>
  <si>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</si>
  <si>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</si>
  <si>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</si>
  <si>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</si>
  <si>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</si>
  <si>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</si>
  <si>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</si>
  <si>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</si>
  <si>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</si>
  <si>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</si>
  <si>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</si>
  <si>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</si>
  <si>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</si>
  <si>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</si>
  <si>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</si>
  <si>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</si>
  <si>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</si>
  <si>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</si>
  <si>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</si>
  <si>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</si>
  <si>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</si>
  <si>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</si>
  <si>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</si>
  <si>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</si>
  <si>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</si>
  <si>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</si>
  <si>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</si>
  <si>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</si>
  <si>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</si>
  <si>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</si>
  <si>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</si>
  <si>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</si>
  <si>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</si>
  <si>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</si>
  <si>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</si>
  <si>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</si>
  <si>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</si>
  <si>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</si>
  <si>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</si>
  <si>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</si>
  <si>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</si>
  <si>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</si>
  <si>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</si>
  <si>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</si>
  <si>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</si>
  <si>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</si>
  <si>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</si>
  <si>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</si>
  <si>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</si>
  <si>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</si>
  <si>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</si>
  <si>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</si>
  <si>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</si>
  <si>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</si>
  <si>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</si>
  <si>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</si>
  <si>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</si>
  <si>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</si>
  <si>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</si>
  <si>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</si>
  <si>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</si>
  <si>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</si>
  <si>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</si>
  <si>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</si>
  <si>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</si>
  <si>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</si>
  <si>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</si>
  <si>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</si>
  <si>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</si>
  <si>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</si>
  <si>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</si>
  <si>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</si>
  <si>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</si>
  <si>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</si>
  <si>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</si>
  <si>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</si>
  <si>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</si>
  <si>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</si>
  <si>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</si>
  <si>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</si>
  <si>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</si>
  <si>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</si>
  <si>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</si>
  <si>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</si>
  <si>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</si>
  <si>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</si>
  <si>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</si>
  <si>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</si>
  <si>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</si>
  <si>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</si>
  <si>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</si>
  <si>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</si>
  <si>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</si>
  <si>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</si>
  <si>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</si>
  <si>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</si>
  <si>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</si>
  <si>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</si>
  <si>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</si>
  <si>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</si>
  <si>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</si>
  <si>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</si>
  <si>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</si>
  <si>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</si>
  <si>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</si>
  <si>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</si>
  <si>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</si>
  <si>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</si>
  <si>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</si>
  <si>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</si>
  <si>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</si>
  <si>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</si>
  <si>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</si>
  <si>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</si>
  <si>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</si>
  <si>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</si>
  <si>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</si>
  <si>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</si>
  <si>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</si>
  <si>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</si>
  <si>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</si>
  <si>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</si>
  <si>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</si>
  <si>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</si>
  <si>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</si>
  <si>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</si>
  <si>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</si>
  <si>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</si>
  <si>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</si>
  <si>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</si>
  <si>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</si>
  <si>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</si>
  <si>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</si>
  <si>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</si>
  <si>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</si>
  <si>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</si>
  <si>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</si>
  <si>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</si>
  <si>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</si>
  <si>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</si>
  <si>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</si>
  <si>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</si>
  <si>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</si>
  <si>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</si>
  <si>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</si>
  <si>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</si>
  <si>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</si>
  <si>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</si>
  <si>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</si>
  <si>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</si>
  <si>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</si>
  <si>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</si>
  <si>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</si>
  <si>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</si>
  <si>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</si>
  <si>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</si>
  <si>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</si>
  <si>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</si>
  <si>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</si>
  <si>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</si>
  <si>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</si>
  <si>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</si>
  <si>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</si>
  <si>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</si>
  <si>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</si>
  <si>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</si>
  <si>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</si>
  <si>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</si>
  <si>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</si>
  <si>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</si>
  <si>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</si>
  <si>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</si>
  <si>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</si>
  <si>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</si>
  <si>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</si>
  <si>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</si>
  <si>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</si>
  <si>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</si>
  <si>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</si>
  <si>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</si>
  <si>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</si>
  <si>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</si>
  <si>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</si>
  <si>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</si>
  <si>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</si>
  <si>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</si>
  <si>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</si>
  <si>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</si>
  <si>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</si>
  <si>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</si>
  <si>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</si>
  <si>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</si>
  <si>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</si>
  <si>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</si>
  <si>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</si>
  <si>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</si>
  <si>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</si>
  <si>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</si>
  <si>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</si>
  <si>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</si>
  <si>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</si>
  <si>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</si>
  <si>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</si>
  <si>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</si>
  <si>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</si>
  <si>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</si>
  <si>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</si>
  <si>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</si>
  <si>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</si>
  <si>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</si>
  <si>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</si>
  <si>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</si>
  <si>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</si>
  <si>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</si>
  <si>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</si>
  <si>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</si>
  <si>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</si>
  <si>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</si>
  <si>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</si>
  <si>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</si>
  <si>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</si>
  <si>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</si>
  <si>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</si>
  <si>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</si>
  <si>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</si>
  <si>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</si>
  <si>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</si>
  <si>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</si>
  <si>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</si>
  <si>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</si>
  <si>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</si>
  <si>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</si>
  <si>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</si>
  <si>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</si>
  <si>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</si>
  <si>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</si>
  <si>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</si>
  <si>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</si>
  <si>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</si>
  <si>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</si>
  <si>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</si>
  <si>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</si>
  <si>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</si>
  <si>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</si>
  <si>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</si>
  <si>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</si>
  <si>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</si>
  <si>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</si>
  <si>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</si>
  <si>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</si>
  <si>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</si>
  <si>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</si>
  <si>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</si>
  <si>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</si>
  <si>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</si>
  <si>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</si>
  <si>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</si>
  <si>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</si>
  <si>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</si>
  <si>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</si>
  <si>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</si>
  <si>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</si>
  <si>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</si>
  <si>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</si>
  <si>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</si>
  <si>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</si>
  <si>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</si>
  <si>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</si>
  <si>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</si>
  <si>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</si>
  <si>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</si>
  <si>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</si>
  <si>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</si>
  <si>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</si>
  <si>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</si>
  <si>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</si>
  <si>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</si>
  <si>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</si>
  <si>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</si>
  <si>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</si>
  <si>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</si>
  <si>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</si>
  <si>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</si>
  <si>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</si>
  <si>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</si>
  <si>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</si>
  <si>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</si>
  <si>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</si>
  <si>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</si>
  <si>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</si>
  <si>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</si>
  <si>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</si>
  <si>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</si>
  <si>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</si>
  <si>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</si>
  <si>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</si>
  <si>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</si>
  <si>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</si>
  <si>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</si>
  <si>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</si>
  <si>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</si>
  <si>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</si>
  <si>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</si>
  <si>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</si>
  <si>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</si>
  <si>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</si>
  <si>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</si>
  <si>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</si>
  <si>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</si>
  <si>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</si>
  <si>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</si>
  <si>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</si>
  <si>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</si>
  <si>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</si>
  <si>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</si>
  <si>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</si>
  <si>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</si>
  <si>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</si>
  <si>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</si>
  <si>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</si>
  <si>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</si>
  <si>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</si>
  <si>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</si>
  <si>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</si>
  <si>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</si>
  <si>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</si>
  <si>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</si>
  <si>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</si>
  <si>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</si>
  <si>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</si>
  <si>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</si>
  <si>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</si>
  <si>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</si>
  <si>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</si>
  <si>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</si>
  <si>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</si>
  <si>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</si>
  <si>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</si>
  <si>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</si>
  <si>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</si>
  <si>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</si>
  <si>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</si>
  <si>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</si>
  <si>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</si>
  <si>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</si>
  <si>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</si>
  <si>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</si>
  <si>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</si>
  <si>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</si>
  <si>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</si>
  <si>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</si>
  <si>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</si>
  <si>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</si>
  <si>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</si>
  <si>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</si>
  <si>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</si>
  <si>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</si>
  <si>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</si>
  <si>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</si>
  <si>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</si>
  <si>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</si>
  <si>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</si>
  <si>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</si>
  <si>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</si>
  <si>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</si>
  <si>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</si>
  <si>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</si>
  <si>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</si>
  <si>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</si>
  <si>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</si>
  <si>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</si>
  <si>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</si>
  <si>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</si>
  <si>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</si>
  <si>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</si>
  <si>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</si>
  <si>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</si>
  <si>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</si>
  <si>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</si>
  <si>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</si>
  <si>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</si>
  <si>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</si>
  <si>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</si>
  <si>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</si>
  <si>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</si>
  <si>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</si>
  <si>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</si>
  <si>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</si>
  <si>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</si>
  <si>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</si>
  <si>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</si>
  <si>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</si>
  <si>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</si>
  <si>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</si>
  <si>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</si>
  <si>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</si>
  <si>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</si>
  <si>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</si>
  <si>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</si>
  <si>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</si>
  <si>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</si>
  <si>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</si>
  <si>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</si>
  <si>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</si>
  <si>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</si>
  <si>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</si>
  <si>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</si>
  <si>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</si>
  <si>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</si>
  <si>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</si>
  <si>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</si>
  <si>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</si>
  <si>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</si>
  <si>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</si>
  <si>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</si>
  <si>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</si>
  <si>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</si>
  <si>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</si>
  <si>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</si>
  <si>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</si>
  <si>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</si>
  <si>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</si>
  <si>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</si>
  <si>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</si>
  <si>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</si>
  <si>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</si>
  <si>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</si>
  <si>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</si>
  <si>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</si>
  <si>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</si>
  <si>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</si>
  <si>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</si>
  <si>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</si>
  <si>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</si>
  <si>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</si>
  <si>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</si>
  <si>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</si>
  <si>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</si>
  <si>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</si>
  <si>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</si>
  <si>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</si>
  <si>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</si>
  <si>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</si>
  <si>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</si>
  <si>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</si>
  <si>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</si>
  <si>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</si>
  <si>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</si>
  <si>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</si>
  <si>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</si>
  <si>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</si>
  <si>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</si>
  <si>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</si>
  <si>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</si>
  <si>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</si>
  <si>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</si>
  <si>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</si>
  <si>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</si>
  <si>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</si>
  <si>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</si>
  <si>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</si>
  <si>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</si>
  <si>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</si>
  <si>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</si>
  <si>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</si>
  <si>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</si>
  <si>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</si>
  <si>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</si>
  <si>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</si>
  <si>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</si>
  <si>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</si>
  <si>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</si>
  <si>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</si>
  <si>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</si>
  <si>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</si>
  <si>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</si>
  <si>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</si>
  <si>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</si>
  <si>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</si>
  <si>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</si>
  <si>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</si>
  <si>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</si>
  <si>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</si>
  <si>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</si>
  <si>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</si>
  <si>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</si>
  <si>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</si>
  <si>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</si>
  <si>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</si>
  <si>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</si>
  <si>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</si>
  <si>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</si>
  <si>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</si>
  <si>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</si>
  <si>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</si>
  <si>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</si>
  <si>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</si>
  <si>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</si>
  <si>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</si>
  <si>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</si>
  <si>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</si>
  <si>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</si>
  <si>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</si>
  <si>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</si>
  <si>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</si>
  <si>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</si>
  <si>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</si>
  <si>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</si>
  <si>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</si>
  <si>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</si>
  <si>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</si>
  <si>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</si>
  <si>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</si>
  <si>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</si>
  <si>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</si>
  <si>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</si>
  <si>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</si>
  <si>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</si>
  <si>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</si>
  <si>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</si>
  <si>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</si>
  <si>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</si>
  <si>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</si>
  <si>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</si>
  <si>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</si>
  <si>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</si>
  <si>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</si>
  <si>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</si>
  <si>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</si>
  <si>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</si>
  <si>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</si>
  <si>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</si>
  <si>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</si>
  <si>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</si>
  <si>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</si>
  <si>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</si>
  <si>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</si>
  <si>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</si>
  <si>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</si>
  <si>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</si>
  <si>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</si>
  <si>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</si>
  <si>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</si>
  <si>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</si>
  <si>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</si>
  <si>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</si>
  <si>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</si>
  <si>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</si>
  <si>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</si>
  <si>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</si>
  <si>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</si>
  <si>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</si>
  <si>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</si>
  <si>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</si>
  <si>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</si>
  <si>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</si>
  <si>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</si>
  <si>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</si>
  <si>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</si>
  <si>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</si>
  <si>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</si>
  <si>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</si>
  <si>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</si>
  <si>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</si>
  <si>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</si>
  <si>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</si>
  <si>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</si>
  <si>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</si>
  <si>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</si>
  <si>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</si>
  <si>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</si>
  <si>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</si>
  <si>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</si>
  <si>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</si>
  <si>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</si>
  <si>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</si>
  <si>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</si>
  <si>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</si>
  <si>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</si>
  <si>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</si>
  <si>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</si>
  <si>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</si>
  <si>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</si>
  <si>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</si>
  <si>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</si>
  <si>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</si>
  <si>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</si>
  <si>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</si>
  <si>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</si>
  <si>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</si>
  <si>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</si>
  <si>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</si>
  <si>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</si>
  <si>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</si>
  <si>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</si>
  <si>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</si>
  <si>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</si>
  <si>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</si>
  <si>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</si>
  <si>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</si>
  <si>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</si>
  <si>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</si>
  <si>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</si>
  <si>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</si>
  <si>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</si>
  <si>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</si>
  <si>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</si>
  <si>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</si>
  <si>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</si>
  <si>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</si>
  <si>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</si>
  <si>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</si>
  <si>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</si>
  <si>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</si>
  <si>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</si>
  <si>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</si>
  <si>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</si>
  <si>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</si>
  <si>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</si>
  <si>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</si>
  <si>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</si>
  <si>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</si>
  <si>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</si>
  <si>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</si>
  <si>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</si>
  <si>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</si>
  <si>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</si>
  <si>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</si>
  <si>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</si>
  <si>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</si>
  <si>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</si>
  <si>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</si>
  <si>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</si>
  <si>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</si>
  <si>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</si>
  <si>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</si>
  <si>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</si>
  <si>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</si>
  <si>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</si>
  <si>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</si>
  <si>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</si>
  <si>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</si>
  <si>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</si>
  <si>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</si>
  <si>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</si>
  <si>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</si>
  <si>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</si>
  <si>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</si>
  <si>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</si>
  <si>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</si>
  <si>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</si>
  <si>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</si>
  <si>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</si>
  <si>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</si>
  <si>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</si>
  <si>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</si>
  <si>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</si>
  <si>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</si>
  <si>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</si>
  <si>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</si>
  <si>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</si>
  <si>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</si>
  <si>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</si>
  <si>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</si>
  <si>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</si>
  <si>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</si>
  <si>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</si>
  <si>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</si>
  <si>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</si>
  <si>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</si>
  <si>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</si>
  <si>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</si>
  <si>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</si>
  <si>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</si>
  <si>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</si>
  <si>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</si>
  <si>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</si>
  <si>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</si>
  <si>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</si>
  <si>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</si>
  <si>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</si>
  <si>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</si>
  <si>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</si>
  <si>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</si>
  <si>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</si>
  <si>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</si>
  <si>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</si>
  <si>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</si>
  <si>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</si>
  <si>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</si>
  <si>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</si>
  <si>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</si>
  <si>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</si>
  <si>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</si>
  <si>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</si>
  <si>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</si>
  <si>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</si>
  <si>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</si>
  <si>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</si>
  <si>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</si>
  <si>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</si>
  <si>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</si>
  <si>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</si>
  <si>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</si>
  <si>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</si>
  <si>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</si>
  <si>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</si>
  <si>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</si>
  <si>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</si>
  <si>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</si>
  <si>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</si>
  <si>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</si>
  <si>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</si>
  <si>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</si>
  <si>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</si>
  <si>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</si>
  <si>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</si>
  <si>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</si>
  <si>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</si>
  <si>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</si>
  <si>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</si>
  <si>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</si>
  <si>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</si>
  <si>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</si>
  <si>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</si>
  <si>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</si>
  <si>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</si>
  <si>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</si>
  <si>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</si>
  <si>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</si>
  <si>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</si>
  <si>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</si>
  <si>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</si>
  <si>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</si>
  <si>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</si>
  <si>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</si>
  <si>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</si>
  <si>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</si>
  <si>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</si>
  <si>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</si>
  <si>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</si>
  <si>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</si>
  <si>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</si>
  <si>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</si>
  <si>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</si>
  <si>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</si>
  <si>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</si>
  <si>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</si>
  <si>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</si>
  <si>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</si>
  <si>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</si>
  <si>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</si>
  <si>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</si>
  <si>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</si>
  <si>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</si>
  <si>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</si>
  <si>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</si>
  <si>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</si>
  <si>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</si>
  <si>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</si>
  <si>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</si>
  <si>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</si>
  <si>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</si>
  <si>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</si>
  <si>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</si>
  <si>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</si>
  <si>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</si>
  <si>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</si>
  <si>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</si>
  <si>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</si>
  <si>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</si>
  <si>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</si>
  <si>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</si>
  <si>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</si>
  <si>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</si>
  <si>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</si>
  <si>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</si>
  <si>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</si>
  <si>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</si>
  <si>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</si>
  <si>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</si>
  <si>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</si>
  <si>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</si>
  <si>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</si>
  <si>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</si>
  <si>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</si>
  <si>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</si>
  <si>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</si>
  <si>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</si>
  <si>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</si>
  <si>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</si>
  <si>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</si>
  <si>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</si>
  <si>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</si>
  <si>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</si>
  <si>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</si>
  <si>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</si>
  <si>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</si>
  <si>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</si>
  <si>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</si>
  <si>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</si>
  <si>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</si>
  <si>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</si>
  <si>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</si>
  <si>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</si>
  <si>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</si>
  <si>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</si>
  <si>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</si>
  <si>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</si>
  <si>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</si>
  <si>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</si>
  <si>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</si>
  <si>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</si>
  <si>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</si>
  <si>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</si>
  <si>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</si>
  <si>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</si>
  <si>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</si>
  <si>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</si>
  <si>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</si>
  <si>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</si>
  <si>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</si>
  <si>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</si>
  <si>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</si>
  <si>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</si>
  <si>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</si>
  <si>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</si>
  <si>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</si>
  <si>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</si>
  <si>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</si>
  <si>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</si>
  <si>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</si>
  <si>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</si>
  <si>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</si>
  <si>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</si>
  <si>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</si>
  <si>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</si>
  <si>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</si>
  <si>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</si>
  <si>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</si>
  <si>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</si>
  <si>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</si>
  <si>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</si>
  <si>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</si>
  <si>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</si>
  <si>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</si>
  <si>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</si>
  <si>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</si>
  <si>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</si>
  <si>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</si>
  <si>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</si>
  <si>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</si>
  <si>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</si>
  <si>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</si>
  <si>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</si>
  <si>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</si>
  <si>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</si>
  <si>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</si>
  <si>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</si>
  <si>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</si>
  <si>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</si>
  <si>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</si>
  <si>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</si>
  <si>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</si>
  <si>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</si>
  <si>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</si>
  <si>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</si>
  <si>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</si>
  <si>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</si>
  <si>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</si>
  <si>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</si>
  <si>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</si>
  <si>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</si>
  <si>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</si>
  <si>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</si>
  <si>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</si>
  <si>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</si>
  <si>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</si>
  <si>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</si>
  <si>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</si>
  <si>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</si>
  <si>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</si>
  <si>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</si>
  <si>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</si>
  <si>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</si>
  <si>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</si>
  <si>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</si>
  <si>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</si>
  <si>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</si>
  <si>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</si>
  <si>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</si>
  <si>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</si>
  <si>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</si>
  <si>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</si>
  <si>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</si>
  <si>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</si>
  <si>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</si>
  <si>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</si>
  <si>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</si>
  <si>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</si>
  <si>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</si>
  <si>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</si>
  <si>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</si>
  <si>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</si>
  <si>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</si>
  <si>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</si>
  <si>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</si>
  <si>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</si>
  <si>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</si>
  <si>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</si>
  <si>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</si>
  <si>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</si>
  <si>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</si>
  <si>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</si>
  <si>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</si>
  <si>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</si>
  <si>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</si>
  <si>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</si>
  <si>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</si>
  <si>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</si>
  <si>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</si>
  <si>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</si>
  <si>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</si>
  <si>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</si>
  <si>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</si>
  <si>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</si>
  <si>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</si>
  <si>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</si>
  <si>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</si>
  <si>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</si>
  <si>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</si>
  <si>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</si>
  <si>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</si>
  <si>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</si>
  <si>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</si>
  <si>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</si>
  <si>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</si>
  <si>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</si>
  <si>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</si>
  <si>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</si>
  <si>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</si>
  <si>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</si>
  <si>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</si>
  <si>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</si>
  <si>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</si>
  <si>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</si>
  <si>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</si>
  <si>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</si>
  <si>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</si>
  <si>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</si>
  <si>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</si>
  <si>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</si>
  <si>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</si>
  <si>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</si>
  <si>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</si>
  <si>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</si>
  <si>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</si>
  <si>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</si>
  <si>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</si>
  <si>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</si>
  <si>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</si>
  <si>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</si>
  <si>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</si>
  <si>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</si>
  <si>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</si>
  <si>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</si>
  <si>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</si>
  <si>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</si>
  <si>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</si>
  <si>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</si>
  <si>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</si>
  <si>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</si>
  <si>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</si>
  <si>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</si>
  <si>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</si>
  <si>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</si>
  <si>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</si>
  <si>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</si>
  <si>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</si>
  <si>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</si>
  <si>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</si>
  <si>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</si>
  <si>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</si>
  <si>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</si>
  <si>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</si>
  <si>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</si>
  <si>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</si>
  <si>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</si>
  <si>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</si>
  <si>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</si>
  <si>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</si>
  <si>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</si>
  <si>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</si>
  <si>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</si>
  <si>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</si>
  <si>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</si>
  <si>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</si>
  <si>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</si>
  <si>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</si>
  <si>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</si>
  <si>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</si>
  <si>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</si>
  <si>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</si>
  <si>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</si>
  <si>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</si>
  <si>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</si>
  <si>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</si>
  <si>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</si>
  <si>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</si>
  <si>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</si>
  <si>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</si>
  <si>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</si>
  <si>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</si>
  <si>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</si>
  <si>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</si>
  <si>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</si>
  <si>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</si>
  <si>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</si>
  <si>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</si>
  <si>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</si>
  <si>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</si>
  <si>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</si>
  <si>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</si>
  <si>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</si>
  <si>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</si>
  <si>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</si>
  <si>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</si>
  <si>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</si>
  <si>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</si>
  <si>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</si>
  <si>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</si>
  <si>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</si>
  <si>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</si>
  <si>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</si>
  <si>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</si>
  <si>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</si>
  <si>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</si>
  <si>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</si>
  <si>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</si>
  <si>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</si>
  <si>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</si>
  <si>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</si>
  <si>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</si>
  <si>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</si>
  <si>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</si>
  <si>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</si>
  <si>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</si>
  <si>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</si>
  <si>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</si>
  <si>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</si>
  <si>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</si>
  <si>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</si>
  <si>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</si>
  <si>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</si>
  <si>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</si>
  <si>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</si>
  <si>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</si>
  <si>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</si>
  <si>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</si>
  <si>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</si>
  <si>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</si>
  <si>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</si>
  <si>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</si>
  <si>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</si>
  <si>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</si>
  <si>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</si>
  <si>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</si>
  <si>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</si>
  <si>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</si>
  <si>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</si>
  <si>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</si>
  <si>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</si>
  <si>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</si>
  <si>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</si>
  <si>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</si>
  <si>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</si>
  <si>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</si>
  <si>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</si>
  <si>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</si>
  <si>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</si>
  <si>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</si>
  <si>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</si>
  <si>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</si>
  <si>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</si>
  <si>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</si>
  <si>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</si>
  <si>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</si>
  <si>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</si>
  <si>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</si>
  <si>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</si>
  <si>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</si>
  <si>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</si>
  <si>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</si>
  <si>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</si>
  <si>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</si>
  <si>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</si>
  <si>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</si>
  <si>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</si>
  <si>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</si>
  <si>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</si>
  <si>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</si>
  <si>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</si>
  <si>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</si>
  <si>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</si>
  <si>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</si>
  <si>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</si>
  <si>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</si>
  <si>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</si>
  <si>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</si>
  <si>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</si>
  <si>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</si>
  <si>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</si>
  <si>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</si>
  <si>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</si>
  <si>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</si>
  <si>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</si>
  <si>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</si>
  <si>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</si>
  <si>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</si>
  <si>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</si>
  <si>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</si>
  <si>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</si>
  <si>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</si>
  <si>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</si>
  <si>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</si>
  <si>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</si>
  <si>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</si>
  <si>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</si>
  <si>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</si>
  <si>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</si>
  <si>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</si>
  <si>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</si>
  <si>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</si>
  <si>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</si>
  <si>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</si>
  <si>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</si>
  <si>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</si>
  <si>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</si>
  <si>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</si>
  <si>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</si>
  <si>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</si>
  <si>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</si>
  <si>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</si>
  <si>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</si>
  <si>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</si>
  <si>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</si>
  <si>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</si>
  <si>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</si>
  <si>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</si>
  <si>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</si>
  <si>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</si>
  <si>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</si>
  <si>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</si>
  <si>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</si>
  <si>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</si>
  <si>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</si>
  <si>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</si>
  <si>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</si>
  <si>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</si>
  <si>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</si>
  <si>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</si>
  <si>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</si>
  <si>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</si>
  <si>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</si>
  <si>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</si>
  <si>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</si>
  <si>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</si>
  <si>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</si>
  <si>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</si>
  <si>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</si>
  <si>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</si>
  <si>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</si>
  <si>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</si>
  <si>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</si>
  <si>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</si>
  <si>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</si>
  <si>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</si>
  <si>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</si>
  <si>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</si>
  <si>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</si>
  <si>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</si>
  <si>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</si>
  <si>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</si>
  <si>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</si>
  <si>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</si>
  <si>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</si>
  <si>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</si>
  <si>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</si>
  <si>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</si>
  <si>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</si>
  <si>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</si>
  <si>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</si>
  <si>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</si>
  <si>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</si>
  <si>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</si>
  <si>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</si>
  <si>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</si>
  <si>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</si>
  <si>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</si>
  <si>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</si>
  <si>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</si>
  <si>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</si>
  <si>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</si>
  <si>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</si>
  <si>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</si>
  <si>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</si>
  <si>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</si>
  <si>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</si>
  <si>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</si>
  <si>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</si>
  <si>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</si>
  <si>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</si>
  <si>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</si>
  <si>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</si>
  <si>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</si>
  <si>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</si>
  <si>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</si>
  <si>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</si>
  <si>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</si>
  <si>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</si>
  <si>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</si>
  <si>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</si>
  <si>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</si>
  <si>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</si>
  <si>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</si>
  <si>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</si>
  <si>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</si>
  <si>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</si>
  <si>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</si>
  <si>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</si>
  <si>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</si>
  <si>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</si>
  <si>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</si>
  <si>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</si>
  <si>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</si>
  <si>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</si>
  <si>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</si>
  <si>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</si>
  <si>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</si>
  <si>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</si>
  <si>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</si>
  <si>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</si>
  <si>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</si>
  <si>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</si>
  <si>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</si>
  <si>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</si>
  <si>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</si>
  <si>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</si>
  <si>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</si>
  <si>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</si>
  <si>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</si>
  <si>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</si>
  <si>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</si>
  <si>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</si>
  <si>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</si>
  <si>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</si>
  <si>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</si>
  <si>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</si>
  <si>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</si>
  <si>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</si>
  <si>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</si>
  <si>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</si>
  <si>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</si>
  <si>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</si>
  <si>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</si>
  <si>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</si>
  <si>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</si>
  <si>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</si>
  <si>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</si>
  <si>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</si>
  <si>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</si>
  <si>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</si>
  <si>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</si>
  <si>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</si>
  <si>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</si>
  <si>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</si>
  <si>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</si>
  <si>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</si>
  <si>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</si>
  <si>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</si>
  <si>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</si>
  <si>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</si>
  <si>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</si>
  <si>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</si>
  <si>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</si>
  <si>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</si>
  <si>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</si>
  <si>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</si>
  <si>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</si>
  <si>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</si>
  <si>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</si>
  <si>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</si>
  <si>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</si>
  <si>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</si>
  <si>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</si>
  <si>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</si>
  <si>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</si>
  <si>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</si>
  <si>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</si>
  <si>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</si>
  <si>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</si>
  <si>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</si>
  <si>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</si>
  <si>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</si>
  <si>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</si>
  <si>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</si>
  <si>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</si>
  <si>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</si>
  <si>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</si>
  <si>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</si>
  <si>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</si>
  <si>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</si>
  <si>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</si>
  <si>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</si>
  <si>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</si>
  <si>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</si>
  <si>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</si>
  <si>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</si>
  <si>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</si>
  <si>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</si>
  <si>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</si>
  <si>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</si>
  <si>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</si>
  <si>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</si>
  <si>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</si>
  <si>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</si>
  <si>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</si>
  <si>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</si>
  <si>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</si>
  <si>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</si>
  <si>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</si>
  <si>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</si>
  <si>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</si>
  <si>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</si>
  <si>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</si>
  <si>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</si>
  <si>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</si>
  <si>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</si>
  <si>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</si>
  <si>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</si>
  <si>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</si>
  <si>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</si>
  <si>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</si>
  <si>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</si>
  <si>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</si>
  <si>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</si>
  <si>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</si>
  <si>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</si>
  <si>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</si>
  <si>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</si>
  <si>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</si>
  <si>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</si>
  <si>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</si>
  <si>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</si>
  <si>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</si>
  <si>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</si>
  <si>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</si>
  <si>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</si>
  <si>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</si>
  <si>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</si>
  <si>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</si>
  <si>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</si>
  <si>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</si>
  <si>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</si>
  <si>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</si>
  <si>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</si>
  <si>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</si>
  <si>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</si>
  <si>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</si>
  <si>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</si>
  <si>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</si>
  <si>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</si>
  <si>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</si>
  <si>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</si>
  <si>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</si>
  <si>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</si>
  <si>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</si>
  <si>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</si>
  <si>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</si>
  <si>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</si>
  <si>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</si>
  <si>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</si>
  <si>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</si>
  <si>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</si>
  <si>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</si>
  <si>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</si>
  <si>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</si>
  <si>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</si>
  <si>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</si>
  <si>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</si>
  <si>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</si>
  <si>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</si>
  <si>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</si>
  <si>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</si>
  <si>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</si>
  <si>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</si>
  <si>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</si>
  <si>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</si>
  <si>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</si>
  <si>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</si>
  <si>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</si>
  <si>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</si>
  <si>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</si>
  <si>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</si>
  <si>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</si>
  <si>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</si>
  <si>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</si>
  <si>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</si>
  <si>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</si>
  <si>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</si>
  <si>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</si>
  <si>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</si>
  <si>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</si>
  <si>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</si>
  <si>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</si>
  <si>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</si>
  <si>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</si>
  <si>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</si>
  <si>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</si>
  <si>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</si>
  <si>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</si>
  <si>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</si>
  <si>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</si>
  <si>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</si>
  <si>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</si>
  <si>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</si>
  <si>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</si>
  <si>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</si>
  <si>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</si>
  <si>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</si>
  <si>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</si>
  <si>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</si>
  <si>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</si>
  <si>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</si>
  <si>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</si>
  <si>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</si>
  <si>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</si>
  <si>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</si>
  <si>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</si>
  <si>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</si>
  <si>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</si>
  <si>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</si>
  <si>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</si>
  <si>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</si>
  <si>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</si>
  <si>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</si>
  <si>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</si>
  <si>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</si>
  <si>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</si>
  <si>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</si>
  <si>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</si>
  <si>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</si>
  <si>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</si>
  <si>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</si>
  <si>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</si>
  <si>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</si>
  <si>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</si>
  <si>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</si>
  <si>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</si>
  <si>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</si>
  <si>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</si>
  <si>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</si>
  <si>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</si>
  <si>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</si>
  <si>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</si>
  <si>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</si>
  <si>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</si>
  <si>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</si>
  <si>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</si>
  <si>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</si>
  <si>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</si>
  <si>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</si>
  <si>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</si>
  <si>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</si>
  <si>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</si>
  <si>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</si>
  <si>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</si>
  <si>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</si>
  <si>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</si>
  <si>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</si>
  <si>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</si>
  <si>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</si>
  <si>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</si>
  <si>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</si>
  <si>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</si>
  <si>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</si>
  <si>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</si>
  <si>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</si>
  <si>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</si>
  <si>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</si>
  <si>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</si>
  <si>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</si>
  <si>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</si>
  <si>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</si>
  <si>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</si>
  <si>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</si>
  <si>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</si>
  <si>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</si>
  <si>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</si>
  <si>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</si>
  <si>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</si>
  <si>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</si>
  <si>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</si>
  <si>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</si>
  <si>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</si>
  <si>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</si>
  <si>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</si>
  <si>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</si>
  <si>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</si>
  <si>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</si>
  <si>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</si>
  <si>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</si>
  <si>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</si>
  <si>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</si>
  <si>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</si>
  <si>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</si>
  <si>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</si>
  <si>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</si>
  <si>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</si>
  <si>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</si>
  <si>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</si>
  <si>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</si>
  <si>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</si>
  <si>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</si>
  <si>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</si>
  <si>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</si>
  <si>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</si>
  <si>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</si>
  <si>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</si>
  <si>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</si>
  <si>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</si>
  <si>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</si>
  <si>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</si>
  <si>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</si>
  <si>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</si>
  <si>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</si>
  <si>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</si>
  <si>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</si>
  <si>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</si>
  <si>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</si>
  <si>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</si>
  <si>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</si>
  <si>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</si>
  <si>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</si>
  <si>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</si>
  <si>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</si>
  <si>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</si>
  <si>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</si>
  <si>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</si>
  <si>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</si>
  <si>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</si>
  <si>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</si>
  <si>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</si>
  <si>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</si>
  <si>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</si>
  <si>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</si>
  <si>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</si>
  <si>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</si>
  <si>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</si>
  <si>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</si>
  <si>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</si>
  <si>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</si>
  <si>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</si>
  <si>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</si>
  <si>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</si>
  <si>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</si>
  <si>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</si>
  <si>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</si>
  <si>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</si>
  <si>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</si>
  <si>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</si>
  <si>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</si>
  <si>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</si>
  <si>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</si>
  <si>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</si>
  <si>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</si>
  <si>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</si>
  <si>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</si>
  <si>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</si>
  <si>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</si>
  <si>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</si>
  <si>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</si>
  <si>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</si>
  <si>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</si>
  <si>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</si>
  <si>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</si>
  <si>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</si>
  <si>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</si>
  <si>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</si>
  <si>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</si>
  <si>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</si>
  <si>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</si>
  <si>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</si>
  <si>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</si>
  <si>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</si>
  <si>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</si>
  <si>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</si>
  <si>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</si>
  <si>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</si>
  <si>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</si>
  <si>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</si>
  <si>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</si>
  <si>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</si>
  <si>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</si>
  <si>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</si>
  <si>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</si>
  <si>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</si>
  <si>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</si>
  <si>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</si>
  <si>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</si>
  <si>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</si>
  <si>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</si>
  <si>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</si>
  <si>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</si>
  <si>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</si>
  <si>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</si>
  <si>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</si>
  <si>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</si>
  <si>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</si>
  <si>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</si>
  <si>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</si>
  <si>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</si>
  <si>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</si>
  <si>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</si>
  <si>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</si>
  <si>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</si>
  <si>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</si>
  <si>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</si>
  <si>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</si>
  <si>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</si>
  <si>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</si>
  <si>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</si>
  <si>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</si>
  <si>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</si>
  <si>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</si>
  <si>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</si>
  <si>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</si>
  <si>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</si>
  <si>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</si>
  <si>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</si>
  <si>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</si>
  <si>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</si>
  <si>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</si>
  <si>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</si>
  <si>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</si>
  <si>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</si>
  <si>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</si>
  <si>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</si>
  <si>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</si>
  <si>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</si>
  <si>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</si>
  <si>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</si>
  <si>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</si>
  <si>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</si>
  <si>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</si>
  <si>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</si>
  <si>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</si>
  <si>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</si>
  <si>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</si>
  <si>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</si>
  <si>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</si>
  <si>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</si>
  <si>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</si>
  <si>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</si>
  <si>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</si>
  <si>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</si>
  <si>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</si>
  <si>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</si>
  <si>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</si>
  <si>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</si>
  <si>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</si>
  <si>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</si>
  <si>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</si>
  <si>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</si>
  <si>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</si>
  <si>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</si>
  <si>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</si>
  <si>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</si>
  <si>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</si>
  <si>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</si>
  <si>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</si>
  <si>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</si>
  <si>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</si>
  <si>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</si>
  <si>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</si>
  <si>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</si>
  <si>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</si>
  <si>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</si>
  <si>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</si>
  <si>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</si>
  <si>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</si>
  <si>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</si>
  <si>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</si>
  <si>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</si>
  <si>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</si>
  <si>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</si>
  <si>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</si>
  <si>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</si>
  <si>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</si>
  <si>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</si>
  <si>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</si>
  <si>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</si>
  <si>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</si>
  <si>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</si>
  <si>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</si>
  <si>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</si>
  <si>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</si>
  <si>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</si>
  <si>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</si>
  <si>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</si>
  <si>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</si>
  <si>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</si>
  <si>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</si>
  <si>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</si>
  <si>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</si>
  <si>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</si>
  <si>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</si>
  <si>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</si>
  <si>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</si>
  <si>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</si>
  <si>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</si>
  <si>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</si>
  <si>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</si>
  <si>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</si>
  <si>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</si>
  <si>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</si>
  <si>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</si>
  <si>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</si>
  <si>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</si>
  <si>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</si>
  <si>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</si>
  <si>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</si>
  <si>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</si>
  <si>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</si>
  <si>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</si>
  <si>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</si>
  <si>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</si>
  <si>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</si>
  <si>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</si>
  <si>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</si>
  <si>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</si>
  <si>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</si>
  <si>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</si>
  <si>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</si>
  <si>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</si>
  <si>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</si>
  <si>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</si>
  <si>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</si>
  <si>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</si>
  <si>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</si>
  <si>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</si>
  <si>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</si>
  <si>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</si>
  <si>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</si>
  <si>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</si>
  <si>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</si>
  <si>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</si>
  <si>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</si>
  <si>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</si>
  <si>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</si>
  <si>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</si>
  <si>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</si>
  <si>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</si>
  <si>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</si>
  <si>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</si>
  <si>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</si>
  <si>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</si>
  <si>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</si>
  <si>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</si>
  <si>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</si>
  <si>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</si>
  <si>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</si>
  <si>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</si>
  <si>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</si>
  <si>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</si>
  <si>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</si>
  <si>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</si>
  <si>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</si>
  <si>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</si>
  <si>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</si>
  <si>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</si>
  <si>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</si>
  <si>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</si>
  <si>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</si>
  <si>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</si>
  <si>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</si>
  <si>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</si>
  <si>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</si>
  <si>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</si>
  <si>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</si>
  <si>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</si>
  <si>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</si>
  <si>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</si>
  <si>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</si>
  <si>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</si>
  <si>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</si>
  <si>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</si>
  <si>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</si>
  <si>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</si>
  <si>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</si>
  <si>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</si>
  <si>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</si>
  <si>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</si>
  <si>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</si>
  <si>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</si>
  <si>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</si>
  <si>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</si>
  <si>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</si>
  <si>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</si>
  <si>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</si>
  <si>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</si>
  <si>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</si>
  <si>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</si>
  <si>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</si>
  <si>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</si>
  <si>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</si>
  <si>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</si>
  <si>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</si>
  <si>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</si>
  <si>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</si>
  <si>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</si>
  <si>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</si>
  <si>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</si>
  <si>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</si>
  <si>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</si>
  <si>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</si>
  <si>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</si>
  <si>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</si>
  <si>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</si>
  <si>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</si>
  <si>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</si>
  <si>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</si>
  <si>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</si>
  <si>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</si>
  <si>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</si>
  <si>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</si>
  <si>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</si>
  <si>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</si>
  <si>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</si>
  <si>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</si>
  <si>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</si>
  <si>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</si>
  <si>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</si>
  <si>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</si>
  <si>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</si>
  <si>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</si>
  <si>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</si>
  <si>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</si>
  <si>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</si>
  <si>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</si>
  <si>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</si>
  <si>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</si>
  <si>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</si>
  <si>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</si>
  <si>
    <t>94dd49ec46fbb5c3</t>
  </si>
  <si>
    <t>19_10_2026_DR_Noct.gpx</t>
  </si>
  <si>
    <t>94dd49ec46fbb5c3b3819020e15be24041fa3f8a3b45868baf3f55035d07ac99</t>
  </si>
  <si>
    <t>19/10/2026 18:13:05</t>
  </si>
  <si>
    <t>19/10/2026 23:57:32</t>
  </si>
  <si>
    <t>6.259172, -75.600714</t>
  </si>
  <si>
    <t>6.247829, -75.615062</t>
  </si>
  <si>
    <t>f15385f877711fc4</t>
  </si>
  <si>
    <t>19_10_2026_DV_Noct.gpx</t>
  </si>
  <si>
    <t>f15385f877711fc4244872e44d807b3e46d2e940dba3239989670c83942f8d74</t>
  </si>
  <si>
    <t>19/10/2026 16:42:35</t>
  </si>
  <si>
    <t>20/10/2026 00:24:01</t>
  </si>
  <si>
    <t>Inicio GPS anterior al horario: 01:17:25 antes de las 18:00.; Fin GPS posterior: 00:24:01 después de las 00:00.; 1 permanencia(s) GPS detectada(s); requiere contexto.</t>
  </si>
  <si>
    <t>6.227892, -75.599327</t>
  </si>
  <si>
    <t>6.272698, -75.602052</t>
  </si>
  <si>
    <t>c93969b3eb2ce2fc</t>
  </si>
  <si>
    <t>19_10_2026_IQ_Noct.gpx</t>
  </si>
  <si>
    <t>c93969b3eb2ce2fc8cba6461776bf38728d936fbfaa9df12966046888982c98a</t>
  </si>
  <si>
    <t>19/10/2026 17:10:14</t>
  </si>
  <si>
    <t>19/10/2026 23:47:14</t>
  </si>
  <si>
    <t>Inicio GPS anterior al horario: 00:49:46 antes de las 18:00.; Fin GPS dentro de la tolerancia del horario programado.; 6 hueco(s) GPS &gt;= 10 min.</t>
  </si>
  <si>
    <t>6.228041, -75.596376</t>
  </si>
  <si>
    <t>6.272547, -75.540334</t>
  </si>
  <si>
    <t>d98aea1761399aac</t>
  </si>
  <si>
    <t>19_10_2026_JA_Noct.gpx</t>
  </si>
  <si>
    <t>d98aea1761399aace84d9ff09ac83c7056ebe96b4081003b66ee016b94129fb5</t>
  </si>
  <si>
    <t>19/10/2026 16:34:59</t>
  </si>
  <si>
    <t>19/10/2026 22:15:50</t>
  </si>
  <si>
    <t>Inicio GPS anterior al horario: 01:25:01 antes de las 18:00.; Fin GPS anticipado: 01:44:10 antes de las 00:00.; 1 hueco(s) GPS &gt;= 10 min.</t>
  </si>
  <si>
    <t>6.225938, -75.599412</t>
  </si>
  <si>
    <t>6.236962, -75.558886</t>
  </si>
  <si>
    <t>22bcbddd91965fc2</t>
  </si>
  <si>
    <t>19_10_2026_JO_Noct.gpx</t>
  </si>
  <si>
    <t>22bcbddd91965fc2669666fa8c990b466418ab992288e22493bfcf5a3c299e1c</t>
  </si>
  <si>
    <t>19/10/2026 16:59:11</t>
  </si>
  <si>
    <t>19/10/2026 23:52:40</t>
  </si>
  <si>
    <t>Inicio GPS anterior al horario: 01:00:49 antes de las 18:00.; Fin GPS dentro de la tolerancia del horario programado.; 13 hueco(s) GPS &gt;= 10 min.</t>
  </si>
  <si>
    <t>6.225730, -75.599359</t>
  </si>
  <si>
    <t>6.259324, -75.620675</t>
  </si>
  <si>
    <t>41cb733f7bfec6ab</t>
  </si>
  <si>
    <t>19_10_2026_JP_Noct.gpx</t>
  </si>
  <si>
    <t>41cb733f7bfec6ab745d7c97848ffbdc11d20b2736d6462960e2c5841bfe3c69</t>
  </si>
  <si>
    <t>19/10/2026 16:54:43</t>
  </si>
  <si>
    <t>20/10/2026 00:00:32</t>
  </si>
  <si>
    <t>Inicio GPS anterior al horario: 01:05:17 antes de las 18:00.; Fin GPS dentro de la tolerancia del horario programado.; 1 permanencia(s) GPS detectada(s); requiere contexto.</t>
  </si>
  <si>
    <t>6.225638, -75.599412</t>
  </si>
  <si>
    <t>6.251882, -75.551742</t>
  </si>
  <si>
    <t>619080a2d6cd6bc4</t>
  </si>
  <si>
    <t>19_10_2026_LA_Noct.gpx</t>
  </si>
  <si>
    <t>619080a2d6cd6bc470a919bac9bd6136c2446550ac402d435e16e46a9d03353d</t>
  </si>
  <si>
    <t>19/10/2026 17:08:54</t>
  </si>
  <si>
    <t>20/10/2026 00:04:28</t>
  </si>
  <si>
    <t>Inicio GPS anterior al horario: 00:51:05 antes de las 18:00.; Fin GPS dentro de la tolerancia del horario programado.; 4 hueco(s) GPS &gt;= 10 min.</t>
  </si>
  <si>
    <t>6.225610, -75.599925</t>
  </si>
  <si>
    <t>6.268615, -75.599490</t>
  </si>
  <si>
    <t>74da49ed217785c0</t>
  </si>
  <si>
    <t>19_10_2026_SJ_Noct.gpx</t>
  </si>
  <si>
    <t>74da49ed217785c013f7644b1b71bec3581e6ffc8e50ea470766bc794ff8bb36</t>
  </si>
  <si>
    <t>19/10/2026 18:25:25</t>
  </si>
  <si>
    <t>19/10/2026 23:09:42</t>
  </si>
  <si>
    <t>Inicio GPS tardío: 00:25:25 después de las 18:00.; Fin GPS anticipado: 00:50:18 antes de las 00:00.; 1 hueco(s) GPS &gt;= 10 min.</t>
  </si>
  <si>
    <t>6.222809, -75.598542</t>
  </si>
  <si>
    <t>6.305238, -75.577175</t>
  </si>
  <si>
    <t>1633ed32c2015c26</t>
  </si>
  <si>
    <t>19_10_2026_YL_Noct.gpx</t>
  </si>
  <si>
    <t>1633ed32c2015c267691176aca62a36315b860e859163992d42f95147e771b9b</t>
  </si>
  <si>
    <t>19/10/2026 18:30:18</t>
  </si>
  <si>
    <t>20/10/2026 00:01:27</t>
  </si>
  <si>
    <t>Inicio GPS tardío: 00:30:18 después de las 18:00.; Fin GPS dentro de la tolerancia del horario programado.; 1 hueco(s) GPS &gt;= 10 min.</t>
  </si>
  <si>
    <t>6.258216, -75.622232</t>
  </si>
  <si>
    <t>6.258461, -75.615835</t>
  </si>
  <si>
    <t>98478583703aad5d</t>
  </si>
  <si>
    <t>20_10_2026_AO_Diur.gpx</t>
  </si>
  <si>
    <t>98478583703aad5d6173f9bf117caeca9153eecd0356d37ae278ff0b8d3af577</t>
  </si>
  <si>
    <t>20/10/2026</t>
  </si>
  <si>
    <t>20/10/2026 07:51:03</t>
  </si>
  <si>
    <t>20/10/2026 16:27:00</t>
  </si>
  <si>
    <t>Inicio GPS anterior al horario: 00:38:57 antes de las 08:30.; Fin GPS dentro de la tolerancia del horario programado.; 3 hueco(s) GPS &gt;= 10 min.</t>
  </si>
  <si>
    <t>6.225719, -75.599437</t>
  </si>
  <si>
    <t>6.250304, -75.599764</t>
  </si>
  <si>
    <t>4c5568c0a9bb6c48</t>
  </si>
  <si>
    <t>20_10_2026_AR_Diur.gpx</t>
  </si>
  <si>
    <t>4c5568c0a9bb6c48f3d33c5b7670402d2ec0830f9cf06f35caa1cd4e527e8fb0</t>
  </si>
  <si>
    <t>15576b773796bb55</t>
  </si>
  <si>
    <t>20_10_2026_JHP_Diur.gpx</t>
  </si>
  <si>
    <t>15576b773796bb559d0a5747576c159745ac8bc6dacb8488fe82581ed6277195</t>
  </si>
  <si>
    <t>20/10/2026 07:37:52</t>
  </si>
  <si>
    <t>20/10/2026 16:27:20</t>
  </si>
  <si>
    <t>Inicio GPS anterior al horario: 00:52:08 antes de las 08:30.; Fin GPS dentro de la tolerancia del horario programado.; 1 hueco(s) GPS &gt;= 10 min.</t>
  </si>
  <si>
    <t>6.290575, -75.546309</t>
  </si>
  <si>
    <t>6.272812, -75.574382</t>
  </si>
  <si>
    <t>1b823eb540dccc7a</t>
  </si>
  <si>
    <t>20_10_2026_JZ_Diur.gpx</t>
  </si>
  <si>
    <t>1b823eb540dccc7afc8c0ae4ba9f7f8e4e3a16879c9b4b70d65222e273324a6b</t>
  </si>
  <si>
    <t>20/10/2026 08:22:19</t>
  </si>
  <si>
    <t>20/10/2026 16:37:39</t>
  </si>
  <si>
    <t>6.226664, -75.599210</t>
  </si>
  <si>
    <t>6.279660, -75.572286</t>
  </si>
  <si>
    <t>248defe511bdd3a1</t>
  </si>
  <si>
    <t>20_10_2026_DR_Noct.gpx</t>
  </si>
  <si>
    <t>248defe511bdd3a183e9adfa4f3c67d3bab23bbe6ec53e9b785dc2e0190128f5</t>
  </si>
  <si>
    <t>20/10/2026 18:05:11</t>
  </si>
  <si>
    <t>20/10/2026 21:38:00</t>
  </si>
  <si>
    <t>Inicio GPS dentro de la tolerancia del horario programado.; Fin GPS anticipado: 02:22:00 antes de las 00:00.</t>
  </si>
  <si>
    <t>6.247880, -75.615136</t>
  </si>
  <si>
    <t>6.208443, -75.591437</t>
  </si>
  <si>
    <t>6186a84439c8c69e</t>
  </si>
  <si>
    <t>20_10_2026_DV_Noct.gpx</t>
  </si>
  <si>
    <t>6186a84439c8c69e87695b3306c3a5e49fad2496c68c685d3c0e4d18aebe3629</t>
  </si>
  <si>
    <t>20/10/2026 17:05:54</t>
  </si>
  <si>
    <t>21/10/2026 00:44:59</t>
  </si>
  <si>
    <t>Inicio GPS anterior al horario: 00:54:06 antes de las 18:00.; Fin GPS posterior: 00:44:59 después de las 00:00.; 1 permanencia(s) GPS detectada(s); requiere contexto.</t>
  </si>
  <si>
    <t>6.239574, -75.576549</t>
  </si>
  <si>
    <t>6.272927, -75.601972</t>
  </si>
  <si>
    <t>1dc7d2f2b70fdd9a</t>
  </si>
  <si>
    <t>20_10_2026_IQ_Noct.gpx</t>
  </si>
  <si>
    <t>1dc7d2f2b70fdd9ac192b3f4efce97c653f2bd7a7acbd1e4ea4c123679bf72a3</t>
  </si>
  <si>
    <t>20/10/2026 16:40:35</t>
  </si>
  <si>
    <t>20/10/2026 23:44:12</t>
  </si>
  <si>
    <t>Inicio GPS anterior al horario: 01:19:25 antes de las 18:00.; Fin GPS anticipado: 00:15:48 antes de las 00:00.; 2 hueco(s) GPS &gt;= 10 min.</t>
  </si>
  <si>
    <t>6.225198, -75.599368</t>
  </si>
  <si>
    <t>6.278241, -75.538991</t>
  </si>
  <si>
    <t>9646c9a0277f38cd</t>
  </si>
  <si>
    <t>20_10_2026_JA_Noct.gpx</t>
  </si>
  <si>
    <t>9646c9a0277f38cda05b5c2cb6b50afbb272619036d65e710bb50ef9db426ece</t>
  </si>
  <si>
    <t>20/10/2026 16:38:49</t>
  </si>
  <si>
    <t>20/10/2026 22:15:29</t>
  </si>
  <si>
    <t>Inicio GPS anterior al horario: 01:21:11 antes de las 18:00.; Fin GPS anticipado: 01:44:31 antes de las 00:00.; 1 hueco(s) GPS &gt;= 10 min.</t>
  </si>
  <si>
    <t>6.225693, -75.599403</t>
  </si>
  <si>
    <t>6.236988, -75.558809</t>
  </si>
  <si>
    <t>7463b2c261c779a8</t>
  </si>
  <si>
    <t>20_10_2026_JO_Noct.gpx</t>
  </si>
  <si>
    <t>7463b2c261c779a890604e0cf64c70b53d6d7eb4266ad70f23594592286f37b0</t>
  </si>
  <si>
    <t>20/10/2026 18:09:58</t>
  </si>
  <si>
    <t>20/10/2026 23:49:19</t>
  </si>
  <si>
    <t>6.249794, -75.584761</t>
  </si>
  <si>
    <t>6.259491, -75.620589</t>
  </si>
  <si>
    <t>6d4cf9b91d3518f2</t>
  </si>
  <si>
    <t>20_10_2026_JP_Noct.gpx</t>
  </si>
  <si>
    <t>6d4cf9b91d3518f2235f7c7a23c161c17018fd1a0bdac1ffa0596eb1afdb63aa</t>
  </si>
  <si>
    <t>20/10/2026 18:35:22</t>
  </si>
  <si>
    <t>21/10/2026 00:01:47</t>
  </si>
  <si>
    <t>Inicio GPS tardío: 00:35:22 después de las 18:00.; Fin GPS dentro de la tolerancia del horario programado.; 1 permanencia(s) GPS detectada(s); requiere contexto.</t>
  </si>
  <si>
    <t>6.251730, -75.551740</t>
  </si>
  <si>
    <t>6.251750, -75.551732</t>
  </si>
  <si>
    <t>4946238f323fadef</t>
  </si>
  <si>
    <t>20_10_2026_LA_Noct.gpx</t>
  </si>
  <si>
    <t>4946238f323fadef5e5cbf466d229d2af710f4da3467c785fb950af880e0edf1</t>
  </si>
  <si>
    <t>20/10/2026 16:49:03</t>
  </si>
  <si>
    <t>21/10/2026 00:03:44</t>
  </si>
  <si>
    <t>Inicio GPS anterior al horario: 01:10:56 antes de las 18:00.; Fin GPS dentro de la tolerancia del horario programado.; 3 hueco(s) GPS &gt;= 10 min.</t>
  </si>
  <si>
    <t>6.226665, -75.599373</t>
  </si>
  <si>
    <t>6.268590, -75.599512</t>
  </si>
  <si>
    <t>8a1c26c83158132e</t>
  </si>
  <si>
    <t>20_10_2026_SJ_Noct.gpx</t>
  </si>
  <si>
    <t>8a1c26c83158132e1c7334ba2530189881a1cf0173724ffd3b7294dfce14195f</t>
  </si>
  <si>
    <t>20/10/2026 18:07:16</t>
  </si>
  <si>
    <t>20/10/2026 22:34:45</t>
  </si>
  <si>
    <t>Inicio GPS dentro de la tolerancia del horario programado.; Fin GPS anticipado: 01:25:15 antes de las 00:00.</t>
  </si>
  <si>
    <t>6.222747, -75.598646</t>
  </si>
  <si>
    <t>6.240515, -75.552285</t>
  </si>
  <si>
    <t>6f7473bcb6f540eb</t>
  </si>
  <si>
    <t>20_10_2026_YL_Noct.gpx</t>
  </si>
  <si>
    <t>6f7473bcb6f540eb20d21327f9459be15d21fa1d28472d9f86901dd5fabfe278</t>
  </si>
  <si>
    <t>20/10/2026 17:58:05</t>
  </si>
  <si>
    <t>20/10/2026 17:58:29</t>
  </si>
  <si>
    <t>Inicio GPS dentro de la tolerancia del horario programado.; Fin GPS anticipado: 06:01:31 antes de las 00:00.</t>
  </si>
  <si>
    <t>6.258146, -75.615331</t>
  </si>
  <si>
    <t>6.258648, -75.615716</t>
  </si>
  <si>
    <t>Fuertes lluvias en la Noche</t>
  </si>
  <si>
    <t>ab3556093ee7f70c</t>
  </si>
  <si>
    <t>21_10_2026_AO_Diur.gpx</t>
  </si>
  <si>
    <t>ab3556093ee7f70ce2cd7eaaa52f5717235927b6e28a56088d15b79e7452a3f4</t>
  </si>
  <si>
    <t>21/10/2026</t>
  </si>
  <si>
    <t>21/10/2026 09:16:50</t>
  </si>
  <si>
    <t>21/10/2026 16:31:57</t>
  </si>
  <si>
    <t>Inicio GPS tardío: 00:46:50 después de las 08:30.; Fin GPS dentro de la tolerancia del horario programado.; 1 hueco(s) GPS &gt;= 10 min.; 1 permanencia(s) GPS detectada(s); requiere contexto.</t>
  </si>
  <si>
    <t>6.203249, -75.600743</t>
  </si>
  <si>
    <t>6.232174, -75.596886</t>
  </si>
  <si>
    <t>225613b22775d1f1</t>
  </si>
  <si>
    <t>21_10_2026_AR_Diur.gpx</t>
  </si>
  <si>
    <t>225613b22775d1f18fe5fe897761fd6a293740d709d3c2a9f177f515d9c4be5a</t>
  </si>
  <si>
    <t>21/10/2026 08:25:28</t>
  </si>
  <si>
    <t>21/10/2026 16:21:46</t>
  </si>
  <si>
    <t>6.225682, -75.599463</t>
  </si>
  <si>
    <t>6.241786, -75.607846</t>
  </si>
  <si>
    <t>f9e505ade0e5f3f7</t>
  </si>
  <si>
    <t>21_10_2026_JHP_Diur.gpx</t>
  </si>
  <si>
    <t>f9e505ade0e5f3f73f8956f618341e7005d6728701331ce1e41bacadef0ad630</t>
  </si>
  <si>
    <t>21/10/2026 08:32:02</t>
  </si>
  <si>
    <t>21/10/2026 16:14:22</t>
  </si>
  <si>
    <t>Inicio GPS dentro de la tolerancia del horario programado.; Fin GPS anticipado: 00:15:38 antes de las 16:30.</t>
  </si>
  <si>
    <t>6.254234, -75.574907</t>
  </si>
  <si>
    <t>6.272834, -75.574435</t>
  </si>
  <si>
    <t>992c8da8aa659d28</t>
  </si>
  <si>
    <t>21_10_2026_JP_Diur.gpx</t>
  </si>
  <si>
    <t>992c8da8aa659d287329a9a9de489d11203398897e275d187777a08cc8e91416</t>
  </si>
  <si>
    <t>21/10/2026 08:41:38</t>
  </si>
  <si>
    <t>21/10/2026 15:49:33</t>
  </si>
  <si>
    <t>Inicio GPS dentro de la tolerancia del horario programado.; Fin GPS anticipado: 00:40:27 antes de las 16:30.; 2 hueco(s) GPS &gt;= 10 min.</t>
  </si>
  <si>
    <t>6.225603, -75.599320</t>
  </si>
  <si>
    <t>6.251692, -75.551850</t>
  </si>
  <si>
    <t>7d410b20b76a6f30</t>
  </si>
  <si>
    <t>21_10_2026_JZ_Diur.gpx</t>
  </si>
  <si>
    <t>7d410b20b76a6f3072493e8c5f156ee3ce6a8c198591f8e77b2cb2ad72db6922</t>
  </si>
  <si>
    <t>21/10/2026 08:29:52</t>
  </si>
  <si>
    <t>21/10/2026 12:18:13</t>
  </si>
  <si>
    <t>Inicio GPS dentro de la tolerancia del horario programado.; Fin GPS anticipado: 04:11:47 antes de las 16:30.; 2 hueco(s) GPS &gt;= 10 min.</t>
  </si>
  <si>
    <t>6.226722, -75.599195</t>
  </si>
  <si>
    <t>6.257584, -75.565866</t>
  </si>
  <si>
    <t>d59d56d97e79581e</t>
  </si>
  <si>
    <t>21_10_2026_DR_Noct.gpx</t>
  </si>
  <si>
    <t>d59d56d97e79581e4f891202526ecb850708e9d2b9e6455e296dbcd4da772967</t>
  </si>
  <si>
    <t>21/10/2026 18:14:31</t>
  </si>
  <si>
    <t>21/10/2026 23:29:34</t>
  </si>
  <si>
    <t>Inicio GPS dentro de la tolerancia del horario programado.; Fin GPS anticipado: 00:30:26 antes de las 00:00.; 1 hueco(s) GPS &gt;= 10 min.</t>
  </si>
  <si>
    <t>6.235968, -75.602344</t>
  </si>
  <si>
    <t>6.250646, -75.602125</t>
  </si>
  <si>
    <t>1354139f6a7c3f2f</t>
  </si>
  <si>
    <t>21_10_2026_DV_Noct.gpx</t>
  </si>
  <si>
    <t>1354139f6a7c3f2fb592a44a3becbf0afd14e73ff79fea5d49e2eb962b2691b1</t>
  </si>
  <si>
    <t>21/10/2026 17:09:36</t>
  </si>
  <si>
    <t>22/10/2026 00:31:23</t>
  </si>
  <si>
    <t>Inicio GPS anterior al horario: 00:50:24 antes de las 18:00.; Fin GPS posterior: 00:31:23 después de las 00:00.; 1 permanencia(s) GPS detectada(s); requiere contexto.</t>
  </si>
  <si>
    <t>6.258391, -75.578306</t>
  </si>
  <si>
    <t>6.272633, -75.602018</t>
  </si>
  <si>
    <t>197acc7645cd2954</t>
  </si>
  <si>
    <t>21_10_2026_IQ_Noct.gpx</t>
  </si>
  <si>
    <t>197acc7645cd2954a260e0eb4b4902ab7f2214641ed7b584c10a4cd32003f01c</t>
  </si>
  <si>
    <t>21/10/2026 17:18:22</t>
  </si>
  <si>
    <t>21/10/2026 23:47:47</t>
  </si>
  <si>
    <t>Inicio GPS anterior al horario: 00:41:38 antes de las 18:00.; Fin GPS dentro de la tolerancia del horario programado.; 4 hueco(s) GPS &gt;= 10 min.; 1 permanencia(s) GPS detectada(s); requiere contexto.</t>
  </si>
  <si>
    <t>6.242035, -75.619494</t>
  </si>
  <si>
    <t>6.272381, -75.540345</t>
  </si>
  <si>
    <t>e9a11ba1766753d1</t>
  </si>
  <si>
    <t>21_10_2026_JA_Noct.gpx</t>
  </si>
  <si>
    <t>e9a11ba1766753d13c25bc00e51132c6f3f549bde30b86ff3391ae2b398ca4b0</t>
  </si>
  <si>
    <t>21/10/2026 16:35:05</t>
  </si>
  <si>
    <t>21/10/2026 21:35:33</t>
  </si>
  <si>
    <t>Inicio GPS anterior al horario: 01:24:55 antes de las 18:00.; Fin GPS anticipado: 02:24:27 antes de las 00:00.; 1 hueco(s) GPS &gt;= 10 min.</t>
  </si>
  <si>
    <t>6.225616, -75.599319</t>
  </si>
  <si>
    <t>6.237010, -75.558870</t>
  </si>
  <si>
    <t>6209f37c363cca0d</t>
  </si>
  <si>
    <t>21_10_2026_JO_Noct.gpx</t>
  </si>
  <si>
    <t>6209f37c363cca0d63a68f8a1a48c925f4e6089b796c10b21b20f6b362d8d3cb</t>
  </si>
  <si>
    <t>21/10/2026 16:27:16</t>
  </si>
  <si>
    <t>21/10/2026 23:58:28</t>
  </si>
  <si>
    <t>Inicio GPS anterior al horario: 01:32:43 antes de las 18:00.; Fin GPS dentro de la tolerancia del horario programado.; 6 hueco(s) GPS &gt;= 10 min.; 1 permanencia(s) GPS detectada(s); requiere contexto.</t>
  </si>
  <si>
    <t>6.229325, -75.602059</t>
  </si>
  <si>
    <t>6.225607, -75.599417</t>
  </si>
  <si>
    <t>0851bb6589dd1069</t>
  </si>
  <si>
    <t>21_10_2026_LA_Noct.gpx</t>
  </si>
  <si>
    <t>0851bb6589dd106994b343c0587fee04e7009e87308598adf3c3e0105b060d3a</t>
  </si>
  <si>
    <t>21/10/2026 16:58:08</t>
  </si>
  <si>
    <t>22/10/2026 00:03:29</t>
  </si>
  <si>
    <t>Inicio GPS anterior al horario: 01:01:51 antes de las 18:00.; Fin GPS dentro de la tolerancia del horario programado.; 1 hueco(s) GPS &gt;= 10 min.</t>
  </si>
  <si>
    <t>6.226735, -75.599273</t>
  </si>
  <si>
    <t>6.268395, -75.599342</t>
  </si>
  <si>
    <t>1289e74894e3056c</t>
  </si>
  <si>
    <t>21_10_2026_SJ_Noct.gpx</t>
  </si>
  <si>
    <t>1289e74894e3056cc21f8944ea302dc8521be91b7636548a1ff574551b0751ba</t>
  </si>
  <si>
    <t>21/10/2026 16:36:28</t>
  </si>
  <si>
    <t>21/10/2026 23:53:14</t>
  </si>
  <si>
    <t>Inicio GPS anterior al horario: 01:23:32 antes de las 18:00.; Fin GPS dentro de la tolerancia del horario programado.; 1 permanencia(s) GPS detectada(s); requiere contexto.</t>
  </si>
  <si>
    <t>6.225704, -75.599408</t>
  </si>
  <si>
    <t>6.308258, -75.581629</t>
  </si>
  <si>
    <t>c4a4d894a147fb4f</t>
  </si>
  <si>
    <t>22_10_2026_AO_Diur1.gpx + 22_10_2026_AO_Diur2.gpx</t>
  </si>
  <si>
    <t>c4a4d894a147fb4f735b59397b7831b4267c5636e494888c0488e0d70a348af0</t>
  </si>
  <si>
    <t>22/10/2026</t>
  </si>
  <si>
    <t>22/10/2026 09:42:36</t>
  </si>
  <si>
    <t>22/10/2026 16:34:26</t>
  </si>
  <si>
    <t>Recorrido unificado: 2 tramos (22_10_2026_AO_Diur1.gpx + 22_10_2026_AO_Diur2.gpx).; Inicio GPS tardío: 01:12:36 después de las 08:30.; Fin GPS dentro de la tolerancia del horario programado.; 1 permanencia(s) GPS detectada(s); requiere contexto.</t>
  </si>
  <si>
    <t>6.203322, -75.600756</t>
  </si>
  <si>
    <t>6.225531, -75.599164</t>
  </si>
  <si>
    <t>b5397f62db97bfe5</t>
  </si>
  <si>
    <t>22_10_2026_AR_Diur.gpx</t>
  </si>
  <si>
    <t>b5397f62db97bfe56718066de5b47fbd4b0405ad4faf00e3bff34ad808ac79d8</t>
  </si>
  <si>
    <t>22/10/2026 08:00:28</t>
  </si>
  <si>
    <t>22/10/2026 16:35:43</t>
  </si>
  <si>
    <t>Inicio GPS anterior al horario: 00:29:32 antes de las 08:30.; Fin GPS dentro de la tolerancia del horario programado.; 6 hueco(s) GPS &gt;= 10 min.; 1 permanencia(s) GPS detectada(s); requiere contexto.</t>
  </si>
  <si>
    <t>6.225644, -75.599451</t>
  </si>
  <si>
    <t>6.225577, -75.599461</t>
  </si>
  <si>
    <t>4ef6de34eb8c5b66</t>
  </si>
  <si>
    <t>22_10_2026_HC_Diur.gpx</t>
  </si>
  <si>
    <t>4ef6de34eb8c5b66beb62eef4bc6c50f76d9da52034849890f86b1de9c866dcc</t>
  </si>
  <si>
    <t>22/10/2026 08:45:55</t>
  </si>
  <si>
    <t>22/10/2026 16:32:09</t>
  </si>
  <si>
    <t>Inicio GPS tardío: 00:15:55 después de las 08:30.; Fin GPS dentro de la tolerancia del horario programado.; 1 hueco(s) GPS &gt;= 10 min.; 1 permanencia(s) GPS detectada(s); requiere contexto.</t>
  </si>
  <si>
    <t>6.225718, -75.599188</t>
  </si>
  <si>
    <t>6.225569, -75.599455</t>
  </si>
  <si>
    <t>7c7e30d6fbca5ff5</t>
  </si>
  <si>
    <t>22_10_2026_JHP_Diur.gpx</t>
  </si>
  <si>
    <t>7c7e30d6fbca5ff5834039335b3033b5cb8049c61ee2e2d46aac1104ed4b4674</t>
  </si>
  <si>
    <t>22/10/2026 08:02:20</t>
  </si>
  <si>
    <t>22/10/2026 15:14:57</t>
  </si>
  <si>
    <t>Inicio GPS anterior al horario: 00:27:40 antes de las 08:30.; Fin GPS anticipado: 01:15:03 antes de las 16:30.</t>
  </si>
  <si>
    <t>6.272832, -75.574499</t>
  </si>
  <si>
    <t>6.272799, -75.574363</t>
  </si>
  <si>
    <t>457732f67e597f1a</t>
  </si>
  <si>
    <t>22_10_2026_JP_Diur.gpx</t>
  </si>
  <si>
    <t>457732f67e597f1afbd86fdc80bb47f4495d648dfe91defaebea8d23de0325ba</t>
  </si>
  <si>
    <t>22/10/2026 09:00:01</t>
  </si>
  <si>
    <t>22/10/2026 17:11:48</t>
  </si>
  <si>
    <t>Inicio GPS tardío: 00:30:01 después de las 08:30.; Fin GPS posterior: 00:41:48 después de las 16:30.; 2 hueco(s) GPS &gt;= 10 min.</t>
  </si>
  <si>
    <t>6.225553, -75.599447</t>
  </si>
  <si>
    <t>6.267455, -75.565623</t>
  </si>
  <si>
    <t>1b0bc9d9d6334eba</t>
  </si>
  <si>
    <t>22_10_2026_JZ_Diur.gpx</t>
  </si>
  <si>
    <t>1b0bc9d9d6334ebad9725317d177e9494244c9e84040a782d1cd0c325e3a9bba</t>
  </si>
  <si>
    <t>22/10/2026 08:37:37</t>
  </si>
  <si>
    <t>22/10/2026 13:34:20</t>
  </si>
  <si>
    <t>Inicio GPS dentro de la tolerancia del horario programado.; Fin GPS anticipado: 02:55:40 antes de las 16:30.; 4 hueco(s) GPS &gt;= 10 min.</t>
  </si>
  <si>
    <t>6.226677, -75.599300</t>
  </si>
  <si>
    <t>6.257500, -75.565846</t>
  </si>
  <si>
    <t>a5000db86e0cd5fb</t>
  </si>
  <si>
    <t>22_10_2026_YL_Diur.gpx</t>
  </si>
  <si>
    <t>a5000db86e0cd5fb04f96fda4f952f5e54813a6d6e5048ce642a8e313dd0d38f</t>
  </si>
  <si>
    <t>22/10/2026 10:31:53</t>
  </si>
  <si>
    <t>22/10/2026 16:53:35</t>
  </si>
  <si>
    <t>Inicio GPS tardío: 02:01:53 después de las 08:30.; Fin GPS posterior: 00:23:35 después de las 16:30.; 3 hueco(s) GPS &gt;= 10 min.</t>
  </si>
  <si>
    <t>6.288652, -75.563944</t>
  </si>
  <si>
    <t>6.258216, -75.615898</t>
  </si>
  <si>
    <t>22/10/2026 16:47:55</t>
  </si>
  <si>
    <t>22/10/2026 23:12:25</t>
  </si>
  <si>
    <t>6.225819, -75.599403</t>
  </si>
  <si>
    <t>6.308513, -75.580482</t>
  </si>
  <si>
    <t>fec13d9827ac4bbd</t>
  </si>
  <si>
    <t>22_10_2026_DR_Noct.gpx</t>
  </si>
  <si>
    <t>fec13d9827ac4bbd25cd36e0e29a7ce4cd0d8cce5118f34bce6351e87f9397d4</t>
  </si>
  <si>
    <t>22/10/2026 18:13:09</t>
  </si>
  <si>
    <t>22/10/2026 21:14:33</t>
  </si>
  <si>
    <t>Inicio GPS dentro de la tolerancia del horario programado.; Fin GPS anticipado: 02:45:27 antes de las 00:00.</t>
  </si>
  <si>
    <t>6.235181, -75.602222</t>
  </si>
  <si>
    <t>6.238955, -75.603150</t>
  </si>
  <si>
    <t>6f1cd742758e3714</t>
  </si>
  <si>
    <t>22_10_2026_DV_Noct.gpx</t>
  </si>
  <si>
    <t>6f1cd742758e3714fb27c5381f493fee38b7fc993b34d08d6312097a038ea85f</t>
  </si>
  <si>
    <t>22/10/2026 16:44:01</t>
  </si>
  <si>
    <t>23/10/2026 00:12:41</t>
  </si>
  <si>
    <t>Inicio GPS anterior al horario: 01:15:59 antes de las 18:00.; Fin GPS dentro de la tolerancia del horario programado.</t>
  </si>
  <si>
    <t>6.230051, -75.596048</t>
  </si>
  <si>
    <t>6.272487, -75.602132</t>
  </si>
  <si>
    <t>244c7b7e853d401c</t>
  </si>
  <si>
    <t>22_10_2026_IQ_Noct.gpx</t>
  </si>
  <si>
    <t>244c7b7e853d401caf9298138240b83529692a5497815150c68b00c3ff887f91</t>
  </si>
  <si>
    <t>22/10/2026 16:13:30</t>
  </si>
  <si>
    <t>22/10/2026 23:58:34</t>
  </si>
  <si>
    <t>Inicio GPS anterior al horario: 01:46:30 antes de las 18:00.; Fin GPS dentro de la tolerancia del horario programado.; 3 hueco(s) GPS &gt;= 10 min.; 1 permanencia(s) GPS detectada(s); requiere contexto.</t>
  </si>
  <si>
    <t>6.225638, -75.599180</t>
  </si>
  <si>
    <t>6.272383, -75.540240</t>
  </si>
  <si>
    <t>af9a11ccacfc6b78</t>
  </si>
  <si>
    <t>22_10_2026_JA_Noct.gpx</t>
  </si>
  <si>
    <t>af9a11ccacfc6b787a8214a1184a24dc5cd438aa28dc63c58279de45cdb6bbf1</t>
  </si>
  <si>
    <t>22/10/2026 19:23:23</t>
  </si>
  <si>
    <t>22/10/2026 22:52:12</t>
  </si>
  <si>
    <t>Inicio GPS tardío: 01:23:23 después de las 18:00.; Fin GPS anticipado: 01:07:48 antes de las 00:00.</t>
  </si>
  <si>
    <t>6.225596, -75.599459</t>
  </si>
  <si>
    <t>6.237056, -75.558815</t>
  </si>
  <si>
    <t>715f8e799e3e66b3</t>
  </si>
  <si>
    <t>22_10_2026_JO_Noct.gpx</t>
  </si>
  <si>
    <t>715f8e799e3e66b3e9fc1703ef4db94c6d8937d094ae93b760fce5eb75f8b036</t>
  </si>
  <si>
    <t>22/10/2026 16:54:07</t>
  </si>
  <si>
    <t>23/10/2026 00:08:39</t>
  </si>
  <si>
    <t>Inicio GPS anterior al horario: 01:05:53 antes de las 18:00.; Fin GPS dentro de la tolerancia del horario programado.; 4 hueco(s) GPS &gt;= 10 min.</t>
  </si>
  <si>
    <t>6.234650, -75.594518</t>
  </si>
  <si>
    <t>6.225614, -75.599328</t>
  </si>
  <si>
    <t>3f6cc728699e1857</t>
  </si>
  <si>
    <t>22_10_2026_LA_Noct.gpx</t>
  </si>
  <si>
    <t>3f6cc728699e18575dd3e7777e4329a66a008ccc2a0174680f3f6b4ecd10999e</t>
  </si>
  <si>
    <t>22/10/2026 17:23:51</t>
  </si>
  <si>
    <t>23/10/2026 00:10:13</t>
  </si>
  <si>
    <t>Inicio GPS anterior al horario: 00:36:08 antes de las 18:00.; Fin GPS dentro de la tolerancia del horario programado.; 2 hueco(s) GPS &gt;= 10 min.</t>
  </si>
  <si>
    <t>6.268215, -75.598905</t>
  </si>
  <si>
    <t>6.278360, -75.570973</t>
  </si>
  <si>
    <t>065a7066fc38d85b</t>
  </si>
  <si>
    <t>22_10_2026_SJ_Noct.gpx</t>
  </si>
  <si>
    <t>065a7066fc38d85be0978dcc7abc0d5434d83d5be17ab9e233d099a39b7047f7</t>
  </si>
  <si>
    <t>Inicio GPS anterior al horario: 01:12:05 antes de las 18:00.; Fin GPS anticipado: 00:47:35 antes de las 00:00.</t>
  </si>
  <si>
    <t>eeb6b2db921c7e18</t>
  </si>
  <si>
    <t>23_10_2026_AO_Diur.gpx</t>
  </si>
  <si>
    <t>eeb6b2db921c7e187d9700cd1da50ee0218b4cf7ca8368cb2fcfaf919f59c6ff</t>
  </si>
  <si>
    <t>23/10/2026</t>
  </si>
  <si>
    <t>23/10/2026 08:42:12</t>
  </si>
  <si>
    <t>23/10/2026 15:38:27</t>
  </si>
  <si>
    <t>Inicio GPS dentro de la tolerancia del horario programado.; Fin GPS anticipado: 00:21:33 antes de las 16:00.</t>
  </si>
  <si>
    <t>6.203305, -75.600919</t>
  </si>
  <si>
    <t>6.232104, -75.596869</t>
  </si>
  <si>
    <t>d23e943a6b1d641d</t>
  </si>
  <si>
    <t>23_10_2026_AR_Diur.gpx</t>
  </si>
  <si>
    <t>d23e943a6b1d641dab93d0b85df487a1a37a552fce5141d3b31987b60dbdc64c</t>
  </si>
  <si>
    <t>23/10/2026 08:30:56</t>
  </si>
  <si>
    <t>23/10/2026 13:13:27</t>
  </si>
  <si>
    <t>Inicio GPS dentro de la tolerancia del horario programado.; Fin GPS anticipado: 02:46:33 antes de las 16:00.; 1 hueco(s) GPS &gt;= 10 min.; 1 permanencia(s) GPS detectada(s); requiere contexto.</t>
  </si>
  <si>
    <t>6.247260, -75.614570</t>
  </si>
  <si>
    <t>6.198179, -75.593791</t>
  </si>
  <si>
    <t>9293b34a3cbaa9c8</t>
  </si>
  <si>
    <t>23_10_2026_HC_Diur.gpx</t>
  </si>
  <si>
    <t>9293b34a3cbaa9c8fd38c0433c9b0ced70cb8ce3a2b186d0dc41f01832224759</t>
  </si>
  <si>
    <t>23/10/2026 08:28:45</t>
  </si>
  <si>
    <t>23/10/2026 12:20:35</t>
  </si>
  <si>
    <t>Inicio GPS dentro de la tolerancia del horario programado.; Fin GPS anticipado: 03:39:25 antes de las 16:00.</t>
  </si>
  <si>
    <t>6.243092, -75.562022</t>
  </si>
  <si>
    <t>6.237416, -75.514167</t>
  </si>
  <si>
    <t>9db05e96e61b46f9</t>
  </si>
  <si>
    <t>23_10_2026_JP_Diur.gpx</t>
  </si>
  <si>
    <t>9db05e96e61b46f9bfc9c8639c1217766698effa57a9d115b474bd697241a78d</t>
  </si>
  <si>
    <t>23/10/2026 08:13:20</t>
  </si>
  <si>
    <t>23/10/2026 14:33:53</t>
  </si>
  <si>
    <t>Inicio GPS anterior al horario: 00:16:40 antes de las 08:30.; Fin GPS anticipado: 01:26:07 antes de las 16:00.</t>
  </si>
  <si>
    <t>6.250513, -75.551883</t>
  </si>
  <si>
    <t>6.251840, -75.551847</t>
  </si>
  <si>
    <t>98d5a43b6c6229b2</t>
  </si>
  <si>
    <t>23_10_2026_JZ_Diur.gpx</t>
  </si>
  <si>
    <t>98d5a43b6c6229b2ffe1028f23ef4d26a9fb7943ede762cfc491f7ef92b0654a</t>
  </si>
  <si>
    <t>23/10/2026 08:27:55</t>
  </si>
  <si>
    <t>23/10/2026 15:30:17</t>
  </si>
  <si>
    <t>Inicio GPS dentro de la tolerancia del horario programado.; Fin GPS anticipado: 00:29:43 antes de las 16:00.; 2 hueco(s) GPS &gt;= 10 min.</t>
  </si>
  <si>
    <t>6.226517, -75.599257</t>
  </si>
  <si>
    <t>6.279390, -75.571443</t>
  </si>
  <si>
    <t>418651478afed977</t>
  </si>
  <si>
    <t>23_10_2026_DR_Noct.gpx</t>
  </si>
  <si>
    <t>418651478afed9779a0a65c0fb25fd60fbb44f8273f7df2272164fc29c0e9e5d</t>
  </si>
  <si>
    <t>23/10/2026 18:14:21</t>
  </si>
  <si>
    <t>23/10/2026 21:21:13</t>
  </si>
  <si>
    <t>Inicio GPS dentro de la tolerancia del horario programado.; Fin GPS anticipado: 02:38:47 antes de las 00:00.; 1 hueco(s) GPS &gt;= 10 min.</t>
  </si>
  <si>
    <t>6.200710, -75.579486</t>
  </si>
  <si>
    <t>6.263677, -75.597064</t>
  </si>
  <si>
    <t>859e8f435a5fe3f5</t>
  </si>
  <si>
    <t>23_10_2026_DV_Noct.gpx</t>
  </si>
  <si>
    <t>859e8f435a5fe3f5ea4f167758f839a9ce65733571e60a3938a2b75385afcab6</t>
  </si>
  <si>
    <t>23/10/2026 18:37:57</t>
  </si>
  <si>
    <t>26/10/2026 14:59:07</t>
  </si>
  <si>
    <t>Inicio GPS tardío: 00:37:57 después de las 18:00.; Fin GPS posterior: 62:59:07 después de las 00:00.; 1 hueco(s) GPS &gt;= 10 min.</t>
  </si>
  <si>
    <t>6.250121, -75.556875</t>
  </si>
  <si>
    <t>6.225588, -75.598989</t>
  </si>
  <si>
    <t>9caf4ceabc1f0e3d</t>
  </si>
  <si>
    <t>23_10_2026_IQ_Noct.gpx</t>
  </si>
  <si>
    <t>9caf4ceabc1f0e3dc77f86f662929a87e802211ae7d60beeef79d9bcf07a2aee</t>
  </si>
  <si>
    <t>23/10/2026 18:37:07</t>
  </si>
  <si>
    <t>23/10/2026 23:37:14</t>
  </si>
  <si>
    <t>Inicio GPS tardío: 00:37:07 después de las 18:00.; Fin GPS anticipado: 00:22:46 antes de las 00:00.; 6 hueco(s) GPS &gt;= 10 min.; 1 permanencia(s) GPS detectada(s); requiere contexto.</t>
  </si>
  <si>
    <t>6.272572, -75.540537</t>
  </si>
  <si>
    <t>6.217133, -75.595055</t>
  </si>
  <si>
    <t>b2a5144033ad4778</t>
  </si>
  <si>
    <t>23_10_2026_JA_Noct.gpx</t>
  </si>
  <si>
    <t>b2a5144033ad4778640cf6e1d5c776b1ddc0159368b398c0690eafcf9af307b5</t>
  </si>
  <si>
    <t>23/10/2026 19:49:39</t>
  </si>
  <si>
    <t>23/10/2026 23:31:28</t>
  </si>
  <si>
    <t>Inicio GPS tardío: 01:49:39 después de las 18:00.; Fin GPS anticipado: 00:28:32 antes de las 00:00.</t>
  </si>
  <si>
    <t>6.238649, -75.573252</t>
  </si>
  <si>
    <t>6.235418, -75.554733</t>
  </si>
  <si>
    <t>dd7ee214f66c9202</t>
  </si>
  <si>
    <t>23_10_2026_JO_Noct.gpx</t>
  </si>
  <si>
    <t>dd7ee214f66c920293f73d63fce7399cf6494c569bb01d08e66bef63e60469d9</t>
  </si>
  <si>
    <t>23/10/2026 18:02:29</t>
  </si>
  <si>
    <t>23/10/2026 23:58:14</t>
  </si>
  <si>
    <t>6.255766, -75.619711</t>
  </si>
  <si>
    <t>6.246984, -75.554087</t>
  </si>
  <si>
    <t>94cf76720408085f</t>
  </si>
  <si>
    <t>23_10_2026_SJ_Noct.gpx</t>
  </si>
  <si>
    <t>94cf76720408085f9d47177175ed1a707ae9efca3190d4468fd1054a2fc39578</t>
  </si>
  <si>
    <t>23/10/2026 17:26:53</t>
  </si>
  <si>
    <t>23/10/2026 22:13:50</t>
  </si>
  <si>
    <t>Inicio GPS anterior al horario: 00:33:07 antes de las 18:00.; Fin GPS anticipado: 01:46:10 antes de las 00:00.</t>
  </si>
  <si>
    <t>6.309248, -75.575904</t>
  </si>
  <si>
    <t>6.309014, -75.576319</t>
  </si>
  <si>
    <t>f5bc49f5b3486d3e</t>
  </si>
  <si>
    <t>26_10_2026_AO_Diur.gpx</t>
  </si>
  <si>
    <t>f5bc49f5b3486d3e90f042084577ccf61fe2cf630df163c6335c8944351f6ba2</t>
  </si>
  <si>
    <t>26/10/2026</t>
  </si>
  <si>
    <t>26/10/2026 08:53:47</t>
  </si>
  <si>
    <t>26/10/2026 16:35:09</t>
  </si>
  <si>
    <t>Inicio GPS tardío: 00:23:47 después de las 08:30.; Fin GPS dentro de la tolerancia del horario programado.; 1 hueco(s) GPS &gt;= 10 min.; 1 permanencia(s) GPS detectada(s); requiere contexto.</t>
  </si>
  <si>
    <t>6.203407, -75.600692</t>
  </si>
  <si>
    <t>6.221575, -75.593853</t>
  </si>
  <si>
    <t>2f37f3e26aa73ba3</t>
  </si>
  <si>
    <t>26_10_2026_AR_Diur.gpx</t>
  </si>
  <si>
    <t>2f37f3e26aa73ba32b31361189c6050d4ab7e665d08762a944f110275e2eeee5</t>
  </si>
  <si>
    <t>26/10/2026 08:03:48</t>
  </si>
  <si>
    <t>26/10/2026 16:32:27</t>
  </si>
  <si>
    <t>Inicio GPS anterior al horario: 00:26:12 antes de las 08:30.; Fin GPS dentro de la tolerancia del horario programado.; 1 hueco(s) GPS &gt;= 10 min.</t>
  </si>
  <si>
    <t>6.225613, -75.599300</t>
  </si>
  <si>
    <t>6.247712, -75.615081</t>
  </si>
  <si>
    <t>68ec9dddc7482a0a</t>
  </si>
  <si>
    <t>26_10_2026_HC_Diurn.gpx</t>
  </si>
  <si>
    <t>68ec9dddc7482a0a1afb3c4bfe3decc2d126b931dc4ce2d383d01cf4b2a3e00a</t>
  </si>
  <si>
    <t>26/10/2026 08:17:48</t>
  </si>
  <si>
    <t>26/10/2026 13:34:01</t>
  </si>
  <si>
    <t>Inicio GPS dentro de la tolerancia del horario programado.; Fin GPS anticipado: 02:55:59 antes de las 16:30.; 1 hueco(s) GPS &gt;= 10 min.</t>
  </si>
  <si>
    <t>6.225761, -75.599428</t>
  </si>
  <si>
    <t>6.290553, -75.569750</t>
  </si>
  <si>
    <t>5d7ff907a7dc2568</t>
  </si>
  <si>
    <t>26_10_2026_JHP_Diur.gpx</t>
  </si>
  <si>
    <t>5d7ff907a7dc2568bb86b85b5abf48062924583c042c47986667b8a8723c9ee8</t>
  </si>
  <si>
    <t>26/10/2026 08:22:00</t>
  </si>
  <si>
    <t>26/10/2026 16:07:11</t>
  </si>
  <si>
    <t>Inicio GPS dentro de la tolerancia del horario programado.; Fin GPS anticipado: 00:22:49 antes de las 16:30.</t>
  </si>
  <si>
    <t>6.225609, -75.599515</t>
  </si>
  <si>
    <t>6.263744, -75.567603</t>
  </si>
  <si>
    <t>9f015df92ab14f27</t>
  </si>
  <si>
    <t>26_10_2026_JZ_Diur.gpx</t>
  </si>
  <si>
    <t>9f015df92ab14f2743c016b69f1a16ec3ba26916eef88a258e66e9d30f42b9f7</t>
  </si>
  <si>
    <t>26/10/2026 08:40:06</t>
  </si>
  <si>
    <t>26/10/2026 16:10:00</t>
  </si>
  <si>
    <t>Inicio GPS dentro de la tolerancia del horario programado.; Fin GPS anticipado: 00:20:00 antes de las 16:30.</t>
  </si>
  <si>
    <t>6.226662, -75.599292</t>
  </si>
  <si>
    <t>6.246637, -75.570027</t>
  </si>
  <si>
    <t>1be3bb4ef0db85ed</t>
  </si>
  <si>
    <t>26_10_2026_YL_Diur.gpx</t>
  </si>
  <si>
    <t>1be3bb4ef0db85ed86c14eef4f8a7688efe4cf0c0e704b688a884db0a9f7b50f</t>
  </si>
  <si>
    <t>26/10/2026 10:39:13</t>
  </si>
  <si>
    <t>26/10/2026 14:49:48</t>
  </si>
  <si>
    <t>Inicio GPS tardío: 02:09:13 después de las 08:30.; Fin GPS anticipado: 01:40:12 antes de las 16:30.; 1 hueco(s) GPS &gt;= 10 min.; 1 permanencia(s) GPS detectada(s); requiere contexto.</t>
  </si>
  <si>
    <t>6.258375, -75.615757</t>
  </si>
  <si>
    <t>6.258522, -75.616170</t>
  </si>
  <si>
    <t>3c08d80696826ea4</t>
  </si>
  <si>
    <t>26_10_2026_DR_Noct.gpx</t>
  </si>
  <si>
    <t>3c08d80696826ea4111a73260545d6e9bedbe4365926ba41eefaa907cb34f370</t>
  </si>
  <si>
    <t>26/10/2026 18:04:02</t>
  </si>
  <si>
    <t>26/10/2026 22:15:11</t>
  </si>
  <si>
    <t>Inicio GPS dentro de la tolerancia del horario programado.; Fin GPS anticipado: 01:44:49 antes de las 00:00.</t>
  </si>
  <si>
    <t>6.250335, -75.600364</t>
  </si>
  <si>
    <t>6.250692, -75.601540</t>
  </si>
  <si>
    <t>84789c3cdfbfb174</t>
  </si>
  <si>
    <t>26_10_2026_DV_Noct.gpx</t>
  </si>
  <si>
    <t>84789c3cdfbfb17449ce6a6feb5d7920c8f88117947df1d2d3c8c0de3d2e6aa3</t>
  </si>
  <si>
    <t>26/10/2026 16:34:27</t>
  </si>
  <si>
    <t>27/10/2026 00:15:46</t>
  </si>
  <si>
    <t>Inicio GPS anterior al horario: 01:25:33 antes de las 18:00.; Fin GPS posterior: 00:15:46 después de las 00:00.; 1 permanencia(s) GPS detectada(s); requiere contexto.</t>
  </si>
  <si>
    <t>6.225469, -75.599356</t>
  </si>
  <si>
    <t>6.272618, -75.601983</t>
  </si>
  <si>
    <t>71f709fdb7ad25ec</t>
  </si>
  <si>
    <t>26_10_2026_IQ_Noct.gpx</t>
  </si>
  <si>
    <t>71f709fdb7ad25ec7a087bb68f523dfed90cc6fe2f1c3913dd8cca33a903dbf8</t>
  </si>
  <si>
    <t>26/10/2026 16:11:37</t>
  </si>
  <si>
    <t>26/10/2026 23:57:07</t>
  </si>
  <si>
    <t>Inicio GPS anterior al horario: 01:48:23 antes de las 18:00.; Fin GPS dentro de la tolerancia del horario programado.; 3 hueco(s) GPS &gt;= 10 min.</t>
  </si>
  <si>
    <t>6.225762, -75.599110</t>
  </si>
  <si>
    <t>6.225012, -75.599493</t>
  </si>
  <si>
    <t>b80e84b4e668586e</t>
  </si>
  <si>
    <t>26_10_2026_JA_Noct.gpx</t>
  </si>
  <si>
    <t>b80e84b4e668586ec862efa9e9c7fb4d8f0a0d6732d56d15238a4f3a0a71936a</t>
  </si>
  <si>
    <t>26/10/2026 17:00:09</t>
  </si>
  <si>
    <t>26/10/2026 22:31:57</t>
  </si>
  <si>
    <t>Inicio GPS anterior al horario: 00:59:51 antes de las 18:00.; Fin GPS anticipado: 01:28:03 antes de las 00:00.; 1 hueco(s) GPS &gt;= 10 min.</t>
  </si>
  <si>
    <t>6.225378, -75.599435</t>
  </si>
  <si>
    <t>6.236978, -75.558823</t>
  </si>
  <si>
    <t>2c6a2dcea75ea8be</t>
  </si>
  <si>
    <t>26_10_2026_JO_Noct.gpx</t>
  </si>
  <si>
    <t>2c6a2dcea75ea8be1a4a155b55531d2529e3c3ae2c9e1467ea2b159fda9a148a</t>
  </si>
  <si>
    <t>26/10/2026 18:09:27</t>
  </si>
  <si>
    <t>26/10/2026 23:52:19</t>
  </si>
  <si>
    <t>6.190445, -75.577249</t>
  </si>
  <si>
    <t>6.255642, -75.620604</t>
  </si>
  <si>
    <t>e28e4030f79b6545</t>
  </si>
  <si>
    <t>26_10_2026_LA_Noct.gpx</t>
  </si>
  <si>
    <t>e28e4030f79b6545948e9445744b9519633964fe59234953505229bf072683ff</t>
  </si>
  <si>
    <t>26/10/2026 16:29:39</t>
  </si>
  <si>
    <t>27/10/2026 00:12:47</t>
  </si>
  <si>
    <t>Inicio GPS anterior al horario: 01:30:20 antes de las 18:00.; Fin GPS dentro de la tolerancia del horario programado.; 3 hueco(s) GPS &gt;= 10 min.</t>
  </si>
  <si>
    <t>6.226630, -75.599257</t>
  </si>
  <si>
    <t>6.257492, -75.583868</t>
  </si>
  <si>
    <t>07712bb524c11411</t>
  </si>
  <si>
    <t>26_10_2026_SJ_Noct.gpx</t>
  </si>
  <si>
    <t>07712bb524c114114ccbd139d9d66469a9e89d32030003483cf11212a3bc95f3</t>
  </si>
  <si>
    <t>26/10/2026 19:03:32</t>
  </si>
  <si>
    <t>26/10/2026 23:44:37</t>
  </si>
  <si>
    <t>Inicio GPS tardío: 01:03:32 después de las 18:00.; Fin GPS anticipado: 00:15:23 antes de las 00:00.</t>
  </si>
  <si>
    <t>6.222795, -75.598665</t>
  </si>
  <si>
    <t>6.307909, -75.582012</t>
  </si>
  <si>
    <t>960c983801b41876</t>
  </si>
  <si>
    <t>27_10_2026_HC_Diur.gpx</t>
  </si>
  <si>
    <t>960c983801b4187669f68471515db034a2a7989ec2ca7e217fb44ebeb22d948a</t>
  </si>
  <si>
    <t>27/10/2026</t>
  </si>
  <si>
    <t>27/10/2026 08:35:28</t>
  </si>
  <si>
    <t>27/10/2026 13:50:38</t>
  </si>
  <si>
    <t>Inicio GPS dentro de la tolerancia del horario programado.; Fin GPS anticipado: 02:39:22 antes de las 16:30.; 1 hueco(s) GPS &gt;= 10 min.</t>
  </si>
  <si>
    <t>6.234606, -75.608090</t>
  </si>
  <si>
    <t>6.287460, -75.567243</t>
  </si>
  <si>
    <t>f5d2c6f520cb0d99</t>
  </si>
  <si>
    <t>27_10_2026_JHP_Diur.gpx</t>
  </si>
  <si>
    <t>f5d2c6f520cb0d99bdfc2199f35f28cf951dbfe2b39e40be5696e12821d0c606</t>
  </si>
  <si>
    <t>27/10/2026 11:57:50</t>
  </si>
  <si>
    <t>27/10/2026 16:37:58</t>
  </si>
  <si>
    <t>Inicio GPS tardío: 03:27:50 después de las 08:30.; Fin GPS dentro de la tolerancia del horario programado.</t>
  </si>
  <si>
    <t>6.193223, -75.581580</t>
  </si>
  <si>
    <t>6.290434, -75.546555</t>
  </si>
  <si>
    <t>68f0515165e22b88</t>
  </si>
  <si>
    <t>27_10_2026_JP_Diur.gpx</t>
  </si>
  <si>
    <t>68f0515165e22b88cbd1b9a9a50868c2271aeea1c016d5717b4c059930bcf379</t>
  </si>
  <si>
    <t>27/10/2026 08:08:24</t>
  </si>
  <si>
    <t>27/10/2026 14:40:55</t>
  </si>
  <si>
    <t>Inicio GPS anterior al horario: 00:21:36 antes de las 08:30.; Fin GPS anticipado: 01:49:05 antes de las 16:30.; 1 hueco(s) GPS &gt;= 10 min.</t>
  </si>
  <si>
    <t>6.225675, -75.599543</t>
  </si>
  <si>
    <t>6.251865, -75.551808</t>
  </si>
  <si>
    <t>85be2cedfc6ac704</t>
  </si>
  <si>
    <t>27_10_2026_JZ_Diur.gpx</t>
  </si>
  <si>
    <t>85be2cedfc6ac704d8f91270a148dce0d5af0e3982385d1df8413e4b44d82dee</t>
  </si>
  <si>
    <t>27/10/2026 08:27:37</t>
  </si>
  <si>
    <t>27/10/2026 14:53:07</t>
  </si>
  <si>
    <t>Inicio GPS dentro de la tolerancia del horario programado.; Fin GPS anticipado: 01:36:53 antes de las 16:30.</t>
  </si>
  <si>
    <t>6.226675, -75.599328</t>
  </si>
  <si>
    <t>6.225583, -75.599237</t>
  </si>
  <si>
    <t>d7465035e70b436c</t>
  </si>
  <si>
    <t>27_10_2026_YL_Diur.gpx</t>
  </si>
  <si>
    <t>d7465035e70b436ca5d7042f5c7ad9e033c40cf3b30f05249c1b0cc07211a374</t>
  </si>
  <si>
    <t>27/10/2026 08:00:09</t>
  </si>
  <si>
    <t>27/10/2026 15:51:12</t>
  </si>
  <si>
    <t>Inicio GPS anterior al horario: 00:29:51 antes de las 08:30.; Fin GPS anticipado: 00:38:48 antes de las 16:30.; 2 hueco(s) GPS &gt;= 10 min.</t>
  </si>
  <si>
    <t>6.225617, -75.599390</t>
  </si>
  <si>
    <t>6.258366, -75.615860</t>
  </si>
  <si>
    <t>7ff1c3ac1fab6fcf</t>
  </si>
  <si>
    <t>27_10_2026_AR_Diur.gpx</t>
  </si>
  <si>
    <t>7ff1c3ac1fab6fcf2ba98325ff8d5c21e51028faa41c72caa1cbf1b588d847d2</t>
  </si>
  <si>
    <t>27/10/2026 08:00:59</t>
  </si>
  <si>
    <t>27/10/2026 16:35:10</t>
  </si>
  <si>
    <t>Inicio GPS anterior al horario: 00:29:01 antes de las 08:30.; Fin GPS dentro de la tolerancia del horario programado.; 2 hueco(s) GPS &gt;= 10 min.; 1 permanencia(s) GPS detectada(s); requiere contexto.</t>
  </si>
  <si>
    <t>6.225726, -75.599492</t>
  </si>
  <si>
    <t>6.225671, -75.599393</t>
  </si>
  <si>
    <t>El tecnico inició tarde el recoirrido debido a permiso personal</t>
  </si>
  <si>
    <t>685d42a06edd2052</t>
  </si>
  <si>
    <t>27_10_2026_AO_Diur.gpx</t>
  </si>
  <si>
    <t>685d42a06edd20526c49520e3b35f4ce00e8db78ad5ed9aaef6c8cab71f349e9</t>
  </si>
  <si>
    <t>27/10/2026 08:30:51</t>
  </si>
  <si>
    <t>27/10/2026 16:32:44</t>
  </si>
  <si>
    <t>6.203308, -75.600775</t>
  </si>
  <si>
    <t>6.225633, -75.599179</t>
  </si>
  <si>
    <t>f1803cdbd830f701</t>
  </si>
  <si>
    <t>27_10_2026_DR_Noct.gpx</t>
  </si>
  <si>
    <t>f1803cdbd830f701419da8f8772ce5adec4b2ab46f025c658f959dc3d8961206</t>
  </si>
  <si>
    <t>27/10/2026 18:03:34</t>
  </si>
  <si>
    <t>27/10/2026 23:52:25</t>
  </si>
  <si>
    <t>6.213925, -75.596495</t>
  </si>
  <si>
    <t>6.225397, -75.599835</t>
  </si>
  <si>
    <t>199cbdff734b1f1e</t>
  </si>
  <si>
    <t>27_10_2026_DV_Noct.gpx</t>
  </si>
  <si>
    <t>199cbdff734b1f1ead9b7d7dab319b7df25ed3e4107cd965842a96db55a1c4b8</t>
  </si>
  <si>
    <t>27/10/2026 16:51:06</t>
  </si>
  <si>
    <t>28/10/2026 00:13:49</t>
  </si>
  <si>
    <t>Inicio GPS anterior al horario: 01:08:54 antes de las 18:00.; Fin GPS dentro de la tolerancia del horario programado.; 1 hueco(s) GPS &gt;= 10 min.; 1 permanencia(s) GPS detectada(s); requiere contexto.</t>
  </si>
  <si>
    <t>6.226707, -75.599355</t>
  </si>
  <si>
    <t>6.272748, -75.601924</t>
  </si>
  <si>
    <t>b35dbdd214d4c899</t>
  </si>
  <si>
    <t>27_10_2026_IQ_Noct.gpx</t>
  </si>
  <si>
    <t>b35dbdd214d4c89990e840d3f2f8820d57797238e4db81a8c6f9c3bd01f9ec2e</t>
  </si>
  <si>
    <t>27/10/2026 16:35:09</t>
  </si>
  <si>
    <t>27/10/2026 22:52:51</t>
  </si>
  <si>
    <t>Inicio GPS anterior al horario: 01:24:51 antes de las 18:00.; Fin GPS anticipado: 01:07:09 antes de las 00:00.; 3 hueco(s) GPS &gt;= 10 min.</t>
  </si>
  <si>
    <t>6.225607, -75.599149</t>
  </si>
  <si>
    <t>6.261658, -75.556609</t>
  </si>
  <si>
    <t>b7e12e291f93934b</t>
  </si>
  <si>
    <t>27_10_2026_JA_Noct.gpx</t>
  </si>
  <si>
    <t>b7e12e291f93934b95d1ac9ef213350a0f2f802c9712e36bc9d3fccecbe24dbe</t>
  </si>
  <si>
    <t>27/10/2026 16:35:39</t>
  </si>
  <si>
    <t>27/10/2026 22:23:04</t>
  </si>
  <si>
    <t>Inicio GPS anterior al horario: 01:24:21 antes de las 18:00.; Fin GPS anticipado: 01:36:56 antes de las 00:00.</t>
  </si>
  <si>
    <t>6.225533, -75.599144</t>
  </si>
  <si>
    <t>6.236972, -75.558849</t>
  </si>
  <si>
    <t>734eddeafebed5f1</t>
  </si>
  <si>
    <t>27_10_2026_JO_Noct.gpx</t>
  </si>
  <si>
    <t>734eddeafebed5f15ecd564b8bd1d5b1de718c014d2d41382b420ea60d47c75b</t>
  </si>
  <si>
    <t>27/10/2026 16:52:11</t>
  </si>
  <si>
    <t>27/10/2026 23:53:05</t>
  </si>
  <si>
    <t>Inicio GPS anterior al horario: 01:07:49 antes de las 18:00.; Fin GPS dentro de la tolerancia del horario programado.; 9 hueco(s) GPS &gt;= 10 min.</t>
  </si>
  <si>
    <t>6.225617, -75.599436</t>
  </si>
  <si>
    <t>6.255419, -75.620419</t>
  </si>
  <si>
    <t>f56c8f8e8cecac74</t>
  </si>
  <si>
    <t>27_10_2026_LA_Noct.gpx</t>
  </si>
  <si>
    <t>f56c8f8e8cecac74b4c86d4dde30ce12118022429108f5e2e9417d882caaa114</t>
  </si>
  <si>
    <t>27/10/2026 16:35:46</t>
  </si>
  <si>
    <t>28/10/2026 00:00:01</t>
  </si>
  <si>
    <t>Inicio GPS anterior al horario: 01:24:13 antes de las 18:00.; Fin GPS dentro de la tolerancia del horario programado.; 4 hueco(s) GPS &gt;= 10 min.</t>
  </si>
  <si>
    <t>6.225507, -75.599450</t>
  </si>
  <si>
    <t>6.219703, -75.576880</t>
  </si>
  <si>
    <t>1a7a082032989bfe</t>
  </si>
  <si>
    <t>27_10_2026_SJ_Noct.gpx</t>
  </si>
  <si>
    <t>1a7a082032989bfed0d9cc46ef2318cb00317dc0a3158f018c36f820c13ef741</t>
  </si>
  <si>
    <t>27/10/2026 16:45:25</t>
  </si>
  <si>
    <t>27/10/2026 23:54:05</t>
  </si>
  <si>
    <t>Inicio GPS anterior al horario: 01:14:35 antes de las 18:00.; Fin GPS dentro de la tolerancia del horario programado.; 1 hueco(s) GPS &gt;= 10 min.</t>
  </si>
  <si>
    <t>6.225578, -75.599444</t>
  </si>
  <si>
    <t>6.307864, -75.582019</t>
  </si>
  <si>
    <t>2850c6fdf6bba535</t>
  </si>
  <si>
    <t>28_10_2026_AR_Diur.gpx</t>
  </si>
  <si>
    <t>2850c6fdf6bba535896c5114ed985a309c42987c39cb1d77b92a2b7e07b4546a</t>
  </si>
  <si>
    <t>28/10/2026</t>
  </si>
  <si>
    <t>28/10/2026 08:00:02</t>
  </si>
  <si>
    <t>28/10/2026 16:31:41</t>
  </si>
  <si>
    <t>Inicio GPS anterior al horario: 00:29:58 antes de las 08:30.; Fin GPS dentro de la tolerancia del horario programado.; 2 hueco(s) GPS &gt;= 10 min.</t>
  </si>
  <si>
    <t>6.225697, -75.599361</t>
  </si>
  <si>
    <t>6.247796, -75.615072</t>
  </si>
  <si>
    <t>c39bdcf7f5850e37</t>
  </si>
  <si>
    <t>28_10_2026_HC_Diur.gpx</t>
  </si>
  <si>
    <t>c39bdcf7f5850e37ba9599749dd43aef7e36b0f87c8d69a197f2ecd4d9907e38</t>
  </si>
  <si>
    <t>28/10/2026 08:43:36</t>
  </si>
  <si>
    <t>28/10/2026 13:41:26</t>
  </si>
  <si>
    <t>Inicio GPS dentro de la tolerancia del horario programado.; Fin GPS anticipado: 02:48:34 antes de las 16:30.; 4 hueco(s) GPS &gt;= 10 min.</t>
  </si>
  <si>
    <t>6.225741, -75.599436</t>
  </si>
  <si>
    <t>6.249524, -75.553973</t>
  </si>
  <si>
    <t>a44dfa3044a643fe</t>
  </si>
  <si>
    <t>28_10_2026_JHP_Diur.gpx</t>
  </si>
  <si>
    <t>a44dfa3044a643feb3a5f932b8bc764de1c4f97ad1e3bd4c45b519f0499e22d7</t>
  </si>
  <si>
    <t>28/10/2026 07:28:59</t>
  </si>
  <si>
    <t>28/10/2026 16:07:45</t>
  </si>
  <si>
    <t>Inicio GPS anterior al horario: 01:01:01 antes de las 08:30.; Fin GPS anticipado: 00:22:15 antes de las 16:30.; 1 permanencia(s) GPS detectada(s); requiere contexto.</t>
  </si>
  <si>
    <t>6.290507, -75.546367</t>
  </si>
  <si>
    <t>6.272848, -75.574401</t>
  </si>
  <si>
    <t>28/10/2026 09:13:45</t>
  </si>
  <si>
    <t>28/10/2026 16:32:01</t>
  </si>
  <si>
    <t>Inicio GPS tardío: 00:43:45 después de las 08:30.; Fin GPS dentro de la tolerancia del horario programado.; 1 permanencia(s) GPS detectada(s); requiere contexto.</t>
  </si>
  <si>
    <t>6.203286, -75.600715</t>
  </si>
  <si>
    <t>6.221727, -75.593839</t>
  </si>
  <si>
    <t>bc7ec9e629e3270e</t>
  </si>
  <si>
    <t>28_10_2026_JP_Diur.gpx</t>
  </si>
  <si>
    <t>bc7ec9e629e3270e80667713ff344b0ee76eaa4fe1114221ad67436efaa3051c</t>
  </si>
  <si>
    <t>28/10/2026 08:22:51</t>
  </si>
  <si>
    <t>28/10/2026 16:05:32</t>
  </si>
  <si>
    <t>Inicio GPS dentro de la tolerancia del horario programado.; Fin GPS anticipado: 00:24:28 antes de las 16:30.</t>
  </si>
  <si>
    <t>6.225672, -75.599392</t>
  </si>
  <si>
    <t>6.251723, -75.551835</t>
  </si>
  <si>
    <t>55c7071f17f2cf0d</t>
  </si>
  <si>
    <t>28_10_2026_JZ_Diur.gpx</t>
  </si>
  <si>
    <t>55c7071f17f2cf0d35fa893d74377c88f3bdbba481fe6d58ccce21473b478118</t>
  </si>
  <si>
    <t>28/10/2026 08:41:30</t>
  </si>
  <si>
    <t>28/10/2026 16:10:36</t>
  </si>
  <si>
    <t>Inicio GPS dentro de la tolerancia del horario programado.; Fin GPS anticipado: 00:19:24 antes de las 16:30.; 1 hueco(s) GPS &gt;= 10 min.</t>
  </si>
  <si>
    <t>6.225652, -75.599468</t>
  </si>
  <si>
    <t>6.246913, -75.569756</t>
  </si>
  <si>
    <t>fc045f16e7a8e091</t>
  </si>
  <si>
    <t>28_10_2026_AO_Diur.gpx</t>
  </si>
  <si>
    <t>fc045f16e7a8e091965be9351639c3ffb13b892d4be7878a6410e284c8dea50c</t>
  </si>
  <si>
    <t>b6a218948f83a8b0</t>
  </si>
  <si>
    <t>28_10_2026_DR_Noct.gpx</t>
  </si>
  <si>
    <t>b6a218948f83a8b0dbeef5e23289f217aef8d65f91aa6d3bafd4d5beb4612cb6</t>
  </si>
  <si>
    <t>28/10/2026 18:01:21</t>
  </si>
  <si>
    <t>28/10/2026 22:39:00</t>
  </si>
  <si>
    <t>Inicio GPS dentro de la tolerancia del horario programado.; Fin GPS anticipado: 01:21:00 antes de las 00:00.</t>
  </si>
  <si>
    <t>6.254261, -75.610567</t>
  </si>
  <si>
    <t>6.278653, -75.630520</t>
  </si>
  <si>
    <t>c9a3de6f7c7c25ec</t>
  </si>
  <si>
    <t>28_10_2026_DV_Noct.gpx</t>
  </si>
  <si>
    <t>c9a3de6f7c7c25ec0b68c3e0e525b507972c0589625c71a6315d68155ebf8204</t>
  </si>
  <si>
    <t>28/10/2026 16:51:04</t>
  </si>
  <si>
    <t>29/10/2026 00:27:35</t>
  </si>
  <si>
    <t>Inicio GPS anterior al horario: 01:08:56 antes de las 18:00.; Fin GPS posterior: 00:27:35 después de las 00:00.; 1 permanencia(s) GPS detectada(s); requiere contexto.</t>
  </si>
  <si>
    <t>6.226731, -75.599261</t>
  </si>
  <si>
    <t>6.272507, -75.602221</t>
  </si>
  <si>
    <t>8250da0acdcfe466</t>
  </si>
  <si>
    <t>28_10_2026_IQ_Noct.gpx</t>
  </si>
  <si>
    <t>8250da0acdcfe466a5b88aeaa3e43b342746f7576c10f076150976cefc9a1733</t>
  </si>
  <si>
    <t>28/10/2026 15:55:01</t>
  </si>
  <si>
    <t>28/10/2026 23:49:21</t>
  </si>
  <si>
    <t>Inicio GPS anterior al horario: 02:04:59 antes de las 18:00.; Fin GPS dentro de la tolerancia del horario programado.; 2 hueco(s) GPS &gt;= 10 min.</t>
  </si>
  <si>
    <t>6.225683, -75.599109</t>
  </si>
  <si>
    <t>6.275907, -75.603697</t>
  </si>
  <si>
    <t>6141322e40790b7a</t>
  </si>
  <si>
    <t>28_10_2026_JA_Noct.gpx</t>
  </si>
  <si>
    <t>6141322e40790b7ab0404acc34261015298418f97506e8ea46e00443fa010529</t>
  </si>
  <si>
    <t>28/10/2026 16:41:10</t>
  </si>
  <si>
    <t>28/10/2026 22:55:52</t>
  </si>
  <si>
    <t>Inicio GPS anterior al horario: 01:18:50 antes de las 18:00.; Fin GPS anticipado: 01:04:08 antes de las 00:00.; 2 hueco(s) GPS &gt;= 10 min.</t>
  </si>
  <si>
    <t>6.225602, -75.599430</t>
  </si>
  <si>
    <t>6.237029, -75.558806</t>
  </si>
  <si>
    <t>22980d55f251f82d</t>
  </si>
  <si>
    <t>28_10_2026_JO_Noct.gpx</t>
  </si>
  <si>
    <t>22980d55f251f82d930203a06722b7eaa561ef44879fbcfaaab7f5ed02a75e00</t>
  </si>
  <si>
    <t>28/10/2026 17:56:25</t>
  </si>
  <si>
    <t>28/10/2026 23:51:15</t>
  </si>
  <si>
    <t>6.212496, -75.594096</t>
  </si>
  <si>
    <t>6.259224, -75.620929</t>
  </si>
  <si>
    <t>81cbdb47ad32e67f</t>
  </si>
  <si>
    <t>28_10_2026_SJ_Noct.gpx</t>
  </si>
  <si>
    <t>81cbdb47ad32e67f78806646aff892abf832d1b8cd7de8b64477e2c928b7267a</t>
  </si>
  <si>
    <t>28/10/2026 16:42:04</t>
  </si>
  <si>
    <t>28/10/2026 23:14:03</t>
  </si>
  <si>
    <t>Inicio GPS anterior al horario: 01:17:56 antes de las 18:00.; Fin GPS anticipado: 00:45:57 antes de las 00:00.</t>
  </si>
  <si>
    <t>6.225711, -75.599411</t>
  </si>
  <si>
    <t>6.306951, -75.576644</t>
  </si>
  <si>
    <t>28/10/2026 16:43:56</t>
  </si>
  <si>
    <t>29/10/2026 00:00:49</t>
  </si>
  <si>
    <t>6.226282, -75.599327</t>
  </si>
  <si>
    <t>6.252513, -75.582630</t>
  </si>
  <si>
    <t>03e955013cbd955c</t>
  </si>
  <si>
    <t>28_10_2026_LA_Noct.gpx</t>
  </si>
  <si>
    <t>03e955013cbd955c9512390701edd6ae86f9273be8100a7e8789022a3a0040bc</t>
  </si>
  <si>
    <t>Inicio GPS anterior al horario: 01:16:03 antes de las 18:00.; Fin GPS dentro de la tolerancia del horario programado.; 2 hueco(s) GPS &gt;= 10 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</si>
</sst>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2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5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59" totalsRowShown="0" headerRowDxfId="72" dataDxfId="71">
  <autoFilter ref="A1:AF104855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571"/>
  <sheetViews>
    <sheetView tabSelected="1" zoomScale="80" zoomScaleNormal="80" workbookViewId="0">
      <pane ySplit="1" topLeftCell="A552" activePane="bottomLeft" state="frozen"/>
      <selection pane="bottomLeft" activeCell="AN573" sqref="AN573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517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  <row r="473" spans="1:39" ht="15" x14ac:dyDescent="0.25">
      <c r="A473" s="9" t="s">
        <v>3892</v>
      </c>
      <c r="B473" s="9" t="s">
        <v>3893</v>
      </c>
      <c r="C473" s="9" t="s">
        <v>3894</v>
      </c>
      <c r="D473" s="9" t="s">
        <v>3856</v>
      </c>
      <c r="E473" s="9" t="s">
        <v>2619</v>
      </c>
      <c r="F473" s="9" t="s">
        <v>508</v>
      </c>
      <c r="G473" s="9" t="s">
        <v>113</v>
      </c>
      <c r="H473" s="9" t="s">
        <v>114</v>
      </c>
      <c r="I473" s="9" t="s">
        <v>115</v>
      </c>
      <c r="J473" s="9">
        <v>2587</v>
      </c>
      <c r="K473" s="9" t="s">
        <v>3895</v>
      </c>
      <c r="L473" s="9" t="s">
        <v>117</v>
      </c>
      <c r="M473" s="10">
        <v>9.0856481481481483E-3</v>
      </c>
      <c r="N473" s="9" t="s">
        <v>65</v>
      </c>
      <c r="O473" s="9" t="s">
        <v>3896</v>
      </c>
      <c r="P473" s="9" t="s">
        <v>119</v>
      </c>
      <c r="Q473" s="10">
        <v>1.712962962962963E-3</v>
      </c>
      <c r="R473" s="9" t="s">
        <v>46</v>
      </c>
      <c r="S473" s="10">
        <v>0.23920138888888889</v>
      </c>
      <c r="T473" s="9">
        <v>36.43</v>
      </c>
      <c r="U473" s="9">
        <v>8.6300000000000008</v>
      </c>
      <c r="V473" s="10">
        <v>0.1758912037037037</v>
      </c>
      <c r="W473" s="10">
        <v>0.11684027777777781</v>
      </c>
      <c r="X473" s="10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2</v>
      </c>
      <c r="AE473" s="9" t="s">
        <v>84</v>
      </c>
      <c r="AF473" s="9" t="s">
        <v>1384</v>
      </c>
      <c r="AG473" s="9" t="s">
        <v>3897</v>
      </c>
      <c r="AH473" s="9">
        <v>6.2591720000000004</v>
      </c>
      <c r="AI473" s="9">
        <v>-75.600713999999996</v>
      </c>
      <c r="AJ473" s="9" t="s">
        <v>3898</v>
      </c>
      <c r="AK473" s="9">
        <v>6.2478290000000003</v>
      </c>
      <c r="AL473" s="9">
        <v>-75.615061999999995</v>
      </c>
      <c r="AM473" s="26">
        <f t="shared" si="8"/>
        <v>0</v>
      </c>
    </row>
    <row r="474" spans="1:39" ht="15" x14ac:dyDescent="0.25">
      <c r="A474" s="9" t="s">
        <v>3899</v>
      </c>
      <c r="B474" s="9" t="s">
        <v>3900</v>
      </c>
      <c r="C474" s="9" t="s">
        <v>3901</v>
      </c>
      <c r="D474" s="9" t="s">
        <v>3856</v>
      </c>
      <c r="E474" s="9" t="s">
        <v>2619</v>
      </c>
      <c r="F474" s="9" t="s">
        <v>508</v>
      </c>
      <c r="G474" s="9" t="s">
        <v>124</v>
      </c>
      <c r="H474" s="9" t="s">
        <v>125</v>
      </c>
      <c r="I474" s="9" t="s">
        <v>115</v>
      </c>
      <c r="J474" s="9">
        <v>5039</v>
      </c>
      <c r="K474" s="9" t="s">
        <v>3902</v>
      </c>
      <c r="L474" s="9" t="s">
        <v>117</v>
      </c>
      <c r="M474" s="10">
        <v>5.3761574074074073E-2</v>
      </c>
      <c r="N474" s="9" t="s">
        <v>127</v>
      </c>
      <c r="O474" s="9" t="s">
        <v>3903</v>
      </c>
      <c r="P474" s="9" t="s">
        <v>119</v>
      </c>
      <c r="Q474" s="10">
        <v>1.667824074074074E-2</v>
      </c>
      <c r="R474" s="9" t="s">
        <v>129</v>
      </c>
      <c r="S474" s="10">
        <v>0.32043981481481482</v>
      </c>
      <c r="T474" s="9">
        <v>67.727000000000004</v>
      </c>
      <c r="U474" s="9">
        <v>13.5</v>
      </c>
      <c r="V474" s="10">
        <v>0.20905092592592589</v>
      </c>
      <c r="W474" s="10">
        <v>8.9733796296296298E-2</v>
      </c>
      <c r="X474" s="10">
        <v>1.7349537037037038E-2</v>
      </c>
      <c r="Y474" s="9">
        <v>1</v>
      </c>
      <c r="Z474" s="9">
        <v>1</v>
      </c>
      <c r="AA474" s="9">
        <v>0</v>
      </c>
      <c r="AB474" s="9">
        <v>0</v>
      </c>
      <c r="AC474" s="9">
        <v>0</v>
      </c>
      <c r="AD474" s="9">
        <v>0</v>
      </c>
      <c r="AE474" s="9" t="s">
        <v>130</v>
      </c>
      <c r="AF474" s="9" t="s">
        <v>3904</v>
      </c>
      <c r="AG474" s="9" t="s">
        <v>3905</v>
      </c>
      <c r="AH474" s="9">
        <v>6.2278919999999998</v>
      </c>
      <c r="AI474" s="9">
        <v>-75.599327000000002</v>
      </c>
      <c r="AJ474" s="9" t="s">
        <v>3906</v>
      </c>
      <c r="AK474" s="9">
        <v>6.2726980000000001</v>
      </c>
      <c r="AL474" s="9">
        <v>-75.602052</v>
      </c>
      <c r="AM474" s="26">
        <f t="shared" si="8"/>
        <v>0</v>
      </c>
    </row>
    <row r="475" spans="1:39" ht="15" x14ac:dyDescent="0.25">
      <c r="A475" s="9" t="s">
        <v>3907</v>
      </c>
      <c r="B475" s="9" t="s">
        <v>3908</v>
      </c>
      <c r="C475" s="9" t="s">
        <v>3909</v>
      </c>
      <c r="D475" s="9" t="s">
        <v>3856</v>
      </c>
      <c r="E475" s="9" t="s">
        <v>2619</v>
      </c>
      <c r="F475" s="9" t="s">
        <v>508</v>
      </c>
      <c r="G475" s="9" t="s">
        <v>135</v>
      </c>
      <c r="H475" s="9" t="s">
        <v>136</v>
      </c>
      <c r="I475" s="9" t="s">
        <v>115</v>
      </c>
      <c r="J475" s="9">
        <v>1276</v>
      </c>
      <c r="K475" s="9" t="s">
        <v>3910</v>
      </c>
      <c r="L475" s="9" t="s">
        <v>117</v>
      </c>
      <c r="M475" s="10">
        <v>3.4560185185185187E-2</v>
      </c>
      <c r="N475" s="9" t="s">
        <v>127</v>
      </c>
      <c r="O475" s="9" t="s">
        <v>3911</v>
      </c>
      <c r="P475" s="9" t="s">
        <v>119</v>
      </c>
      <c r="Q475" s="10">
        <v>8.86574074074074E-3</v>
      </c>
      <c r="R475" s="9" t="s">
        <v>46</v>
      </c>
      <c r="S475" s="10">
        <v>0.27569444444444452</v>
      </c>
      <c r="T475" s="9">
        <v>35.518999999999998</v>
      </c>
      <c r="U475" s="9">
        <v>8.77</v>
      </c>
      <c r="V475" s="10">
        <v>0.1688078703703704</v>
      </c>
      <c r="W475" s="10">
        <v>9.4421296296296295E-2</v>
      </c>
      <c r="X475" s="10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6</v>
      </c>
      <c r="AE475" s="9" t="s">
        <v>139</v>
      </c>
      <c r="AF475" s="9" t="s">
        <v>3912</v>
      </c>
      <c r="AG475" s="9" t="s">
        <v>3913</v>
      </c>
      <c r="AH475" s="9">
        <v>6.2280410000000002</v>
      </c>
      <c r="AI475" s="9">
        <v>-75.596376000000006</v>
      </c>
      <c r="AJ475" s="9" t="s">
        <v>3914</v>
      </c>
      <c r="AK475" s="9">
        <v>6.2725470000000003</v>
      </c>
      <c r="AL475" s="9">
        <v>-75.540334000000001</v>
      </c>
      <c r="AM475" s="26">
        <f t="shared" si="8"/>
        <v>0</v>
      </c>
    </row>
    <row r="476" spans="1:39" ht="15" x14ac:dyDescent="0.25">
      <c r="A476" s="9" t="s">
        <v>3915</v>
      </c>
      <c r="B476" s="9" t="s">
        <v>3916</v>
      </c>
      <c r="C476" s="9" t="s">
        <v>3917</v>
      </c>
      <c r="D476" s="9" t="s">
        <v>3856</v>
      </c>
      <c r="E476" s="9" t="s">
        <v>2619</v>
      </c>
      <c r="F476" s="9" t="s">
        <v>508</v>
      </c>
      <c r="G476" s="9" t="s">
        <v>72</v>
      </c>
      <c r="H476" s="9" t="s">
        <v>73</v>
      </c>
      <c r="I476" s="9" t="s">
        <v>115</v>
      </c>
      <c r="J476" s="9">
        <v>2385</v>
      </c>
      <c r="K476" s="9" t="s">
        <v>3918</v>
      </c>
      <c r="L476" s="9" t="s">
        <v>117</v>
      </c>
      <c r="M476" s="10">
        <v>5.903935185185185E-2</v>
      </c>
      <c r="N476" s="9" t="s">
        <v>127</v>
      </c>
      <c r="O476" s="9" t="s">
        <v>3919</v>
      </c>
      <c r="P476" s="9" t="s">
        <v>119</v>
      </c>
      <c r="Q476" s="10">
        <v>7.2337962962962965E-2</v>
      </c>
      <c r="R476" s="9" t="s">
        <v>56</v>
      </c>
      <c r="S476" s="10">
        <v>0.23670138888888889</v>
      </c>
      <c r="T476" s="9">
        <v>33.832999999999998</v>
      </c>
      <c r="U476" s="9">
        <v>6.8</v>
      </c>
      <c r="V476" s="10">
        <v>0.20729166666666671</v>
      </c>
      <c r="W476" s="10">
        <v>0.16829861111111111</v>
      </c>
      <c r="X476" s="10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1</v>
      </c>
      <c r="AE476" s="9" t="s">
        <v>139</v>
      </c>
      <c r="AF476" s="9" t="s">
        <v>3920</v>
      </c>
      <c r="AG476" s="9" t="s">
        <v>3921</v>
      </c>
      <c r="AH476" s="9">
        <v>6.2259380000000002</v>
      </c>
      <c r="AI476" s="9">
        <v>-75.599412000000001</v>
      </c>
      <c r="AJ476" s="9" t="s">
        <v>3922</v>
      </c>
      <c r="AK476" s="9">
        <v>6.2369620000000001</v>
      </c>
      <c r="AL476" s="9">
        <v>-75.558886000000001</v>
      </c>
      <c r="AM476" s="26">
        <f t="shared" si="8"/>
        <v>7.2337962962962965E-2</v>
      </c>
    </row>
    <row r="477" spans="1:39" ht="15" x14ac:dyDescent="0.25">
      <c r="A477" s="9" t="s">
        <v>3923</v>
      </c>
      <c r="B477" s="9" t="s">
        <v>3924</v>
      </c>
      <c r="C477" s="9" t="s">
        <v>3925</v>
      </c>
      <c r="D477" s="9" t="s">
        <v>3856</v>
      </c>
      <c r="E477" s="9" t="s">
        <v>2619</v>
      </c>
      <c r="F477" s="9" t="s">
        <v>508</v>
      </c>
      <c r="G477" s="9" t="s">
        <v>80</v>
      </c>
      <c r="H477" s="9" t="s">
        <v>81</v>
      </c>
      <c r="I477" s="9" t="s">
        <v>115</v>
      </c>
      <c r="J477" s="9">
        <v>6726</v>
      </c>
      <c r="K477" s="9" t="s">
        <v>3926</v>
      </c>
      <c r="L477" s="9" t="s">
        <v>117</v>
      </c>
      <c r="M477" s="10">
        <v>4.223369212962963E-2</v>
      </c>
      <c r="N477" s="9" t="s">
        <v>127</v>
      </c>
      <c r="O477" s="9" t="s">
        <v>3927</v>
      </c>
      <c r="P477" s="9" t="s">
        <v>119</v>
      </c>
      <c r="Q477" s="10">
        <v>5.0814583333333337E-3</v>
      </c>
      <c r="R477" s="9" t="s">
        <v>46</v>
      </c>
      <c r="S477" s="10">
        <v>0.28715223379629629</v>
      </c>
      <c r="T477" s="9">
        <v>46.881999999999998</v>
      </c>
      <c r="U477" s="9">
        <v>19.25</v>
      </c>
      <c r="V477" s="10">
        <v>0.10148484953703669</v>
      </c>
      <c r="W477" s="10">
        <v>4.2849513888888878E-2</v>
      </c>
      <c r="X477" s="10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13</v>
      </c>
      <c r="AE477" s="9" t="s">
        <v>139</v>
      </c>
      <c r="AF477" s="9" t="s">
        <v>3928</v>
      </c>
      <c r="AG477" s="9" t="s">
        <v>3929</v>
      </c>
      <c r="AH477" s="9">
        <v>6.2257300000000004</v>
      </c>
      <c r="AI477" s="9">
        <v>-75.599359000000007</v>
      </c>
      <c r="AJ477" s="9" t="s">
        <v>3930</v>
      </c>
      <c r="AK477" s="9">
        <v>6.2593240000000003</v>
      </c>
      <c r="AL477" s="9">
        <v>-75.620675000000006</v>
      </c>
      <c r="AM477" s="26">
        <f t="shared" si="8"/>
        <v>0</v>
      </c>
    </row>
    <row r="478" spans="1:39" ht="15" x14ac:dyDescent="0.25">
      <c r="A478" s="9" t="s">
        <v>3931</v>
      </c>
      <c r="B478" s="9" t="s">
        <v>3932</v>
      </c>
      <c r="C478" s="9" t="s">
        <v>3933</v>
      </c>
      <c r="D478" s="9" t="s">
        <v>3856</v>
      </c>
      <c r="E478" s="9" t="s">
        <v>2619</v>
      </c>
      <c r="F478" s="9" t="s">
        <v>508</v>
      </c>
      <c r="G478" s="9" t="s">
        <v>152</v>
      </c>
      <c r="H478" s="9" t="s">
        <v>153</v>
      </c>
      <c r="I478" s="9" t="s">
        <v>115</v>
      </c>
      <c r="J478" s="9">
        <v>5092</v>
      </c>
      <c r="K478" s="9" t="s">
        <v>3934</v>
      </c>
      <c r="L478" s="9" t="s">
        <v>117</v>
      </c>
      <c r="M478" s="10">
        <v>4.5335648148148153E-2</v>
      </c>
      <c r="N478" s="9" t="s">
        <v>127</v>
      </c>
      <c r="O478" s="9" t="s">
        <v>3935</v>
      </c>
      <c r="P478" s="9" t="s">
        <v>119</v>
      </c>
      <c r="Q478" s="10">
        <v>3.7037037037037041E-4</v>
      </c>
      <c r="R478" s="9" t="s">
        <v>46</v>
      </c>
      <c r="S478" s="10">
        <v>0.29570601851851852</v>
      </c>
      <c r="T478" s="9">
        <v>77.704999999999998</v>
      </c>
      <c r="U478" s="9">
        <v>14.9</v>
      </c>
      <c r="V478" s="10">
        <v>0.21728009259259259</v>
      </c>
      <c r="W478" s="10">
        <v>0.1166898148148148</v>
      </c>
      <c r="X478" s="10">
        <v>1.180555555555556E-2</v>
      </c>
      <c r="Y478" s="9">
        <v>1</v>
      </c>
      <c r="Z478" s="9">
        <v>1</v>
      </c>
      <c r="AA478" s="9">
        <v>0</v>
      </c>
      <c r="AB478" s="9">
        <v>0</v>
      </c>
      <c r="AC478" s="9">
        <v>0</v>
      </c>
      <c r="AD478" s="9">
        <v>0</v>
      </c>
      <c r="AE478" s="9" t="s">
        <v>139</v>
      </c>
      <c r="AF478" s="9" t="s">
        <v>3936</v>
      </c>
      <c r="AG478" s="9" t="s">
        <v>3937</v>
      </c>
      <c r="AH478" s="9">
        <v>6.225638</v>
      </c>
      <c r="AI478" s="9">
        <v>-75.599412000000001</v>
      </c>
      <c r="AJ478" s="9" t="s">
        <v>3938</v>
      </c>
      <c r="AK478" s="9">
        <v>6.2518820000000002</v>
      </c>
      <c r="AL478" s="9">
        <v>-75.551742000000004</v>
      </c>
      <c r="AM478" s="26">
        <f t="shared" si="8"/>
        <v>0</v>
      </c>
    </row>
    <row r="479" spans="1:39" ht="15" x14ac:dyDescent="0.25">
      <c r="A479" s="9" t="s">
        <v>3939</v>
      </c>
      <c r="B479" s="9" t="s">
        <v>3940</v>
      </c>
      <c r="C479" s="9" t="s">
        <v>3941</v>
      </c>
      <c r="D479" s="9" t="s">
        <v>3856</v>
      </c>
      <c r="E479" s="9" t="s">
        <v>2619</v>
      </c>
      <c r="F479" s="9" t="s">
        <v>508</v>
      </c>
      <c r="G479" s="9" t="s">
        <v>160</v>
      </c>
      <c r="H479" s="9" t="s">
        <v>161</v>
      </c>
      <c r="I479" s="9" t="s">
        <v>115</v>
      </c>
      <c r="J479" s="9">
        <v>10766</v>
      </c>
      <c r="K479" s="9" t="s">
        <v>3942</v>
      </c>
      <c r="L479" s="9" t="s">
        <v>117</v>
      </c>
      <c r="M479" s="10">
        <v>3.5478287037037037E-2</v>
      </c>
      <c r="N479" s="9" t="s">
        <v>127</v>
      </c>
      <c r="O479" s="9" t="s">
        <v>3943</v>
      </c>
      <c r="P479" s="9" t="s">
        <v>119</v>
      </c>
      <c r="Q479" s="10">
        <v>3.1094907407407408E-3</v>
      </c>
      <c r="R479" s="9" t="s">
        <v>46</v>
      </c>
      <c r="S479" s="10">
        <v>0.28858777777777778</v>
      </c>
      <c r="T479" s="9">
        <v>47.392000000000003</v>
      </c>
      <c r="U479" s="9">
        <v>12.16</v>
      </c>
      <c r="V479" s="10">
        <v>0.16239189814814831</v>
      </c>
      <c r="W479" s="10">
        <v>0.13039340277777781</v>
      </c>
      <c r="X479" s="10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4</v>
      </c>
      <c r="AE479" s="9" t="s">
        <v>139</v>
      </c>
      <c r="AF479" s="9" t="s">
        <v>3944</v>
      </c>
      <c r="AG479" s="9" t="s">
        <v>3945</v>
      </c>
      <c r="AH479" s="9">
        <v>6.2256099999999996</v>
      </c>
      <c r="AI479" s="9">
        <v>-75.599924999999999</v>
      </c>
      <c r="AJ479" s="9" t="s">
        <v>3946</v>
      </c>
      <c r="AK479" s="9">
        <v>6.2686149999999996</v>
      </c>
      <c r="AL479" s="9">
        <v>-75.599490000000003</v>
      </c>
      <c r="AM479" s="26">
        <f t="shared" si="8"/>
        <v>0</v>
      </c>
    </row>
    <row r="480" spans="1:39" ht="15" x14ac:dyDescent="0.25">
      <c r="A480" s="9" t="s">
        <v>3947</v>
      </c>
      <c r="B480" s="9" t="s">
        <v>3948</v>
      </c>
      <c r="C480" s="9" t="s">
        <v>3949</v>
      </c>
      <c r="D480" s="9" t="s">
        <v>3856</v>
      </c>
      <c r="E480" s="9" t="s">
        <v>2619</v>
      </c>
      <c r="F480" s="9" t="s">
        <v>508</v>
      </c>
      <c r="G480" s="9" t="s">
        <v>97</v>
      </c>
      <c r="H480" s="9" t="s">
        <v>98</v>
      </c>
      <c r="I480" s="9" t="s">
        <v>115</v>
      </c>
      <c r="J480" s="9">
        <v>2086</v>
      </c>
      <c r="K480" s="9" t="s">
        <v>3950</v>
      </c>
      <c r="L480" s="9" t="s">
        <v>117</v>
      </c>
      <c r="M480" s="10">
        <v>1.7650462962962962E-2</v>
      </c>
      <c r="N480" s="9" t="s">
        <v>43</v>
      </c>
      <c r="O480" s="9" t="s">
        <v>3951</v>
      </c>
      <c r="P480" s="9" t="s">
        <v>119</v>
      </c>
      <c r="Q480" s="10">
        <v>3.4930555555555548E-2</v>
      </c>
      <c r="R480" s="9" t="s">
        <v>56</v>
      </c>
      <c r="S480" s="10">
        <v>0.19741898148148149</v>
      </c>
      <c r="T480" s="9">
        <v>28.238</v>
      </c>
      <c r="U480" s="9">
        <v>8.11</v>
      </c>
      <c r="V480" s="10">
        <v>0.14512731481481481</v>
      </c>
      <c r="W480" s="10">
        <v>9.1122685185185182E-2</v>
      </c>
      <c r="X480" s="10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1</v>
      </c>
      <c r="AE480" s="9" t="s">
        <v>57</v>
      </c>
      <c r="AF480" s="9" t="s">
        <v>3952</v>
      </c>
      <c r="AG480" s="9" t="s">
        <v>3953</v>
      </c>
      <c r="AH480" s="9">
        <v>6.2228089999999998</v>
      </c>
      <c r="AI480" s="9">
        <v>-75.598541999999995</v>
      </c>
      <c r="AJ480" s="9" t="s">
        <v>3954</v>
      </c>
      <c r="AK480" s="9">
        <v>6.3052380000000001</v>
      </c>
      <c r="AL480" s="9">
        <v>-75.577174999999997</v>
      </c>
      <c r="AM480" s="26">
        <f t="shared" si="8"/>
        <v>5.2581018518518513E-2</v>
      </c>
    </row>
    <row r="481" spans="1:40" ht="15" x14ac:dyDescent="0.25">
      <c r="A481" s="9" t="s">
        <v>3955</v>
      </c>
      <c r="B481" s="9" t="s">
        <v>3956</v>
      </c>
      <c r="C481" s="9" t="s">
        <v>3957</v>
      </c>
      <c r="D481" s="9" t="s">
        <v>3856</v>
      </c>
      <c r="E481" s="9" t="s">
        <v>2619</v>
      </c>
      <c r="F481" s="9" t="s">
        <v>508</v>
      </c>
      <c r="G481" s="9" t="s">
        <v>105</v>
      </c>
      <c r="H481" s="9" t="s">
        <v>106</v>
      </c>
      <c r="I481" s="9" t="s">
        <v>115</v>
      </c>
      <c r="J481" s="9">
        <v>2564</v>
      </c>
      <c r="K481" s="9" t="s">
        <v>3958</v>
      </c>
      <c r="L481" s="9" t="s">
        <v>117</v>
      </c>
      <c r="M481" s="10">
        <v>2.104166666666667E-2</v>
      </c>
      <c r="N481" s="9" t="s">
        <v>43</v>
      </c>
      <c r="O481" s="9" t="s">
        <v>3959</v>
      </c>
      <c r="P481" s="9" t="s">
        <v>119</v>
      </c>
      <c r="Q481" s="10">
        <v>1.006944444444444E-3</v>
      </c>
      <c r="R481" s="9" t="s">
        <v>46</v>
      </c>
      <c r="S481" s="10">
        <v>0.22996527777777781</v>
      </c>
      <c r="T481" s="9">
        <v>68.587999999999994</v>
      </c>
      <c r="U481" s="9">
        <v>19.579999999999998</v>
      </c>
      <c r="V481" s="10">
        <v>0.1459375</v>
      </c>
      <c r="W481" s="10">
        <v>5.8981481481481482E-2</v>
      </c>
      <c r="X481" s="10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1</v>
      </c>
      <c r="AE481" s="9" t="s">
        <v>47</v>
      </c>
      <c r="AF481" s="9" t="s">
        <v>3960</v>
      </c>
      <c r="AG481" s="9" t="s">
        <v>3961</v>
      </c>
      <c r="AH481" s="9">
        <v>6.258216</v>
      </c>
      <c r="AI481" s="9">
        <v>-75.622231999999997</v>
      </c>
      <c r="AJ481" s="9" t="s">
        <v>3962</v>
      </c>
      <c r="AK481" s="9">
        <v>6.2584609999999996</v>
      </c>
      <c r="AL481" s="9">
        <v>-75.615835000000004</v>
      </c>
      <c r="AM481" s="26">
        <f t="shared" si="8"/>
        <v>2.104166666666667E-2</v>
      </c>
    </row>
    <row r="482" spans="1:40" ht="15" x14ac:dyDescent="0.25">
      <c r="A482" s="9" t="s">
        <v>3963</v>
      </c>
      <c r="B482" s="9" t="s">
        <v>3964</v>
      </c>
      <c r="C482" s="9" t="s">
        <v>3965</v>
      </c>
      <c r="D482" s="9" t="s">
        <v>3966</v>
      </c>
      <c r="E482" s="9" t="s">
        <v>2619</v>
      </c>
      <c r="F482" s="9" t="s">
        <v>37</v>
      </c>
      <c r="G482" s="9" t="s">
        <v>38</v>
      </c>
      <c r="H482" s="9" t="s">
        <v>39</v>
      </c>
      <c r="I482" s="9" t="s">
        <v>40</v>
      </c>
      <c r="J482" s="9">
        <v>1765</v>
      </c>
      <c r="K482" s="9" t="s">
        <v>3967</v>
      </c>
      <c r="L482" s="9" t="s">
        <v>42</v>
      </c>
      <c r="M482" s="10">
        <v>2.704861111111111E-2</v>
      </c>
      <c r="N482" s="9" t="s">
        <v>127</v>
      </c>
      <c r="O482" s="9" t="s">
        <v>3968</v>
      </c>
      <c r="P482" s="9" t="s">
        <v>45</v>
      </c>
      <c r="Q482" s="10">
        <v>2.0833333333333329E-3</v>
      </c>
      <c r="R482" s="9" t="s">
        <v>46</v>
      </c>
      <c r="S482" s="10">
        <v>0.35829861111111111</v>
      </c>
      <c r="T482" s="9">
        <v>23.791</v>
      </c>
      <c r="U482" s="9">
        <v>3.44</v>
      </c>
      <c r="V482" s="10">
        <v>0.28827546296296302</v>
      </c>
      <c r="W482" s="10">
        <v>0.25462962962962971</v>
      </c>
      <c r="X482" s="10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3</v>
      </c>
      <c r="AE482" s="9" t="s">
        <v>139</v>
      </c>
      <c r="AF482" s="9" t="s">
        <v>3969</v>
      </c>
      <c r="AG482" s="9" t="s">
        <v>3970</v>
      </c>
      <c r="AH482" s="9">
        <v>6.2257189999999998</v>
      </c>
      <c r="AI482" s="9">
        <v>-75.599436999999995</v>
      </c>
      <c r="AJ482" s="9" t="s">
        <v>3971</v>
      </c>
      <c r="AK482" s="9">
        <v>6.2503039999999999</v>
      </c>
      <c r="AL482" s="9">
        <v>-75.599763999999993</v>
      </c>
      <c r="AM482" s="26">
        <f t="shared" si="8"/>
        <v>0</v>
      </c>
    </row>
    <row r="483" spans="1:40" ht="15" x14ac:dyDescent="0.25">
      <c r="A483" s="9" t="s">
        <v>3972</v>
      </c>
      <c r="B483" s="9" t="s">
        <v>3973</v>
      </c>
      <c r="C483" s="9" t="s">
        <v>3974</v>
      </c>
      <c r="D483" s="9" t="s">
        <v>3966</v>
      </c>
      <c r="E483" s="9" t="s">
        <v>2619</v>
      </c>
      <c r="F483" s="9" t="s">
        <v>37</v>
      </c>
      <c r="G483" s="9" t="s">
        <v>52</v>
      </c>
      <c r="H483" s="9" t="s">
        <v>53</v>
      </c>
      <c r="I483" s="9" t="s">
        <v>40</v>
      </c>
      <c r="J483" s="9">
        <v>1765</v>
      </c>
      <c r="K483" s="9" t="s">
        <v>3967</v>
      </c>
      <c r="L483" s="9" t="s">
        <v>42</v>
      </c>
      <c r="M483" s="10">
        <v>2.704861111111111E-2</v>
      </c>
      <c r="N483" s="9" t="s">
        <v>127</v>
      </c>
      <c r="O483" s="9" t="s">
        <v>3968</v>
      </c>
      <c r="P483" s="9" t="s">
        <v>45</v>
      </c>
      <c r="Q483" s="10">
        <v>2.0833333333333329E-3</v>
      </c>
      <c r="R483" s="9" t="s">
        <v>46</v>
      </c>
      <c r="S483" s="10">
        <v>0.35829861111111111</v>
      </c>
      <c r="T483" s="9">
        <v>23.791</v>
      </c>
      <c r="U483" s="9">
        <v>3.44</v>
      </c>
      <c r="V483" s="10">
        <v>0.28827546296296302</v>
      </c>
      <c r="W483" s="10">
        <v>0.25462962962962971</v>
      </c>
      <c r="X483" s="10">
        <v>0</v>
      </c>
      <c r="Y483" s="9">
        <v>0</v>
      </c>
      <c r="Z483" s="9">
        <v>0</v>
      </c>
      <c r="AA483" s="9">
        <v>0</v>
      </c>
      <c r="AB483" s="9">
        <v>0</v>
      </c>
      <c r="AC483" s="9">
        <v>0</v>
      </c>
      <c r="AD483" s="9">
        <v>3</v>
      </c>
      <c r="AE483" s="9" t="s">
        <v>139</v>
      </c>
      <c r="AF483" s="9" t="s">
        <v>3969</v>
      </c>
      <c r="AG483" s="9" t="s">
        <v>3970</v>
      </c>
      <c r="AH483" s="9">
        <v>6.2257189999999998</v>
      </c>
      <c r="AI483" s="9">
        <v>-75.599436999999995</v>
      </c>
      <c r="AJ483" s="9" t="s">
        <v>3971</v>
      </c>
      <c r="AK483" s="9">
        <v>6.2503039999999999</v>
      </c>
      <c r="AL483" s="9">
        <v>-75.599763999999993</v>
      </c>
      <c r="AM483" s="26">
        <f t="shared" si="8"/>
        <v>0</v>
      </c>
    </row>
    <row r="484" spans="1:40" ht="15" x14ac:dyDescent="0.25">
      <c r="A484" s="9" t="s">
        <v>3975</v>
      </c>
      <c r="B484" s="9" t="s">
        <v>3976</v>
      </c>
      <c r="C484" s="9" t="s">
        <v>3977</v>
      </c>
      <c r="D484" s="9" t="s">
        <v>3966</v>
      </c>
      <c r="E484" s="9" t="s">
        <v>2619</v>
      </c>
      <c r="F484" s="9" t="s">
        <v>37</v>
      </c>
      <c r="G484" s="9" t="s">
        <v>144</v>
      </c>
      <c r="H484" s="9" t="s">
        <v>145</v>
      </c>
      <c r="I484" s="9" t="s">
        <v>40</v>
      </c>
      <c r="J484" s="9">
        <v>8095</v>
      </c>
      <c r="K484" s="9" t="s">
        <v>3978</v>
      </c>
      <c r="L484" s="9" t="s">
        <v>42</v>
      </c>
      <c r="M484" s="10">
        <v>3.6203703703703703E-2</v>
      </c>
      <c r="N484" s="9" t="s">
        <v>127</v>
      </c>
      <c r="O484" s="9" t="s">
        <v>3979</v>
      </c>
      <c r="P484" s="9" t="s">
        <v>45</v>
      </c>
      <c r="Q484" s="10">
        <v>1.8518518518518519E-3</v>
      </c>
      <c r="R484" s="9" t="s">
        <v>46</v>
      </c>
      <c r="S484" s="10">
        <v>0.36768518518518523</v>
      </c>
      <c r="T484" s="9">
        <v>109.85599999999999</v>
      </c>
      <c r="U484" s="9">
        <v>15.16</v>
      </c>
      <c r="V484" s="10">
        <v>0.30186342592592591</v>
      </c>
      <c r="W484" s="10">
        <v>7.3865740740740746E-2</v>
      </c>
      <c r="X484" s="10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1</v>
      </c>
      <c r="AE484" s="9" t="s">
        <v>139</v>
      </c>
      <c r="AF484" s="9" t="s">
        <v>3980</v>
      </c>
      <c r="AG484" s="9" t="s">
        <v>3981</v>
      </c>
      <c r="AH484" s="9">
        <v>6.2905749999999996</v>
      </c>
      <c r="AI484" s="9">
        <v>-75.546308999999994</v>
      </c>
      <c r="AJ484" s="9" t="s">
        <v>3982</v>
      </c>
      <c r="AK484" s="9">
        <v>6.2728120000000001</v>
      </c>
      <c r="AL484" s="9">
        <v>-75.574382</v>
      </c>
      <c r="AM484" s="26">
        <f t="shared" si="8"/>
        <v>0</v>
      </c>
    </row>
    <row r="485" spans="1:40" ht="15" x14ac:dyDescent="0.25">
      <c r="A485" s="9" t="s">
        <v>3983</v>
      </c>
      <c r="B485" s="9" t="s">
        <v>3984</v>
      </c>
      <c r="C485" s="9" t="s">
        <v>3985</v>
      </c>
      <c r="D485" s="9" t="s">
        <v>3966</v>
      </c>
      <c r="E485" s="9" t="s">
        <v>2619</v>
      </c>
      <c r="F485" s="9" t="s">
        <v>37</v>
      </c>
      <c r="G485" s="9" t="s">
        <v>89</v>
      </c>
      <c r="H485" s="9" t="s">
        <v>90</v>
      </c>
      <c r="I485" s="9" t="s">
        <v>40</v>
      </c>
      <c r="J485" s="9">
        <v>3683</v>
      </c>
      <c r="K485" s="9" t="s">
        <v>3986</v>
      </c>
      <c r="L485" s="9" t="s">
        <v>42</v>
      </c>
      <c r="M485" s="10">
        <v>5.3356481481481484E-3</v>
      </c>
      <c r="N485" s="9" t="s">
        <v>65</v>
      </c>
      <c r="O485" s="9" t="s">
        <v>3987</v>
      </c>
      <c r="P485" s="9" t="s">
        <v>45</v>
      </c>
      <c r="Q485" s="10">
        <v>5.3125000000000004E-3</v>
      </c>
      <c r="R485" s="9" t="s">
        <v>46</v>
      </c>
      <c r="S485" s="10">
        <v>0.3439814814814815</v>
      </c>
      <c r="T485" s="9">
        <v>43.228999999999999</v>
      </c>
      <c r="U485" s="9">
        <v>9.1199999999999992</v>
      </c>
      <c r="V485" s="10">
        <v>0.1975462962962963</v>
      </c>
      <c r="W485" s="10">
        <v>0.1106712962962963</v>
      </c>
      <c r="X485" s="10">
        <v>0</v>
      </c>
      <c r="Y485" s="9">
        <v>0</v>
      </c>
      <c r="Z485" s="9">
        <v>0</v>
      </c>
      <c r="AA485" s="9">
        <v>0</v>
      </c>
      <c r="AB485" s="9">
        <v>0</v>
      </c>
      <c r="AC485" s="9">
        <v>0</v>
      </c>
      <c r="AD485" s="9">
        <v>1</v>
      </c>
      <c r="AE485" s="9" t="s">
        <v>84</v>
      </c>
      <c r="AF485" s="9" t="s">
        <v>324</v>
      </c>
      <c r="AG485" s="9" t="s">
        <v>3988</v>
      </c>
      <c r="AH485" s="9">
        <v>6.2266640000000004</v>
      </c>
      <c r="AI485" s="9">
        <v>-75.599209999999999</v>
      </c>
      <c r="AJ485" s="9" t="s">
        <v>3989</v>
      </c>
      <c r="AK485" s="9">
        <v>6.2796599999999998</v>
      </c>
      <c r="AL485" s="9">
        <v>-75.572286000000005</v>
      </c>
      <c r="AM485" s="26">
        <f t="shared" si="8"/>
        <v>0</v>
      </c>
    </row>
    <row r="486" spans="1:40" ht="15" x14ac:dyDescent="0.25">
      <c r="A486" s="9" t="s">
        <v>3990</v>
      </c>
      <c r="B486" s="9" t="s">
        <v>3991</v>
      </c>
      <c r="C486" s="9" t="s">
        <v>3992</v>
      </c>
      <c r="D486" s="9" t="s">
        <v>3966</v>
      </c>
      <c r="E486" s="9" t="s">
        <v>2619</v>
      </c>
      <c r="F486" s="9" t="s">
        <v>37</v>
      </c>
      <c r="G486" s="9" t="s">
        <v>113</v>
      </c>
      <c r="H486" s="9" t="s">
        <v>114</v>
      </c>
      <c r="I486" s="9" t="s">
        <v>115</v>
      </c>
      <c r="J486" s="9">
        <v>687</v>
      </c>
      <c r="K486" s="9" t="s">
        <v>3993</v>
      </c>
      <c r="L486" s="9" t="s">
        <v>117</v>
      </c>
      <c r="M486" s="10">
        <v>3.5995370370370369E-3</v>
      </c>
      <c r="N486" s="9" t="s">
        <v>65</v>
      </c>
      <c r="O486" s="9" t="s">
        <v>3994</v>
      </c>
      <c r="P486" s="9" t="s">
        <v>119</v>
      </c>
      <c r="Q486" s="10">
        <v>9.8611111111111108E-2</v>
      </c>
      <c r="R486" s="9" t="s">
        <v>56</v>
      </c>
      <c r="S486" s="10">
        <v>0.14778935185185191</v>
      </c>
      <c r="T486" s="9">
        <v>10.305</v>
      </c>
      <c r="U486" s="9">
        <v>6.32</v>
      </c>
      <c r="V486" s="10">
        <v>6.7962962962962961E-2</v>
      </c>
      <c r="W486" s="10">
        <v>4.7245370370370368E-2</v>
      </c>
      <c r="X486" s="10">
        <v>0</v>
      </c>
      <c r="Y486" s="9">
        <v>0</v>
      </c>
      <c r="Z486" s="9">
        <v>0</v>
      </c>
      <c r="AA486" s="9">
        <v>0</v>
      </c>
      <c r="AB486" s="9">
        <v>0</v>
      </c>
      <c r="AC486" s="9">
        <v>0</v>
      </c>
      <c r="AD486" s="9">
        <v>0</v>
      </c>
      <c r="AE486" s="9" t="s">
        <v>67</v>
      </c>
      <c r="AF486" s="9" t="s">
        <v>3995</v>
      </c>
      <c r="AG486" s="9" t="s">
        <v>3996</v>
      </c>
      <c r="AH486" s="9">
        <v>6.2478800000000003</v>
      </c>
      <c r="AI486" s="9">
        <v>-75.615136000000007</v>
      </c>
      <c r="AJ486" s="9" t="s">
        <v>3997</v>
      </c>
      <c r="AK486" s="9">
        <v>6.2084429999999999</v>
      </c>
      <c r="AL486" s="9">
        <v>-75.591436999999999</v>
      </c>
      <c r="AM486" s="26">
        <f t="shared" si="8"/>
        <v>9.8611111111111108E-2</v>
      </c>
      <c r="AN486" s="1" t="s">
        <v>4061</v>
      </c>
    </row>
    <row r="487" spans="1:40" ht="15" x14ac:dyDescent="0.25">
      <c r="A487" s="9" t="s">
        <v>3998</v>
      </c>
      <c r="B487" s="9" t="s">
        <v>3999</v>
      </c>
      <c r="C487" s="9" t="s">
        <v>4000</v>
      </c>
      <c r="D487" s="9" t="s">
        <v>3966</v>
      </c>
      <c r="E487" s="9" t="s">
        <v>2619</v>
      </c>
      <c r="F487" s="9" t="s">
        <v>37</v>
      </c>
      <c r="G487" s="9" t="s">
        <v>124</v>
      </c>
      <c r="H487" s="9" t="s">
        <v>125</v>
      </c>
      <c r="I487" s="9" t="s">
        <v>115</v>
      </c>
      <c r="J487" s="9">
        <v>3634</v>
      </c>
      <c r="K487" s="9" t="s">
        <v>4001</v>
      </c>
      <c r="L487" s="9" t="s">
        <v>117</v>
      </c>
      <c r="M487" s="10">
        <v>3.7569444444444447E-2</v>
      </c>
      <c r="N487" s="9" t="s">
        <v>127</v>
      </c>
      <c r="O487" s="9" t="s">
        <v>4002</v>
      </c>
      <c r="P487" s="9" t="s">
        <v>119</v>
      </c>
      <c r="Q487" s="10">
        <v>3.123842592592593E-2</v>
      </c>
      <c r="R487" s="9" t="s">
        <v>129</v>
      </c>
      <c r="S487" s="10">
        <v>0.31880787037037039</v>
      </c>
      <c r="T487" s="9">
        <v>42.472999999999999</v>
      </c>
      <c r="U487" s="9">
        <v>9.33</v>
      </c>
      <c r="V487" s="10">
        <v>0.18966435185185179</v>
      </c>
      <c r="W487" s="10">
        <v>5.8761574074074077E-2</v>
      </c>
      <c r="X487" s="10">
        <v>2.778935185185185E-2</v>
      </c>
      <c r="Y487" s="9">
        <v>1</v>
      </c>
      <c r="Z487" s="9">
        <v>1</v>
      </c>
      <c r="AA487" s="9">
        <v>1</v>
      </c>
      <c r="AB487" s="9">
        <v>1</v>
      </c>
      <c r="AC487" s="9">
        <v>0</v>
      </c>
      <c r="AD487" s="9">
        <v>0</v>
      </c>
      <c r="AE487" s="9" t="s">
        <v>130</v>
      </c>
      <c r="AF487" s="9" t="s">
        <v>4003</v>
      </c>
      <c r="AG487" s="9" t="s">
        <v>4004</v>
      </c>
      <c r="AH487" s="9">
        <v>6.2395740000000002</v>
      </c>
      <c r="AI487" s="9">
        <v>-75.576549</v>
      </c>
      <c r="AJ487" s="9" t="s">
        <v>4005</v>
      </c>
      <c r="AK487" s="9">
        <v>6.2729270000000001</v>
      </c>
      <c r="AL487" s="9">
        <v>-75.601972000000004</v>
      </c>
      <c r="AM487" s="26">
        <f t="shared" si="8"/>
        <v>0</v>
      </c>
      <c r="AN487" s="1" t="s">
        <v>4061</v>
      </c>
    </row>
    <row r="488" spans="1:40" ht="15" x14ac:dyDescent="0.25">
      <c r="A488" s="9" t="s">
        <v>4006</v>
      </c>
      <c r="B488" s="9" t="s">
        <v>4007</v>
      </c>
      <c r="C488" s="9" t="s">
        <v>4008</v>
      </c>
      <c r="D488" s="9" t="s">
        <v>3966</v>
      </c>
      <c r="E488" s="9" t="s">
        <v>2619</v>
      </c>
      <c r="F488" s="9" t="s">
        <v>37</v>
      </c>
      <c r="G488" s="9" t="s">
        <v>135</v>
      </c>
      <c r="H488" s="9" t="s">
        <v>136</v>
      </c>
      <c r="I488" s="9" t="s">
        <v>115</v>
      </c>
      <c r="J488" s="9">
        <v>1388</v>
      </c>
      <c r="K488" s="9" t="s">
        <v>4009</v>
      </c>
      <c r="L488" s="9" t="s">
        <v>117</v>
      </c>
      <c r="M488" s="10">
        <v>5.5150462962962957E-2</v>
      </c>
      <c r="N488" s="9" t="s">
        <v>127</v>
      </c>
      <c r="O488" s="9" t="s">
        <v>4010</v>
      </c>
      <c r="P488" s="9" t="s">
        <v>119</v>
      </c>
      <c r="Q488" s="10">
        <v>1.097222222222222E-2</v>
      </c>
      <c r="R488" s="9" t="s">
        <v>56</v>
      </c>
      <c r="S488" s="10">
        <v>0.29417824074074073</v>
      </c>
      <c r="T488" s="9">
        <v>32.619999999999997</v>
      </c>
      <c r="U488" s="9">
        <v>8.5399999999999991</v>
      </c>
      <c r="V488" s="10">
        <v>0.15917824074074069</v>
      </c>
      <c r="W488" s="10">
        <v>0.1160069444444444</v>
      </c>
      <c r="X488" s="10">
        <v>0</v>
      </c>
      <c r="Y488" s="9">
        <v>0</v>
      </c>
      <c r="Z488" s="9">
        <v>0</v>
      </c>
      <c r="AA488" s="9">
        <v>0</v>
      </c>
      <c r="AB488" s="9">
        <v>0</v>
      </c>
      <c r="AC488" s="9">
        <v>0</v>
      </c>
      <c r="AD488" s="9">
        <v>2</v>
      </c>
      <c r="AE488" s="9" t="s">
        <v>139</v>
      </c>
      <c r="AF488" s="9" t="s">
        <v>4011</v>
      </c>
      <c r="AG488" s="9" t="s">
        <v>4012</v>
      </c>
      <c r="AH488" s="9">
        <v>6.2251979999999998</v>
      </c>
      <c r="AI488" s="9">
        <v>-75.599367999999998</v>
      </c>
      <c r="AJ488" s="9" t="s">
        <v>4013</v>
      </c>
      <c r="AK488" s="9">
        <v>6.2782410000000004</v>
      </c>
      <c r="AL488" s="9">
        <v>-75.538990999999996</v>
      </c>
      <c r="AM488" s="26">
        <f t="shared" si="8"/>
        <v>1.097222222222222E-2</v>
      </c>
      <c r="AN488" s="1" t="s">
        <v>4061</v>
      </c>
    </row>
    <row r="489" spans="1:40" ht="15" x14ac:dyDescent="0.25">
      <c r="A489" s="9" t="s">
        <v>4014</v>
      </c>
      <c r="B489" s="9" t="s">
        <v>4015</v>
      </c>
      <c r="C489" s="9" t="s">
        <v>4016</v>
      </c>
      <c r="D489" s="9" t="s">
        <v>3966</v>
      </c>
      <c r="E489" s="9" t="s">
        <v>2619</v>
      </c>
      <c r="F489" s="9" t="s">
        <v>37</v>
      </c>
      <c r="G489" s="9" t="s">
        <v>72</v>
      </c>
      <c r="H489" s="9" t="s">
        <v>73</v>
      </c>
      <c r="I489" s="9" t="s">
        <v>115</v>
      </c>
      <c r="J489" s="9">
        <v>2446</v>
      </c>
      <c r="K489" s="9" t="s">
        <v>4017</v>
      </c>
      <c r="L489" s="9" t="s">
        <v>117</v>
      </c>
      <c r="M489" s="10">
        <v>5.6377314814814818E-2</v>
      </c>
      <c r="N489" s="9" t="s">
        <v>127</v>
      </c>
      <c r="O489" s="9" t="s">
        <v>4018</v>
      </c>
      <c r="P489" s="9" t="s">
        <v>119</v>
      </c>
      <c r="Q489" s="10">
        <v>7.2581018518518517E-2</v>
      </c>
      <c r="R489" s="9" t="s">
        <v>56</v>
      </c>
      <c r="S489" s="10">
        <v>0.23379629629629631</v>
      </c>
      <c r="T489" s="9">
        <v>33.841000000000001</v>
      </c>
      <c r="U489" s="9">
        <v>7.35</v>
      </c>
      <c r="V489" s="10">
        <v>0.1917824074074074</v>
      </c>
      <c r="W489" s="10">
        <v>0.1427083333333333</v>
      </c>
      <c r="X489" s="10">
        <v>0</v>
      </c>
      <c r="Y489" s="9">
        <v>0</v>
      </c>
      <c r="Z489" s="9">
        <v>0</v>
      </c>
      <c r="AA489" s="9">
        <v>0</v>
      </c>
      <c r="AB489" s="9">
        <v>0</v>
      </c>
      <c r="AC489" s="9">
        <v>0</v>
      </c>
      <c r="AD489" s="9">
        <v>1</v>
      </c>
      <c r="AE489" s="9" t="s">
        <v>139</v>
      </c>
      <c r="AF489" s="9" t="s">
        <v>4019</v>
      </c>
      <c r="AG489" s="9" t="s">
        <v>4020</v>
      </c>
      <c r="AH489" s="9">
        <v>6.2256929999999997</v>
      </c>
      <c r="AI489" s="9">
        <v>-75.599402999999995</v>
      </c>
      <c r="AJ489" s="9" t="s">
        <v>4021</v>
      </c>
      <c r="AK489" s="9">
        <v>6.2369880000000002</v>
      </c>
      <c r="AL489" s="9">
        <v>-75.558808999999997</v>
      </c>
      <c r="AM489" s="26">
        <f t="shared" si="8"/>
        <v>7.2581018518518517E-2</v>
      </c>
      <c r="AN489" s="1" t="s">
        <v>4061</v>
      </c>
    </row>
    <row r="490" spans="1:40" ht="15" x14ac:dyDescent="0.25">
      <c r="A490" s="9" t="s">
        <v>4022</v>
      </c>
      <c r="B490" s="9" t="s">
        <v>4023</v>
      </c>
      <c r="C490" s="9" t="s">
        <v>4024</v>
      </c>
      <c r="D490" s="9" t="s">
        <v>3966</v>
      </c>
      <c r="E490" s="9" t="s">
        <v>2619</v>
      </c>
      <c r="F490" s="9" t="s">
        <v>37</v>
      </c>
      <c r="G490" s="9" t="s">
        <v>80</v>
      </c>
      <c r="H490" s="9" t="s">
        <v>81</v>
      </c>
      <c r="I490" s="9" t="s">
        <v>115</v>
      </c>
      <c r="J490" s="9">
        <v>2743</v>
      </c>
      <c r="K490" s="9" t="s">
        <v>4025</v>
      </c>
      <c r="L490" s="9" t="s">
        <v>117</v>
      </c>
      <c r="M490" s="10">
        <v>6.922083333333333E-3</v>
      </c>
      <c r="N490" s="9" t="s">
        <v>65</v>
      </c>
      <c r="O490" s="9" t="s">
        <v>4026</v>
      </c>
      <c r="P490" s="9" t="s">
        <v>119</v>
      </c>
      <c r="Q490" s="10">
        <v>7.4099884259259258E-3</v>
      </c>
      <c r="R490" s="9" t="s">
        <v>46</v>
      </c>
      <c r="S490" s="10">
        <v>0.2356679282407407</v>
      </c>
      <c r="T490" s="9">
        <v>19.832000000000001</v>
      </c>
      <c r="U490" s="9">
        <v>7.34</v>
      </c>
      <c r="V490" s="10">
        <v>0.11260608796296299</v>
      </c>
      <c r="W490" s="10">
        <v>8.8518946759259268E-2</v>
      </c>
      <c r="X490" s="10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9</v>
      </c>
      <c r="AE490" s="9" t="s">
        <v>84</v>
      </c>
      <c r="AF490" s="9" t="s">
        <v>3008</v>
      </c>
      <c r="AG490" s="9" t="s">
        <v>4027</v>
      </c>
      <c r="AH490" s="9">
        <v>6.2497939999999996</v>
      </c>
      <c r="AI490" s="9">
        <v>-75.584761</v>
      </c>
      <c r="AJ490" s="9" t="s">
        <v>4028</v>
      </c>
      <c r="AK490" s="9">
        <v>6.2594909999999997</v>
      </c>
      <c r="AL490" s="9">
        <v>-75.620588999999995</v>
      </c>
      <c r="AM490" s="26">
        <f t="shared" si="8"/>
        <v>0</v>
      </c>
      <c r="AN490" s="1" t="s">
        <v>4061</v>
      </c>
    </row>
    <row r="491" spans="1:40" ht="15" x14ac:dyDescent="0.25">
      <c r="A491" s="9" t="s">
        <v>4029</v>
      </c>
      <c r="B491" s="9" t="s">
        <v>4030</v>
      </c>
      <c r="C491" s="9" t="s">
        <v>4031</v>
      </c>
      <c r="D491" s="9" t="s">
        <v>3966</v>
      </c>
      <c r="E491" s="9" t="s">
        <v>2619</v>
      </c>
      <c r="F491" s="9" t="s">
        <v>37</v>
      </c>
      <c r="G491" s="9" t="s">
        <v>152</v>
      </c>
      <c r="H491" s="9" t="s">
        <v>153</v>
      </c>
      <c r="I491" s="9" t="s">
        <v>115</v>
      </c>
      <c r="J491" s="9">
        <v>1733</v>
      </c>
      <c r="K491" s="9" t="s">
        <v>4032</v>
      </c>
      <c r="L491" s="9" t="s">
        <v>117</v>
      </c>
      <c r="M491" s="10">
        <v>2.4560185185185181E-2</v>
      </c>
      <c r="N491" s="9" t="s">
        <v>43</v>
      </c>
      <c r="O491" s="9" t="s">
        <v>4033</v>
      </c>
      <c r="P491" s="9" t="s">
        <v>119</v>
      </c>
      <c r="Q491" s="10">
        <v>1.238425925925926E-3</v>
      </c>
      <c r="R491" s="9" t="s">
        <v>46</v>
      </c>
      <c r="S491" s="10">
        <v>0.22667824074074069</v>
      </c>
      <c r="T491" s="9">
        <v>22.762</v>
      </c>
      <c r="U491" s="9">
        <v>7.37</v>
      </c>
      <c r="V491" s="10">
        <v>0.12864583333333329</v>
      </c>
      <c r="W491" s="10">
        <v>9.2326388888888888E-2</v>
      </c>
      <c r="X491" s="10">
        <v>2.3773148148148151E-2</v>
      </c>
      <c r="Y491" s="9">
        <v>1</v>
      </c>
      <c r="Z491" s="9">
        <v>1</v>
      </c>
      <c r="AA491" s="9">
        <v>1</v>
      </c>
      <c r="AB491" s="9">
        <v>0</v>
      </c>
      <c r="AC491" s="9">
        <v>0</v>
      </c>
      <c r="AD491" s="9">
        <v>0</v>
      </c>
      <c r="AE491" s="9" t="s">
        <v>47</v>
      </c>
      <c r="AF491" s="9" t="s">
        <v>4034</v>
      </c>
      <c r="AG491" s="9" t="s">
        <v>4035</v>
      </c>
      <c r="AH491" s="9">
        <v>6.2517300000000002</v>
      </c>
      <c r="AI491" s="9">
        <v>-75.551739999999995</v>
      </c>
      <c r="AJ491" s="9" t="s">
        <v>4036</v>
      </c>
      <c r="AK491" s="9">
        <v>6.2517500000000004</v>
      </c>
      <c r="AL491" s="9">
        <v>-75.551732000000001</v>
      </c>
      <c r="AM491" s="26">
        <f t="shared" si="8"/>
        <v>2.4560185185185181E-2</v>
      </c>
      <c r="AN491" s="1" t="s">
        <v>4061</v>
      </c>
    </row>
    <row r="492" spans="1:40" ht="15" x14ac:dyDescent="0.25">
      <c r="A492" s="9" t="s">
        <v>4037</v>
      </c>
      <c r="B492" s="9" t="s">
        <v>4038</v>
      </c>
      <c r="C492" s="9" t="s">
        <v>4039</v>
      </c>
      <c r="D492" s="9" t="s">
        <v>3966</v>
      </c>
      <c r="E492" s="9" t="s">
        <v>2619</v>
      </c>
      <c r="F492" s="9" t="s">
        <v>37</v>
      </c>
      <c r="G492" s="9" t="s">
        <v>160</v>
      </c>
      <c r="H492" s="9" t="s">
        <v>161</v>
      </c>
      <c r="I492" s="9" t="s">
        <v>115</v>
      </c>
      <c r="J492" s="9">
        <v>11933</v>
      </c>
      <c r="K492" s="9" t="s">
        <v>4040</v>
      </c>
      <c r="L492" s="9" t="s">
        <v>117</v>
      </c>
      <c r="M492" s="10">
        <v>4.9263182870370369E-2</v>
      </c>
      <c r="N492" s="9" t="s">
        <v>127</v>
      </c>
      <c r="O492" s="9" t="s">
        <v>4041</v>
      </c>
      <c r="P492" s="9" t="s">
        <v>119</v>
      </c>
      <c r="Q492" s="10">
        <v>2.600231481481482E-3</v>
      </c>
      <c r="R492" s="9" t="s">
        <v>46</v>
      </c>
      <c r="S492" s="10">
        <v>0.30186341435185182</v>
      </c>
      <c r="T492" s="9">
        <v>58.390999999999998</v>
      </c>
      <c r="U492" s="9">
        <v>15.05</v>
      </c>
      <c r="V492" s="10">
        <v>0.16161192129629631</v>
      </c>
      <c r="W492" s="10">
        <v>0.11307856481481481</v>
      </c>
      <c r="X492" s="10">
        <v>0</v>
      </c>
      <c r="Y492" s="9">
        <v>0</v>
      </c>
      <c r="Z492" s="9">
        <v>0</v>
      </c>
      <c r="AA492" s="9">
        <v>0</v>
      </c>
      <c r="AB492" s="9">
        <v>0</v>
      </c>
      <c r="AC492" s="9">
        <v>0</v>
      </c>
      <c r="AD492" s="9">
        <v>3</v>
      </c>
      <c r="AE492" s="9" t="s">
        <v>139</v>
      </c>
      <c r="AF492" s="9" t="s">
        <v>4042</v>
      </c>
      <c r="AG492" s="9" t="s">
        <v>4043</v>
      </c>
      <c r="AH492" s="9">
        <v>6.2266649999999997</v>
      </c>
      <c r="AI492" s="9">
        <v>-75.599373</v>
      </c>
      <c r="AJ492" s="9" t="s">
        <v>4044</v>
      </c>
      <c r="AK492" s="9">
        <v>6.2685899999999997</v>
      </c>
      <c r="AL492" s="9">
        <v>-75.599512000000004</v>
      </c>
      <c r="AM492" s="26">
        <f t="shared" si="8"/>
        <v>0</v>
      </c>
      <c r="AN492" s="1" t="s">
        <v>4061</v>
      </c>
    </row>
    <row r="493" spans="1:40" ht="15" x14ac:dyDescent="0.25">
      <c r="A493" s="9" t="s">
        <v>4045</v>
      </c>
      <c r="B493" s="9" t="s">
        <v>4046</v>
      </c>
      <c r="C493" s="9" t="s">
        <v>4047</v>
      </c>
      <c r="D493" s="9" t="s">
        <v>3966</v>
      </c>
      <c r="E493" s="9" t="s">
        <v>2619</v>
      </c>
      <c r="F493" s="9" t="s">
        <v>37</v>
      </c>
      <c r="G493" s="9" t="s">
        <v>97</v>
      </c>
      <c r="H493" s="9" t="s">
        <v>98</v>
      </c>
      <c r="I493" s="9" t="s">
        <v>115</v>
      </c>
      <c r="J493" s="9">
        <v>1895</v>
      </c>
      <c r="K493" s="9" t="s">
        <v>4048</v>
      </c>
      <c r="L493" s="9" t="s">
        <v>117</v>
      </c>
      <c r="M493" s="10">
        <v>5.0462962962962961E-3</v>
      </c>
      <c r="N493" s="9" t="s">
        <v>65</v>
      </c>
      <c r="O493" s="9" t="s">
        <v>4049</v>
      </c>
      <c r="P493" s="9" t="s">
        <v>119</v>
      </c>
      <c r="Q493" s="10">
        <v>5.9201388888888887E-2</v>
      </c>
      <c r="R493" s="9" t="s">
        <v>56</v>
      </c>
      <c r="S493" s="10">
        <v>0.1857523148148148</v>
      </c>
      <c r="T493" s="9">
        <v>23.581</v>
      </c>
      <c r="U493" s="9">
        <v>9.57</v>
      </c>
      <c r="V493" s="10">
        <v>0.102662037037037</v>
      </c>
      <c r="W493" s="10">
        <v>5.6643518518518517E-2</v>
      </c>
      <c r="X493" s="10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9" t="s">
        <v>67</v>
      </c>
      <c r="AF493" s="9" t="s">
        <v>4050</v>
      </c>
      <c r="AG493" s="9" t="s">
        <v>4051</v>
      </c>
      <c r="AH493" s="9">
        <v>6.222747</v>
      </c>
      <c r="AI493" s="9">
        <v>-75.598646000000002</v>
      </c>
      <c r="AJ493" s="9" t="s">
        <v>4052</v>
      </c>
      <c r="AK493" s="9">
        <v>6.2405150000000003</v>
      </c>
      <c r="AL493" s="9">
        <v>-75.552284999999998</v>
      </c>
      <c r="AM493" s="26">
        <f t="shared" si="8"/>
        <v>5.9201388888888887E-2</v>
      </c>
      <c r="AN493" s="1" t="s">
        <v>4061</v>
      </c>
    </row>
    <row r="494" spans="1:40" ht="15" x14ac:dyDescent="0.25">
      <c r="A494" s="9" t="s">
        <v>4053</v>
      </c>
      <c r="B494" s="9" t="s">
        <v>4054</v>
      </c>
      <c r="C494" s="9" t="s">
        <v>4055</v>
      </c>
      <c r="D494" s="9" t="s">
        <v>3966</v>
      </c>
      <c r="E494" s="9" t="s">
        <v>2619</v>
      </c>
      <c r="F494" s="9" t="s">
        <v>37</v>
      </c>
      <c r="G494" s="9" t="s">
        <v>105</v>
      </c>
      <c r="H494" s="9" t="s">
        <v>106</v>
      </c>
      <c r="I494" s="9" t="s">
        <v>115</v>
      </c>
      <c r="J494" s="9">
        <v>6</v>
      </c>
      <c r="K494" s="9" t="s">
        <v>4056</v>
      </c>
      <c r="L494" s="9" t="s">
        <v>117</v>
      </c>
      <c r="M494" s="10">
        <v>1.3310185185185181E-3</v>
      </c>
      <c r="N494" s="9" t="s">
        <v>65</v>
      </c>
      <c r="O494" s="9" t="s">
        <v>4057</v>
      </c>
      <c r="P494" s="9" t="s">
        <v>119</v>
      </c>
      <c r="Q494" s="10">
        <v>0.25105324074074081</v>
      </c>
      <c r="R494" s="9" t="s">
        <v>56</v>
      </c>
      <c r="S494" s="10">
        <v>2.7777777777777778E-4</v>
      </c>
      <c r="T494" s="9">
        <v>7.8E-2</v>
      </c>
      <c r="U494" s="9">
        <v>11.75</v>
      </c>
      <c r="V494" s="10">
        <v>2.7777777777777778E-4</v>
      </c>
      <c r="W494" s="10">
        <v>9.2592592592592588E-5</v>
      </c>
      <c r="X494" s="10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 t="s">
        <v>67</v>
      </c>
      <c r="AF494" s="9" t="s">
        <v>4058</v>
      </c>
      <c r="AG494" s="9" t="s">
        <v>4059</v>
      </c>
      <c r="AH494" s="9">
        <v>6.258146</v>
      </c>
      <c r="AI494" s="9">
        <v>-75.615330999999998</v>
      </c>
      <c r="AJ494" s="9" t="s">
        <v>4060</v>
      </c>
      <c r="AK494" s="9">
        <v>6.258648</v>
      </c>
      <c r="AL494" s="9">
        <v>-75.615716000000006</v>
      </c>
      <c r="AM494" s="26">
        <f t="shared" si="8"/>
        <v>0.25105324074074081</v>
      </c>
      <c r="AN494" s="1" t="s">
        <v>4061</v>
      </c>
    </row>
    <row r="495" spans="1:40" ht="15" x14ac:dyDescent="0.25">
      <c r="A495" s="9" t="s">
        <v>4062</v>
      </c>
      <c r="B495" s="9" t="s">
        <v>4063</v>
      </c>
      <c r="C495" s="9" t="s">
        <v>4064</v>
      </c>
      <c r="D495" s="9" t="s">
        <v>4065</v>
      </c>
      <c r="E495" s="9" t="s">
        <v>2619</v>
      </c>
      <c r="F495" s="9" t="s">
        <v>169</v>
      </c>
      <c r="G495" s="9" t="s">
        <v>38</v>
      </c>
      <c r="H495" s="9" t="s">
        <v>39</v>
      </c>
      <c r="I495" s="9" t="s">
        <v>40</v>
      </c>
      <c r="J495" s="9">
        <v>3516</v>
      </c>
      <c r="K495" s="9" t="s">
        <v>4066</v>
      </c>
      <c r="L495" s="9" t="s">
        <v>42</v>
      </c>
      <c r="M495" s="10">
        <v>3.2523148148148148E-2</v>
      </c>
      <c r="N495" s="9" t="s">
        <v>43</v>
      </c>
      <c r="O495" s="9" t="s">
        <v>4067</v>
      </c>
      <c r="P495" s="9" t="s">
        <v>45</v>
      </c>
      <c r="Q495" s="10">
        <v>1.3541666666666669E-3</v>
      </c>
      <c r="R495" s="9" t="s">
        <v>46</v>
      </c>
      <c r="S495" s="10">
        <v>0.30216435185185192</v>
      </c>
      <c r="T495" s="9">
        <v>49.67</v>
      </c>
      <c r="U495" s="9">
        <v>10.199999999999999</v>
      </c>
      <c r="V495" s="10">
        <v>0.20281250000000001</v>
      </c>
      <c r="W495" s="10">
        <v>0.12973379629629631</v>
      </c>
      <c r="X495" s="10">
        <v>1.6597222222222222E-2</v>
      </c>
      <c r="Y495" s="9">
        <v>1</v>
      </c>
      <c r="Z495" s="9">
        <v>1</v>
      </c>
      <c r="AA495" s="9">
        <v>0</v>
      </c>
      <c r="AB495" s="9">
        <v>0</v>
      </c>
      <c r="AC495" s="9">
        <v>0</v>
      </c>
      <c r="AD495" s="9">
        <v>1</v>
      </c>
      <c r="AE495" s="9" t="s">
        <v>47</v>
      </c>
      <c r="AF495" s="9" t="s">
        <v>4068</v>
      </c>
      <c r="AG495" s="9" t="s">
        <v>4069</v>
      </c>
      <c r="AH495" s="9">
        <v>6.2032489999999996</v>
      </c>
      <c r="AI495" s="9">
        <v>-75.600742999999994</v>
      </c>
      <c r="AJ495" s="9" t="s">
        <v>4070</v>
      </c>
      <c r="AK495" s="9">
        <v>6.2321739999999997</v>
      </c>
      <c r="AL495" s="9">
        <v>-75.596885999999998</v>
      </c>
      <c r="AM495" s="26">
        <f t="shared" si="8"/>
        <v>3.2523148148148148E-2</v>
      </c>
    </row>
    <row r="496" spans="1:40" ht="15" x14ac:dyDescent="0.25">
      <c r="A496" s="9" t="s">
        <v>4071</v>
      </c>
      <c r="B496" s="9" t="s">
        <v>4072</v>
      </c>
      <c r="C496" s="9" t="s">
        <v>4073</v>
      </c>
      <c r="D496" s="9" t="s">
        <v>4065</v>
      </c>
      <c r="E496" s="9" t="s">
        <v>2619</v>
      </c>
      <c r="F496" s="9" t="s">
        <v>169</v>
      </c>
      <c r="G496" s="9" t="s">
        <v>52</v>
      </c>
      <c r="H496" s="9" t="s">
        <v>53</v>
      </c>
      <c r="I496" s="9" t="s">
        <v>40</v>
      </c>
      <c r="J496" s="9">
        <v>2797</v>
      </c>
      <c r="K496" s="9" t="s">
        <v>4074</v>
      </c>
      <c r="L496" s="9" t="s">
        <v>42</v>
      </c>
      <c r="M496" s="10">
        <v>3.1481481481481482E-3</v>
      </c>
      <c r="N496" s="9" t="s">
        <v>65</v>
      </c>
      <c r="O496" s="9" t="s">
        <v>4075</v>
      </c>
      <c r="P496" s="9" t="s">
        <v>45</v>
      </c>
      <c r="Q496" s="10">
        <v>5.7175925925925927E-3</v>
      </c>
      <c r="R496" s="9" t="s">
        <v>46</v>
      </c>
      <c r="S496" s="10">
        <v>0.33076388888888891</v>
      </c>
      <c r="T496" s="9">
        <v>39.484999999999999</v>
      </c>
      <c r="U496" s="9">
        <v>5.7</v>
      </c>
      <c r="V496" s="10">
        <v>0.28873842592592591</v>
      </c>
      <c r="W496" s="10">
        <v>0.23219907407407411</v>
      </c>
      <c r="X496" s="10">
        <v>0</v>
      </c>
      <c r="Y496" s="9">
        <v>0</v>
      </c>
      <c r="Z496" s="9">
        <v>0</v>
      </c>
      <c r="AA496" s="9">
        <v>0</v>
      </c>
      <c r="AB496" s="9">
        <v>0</v>
      </c>
      <c r="AC496" s="9">
        <v>0</v>
      </c>
      <c r="AD496" s="9">
        <v>3</v>
      </c>
      <c r="AE496" s="9" t="s">
        <v>84</v>
      </c>
      <c r="AF496" s="9" t="s">
        <v>292</v>
      </c>
      <c r="AG496" s="9" t="s">
        <v>4076</v>
      </c>
      <c r="AH496" s="9">
        <v>6.2256819999999999</v>
      </c>
      <c r="AI496" s="9">
        <v>-75.599463</v>
      </c>
      <c r="AJ496" s="9" t="s">
        <v>4077</v>
      </c>
      <c r="AK496" s="9">
        <v>6.2417860000000003</v>
      </c>
      <c r="AL496" s="9">
        <v>-75.607845999999995</v>
      </c>
      <c r="AM496" s="26">
        <f t="shared" si="8"/>
        <v>0</v>
      </c>
    </row>
    <row r="497" spans="1:40" ht="15" x14ac:dyDescent="0.25">
      <c r="A497" s="9" t="s">
        <v>4078</v>
      </c>
      <c r="B497" s="9" t="s">
        <v>4079</v>
      </c>
      <c r="C497" s="9" t="s">
        <v>4080</v>
      </c>
      <c r="D497" s="9" t="s">
        <v>4065</v>
      </c>
      <c r="E497" s="9" t="s">
        <v>2619</v>
      </c>
      <c r="F497" s="9" t="s">
        <v>169</v>
      </c>
      <c r="G497" s="9" t="s">
        <v>144</v>
      </c>
      <c r="H497" s="9" t="s">
        <v>145</v>
      </c>
      <c r="I497" s="9" t="s">
        <v>40</v>
      </c>
      <c r="J497" s="9">
        <v>6988</v>
      </c>
      <c r="K497" s="9" t="s">
        <v>4081</v>
      </c>
      <c r="L497" s="9" t="s">
        <v>42</v>
      </c>
      <c r="M497" s="10">
        <v>1.4120370370370369E-3</v>
      </c>
      <c r="N497" s="9" t="s">
        <v>65</v>
      </c>
      <c r="O497" s="9" t="s">
        <v>4082</v>
      </c>
      <c r="P497" s="9" t="s">
        <v>45</v>
      </c>
      <c r="Q497" s="10">
        <v>1.0856481481481481E-2</v>
      </c>
      <c r="R497" s="9" t="s">
        <v>56</v>
      </c>
      <c r="S497" s="10">
        <v>0.3210648148148148</v>
      </c>
      <c r="T497" s="9">
        <v>93.13</v>
      </c>
      <c r="U497" s="9">
        <v>15.72</v>
      </c>
      <c r="V497" s="10">
        <v>0.24684027777777781</v>
      </c>
      <c r="W497" s="10">
        <v>7.7210648148148153E-2</v>
      </c>
      <c r="X497" s="10">
        <v>0</v>
      </c>
      <c r="Y497" s="9">
        <v>0</v>
      </c>
      <c r="Z497" s="9">
        <v>0</v>
      </c>
      <c r="AA497" s="9">
        <v>0</v>
      </c>
      <c r="AB497" s="9">
        <v>0</v>
      </c>
      <c r="AC497" s="9">
        <v>0</v>
      </c>
      <c r="AD497" s="9">
        <v>0</v>
      </c>
      <c r="AE497" s="9" t="s">
        <v>67</v>
      </c>
      <c r="AF497" s="9" t="s">
        <v>4083</v>
      </c>
      <c r="AG497" s="9" t="s">
        <v>4084</v>
      </c>
      <c r="AH497" s="9">
        <v>6.2542340000000003</v>
      </c>
      <c r="AI497" s="9">
        <v>-75.574906999999996</v>
      </c>
      <c r="AJ497" s="9" t="s">
        <v>4085</v>
      </c>
      <c r="AK497" s="9">
        <v>6.2728339999999996</v>
      </c>
      <c r="AL497" s="9">
        <v>-75.574434999999994</v>
      </c>
      <c r="AM497" s="26">
        <f t="shared" si="8"/>
        <v>1.0856481481481481E-2</v>
      </c>
    </row>
    <row r="498" spans="1:40" ht="15" x14ac:dyDescent="0.25">
      <c r="A498" s="9" t="s">
        <v>4086</v>
      </c>
      <c r="B498" s="9" t="s">
        <v>4087</v>
      </c>
      <c r="C498" s="9" t="s">
        <v>4088</v>
      </c>
      <c r="D498" s="9" t="s">
        <v>4065</v>
      </c>
      <c r="E498" s="9" t="s">
        <v>2619</v>
      </c>
      <c r="F498" s="9" t="s">
        <v>169</v>
      </c>
      <c r="G498" s="9" t="s">
        <v>152</v>
      </c>
      <c r="H498" s="9" t="s">
        <v>153</v>
      </c>
      <c r="I498" s="9" t="s">
        <v>40</v>
      </c>
      <c r="J498" s="9">
        <v>4044</v>
      </c>
      <c r="K498" s="9" t="s">
        <v>4089</v>
      </c>
      <c r="L498" s="9" t="s">
        <v>42</v>
      </c>
      <c r="M498" s="10">
        <v>8.0787037037037043E-3</v>
      </c>
      <c r="N498" s="9" t="s">
        <v>65</v>
      </c>
      <c r="O498" s="9" t="s">
        <v>4090</v>
      </c>
      <c r="P498" s="9" t="s">
        <v>45</v>
      </c>
      <c r="Q498" s="10">
        <v>2.809027777777778E-2</v>
      </c>
      <c r="R498" s="9" t="s">
        <v>56</v>
      </c>
      <c r="S498" s="10">
        <v>0.29716435185185192</v>
      </c>
      <c r="T498" s="9">
        <v>51.698</v>
      </c>
      <c r="U498" s="9">
        <v>8.0500000000000007</v>
      </c>
      <c r="V498" s="10">
        <v>0.26775462962962959</v>
      </c>
      <c r="W498" s="10">
        <v>0.15445601851851851</v>
      </c>
      <c r="X498" s="10">
        <v>0</v>
      </c>
      <c r="Y498" s="9">
        <v>0</v>
      </c>
      <c r="Z498" s="9">
        <v>0</v>
      </c>
      <c r="AA498" s="9">
        <v>0</v>
      </c>
      <c r="AB498" s="9">
        <v>0</v>
      </c>
      <c r="AC498" s="9">
        <v>0</v>
      </c>
      <c r="AD498" s="9">
        <v>2</v>
      </c>
      <c r="AE498" s="9" t="s">
        <v>67</v>
      </c>
      <c r="AF498" s="9" t="s">
        <v>4091</v>
      </c>
      <c r="AG498" s="9" t="s">
        <v>4092</v>
      </c>
      <c r="AH498" s="9">
        <v>6.2256030000000004</v>
      </c>
      <c r="AI498" s="9">
        <v>-75.599320000000006</v>
      </c>
      <c r="AJ498" s="9" t="s">
        <v>4093</v>
      </c>
      <c r="AK498" s="9">
        <v>6.2516920000000002</v>
      </c>
      <c r="AL498" s="9">
        <v>-75.551850000000002</v>
      </c>
      <c r="AM498" s="26">
        <f t="shared" si="8"/>
        <v>2.809027777777778E-2</v>
      </c>
    </row>
    <row r="499" spans="1:40" ht="15" x14ac:dyDescent="0.25">
      <c r="A499" s="17" t="s">
        <v>4094</v>
      </c>
      <c r="B499" s="17" t="s">
        <v>4095</v>
      </c>
      <c r="C499" s="17" t="s">
        <v>4096</v>
      </c>
      <c r="D499" s="17" t="s">
        <v>4065</v>
      </c>
      <c r="E499" s="17" t="s">
        <v>2619</v>
      </c>
      <c r="F499" s="17" t="s">
        <v>169</v>
      </c>
      <c r="G499" s="17" t="s">
        <v>89</v>
      </c>
      <c r="H499" s="17" t="s">
        <v>90</v>
      </c>
      <c r="I499" s="17" t="s">
        <v>40</v>
      </c>
      <c r="J499" s="17">
        <v>996</v>
      </c>
      <c r="K499" s="17" t="s">
        <v>4097</v>
      </c>
      <c r="L499" s="17" t="s">
        <v>42</v>
      </c>
      <c r="M499" s="18">
        <v>9.2592592592592588E-5</v>
      </c>
      <c r="N499" s="17" t="s">
        <v>65</v>
      </c>
      <c r="O499" s="17" t="s">
        <v>4098</v>
      </c>
      <c r="P499" s="17" t="s">
        <v>45</v>
      </c>
      <c r="Q499" s="18">
        <v>0.17484953703703701</v>
      </c>
      <c r="R499" s="17" t="s">
        <v>56</v>
      </c>
      <c r="S499" s="18">
        <v>0.15857638888888889</v>
      </c>
      <c r="T499" s="17">
        <v>12.478999999999999</v>
      </c>
      <c r="U499" s="17">
        <v>3.56</v>
      </c>
      <c r="V499" s="18">
        <v>0.1459722222222222</v>
      </c>
      <c r="W499" s="18">
        <v>0.1218402777777778</v>
      </c>
      <c r="X499" s="18">
        <v>0</v>
      </c>
      <c r="Y499" s="17">
        <v>0</v>
      </c>
      <c r="Z499" s="17">
        <v>0</v>
      </c>
      <c r="AA499" s="17">
        <v>0</v>
      </c>
      <c r="AB499" s="17">
        <v>0</v>
      </c>
      <c r="AC499" s="17">
        <v>0</v>
      </c>
      <c r="AD499" s="17">
        <v>2</v>
      </c>
      <c r="AE499" s="17" t="s">
        <v>67</v>
      </c>
      <c r="AF499" s="17" t="s">
        <v>4099</v>
      </c>
      <c r="AG499" s="17" t="s">
        <v>4100</v>
      </c>
      <c r="AH499" s="17">
        <v>6.2267219999999996</v>
      </c>
      <c r="AI499" s="17">
        <v>-75.599194999999995</v>
      </c>
      <c r="AJ499" s="17" t="s">
        <v>4101</v>
      </c>
      <c r="AK499" s="17">
        <v>6.2575839999999996</v>
      </c>
      <c r="AL499" s="17">
        <v>-75.565866</v>
      </c>
      <c r="AM499" s="26">
        <f t="shared" si="8"/>
        <v>0.17484953703703701</v>
      </c>
    </row>
    <row r="500" spans="1:40" ht="15" x14ac:dyDescent="0.25">
      <c r="A500" s="9" t="s">
        <v>4102</v>
      </c>
      <c r="B500" s="9" t="s">
        <v>4103</v>
      </c>
      <c r="C500" s="9" t="s">
        <v>4104</v>
      </c>
      <c r="D500" s="9" t="s">
        <v>4065</v>
      </c>
      <c r="E500" s="9" t="s">
        <v>2619</v>
      </c>
      <c r="F500" s="9" t="s">
        <v>169</v>
      </c>
      <c r="G500" s="9" t="s">
        <v>113</v>
      </c>
      <c r="H500" s="9" t="s">
        <v>114</v>
      </c>
      <c r="I500" s="9" t="s">
        <v>115</v>
      </c>
      <c r="J500" s="9">
        <v>2423</v>
      </c>
      <c r="K500" s="9" t="s">
        <v>4105</v>
      </c>
      <c r="L500" s="9" t="s">
        <v>117</v>
      </c>
      <c r="M500" s="10">
        <v>1.008101851851852E-2</v>
      </c>
      <c r="N500" s="9" t="s">
        <v>65</v>
      </c>
      <c r="O500" s="9" t="s">
        <v>4106</v>
      </c>
      <c r="P500" s="9" t="s">
        <v>119</v>
      </c>
      <c r="Q500" s="10">
        <v>2.1134259259259259E-2</v>
      </c>
      <c r="R500" s="9" t="s">
        <v>56</v>
      </c>
      <c r="S500" s="10">
        <v>0.2187847222222222</v>
      </c>
      <c r="T500" s="9">
        <v>32.804000000000002</v>
      </c>
      <c r="U500" s="9">
        <v>8.4700000000000006</v>
      </c>
      <c r="V500" s="10">
        <v>0.16135416666666669</v>
      </c>
      <c r="W500" s="10">
        <v>0.112349537037037</v>
      </c>
      <c r="X500" s="10">
        <v>0</v>
      </c>
      <c r="Y500" s="9">
        <v>0</v>
      </c>
      <c r="Z500" s="9">
        <v>0</v>
      </c>
      <c r="AA500" s="9">
        <v>0</v>
      </c>
      <c r="AB500" s="9">
        <v>0</v>
      </c>
      <c r="AC500" s="9">
        <v>0</v>
      </c>
      <c r="AD500" s="9">
        <v>1</v>
      </c>
      <c r="AE500" s="9" t="s">
        <v>67</v>
      </c>
      <c r="AF500" s="9" t="s">
        <v>4107</v>
      </c>
      <c r="AG500" s="9" t="s">
        <v>4108</v>
      </c>
      <c r="AH500" s="9">
        <v>6.2359679999999997</v>
      </c>
      <c r="AI500" s="9">
        <v>-75.602344000000002</v>
      </c>
      <c r="AJ500" s="9" t="s">
        <v>4109</v>
      </c>
      <c r="AK500" s="9">
        <v>6.2506459999999997</v>
      </c>
      <c r="AL500" s="9">
        <v>-75.602125000000001</v>
      </c>
      <c r="AM500" s="26">
        <f t="shared" si="8"/>
        <v>2.1134259259259259E-2</v>
      </c>
      <c r="AN500" s="1" t="s">
        <v>4061</v>
      </c>
    </row>
    <row r="501" spans="1:40" ht="15" x14ac:dyDescent="0.25">
      <c r="A501" s="9" t="s">
        <v>4110</v>
      </c>
      <c r="B501" s="9" t="s">
        <v>4111</v>
      </c>
      <c r="C501" s="9" t="s">
        <v>4112</v>
      </c>
      <c r="D501" s="9" t="s">
        <v>4065</v>
      </c>
      <c r="E501" s="9" t="s">
        <v>2619</v>
      </c>
      <c r="F501" s="9" t="s">
        <v>169</v>
      </c>
      <c r="G501" s="9" t="s">
        <v>124</v>
      </c>
      <c r="H501" s="9" t="s">
        <v>125</v>
      </c>
      <c r="I501" s="9" t="s">
        <v>115</v>
      </c>
      <c r="J501" s="9">
        <v>5128</v>
      </c>
      <c r="K501" s="9" t="s">
        <v>4113</v>
      </c>
      <c r="L501" s="9" t="s">
        <v>117</v>
      </c>
      <c r="M501" s="10">
        <v>3.5000000000000003E-2</v>
      </c>
      <c r="N501" s="9" t="s">
        <v>127</v>
      </c>
      <c r="O501" s="9" t="s">
        <v>4114</v>
      </c>
      <c r="P501" s="9" t="s">
        <v>119</v>
      </c>
      <c r="Q501" s="10">
        <v>2.179398148148148E-2</v>
      </c>
      <c r="R501" s="9" t="s">
        <v>129</v>
      </c>
      <c r="S501" s="10">
        <v>0.30679398148148151</v>
      </c>
      <c r="T501" s="9">
        <v>65.921000000000006</v>
      </c>
      <c r="U501" s="9">
        <v>13.43</v>
      </c>
      <c r="V501" s="10">
        <v>0.2044560185185185</v>
      </c>
      <c r="W501" s="10">
        <v>6.9039351851851852E-2</v>
      </c>
      <c r="X501" s="10">
        <v>2.1250000000000002E-2</v>
      </c>
      <c r="Y501" s="9">
        <v>1</v>
      </c>
      <c r="Z501" s="9">
        <v>1</v>
      </c>
      <c r="AA501" s="9">
        <v>1</v>
      </c>
      <c r="AB501" s="9">
        <v>0</v>
      </c>
      <c r="AC501" s="9">
        <v>0</v>
      </c>
      <c r="AD501" s="9">
        <v>0</v>
      </c>
      <c r="AE501" s="9" t="s">
        <v>130</v>
      </c>
      <c r="AF501" s="9" t="s">
        <v>4115</v>
      </c>
      <c r="AG501" s="9" t="s">
        <v>4116</v>
      </c>
      <c r="AH501" s="9">
        <v>6.2583909999999996</v>
      </c>
      <c r="AI501" s="9">
        <v>-75.578305999999998</v>
      </c>
      <c r="AJ501" s="9" t="s">
        <v>4117</v>
      </c>
      <c r="AK501" s="9">
        <v>6.2726329999999999</v>
      </c>
      <c r="AL501" s="9">
        <v>-75.602018000000001</v>
      </c>
      <c r="AM501" s="26">
        <f t="shared" si="8"/>
        <v>0</v>
      </c>
      <c r="AN501" s="1" t="s">
        <v>4061</v>
      </c>
    </row>
    <row r="502" spans="1:40" ht="15" x14ac:dyDescent="0.25">
      <c r="A502" s="9" t="s">
        <v>4118</v>
      </c>
      <c r="B502" s="9" t="s">
        <v>4119</v>
      </c>
      <c r="C502" s="9" t="s">
        <v>4120</v>
      </c>
      <c r="D502" s="9" t="s">
        <v>4065</v>
      </c>
      <c r="E502" s="9" t="s">
        <v>2619</v>
      </c>
      <c r="F502" s="9" t="s">
        <v>169</v>
      </c>
      <c r="G502" s="9" t="s">
        <v>135</v>
      </c>
      <c r="H502" s="9" t="s">
        <v>136</v>
      </c>
      <c r="I502" s="9" t="s">
        <v>115</v>
      </c>
      <c r="J502" s="9">
        <v>2877</v>
      </c>
      <c r="K502" s="9" t="s">
        <v>4121</v>
      </c>
      <c r="L502" s="9" t="s">
        <v>117</v>
      </c>
      <c r="M502" s="10">
        <v>2.8912037037037042E-2</v>
      </c>
      <c r="N502" s="9" t="s">
        <v>127</v>
      </c>
      <c r="O502" s="9" t="s">
        <v>4122</v>
      </c>
      <c r="P502" s="9" t="s">
        <v>119</v>
      </c>
      <c r="Q502" s="10">
        <v>8.4837962962962966E-3</v>
      </c>
      <c r="R502" s="9" t="s">
        <v>46</v>
      </c>
      <c r="S502" s="10">
        <v>0.27042824074074068</v>
      </c>
      <c r="T502" s="9">
        <v>35.521000000000001</v>
      </c>
      <c r="U502" s="9">
        <v>6.01</v>
      </c>
      <c r="V502" s="10">
        <v>0.24630787037037041</v>
      </c>
      <c r="W502" s="10">
        <v>0.19563657407407409</v>
      </c>
      <c r="X502" s="10">
        <v>4.3321759259259261E-2</v>
      </c>
      <c r="Y502" s="9">
        <v>1</v>
      </c>
      <c r="Z502" s="9">
        <v>1</v>
      </c>
      <c r="AA502" s="9">
        <v>1</v>
      </c>
      <c r="AB502" s="9">
        <v>1</v>
      </c>
      <c r="AC502" s="9">
        <v>1</v>
      </c>
      <c r="AD502" s="9">
        <v>4</v>
      </c>
      <c r="AE502" s="9" t="s">
        <v>139</v>
      </c>
      <c r="AF502" s="9" t="s">
        <v>4123</v>
      </c>
      <c r="AG502" s="9" t="s">
        <v>4124</v>
      </c>
      <c r="AH502" s="9">
        <v>6.2420349999999996</v>
      </c>
      <c r="AI502" s="9">
        <v>-75.619494000000003</v>
      </c>
      <c r="AJ502" s="9" t="s">
        <v>4125</v>
      </c>
      <c r="AK502" s="9">
        <v>6.2723810000000002</v>
      </c>
      <c r="AL502" s="9">
        <v>-75.540345000000002</v>
      </c>
      <c r="AM502" s="26">
        <f t="shared" si="8"/>
        <v>0</v>
      </c>
      <c r="AN502" s="1" t="s">
        <v>4061</v>
      </c>
    </row>
    <row r="503" spans="1:40" ht="15" x14ac:dyDescent="0.25">
      <c r="A503" s="9" t="s">
        <v>4126</v>
      </c>
      <c r="B503" s="9" t="s">
        <v>4127</v>
      </c>
      <c r="C503" s="9" t="s">
        <v>4128</v>
      </c>
      <c r="D503" s="9" t="s">
        <v>4065</v>
      </c>
      <c r="E503" s="9" t="s">
        <v>2619</v>
      </c>
      <c r="F503" s="9" t="s">
        <v>169</v>
      </c>
      <c r="G503" s="9" t="s">
        <v>72</v>
      </c>
      <c r="H503" s="9" t="s">
        <v>73</v>
      </c>
      <c r="I503" s="9" t="s">
        <v>115</v>
      </c>
      <c r="J503" s="9">
        <v>2521</v>
      </c>
      <c r="K503" s="9" t="s">
        <v>4129</v>
      </c>
      <c r="L503" s="9" t="s">
        <v>117</v>
      </c>
      <c r="M503" s="10">
        <v>5.8969907407407408E-2</v>
      </c>
      <c r="N503" s="9" t="s">
        <v>127</v>
      </c>
      <c r="O503" s="9" t="s">
        <v>4130</v>
      </c>
      <c r="P503" s="9" t="s">
        <v>119</v>
      </c>
      <c r="Q503" s="10">
        <v>0.1003125</v>
      </c>
      <c r="R503" s="9" t="s">
        <v>56</v>
      </c>
      <c r="S503" s="10">
        <v>0.2086574074074074</v>
      </c>
      <c r="T503" s="9">
        <v>39.027000000000001</v>
      </c>
      <c r="U503" s="9">
        <v>10.95</v>
      </c>
      <c r="V503" s="10">
        <v>0.1484375</v>
      </c>
      <c r="W503" s="10">
        <v>0.1052430555555556</v>
      </c>
      <c r="X503" s="10">
        <v>0</v>
      </c>
      <c r="Y503" s="9">
        <v>0</v>
      </c>
      <c r="Z503" s="9">
        <v>0</v>
      </c>
      <c r="AA503" s="9">
        <v>0</v>
      </c>
      <c r="AB503" s="9">
        <v>0</v>
      </c>
      <c r="AC503" s="9">
        <v>0</v>
      </c>
      <c r="AD503" s="9">
        <v>1</v>
      </c>
      <c r="AE503" s="9" t="s">
        <v>139</v>
      </c>
      <c r="AF503" s="9" t="s">
        <v>4131</v>
      </c>
      <c r="AG503" s="9" t="s">
        <v>4132</v>
      </c>
      <c r="AH503" s="9">
        <v>6.2256159999999996</v>
      </c>
      <c r="AI503" s="9">
        <v>-75.599318999999994</v>
      </c>
      <c r="AJ503" s="9" t="s">
        <v>4133</v>
      </c>
      <c r="AK503" s="9">
        <v>6.2370099999999997</v>
      </c>
      <c r="AL503" s="9">
        <v>-75.558869999999999</v>
      </c>
      <c r="AM503" s="26">
        <f t="shared" si="8"/>
        <v>0.1003125</v>
      </c>
      <c r="AN503" s="1" t="s">
        <v>4061</v>
      </c>
    </row>
    <row r="504" spans="1:40" ht="15" x14ac:dyDescent="0.25">
      <c r="A504" s="9" t="s">
        <v>4134</v>
      </c>
      <c r="B504" s="9" t="s">
        <v>4135</v>
      </c>
      <c r="C504" s="9" t="s">
        <v>4136</v>
      </c>
      <c r="D504" s="9" t="s">
        <v>4065</v>
      </c>
      <c r="E504" s="9" t="s">
        <v>2619</v>
      </c>
      <c r="F504" s="9" t="s">
        <v>169</v>
      </c>
      <c r="G504" s="9" t="s">
        <v>80</v>
      </c>
      <c r="H504" s="9" t="s">
        <v>81</v>
      </c>
      <c r="I504" s="9" t="s">
        <v>115</v>
      </c>
      <c r="J504" s="9">
        <v>10547</v>
      </c>
      <c r="K504" s="9" t="s">
        <v>4137</v>
      </c>
      <c r="L504" s="9" t="s">
        <v>117</v>
      </c>
      <c r="M504" s="10">
        <v>6.4387488425925926E-2</v>
      </c>
      <c r="N504" s="9" t="s">
        <v>127</v>
      </c>
      <c r="O504" s="9" t="s">
        <v>4138</v>
      </c>
      <c r="P504" s="9" t="s">
        <v>119</v>
      </c>
      <c r="Q504" s="10">
        <v>1.060381944444445E-3</v>
      </c>
      <c r="R504" s="9" t="s">
        <v>46</v>
      </c>
      <c r="S504" s="10">
        <v>0.31332710648148149</v>
      </c>
      <c r="T504" s="9">
        <v>64.603999999999999</v>
      </c>
      <c r="U504" s="9">
        <v>35.76</v>
      </c>
      <c r="V504" s="10">
        <v>7.5272013888889003E-2</v>
      </c>
      <c r="W504" s="10">
        <v>1.129078703703704E-2</v>
      </c>
      <c r="X504" s="10">
        <v>8.8864351851851847E-3</v>
      </c>
      <c r="Y504" s="9">
        <v>1</v>
      </c>
      <c r="Z504" s="9">
        <v>0</v>
      </c>
      <c r="AA504" s="9">
        <v>0</v>
      </c>
      <c r="AB504" s="9">
        <v>0</v>
      </c>
      <c r="AC504" s="9">
        <v>0</v>
      </c>
      <c r="AD504" s="9">
        <v>6</v>
      </c>
      <c r="AE504" s="9" t="s">
        <v>139</v>
      </c>
      <c r="AF504" s="9" t="s">
        <v>4139</v>
      </c>
      <c r="AG504" s="9" t="s">
        <v>4140</v>
      </c>
      <c r="AH504" s="9">
        <v>6.2293250000000002</v>
      </c>
      <c r="AI504" s="9">
        <v>-75.602058999999997</v>
      </c>
      <c r="AJ504" s="9" t="s">
        <v>4141</v>
      </c>
      <c r="AK504" s="9">
        <v>6.2256070000000001</v>
      </c>
      <c r="AL504" s="9">
        <v>-75.599417000000003</v>
      </c>
      <c r="AM504" s="26">
        <f t="shared" si="8"/>
        <v>0</v>
      </c>
      <c r="AN504" s="1" t="s">
        <v>4061</v>
      </c>
    </row>
    <row r="505" spans="1:40" ht="15" x14ac:dyDescent="0.25">
      <c r="A505" s="9" t="s">
        <v>4142</v>
      </c>
      <c r="B505" s="9" t="s">
        <v>4143</v>
      </c>
      <c r="C505" s="9" t="s">
        <v>4144</v>
      </c>
      <c r="D505" s="9" t="s">
        <v>4065</v>
      </c>
      <c r="E505" s="9" t="s">
        <v>2619</v>
      </c>
      <c r="F505" s="9" t="s">
        <v>169</v>
      </c>
      <c r="G505" s="9" t="s">
        <v>160</v>
      </c>
      <c r="H505" s="9" t="s">
        <v>161</v>
      </c>
      <c r="I505" s="9" t="s">
        <v>115</v>
      </c>
      <c r="J505" s="9">
        <v>11761</v>
      </c>
      <c r="K505" s="9" t="s">
        <v>4145</v>
      </c>
      <c r="L505" s="9" t="s">
        <v>117</v>
      </c>
      <c r="M505" s="10">
        <v>4.2955335648148137E-2</v>
      </c>
      <c r="N505" s="9" t="s">
        <v>127</v>
      </c>
      <c r="O505" s="9" t="s">
        <v>4146</v>
      </c>
      <c r="P505" s="9" t="s">
        <v>119</v>
      </c>
      <c r="Q505" s="10">
        <v>2.4265856481481482E-3</v>
      </c>
      <c r="R505" s="9" t="s">
        <v>46</v>
      </c>
      <c r="S505" s="10">
        <v>0.29538192129629631</v>
      </c>
      <c r="T505" s="9">
        <v>60.771999999999998</v>
      </c>
      <c r="U505" s="9">
        <v>13.64</v>
      </c>
      <c r="V505" s="10">
        <v>0.18567864583333321</v>
      </c>
      <c r="W505" s="10">
        <v>0.12480321759259259</v>
      </c>
      <c r="X505" s="10">
        <v>0</v>
      </c>
      <c r="Y505" s="9">
        <v>0</v>
      </c>
      <c r="Z505" s="9">
        <v>0</v>
      </c>
      <c r="AA505" s="9">
        <v>0</v>
      </c>
      <c r="AB505" s="9">
        <v>0</v>
      </c>
      <c r="AC505" s="9">
        <v>0</v>
      </c>
      <c r="AD505" s="9">
        <v>1</v>
      </c>
      <c r="AE505" s="9" t="s">
        <v>139</v>
      </c>
      <c r="AF505" s="9" t="s">
        <v>4147</v>
      </c>
      <c r="AG505" s="9" t="s">
        <v>4148</v>
      </c>
      <c r="AH505" s="9">
        <v>6.2267349999999997</v>
      </c>
      <c r="AI505" s="9">
        <v>-75.599272999999997</v>
      </c>
      <c r="AJ505" s="9" t="s">
        <v>4149</v>
      </c>
      <c r="AK505" s="9">
        <v>6.2683949999999999</v>
      </c>
      <c r="AL505" s="9">
        <v>-75.599341999999993</v>
      </c>
      <c r="AM505" s="26">
        <f t="shared" si="8"/>
        <v>0</v>
      </c>
      <c r="AN505" s="1" t="s">
        <v>4061</v>
      </c>
    </row>
    <row r="506" spans="1:40" ht="15" x14ac:dyDescent="0.25">
      <c r="A506" s="17" t="s">
        <v>4150</v>
      </c>
      <c r="B506" s="17" t="s">
        <v>4151</v>
      </c>
      <c r="C506" s="17" t="s">
        <v>4152</v>
      </c>
      <c r="D506" s="17" t="s">
        <v>4065</v>
      </c>
      <c r="E506" s="17" t="s">
        <v>2619</v>
      </c>
      <c r="F506" s="17" t="s">
        <v>169</v>
      </c>
      <c r="G506" s="17" t="s">
        <v>97</v>
      </c>
      <c r="H506" s="17" t="s">
        <v>98</v>
      </c>
      <c r="I506" s="17" t="s">
        <v>115</v>
      </c>
      <c r="J506" s="17">
        <v>3475</v>
      </c>
      <c r="K506" s="17" t="s">
        <v>4153</v>
      </c>
      <c r="L506" s="17" t="s">
        <v>117</v>
      </c>
      <c r="M506" s="18">
        <v>5.800925925925926E-2</v>
      </c>
      <c r="N506" s="17" t="s">
        <v>127</v>
      </c>
      <c r="O506" s="17" t="s">
        <v>4154</v>
      </c>
      <c r="P506" s="17" t="s">
        <v>119</v>
      </c>
      <c r="Q506" s="18">
        <v>4.6990740740740743E-3</v>
      </c>
      <c r="R506" s="17" t="s">
        <v>46</v>
      </c>
      <c r="S506" s="18">
        <v>0.30331018518518521</v>
      </c>
      <c r="T506" s="17">
        <v>47.524000000000001</v>
      </c>
      <c r="U506" s="17">
        <v>11.19</v>
      </c>
      <c r="V506" s="18">
        <v>0.1769212962962963</v>
      </c>
      <c r="W506" s="18">
        <v>9.7199074074074077E-2</v>
      </c>
      <c r="X506" s="18">
        <v>3.3553240740740738E-2</v>
      </c>
      <c r="Y506" s="17">
        <v>1</v>
      </c>
      <c r="Z506" s="17">
        <v>1</v>
      </c>
      <c r="AA506" s="17">
        <v>1</v>
      </c>
      <c r="AB506" s="17">
        <v>1</v>
      </c>
      <c r="AC506" s="17">
        <v>0</v>
      </c>
      <c r="AD506" s="17">
        <v>0</v>
      </c>
      <c r="AE506" s="17" t="s">
        <v>139</v>
      </c>
      <c r="AF506" s="17" t="s">
        <v>4155</v>
      </c>
      <c r="AG506" s="17" t="s">
        <v>4156</v>
      </c>
      <c r="AH506" s="17">
        <v>6.2257040000000003</v>
      </c>
      <c r="AI506" s="17">
        <v>-75.599407999999997</v>
      </c>
      <c r="AJ506" s="17" t="s">
        <v>4157</v>
      </c>
      <c r="AK506" s="17">
        <v>6.3082580000000004</v>
      </c>
      <c r="AL506" s="17">
        <v>-75.581629000000007</v>
      </c>
      <c r="AM506" s="26">
        <f t="shared" si="8"/>
        <v>0</v>
      </c>
      <c r="AN506" s="1" t="s">
        <v>4061</v>
      </c>
    </row>
    <row r="507" spans="1:40" ht="15" x14ac:dyDescent="0.25">
      <c r="A507" s="9" t="s">
        <v>4158</v>
      </c>
      <c r="B507" s="9" t="s">
        <v>4159</v>
      </c>
      <c r="C507" s="9" t="s">
        <v>4160</v>
      </c>
      <c r="D507" s="9" t="s">
        <v>4161</v>
      </c>
      <c r="E507" s="9" t="s">
        <v>2619</v>
      </c>
      <c r="F507" s="9" t="s">
        <v>315</v>
      </c>
      <c r="G507" s="9" t="s">
        <v>38</v>
      </c>
      <c r="H507" s="9" t="s">
        <v>39</v>
      </c>
      <c r="I507" s="9" t="s">
        <v>40</v>
      </c>
      <c r="J507" s="9">
        <v>4608</v>
      </c>
      <c r="K507" s="9" t="s">
        <v>4162</v>
      </c>
      <c r="L507" s="9" t="s">
        <v>42</v>
      </c>
      <c r="M507" s="10">
        <v>5.0416666666666672E-2</v>
      </c>
      <c r="N507" s="9" t="s">
        <v>43</v>
      </c>
      <c r="O507" s="9" t="s">
        <v>4163</v>
      </c>
      <c r="P507" s="9" t="s">
        <v>45</v>
      </c>
      <c r="Q507" s="10">
        <v>3.0787037037037042E-3</v>
      </c>
      <c r="R507" s="9" t="s">
        <v>46</v>
      </c>
      <c r="S507" s="10">
        <v>0.28599537037037043</v>
      </c>
      <c r="T507" s="9">
        <v>76.123000000000005</v>
      </c>
      <c r="U507" s="9">
        <v>18.23</v>
      </c>
      <c r="V507" s="10">
        <v>0.17396990740740739</v>
      </c>
      <c r="W507" s="10">
        <v>8.3344907407407409E-2</v>
      </c>
      <c r="X507" s="10">
        <v>3.5277777777777783E-2</v>
      </c>
      <c r="Y507" s="9">
        <v>1</v>
      </c>
      <c r="Z507" s="9">
        <v>1</v>
      </c>
      <c r="AA507" s="9">
        <v>1</v>
      </c>
      <c r="AB507" s="9">
        <v>1</v>
      </c>
      <c r="AC507" s="9">
        <v>0</v>
      </c>
      <c r="AD507" s="9">
        <v>0</v>
      </c>
      <c r="AE507" s="9" t="s">
        <v>47</v>
      </c>
      <c r="AF507" s="9" t="s">
        <v>4164</v>
      </c>
      <c r="AG507" s="9" t="s">
        <v>4165</v>
      </c>
      <c r="AH507" s="9">
        <v>6.203322</v>
      </c>
      <c r="AI507" s="9">
        <v>-75.600756000000004</v>
      </c>
      <c r="AJ507" s="9" t="s">
        <v>4166</v>
      </c>
      <c r="AK507" s="9">
        <v>6.2255310000000001</v>
      </c>
      <c r="AL507" s="9">
        <v>-75.599164000000002</v>
      </c>
      <c r="AM507" s="26">
        <f t="shared" si="8"/>
        <v>5.0416666666666672E-2</v>
      </c>
    </row>
    <row r="508" spans="1:40" ht="15" x14ac:dyDescent="0.25">
      <c r="A508" s="9" t="s">
        <v>4167</v>
      </c>
      <c r="B508" s="9" t="s">
        <v>4168</v>
      </c>
      <c r="C508" s="9" t="s">
        <v>4169</v>
      </c>
      <c r="D508" s="9" t="s">
        <v>4161</v>
      </c>
      <c r="E508" s="9" t="s">
        <v>2619</v>
      </c>
      <c r="F508" s="9" t="s">
        <v>315</v>
      </c>
      <c r="G508" s="9" t="s">
        <v>52</v>
      </c>
      <c r="H508" s="9" t="s">
        <v>53</v>
      </c>
      <c r="I508" s="9" t="s">
        <v>40</v>
      </c>
      <c r="J508" s="9">
        <v>1522</v>
      </c>
      <c r="K508" s="9" t="s">
        <v>4170</v>
      </c>
      <c r="L508" s="9" t="s">
        <v>42</v>
      </c>
      <c r="M508" s="10">
        <v>2.0509259259259258E-2</v>
      </c>
      <c r="N508" s="9" t="s">
        <v>127</v>
      </c>
      <c r="O508" s="9" t="s">
        <v>4171</v>
      </c>
      <c r="P508" s="9" t="s">
        <v>45</v>
      </c>
      <c r="Q508" s="10">
        <v>3.9699074074074072E-3</v>
      </c>
      <c r="R508" s="9" t="s">
        <v>46</v>
      </c>
      <c r="S508" s="10">
        <v>0.35781249999999998</v>
      </c>
      <c r="T508" s="9">
        <v>23.37</v>
      </c>
      <c r="U508" s="9">
        <v>3.49</v>
      </c>
      <c r="V508" s="10">
        <v>0.27885416666666668</v>
      </c>
      <c r="W508" s="10">
        <v>0.25400462962962961</v>
      </c>
      <c r="X508" s="10">
        <v>7.7418981481481478E-2</v>
      </c>
      <c r="Y508" s="9">
        <v>1</v>
      </c>
      <c r="Z508" s="9">
        <v>1</v>
      </c>
      <c r="AA508" s="9">
        <v>1</v>
      </c>
      <c r="AB508" s="9">
        <v>1</v>
      </c>
      <c r="AC508" s="9">
        <v>1</v>
      </c>
      <c r="AD508" s="9">
        <v>6</v>
      </c>
      <c r="AE508" s="9" t="s">
        <v>139</v>
      </c>
      <c r="AF508" s="9" t="s">
        <v>4172</v>
      </c>
      <c r="AG508" s="9" t="s">
        <v>4173</v>
      </c>
      <c r="AH508" s="9">
        <v>6.225644</v>
      </c>
      <c r="AI508" s="9">
        <v>-75.599451000000002</v>
      </c>
      <c r="AJ508" s="9" t="s">
        <v>4174</v>
      </c>
      <c r="AK508" s="9">
        <v>6.2255770000000004</v>
      </c>
      <c r="AL508" s="9">
        <v>-75.599461000000005</v>
      </c>
      <c r="AM508" s="26">
        <f t="shared" si="8"/>
        <v>0</v>
      </c>
    </row>
    <row r="509" spans="1:40" ht="15" x14ac:dyDescent="0.25">
      <c r="A509" s="9" t="s">
        <v>4175</v>
      </c>
      <c r="B509" s="9" t="s">
        <v>4176</v>
      </c>
      <c r="C509" s="9" t="s">
        <v>4177</v>
      </c>
      <c r="D509" s="9" t="s">
        <v>4161</v>
      </c>
      <c r="E509" s="9" t="s">
        <v>2619</v>
      </c>
      <c r="F509" s="9" t="s">
        <v>315</v>
      </c>
      <c r="G509" s="9" t="s">
        <v>62</v>
      </c>
      <c r="H509" s="9" t="s">
        <v>63</v>
      </c>
      <c r="I509" s="9" t="s">
        <v>40</v>
      </c>
      <c r="J509" s="9">
        <v>3942</v>
      </c>
      <c r="K509" s="9" t="s">
        <v>4178</v>
      </c>
      <c r="L509" s="9" t="s">
        <v>42</v>
      </c>
      <c r="M509" s="10">
        <v>1.105324074074074E-2</v>
      </c>
      <c r="N509" s="9" t="s">
        <v>43</v>
      </c>
      <c r="O509" s="9" t="s">
        <v>4179</v>
      </c>
      <c r="P509" s="9" t="s">
        <v>45</v>
      </c>
      <c r="Q509" s="10">
        <v>1.4930555555555561E-3</v>
      </c>
      <c r="R509" s="9" t="s">
        <v>46</v>
      </c>
      <c r="S509" s="10">
        <v>0.32377314814814823</v>
      </c>
      <c r="T509" s="9">
        <v>55.640999999999998</v>
      </c>
      <c r="U509" s="9">
        <v>8.66</v>
      </c>
      <c r="V509" s="10">
        <v>0.26775462962962959</v>
      </c>
      <c r="W509" s="10">
        <v>0.19039351851851849</v>
      </c>
      <c r="X509" s="10">
        <v>2.0833333333333329E-2</v>
      </c>
      <c r="Y509" s="9">
        <v>1</v>
      </c>
      <c r="Z509" s="9">
        <v>1</v>
      </c>
      <c r="AA509" s="9">
        <v>1</v>
      </c>
      <c r="AB509" s="9">
        <v>0</v>
      </c>
      <c r="AC509" s="9">
        <v>0</v>
      </c>
      <c r="AD509" s="9">
        <v>1</v>
      </c>
      <c r="AE509" s="9" t="s">
        <v>47</v>
      </c>
      <c r="AF509" s="9" t="s">
        <v>4180</v>
      </c>
      <c r="AG509" s="9" t="s">
        <v>4181</v>
      </c>
      <c r="AH509" s="9">
        <v>6.2257179999999996</v>
      </c>
      <c r="AI509" s="9">
        <v>-75.599187999999998</v>
      </c>
      <c r="AJ509" s="9" t="s">
        <v>4182</v>
      </c>
      <c r="AK509" s="9">
        <v>6.2255690000000001</v>
      </c>
      <c r="AL509" s="9">
        <v>-75.599455000000006</v>
      </c>
      <c r="AM509" s="26">
        <f t="shared" si="8"/>
        <v>1.105324074074074E-2</v>
      </c>
    </row>
    <row r="510" spans="1:40" ht="15" x14ac:dyDescent="0.25">
      <c r="A510" s="9" t="s">
        <v>4183</v>
      </c>
      <c r="B510" s="9" t="s">
        <v>4184</v>
      </c>
      <c r="C510" s="9" t="s">
        <v>4185</v>
      </c>
      <c r="D510" s="9" t="s">
        <v>4161</v>
      </c>
      <c r="E510" s="9" t="s">
        <v>2619</v>
      </c>
      <c r="F510" s="9" t="s">
        <v>315</v>
      </c>
      <c r="G510" s="9" t="s">
        <v>144</v>
      </c>
      <c r="H510" s="9" t="s">
        <v>145</v>
      </c>
      <c r="I510" s="9" t="s">
        <v>40</v>
      </c>
      <c r="J510" s="9">
        <v>6224</v>
      </c>
      <c r="K510" s="9" t="s">
        <v>4186</v>
      </c>
      <c r="L510" s="9" t="s">
        <v>42</v>
      </c>
      <c r="M510" s="10">
        <v>1.9212962962962959E-2</v>
      </c>
      <c r="N510" s="9" t="s">
        <v>127</v>
      </c>
      <c r="O510" s="9" t="s">
        <v>4187</v>
      </c>
      <c r="P510" s="9" t="s">
        <v>45</v>
      </c>
      <c r="Q510" s="10">
        <v>5.2118055555555563E-2</v>
      </c>
      <c r="R510" s="9" t="s">
        <v>56</v>
      </c>
      <c r="S510" s="10">
        <v>0.30042824074074082</v>
      </c>
      <c r="T510" s="9">
        <v>81.097999999999999</v>
      </c>
      <c r="U510" s="9">
        <v>14.58</v>
      </c>
      <c r="V510" s="10">
        <v>0.2317939814814815</v>
      </c>
      <c r="W510" s="10">
        <v>8.8159722222222223E-2</v>
      </c>
      <c r="X510" s="10">
        <v>0</v>
      </c>
      <c r="Y510" s="9">
        <v>0</v>
      </c>
      <c r="Z510" s="9">
        <v>0</v>
      </c>
      <c r="AA510" s="9">
        <v>0</v>
      </c>
      <c r="AB510" s="9">
        <v>0</v>
      </c>
      <c r="AC510" s="9">
        <v>0</v>
      </c>
      <c r="AD510" s="9">
        <v>0</v>
      </c>
      <c r="AE510" s="9" t="s">
        <v>139</v>
      </c>
      <c r="AF510" s="9" t="s">
        <v>4188</v>
      </c>
      <c r="AG510" s="9" t="s">
        <v>4189</v>
      </c>
      <c r="AH510" s="9">
        <v>6.2728320000000002</v>
      </c>
      <c r="AI510" s="9">
        <v>-75.574499000000003</v>
      </c>
      <c r="AJ510" s="9" t="s">
        <v>4190</v>
      </c>
      <c r="AK510" s="9">
        <v>6.272799</v>
      </c>
      <c r="AL510" s="9">
        <v>-75.574363000000005</v>
      </c>
      <c r="AM510" s="26">
        <f t="shared" si="8"/>
        <v>5.2118055555555563E-2</v>
      </c>
    </row>
    <row r="511" spans="1:40" ht="15" x14ac:dyDescent="0.25">
      <c r="A511" s="9" t="s">
        <v>4191</v>
      </c>
      <c r="B511" s="9" t="s">
        <v>4192</v>
      </c>
      <c r="C511" s="9" t="s">
        <v>4193</v>
      </c>
      <c r="D511" s="9" t="s">
        <v>4161</v>
      </c>
      <c r="E511" s="9" t="s">
        <v>2619</v>
      </c>
      <c r="F511" s="9" t="s">
        <v>315</v>
      </c>
      <c r="G511" s="9" t="s">
        <v>152</v>
      </c>
      <c r="H511" s="9" t="s">
        <v>153</v>
      </c>
      <c r="I511" s="9" t="s">
        <v>40</v>
      </c>
      <c r="J511" s="9">
        <v>5233</v>
      </c>
      <c r="K511" s="9" t="s">
        <v>4194</v>
      </c>
      <c r="L511" s="9" t="s">
        <v>42</v>
      </c>
      <c r="M511" s="10">
        <v>2.0844907407407409E-2</v>
      </c>
      <c r="N511" s="9" t="s">
        <v>43</v>
      </c>
      <c r="O511" s="9" t="s">
        <v>4195</v>
      </c>
      <c r="P511" s="9" t="s">
        <v>45</v>
      </c>
      <c r="Q511" s="10">
        <v>2.9027777777777781E-2</v>
      </c>
      <c r="R511" s="9" t="s">
        <v>129</v>
      </c>
      <c r="S511" s="10">
        <v>0.34151620370370372</v>
      </c>
      <c r="T511" s="9">
        <v>66.397000000000006</v>
      </c>
      <c r="U511" s="9">
        <v>8.82</v>
      </c>
      <c r="V511" s="10">
        <v>0.31350694444444438</v>
      </c>
      <c r="W511" s="10">
        <v>0.16506944444444441</v>
      </c>
      <c r="X511" s="10">
        <v>0</v>
      </c>
      <c r="Y511" s="9">
        <v>0</v>
      </c>
      <c r="Z511" s="9">
        <v>0</v>
      </c>
      <c r="AA511" s="9">
        <v>0</v>
      </c>
      <c r="AB511" s="9">
        <v>0</v>
      </c>
      <c r="AC511" s="9">
        <v>0</v>
      </c>
      <c r="AD511" s="9">
        <v>2</v>
      </c>
      <c r="AE511" s="9" t="s">
        <v>130</v>
      </c>
      <c r="AF511" s="9" t="s">
        <v>4196</v>
      </c>
      <c r="AG511" s="9" t="s">
        <v>4197</v>
      </c>
      <c r="AH511" s="9">
        <v>6.2255529999999997</v>
      </c>
      <c r="AI511" s="9">
        <v>-75.599446999999998</v>
      </c>
      <c r="AJ511" s="9" t="s">
        <v>4198</v>
      </c>
      <c r="AK511" s="9">
        <v>6.267455</v>
      </c>
      <c r="AL511" s="9">
        <v>-75.565623000000002</v>
      </c>
      <c r="AM511" s="26">
        <f t="shared" si="8"/>
        <v>2.0844907407407409E-2</v>
      </c>
    </row>
    <row r="512" spans="1:40" ht="15" x14ac:dyDescent="0.25">
      <c r="A512" s="9" t="s">
        <v>4199</v>
      </c>
      <c r="B512" s="9" t="s">
        <v>4200</v>
      </c>
      <c r="C512" s="9" t="s">
        <v>4201</v>
      </c>
      <c r="D512" s="9" t="s">
        <v>4161</v>
      </c>
      <c r="E512" s="9" t="s">
        <v>2619</v>
      </c>
      <c r="F512" s="9" t="s">
        <v>315</v>
      </c>
      <c r="G512" s="9" t="s">
        <v>89</v>
      </c>
      <c r="H512" s="9" t="s">
        <v>90</v>
      </c>
      <c r="I512" s="9" t="s">
        <v>40</v>
      </c>
      <c r="J512" s="9">
        <v>1730</v>
      </c>
      <c r="K512" s="9" t="s">
        <v>4202</v>
      </c>
      <c r="L512" s="9" t="s">
        <v>42</v>
      </c>
      <c r="M512" s="10">
        <v>5.2893518518518524E-3</v>
      </c>
      <c r="N512" s="9" t="s">
        <v>65</v>
      </c>
      <c r="O512" s="9" t="s">
        <v>4203</v>
      </c>
      <c r="P512" s="9" t="s">
        <v>45</v>
      </c>
      <c r="Q512" s="10">
        <v>0.12199074074074071</v>
      </c>
      <c r="R512" s="9" t="s">
        <v>56</v>
      </c>
      <c r="S512" s="10">
        <v>0.20605324074074069</v>
      </c>
      <c r="T512" s="9">
        <v>21.146000000000001</v>
      </c>
      <c r="U512" s="9">
        <v>4.62</v>
      </c>
      <c r="V512" s="10">
        <v>0.19064814814814809</v>
      </c>
      <c r="W512" s="10">
        <v>0.15481481481481479</v>
      </c>
      <c r="X512" s="10">
        <v>0</v>
      </c>
      <c r="Y512" s="9">
        <v>0</v>
      </c>
      <c r="Z512" s="9">
        <v>0</v>
      </c>
      <c r="AA512" s="9">
        <v>0</v>
      </c>
      <c r="AB512" s="9">
        <v>0</v>
      </c>
      <c r="AC512" s="9">
        <v>0</v>
      </c>
      <c r="AD512" s="9">
        <v>4</v>
      </c>
      <c r="AE512" s="9" t="s">
        <v>67</v>
      </c>
      <c r="AF512" s="9" t="s">
        <v>4204</v>
      </c>
      <c r="AG512" s="9" t="s">
        <v>4205</v>
      </c>
      <c r="AH512" s="9">
        <v>6.2266769999999996</v>
      </c>
      <c r="AI512" s="9">
        <v>-75.599299999999999</v>
      </c>
      <c r="AJ512" s="9" t="s">
        <v>4206</v>
      </c>
      <c r="AK512" s="9">
        <v>6.2575000000000003</v>
      </c>
      <c r="AL512" s="9">
        <v>-75.565845999999993</v>
      </c>
      <c r="AM512" s="26">
        <f t="shared" si="8"/>
        <v>0.12199074074074071</v>
      </c>
    </row>
    <row r="513" spans="1:54" ht="15" x14ac:dyDescent="0.25">
      <c r="A513" s="17" t="s">
        <v>4207</v>
      </c>
      <c r="B513" s="17" t="s">
        <v>4208</v>
      </c>
      <c r="C513" s="17" t="s">
        <v>4209</v>
      </c>
      <c r="D513" s="17" t="s">
        <v>4161</v>
      </c>
      <c r="E513" s="17" t="s">
        <v>2619</v>
      </c>
      <c r="F513" s="17" t="s">
        <v>315</v>
      </c>
      <c r="G513" s="17" t="s">
        <v>105</v>
      </c>
      <c r="H513" s="17" t="s">
        <v>106</v>
      </c>
      <c r="I513" s="17" t="s">
        <v>40</v>
      </c>
      <c r="J513" s="17">
        <v>1569</v>
      </c>
      <c r="K513" s="17" t="s">
        <v>4210</v>
      </c>
      <c r="L513" s="17" t="s">
        <v>42</v>
      </c>
      <c r="M513" s="18">
        <v>8.4641203703703705E-2</v>
      </c>
      <c r="N513" s="17" t="s">
        <v>43</v>
      </c>
      <c r="O513" s="17" t="s">
        <v>4211</v>
      </c>
      <c r="P513" s="17" t="s">
        <v>45</v>
      </c>
      <c r="Q513" s="18">
        <v>1.637731481481481E-2</v>
      </c>
      <c r="R513" s="17" t="s">
        <v>129</v>
      </c>
      <c r="S513" s="18">
        <v>0.26506944444444452</v>
      </c>
      <c r="T513" s="17">
        <v>20.652999999999999</v>
      </c>
      <c r="U513" s="17">
        <v>5.24</v>
      </c>
      <c r="V513" s="18">
        <v>0.16422453703703699</v>
      </c>
      <c r="W513" s="18">
        <v>0.1376273148148148</v>
      </c>
      <c r="X513" s="18">
        <v>0</v>
      </c>
      <c r="Y513" s="17">
        <v>0</v>
      </c>
      <c r="Z513" s="17">
        <v>0</v>
      </c>
      <c r="AA513" s="17">
        <v>0</v>
      </c>
      <c r="AB513" s="17">
        <v>0</v>
      </c>
      <c r="AC513" s="17">
        <v>0</v>
      </c>
      <c r="AD513" s="17">
        <v>3</v>
      </c>
      <c r="AE513" s="17" t="s">
        <v>130</v>
      </c>
      <c r="AF513" s="17" t="s">
        <v>4212</v>
      </c>
      <c r="AG513" s="17" t="s">
        <v>4213</v>
      </c>
      <c r="AH513" s="17">
        <v>6.2886519999999999</v>
      </c>
      <c r="AI513" s="17">
        <v>-75.563944000000006</v>
      </c>
      <c r="AJ513" s="17" t="s">
        <v>4214</v>
      </c>
      <c r="AK513" s="17">
        <v>6.258216</v>
      </c>
      <c r="AL513" s="17">
        <v>-75.615898000000001</v>
      </c>
      <c r="AM513" s="27">
        <f t="shared" si="8"/>
        <v>8.4641203703703705E-2</v>
      </c>
    </row>
    <row r="514" spans="1:54" s="9" customFormat="1" ht="15" x14ac:dyDescent="0.25">
      <c r="A514" s="9" t="s">
        <v>4219</v>
      </c>
      <c r="B514" s="9" t="s">
        <v>4220</v>
      </c>
      <c r="C514" s="9" t="s">
        <v>4221</v>
      </c>
      <c r="D514" s="9" t="s">
        <v>4161</v>
      </c>
      <c r="E514" s="9" t="s">
        <v>2619</v>
      </c>
      <c r="F514" s="9" t="s">
        <v>315</v>
      </c>
      <c r="G514" s="9" t="s">
        <v>113</v>
      </c>
      <c r="H514" s="9" t="s">
        <v>114</v>
      </c>
      <c r="I514" s="9" t="s">
        <v>115</v>
      </c>
      <c r="J514" s="9">
        <v>1640</v>
      </c>
      <c r="K514" s="9" t="s">
        <v>4222</v>
      </c>
      <c r="L514" s="9" t="s">
        <v>117</v>
      </c>
      <c r="M514" s="10">
        <v>9.1319444444444443E-3</v>
      </c>
      <c r="N514" s="9" t="s">
        <v>65</v>
      </c>
      <c r="O514" s="9" t="s">
        <v>4223</v>
      </c>
      <c r="P514" s="9" t="s">
        <v>119</v>
      </c>
      <c r="Q514" s="10">
        <v>0.11489583333333329</v>
      </c>
      <c r="R514" s="9" t="s">
        <v>56</v>
      </c>
      <c r="S514" s="10">
        <v>0.12597222222222221</v>
      </c>
      <c r="T514" s="9">
        <v>22.123999999999999</v>
      </c>
      <c r="U514" s="9">
        <v>11.36</v>
      </c>
      <c r="V514" s="10">
        <v>8.1157407407407414E-2</v>
      </c>
      <c r="W514" s="10">
        <v>5.0104166666666658E-2</v>
      </c>
      <c r="X514" s="10">
        <v>0</v>
      </c>
      <c r="Y514" s="9">
        <v>0</v>
      </c>
      <c r="Z514" s="9">
        <v>0</v>
      </c>
      <c r="AA514" s="9">
        <v>0</v>
      </c>
      <c r="AB514" s="9">
        <v>0</v>
      </c>
      <c r="AC514" s="9">
        <v>0</v>
      </c>
      <c r="AD514" s="9">
        <v>0</v>
      </c>
      <c r="AE514" s="9" t="s">
        <v>67</v>
      </c>
      <c r="AF514" s="9" t="s">
        <v>4224</v>
      </c>
      <c r="AG514" s="9" t="s">
        <v>4225</v>
      </c>
      <c r="AH514" s="9">
        <v>6.2351809999999999</v>
      </c>
      <c r="AI514" s="9">
        <v>-75.602221999999998</v>
      </c>
      <c r="AJ514" s="9" t="s">
        <v>4226</v>
      </c>
      <c r="AK514" s="9">
        <v>6.2389549999999998</v>
      </c>
      <c r="AL514" s="9">
        <v>-75.603149999999999</v>
      </c>
      <c r="AM514" s="26">
        <f t="shared" si="8"/>
        <v>0.11489583333333329</v>
      </c>
      <c r="AY514" s="14"/>
      <c r="AZ514" s="14"/>
      <c r="BA514" s="14"/>
      <c r="BB514" s="14"/>
    </row>
    <row r="515" spans="1:54" s="9" customFormat="1" ht="15" x14ac:dyDescent="0.25">
      <c r="A515" s="9" t="s">
        <v>4227</v>
      </c>
      <c r="B515" s="9" t="s">
        <v>4228</v>
      </c>
      <c r="C515" s="9" t="s">
        <v>4229</v>
      </c>
      <c r="D515" s="9" t="s">
        <v>4161</v>
      </c>
      <c r="E515" s="9" t="s">
        <v>2619</v>
      </c>
      <c r="F515" s="9" t="s">
        <v>315</v>
      </c>
      <c r="G515" s="9" t="s">
        <v>124</v>
      </c>
      <c r="H515" s="9" t="s">
        <v>125</v>
      </c>
      <c r="I515" s="9" t="s">
        <v>115</v>
      </c>
      <c r="J515" s="9">
        <v>4045</v>
      </c>
      <c r="K515" s="9" t="s">
        <v>4230</v>
      </c>
      <c r="L515" s="9" t="s">
        <v>117</v>
      </c>
      <c r="M515" s="10">
        <v>5.2766203703703697E-2</v>
      </c>
      <c r="N515" s="9" t="s">
        <v>127</v>
      </c>
      <c r="O515" s="9" t="s">
        <v>4231</v>
      </c>
      <c r="P515" s="9" t="s">
        <v>119</v>
      </c>
      <c r="Q515" s="10">
        <v>8.8078703703703704E-3</v>
      </c>
      <c r="R515" s="9" t="s">
        <v>46</v>
      </c>
      <c r="S515" s="10">
        <v>0.31157407407407411</v>
      </c>
      <c r="T515" s="9">
        <v>49.174999999999997</v>
      </c>
      <c r="U515" s="9">
        <v>9.83</v>
      </c>
      <c r="V515" s="10">
        <v>0.20851851851851849</v>
      </c>
      <c r="W515" s="10">
        <v>8.7337962962962964E-2</v>
      </c>
      <c r="X515" s="10">
        <v>0</v>
      </c>
      <c r="Y515" s="9">
        <v>0</v>
      </c>
      <c r="Z515" s="9">
        <v>0</v>
      </c>
      <c r="AA515" s="9">
        <v>0</v>
      </c>
      <c r="AB515" s="9">
        <v>0</v>
      </c>
      <c r="AC515" s="9">
        <v>0</v>
      </c>
      <c r="AD515" s="9">
        <v>0</v>
      </c>
      <c r="AE515" s="9" t="s">
        <v>139</v>
      </c>
      <c r="AF515" s="9" t="s">
        <v>4232</v>
      </c>
      <c r="AG515" s="9" t="s">
        <v>4233</v>
      </c>
      <c r="AH515" s="9">
        <v>6.2300509999999996</v>
      </c>
      <c r="AI515" s="9">
        <v>-75.596047999999996</v>
      </c>
      <c r="AJ515" s="9" t="s">
        <v>4234</v>
      </c>
      <c r="AK515" s="9">
        <v>6.2724869999999999</v>
      </c>
      <c r="AL515" s="9">
        <v>-75.602131999999997</v>
      </c>
      <c r="AM515" s="26">
        <f t="shared" si="8"/>
        <v>0</v>
      </c>
      <c r="AY515" s="14"/>
      <c r="AZ515" s="14"/>
      <c r="BA515" s="14"/>
      <c r="BB515" s="14"/>
    </row>
    <row r="516" spans="1:54" s="9" customFormat="1" ht="15" x14ac:dyDescent="0.25">
      <c r="A516" s="9" t="s">
        <v>4235</v>
      </c>
      <c r="B516" s="9" t="s">
        <v>4236</v>
      </c>
      <c r="C516" s="9" t="s">
        <v>4237</v>
      </c>
      <c r="D516" s="9" t="s">
        <v>4161</v>
      </c>
      <c r="E516" s="9" t="s">
        <v>2619</v>
      </c>
      <c r="F516" s="9" t="s">
        <v>315</v>
      </c>
      <c r="G516" s="9" t="s">
        <v>135</v>
      </c>
      <c r="H516" s="9" t="s">
        <v>136</v>
      </c>
      <c r="I516" s="9" t="s">
        <v>115</v>
      </c>
      <c r="J516" s="9">
        <v>3069</v>
      </c>
      <c r="K516" s="9" t="s">
        <v>4238</v>
      </c>
      <c r="L516" s="9" t="s">
        <v>117</v>
      </c>
      <c r="M516" s="10">
        <v>7.3958333333333334E-2</v>
      </c>
      <c r="N516" s="9" t="s">
        <v>127</v>
      </c>
      <c r="O516" s="9" t="s">
        <v>4239</v>
      </c>
      <c r="P516" s="9" t="s">
        <v>119</v>
      </c>
      <c r="Q516" s="10">
        <v>9.9537037037037042E-4</v>
      </c>
      <c r="R516" s="9" t="s">
        <v>46</v>
      </c>
      <c r="S516" s="10">
        <v>0.32296296296296301</v>
      </c>
      <c r="T516" s="9">
        <v>53.198</v>
      </c>
      <c r="U516" s="9">
        <v>12.93</v>
      </c>
      <c r="V516" s="10">
        <v>0.171412037037037</v>
      </c>
      <c r="W516" s="10">
        <v>0.1107986111111111</v>
      </c>
      <c r="X516" s="10">
        <v>6.1921296296296299E-3</v>
      </c>
      <c r="Y516" s="9">
        <v>0</v>
      </c>
      <c r="Z516" s="9">
        <v>0</v>
      </c>
      <c r="AA516" s="9">
        <v>0</v>
      </c>
      <c r="AB516" s="9">
        <v>0</v>
      </c>
      <c r="AC516" s="9">
        <v>0</v>
      </c>
      <c r="AD516" s="9">
        <v>3</v>
      </c>
      <c r="AE516" s="9" t="s">
        <v>139</v>
      </c>
      <c r="AF516" s="9" t="s">
        <v>4240</v>
      </c>
      <c r="AG516" s="9" t="s">
        <v>4241</v>
      </c>
      <c r="AH516" s="9">
        <v>6.225638</v>
      </c>
      <c r="AI516" s="9">
        <v>-75.599180000000004</v>
      </c>
      <c r="AJ516" s="9" t="s">
        <v>4242</v>
      </c>
      <c r="AK516" s="9">
        <v>6.2723829999999996</v>
      </c>
      <c r="AL516" s="9">
        <v>-75.540239999999997</v>
      </c>
      <c r="AM516" s="26">
        <f t="shared" si="8"/>
        <v>0</v>
      </c>
      <c r="AY516" s="14"/>
      <c r="AZ516" s="14"/>
      <c r="BA516" s="14"/>
      <c r="BB516" s="14"/>
    </row>
    <row r="517" spans="1:54" s="9" customFormat="1" ht="15" x14ac:dyDescent="0.25">
      <c r="A517" s="9" t="s">
        <v>4243</v>
      </c>
      <c r="B517" s="9" t="s">
        <v>4244</v>
      </c>
      <c r="C517" s="9" t="s">
        <v>4245</v>
      </c>
      <c r="D517" s="9" t="s">
        <v>4161</v>
      </c>
      <c r="E517" s="9" t="s">
        <v>2619</v>
      </c>
      <c r="F517" s="9" t="s">
        <v>315</v>
      </c>
      <c r="G517" s="9" t="s">
        <v>72</v>
      </c>
      <c r="H517" s="9" t="s">
        <v>73</v>
      </c>
      <c r="I517" s="9" t="s">
        <v>115</v>
      </c>
      <c r="J517" s="9">
        <v>3552</v>
      </c>
      <c r="K517" s="9" t="s">
        <v>4246</v>
      </c>
      <c r="L517" s="9" t="s">
        <v>117</v>
      </c>
      <c r="M517" s="10">
        <v>5.7905092592592591E-2</v>
      </c>
      <c r="N517" s="9" t="s">
        <v>43</v>
      </c>
      <c r="O517" s="9" t="s">
        <v>4247</v>
      </c>
      <c r="P517" s="9" t="s">
        <v>119</v>
      </c>
      <c r="Q517" s="10">
        <v>4.7083333333333331E-2</v>
      </c>
      <c r="R517" s="9" t="s">
        <v>56</v>
      </c>
      <c r="S517" s="10">
        <v>0.14501157407407411</v>
      </c>
      <c r="T517" s="9">
        <v>49.146000000000001</v>
      </c>
      <c r="U517" s="9">
        <v>17.09</v>
      </c>
      <c r="V517" s="10">
        <v>0.1198032407407407</v>
      </c>
      <c r="W517" s="10">
        <v>4.8912037037037039E-2</v>
      </c>
      <c r="X517" s="10">
        <v>0</v>
      </c>
      <c r="Y517" s="9">
        <v>0</v>
      </c>
      <c r="Z517" s="9">
        <v>0</v>
      </c>
      <c r="AA517" s="9">
        <v>0</v>
      </c>
      <c r="AB517" s="9">
        <v>0</v>
      </c>
      <c r="AC517" s="9">
        <v>0</v>
      </c>
      <c r="AD517" s="9">
        <v>0</v>
      </c>
      <c r="AE517" s="9" t="s">
        <v>57</v>
      </c>
      <c r="AF517" s="9" t="s">
        <v>4248</v>
      </c>
      <c r="AG517" s="9" t="s">
        <v>4249</v>
      </c>
      <c r="AH517" s="9">
        <v>6.2255960000000004</v>
      </c>
      <c r="AI517" s="9">
        <v>-75.599458999999996</v>
      </c>
      <c r="AJ517" s="9" t="s">
        <v>4250</v>
      </c>
      <c r="AK517" s="9">
        <v>6.2370559999999999</v>
      </c>
      <c r="AL517" s="9">
        <v>-75.558814999999996</v>
      </c>
      <c r="AM517" s="27">
        <f t="shared" si="8"/>
        <v>0.10498842592592592</v>
      </c>
      <c r="AY517" s="14"/>
      <c r="AZ517" s="14"/>
      <c r="BA517" s="14"/>
      <c r="BB517" s="14"/>
    </row>
    <row r="518" spans="1:54" s="9" customFormat="1" ht="15" x14ac:dyDescent="0.25">
      <c r="A518" s="9" t="s">
        <v>4251</v>
      </c>
      <c r="B518" s="9" t="s">
        <v>4252</v>
      </c>
      <c r="C518" s="9" t="s">
        <v>4253</v>
      </c>
      <c r="D518" s="9" t="s">
        <v>4161</v>
      </c>
      <c r="E518" s="9" t="s">
        <v>2619</v>
      </c>
      <c r="F518" s="9" t="s">
        <v>315</v>
      </c>
      <c r="G518" s="9" t="s">
        <v>80</v>
      </c>
      <c r="H518" s="9" t="s">
        <v>81</v>
      </c>
      <c r="I518" s="9" t="s">
        <v>115</v>
      </c>
      <c r="J518" s="9">
        <v>12343</v>
      </c>
      <c r="K518" s="9" t="s">
        <v>4254</v>
      </c>
      <c r="L518" s="9" t="s">
        <v>117</v>
      </c>
      <c r="M518" s="10">
        <v>4.575224537037037E-2</v>
      </c>
      <c r="N518" s="9" t="s">
        <v>127</v>
      </c>
      <c r="O518" s="9" t="s">
        <v>4255</v>
      </c>
      <c r="P518" s="9" t="s">
        <v>119</v>
      </c>
      <c r="Q518" s="10">
        <v>6.0091550925925928E-3</v>
      </c>
      <c r="R518" s="9" t="s">
        <v>46</v>
      </c>
      <c r="S518" s="10">
        <v>0.30176140046296301</v>
      </c>
      <c r="T518" s="9">
        <v>105.735</v>
      </c>
      <c r="U518" s="9">
        <v>27.02</v>
      </c>
      <c r="V518" s="10">
        <v>0.16306034722222221</v>
      </c>
      <c r="W518" s="10">
        <v>5.2112453703703703E-2</v>
      </c>
      <c r="X518" s="10">
        <v>0</v>
      </c>
      <c r="Y518" s="9">
        <v>0</v>
      </c>
      <c r="Z518" s="9">
        <v>0</v>
      </c>
      <c r="AA518" s="9">
        <v>0</v>
      </c>
      <c r="AB518" s="9">
        <v>0</v>
      </c>
      <c r="AC518" s="9">
        <v>0</v>
      </c>
      <c r="AD518" s="9">
        <v>4</v>
      </c>
      <c r="AE518" s="9" t="s">
        <v>139</v>
      </c>
      <c r="AF518" s="9" t="s">
        <v>4256</v>
      </c>
      <c r="AG518" s="9" t="s">
        <v>4257</v>
      </c>
      <c r="AH518" s="9">
        <v>6.2346500000000002</v>
      </c>
      <c r="AI518" s="9">
        <v>-75.594517999999994</v>
      </c>
      <c r="AJ518" s="9" t="s">
        <v>4258</v>
      </c>
      <c r="AK518" s="9">
        <v>6.2256140000000002</v>
      </c>
      <c r="AL518" s="9">
        <v>-75.599328</v>
      </c>
      <c r="AM518" s="26">
        <f t="shared" ref="AM518:AM571" si="9">IF(N518="INICIO TARDÍO",M518,0)+IF(R518="TERMINÓ ANTES",Q518,0)</f>
        <v>0</v>
      </c>
      <c r="AY518" s="14"/>
      <c r="AZ518" s="14"/>
      <c r="BA518" s="14"/>
      <c r="BB518" s="14"/>
    </row>
    <row r="519" spans="1:54" s="9" customFormat="1" ht="15" x14ac:dyDescent="0.25">
      <c r="A519" s="9" t="s">
        <v>4259</v>
      </c>
      <c r="B519" s="9" t="s">
        <v>4260</v>
      </c>
      <c r="C519" s="9" t="s">
        <v>4261</v>
      </c>
      <c r="D519" s="9" t="s">
        <v>4161</v>
      </c>
      <c r="E519" s="9" t="s">
        <v>2619</v>
      </c>
      <c r="F519" s="9" t="s">
        <v>315</v>
      </c>
      <c r="G519" s="9" t="s">
        <v>160</v>
      </c>
      <c r="H519" s="9" t="s">
        <v>161</v>
      </c>
      <c r="I519" s="9" t="s">
        <v>115</v>
      </c>
      <c r="J519" s="9">
        <v>10756</v>
      </c>
      <c r="K519" s="9" t="s">
        <v>4262</v>
      </c>
      <c r="L519" s="9" t="s">
        <v>117</v>
      </c>
      <c r="M519" s="10">
        <v>2.5096550925925928E-2</v>
      </c>
      <c r="N519" s="9" t="s">
        <v>127</v>
      </c>
      <c r="O519" s="9" t="s">
        <v>4263</v>
      </c>
      <c r="P519" s="9" t="s">
        <v>119</v>
      </c>
      <c r="Q519" s="10">
        <v>7.1025347222222219E-3</v>
      </c>
      <c r="R519" s="9" t="s">
        <v>46</v>
      </c>
      <c r="S519" s="10">
        <v>0.28219908564814822</v>
      </c>
      <c r="T519" s="9">
        <v>65.557000000000002</v>
      </c>
      <c r="U519" s="9">
        <v>14.41</v>
      </c>
      <c r="V519" s="10">
        <v>0.189501712962963</v>
      </c>
      <c r="W519" s="10">
        <v>0.1300688078703704</v>
      </c>
      <c r="X519" s="10">
        <v>0</v>
      </c>
      <c r="Y519" s="9">
        <v>0</v>
      </c>
      <c r="Z519" s="9">
        <v>0</v>
      </c>
      <c r="AA519" s="9">
        <v>0</v>
      </c>
      <c r="AB519" s="9">
        <v>0</v>
      </c>
      <c r="AC519" s="9">
        <v>0</v>
      </c>
      <c r="AD519" s="9">
        <v>2</v>
      </c>
      <c r="AE519" s="9" t="s">
        <v>139</v>
      </c>
      <c r="AF519" s="9" t="s">
        <v>4264</v>
      </c>
      <c r="AG519" s="9" t="s">
        <v>4265</v>
      </c>
      <c r="AH519" s="9">
        <v>6.2682149999999996</v>
      </c>
      <c r="AI519" s="9">
        <v>-75.598905000000002</v>
      </c>
      <c r="AJ519" s="9" t="s">
        <v>4266</v>
      </c>
      <c r="AK519" s="9">
        <v>6.2783600000000002</v>
      </c>
      <c r="AL519" s="9">
        <v>-75.570972999999995</v>
      </c>
      <c r="AM519" s="26">
        <f t="shared" si="9"/>
        <v>0</v>
      </c>
      <c r="AY519" s="14"/>
      <c r="AZ519" s="14"/>
      <c r="BA519" s="14"/>
      <c r="BB519" s="14"/>
    </row>
    <row r="520" spans="1:54" s="9" customFormat="1" ht="15" x14ac:dyDescent="0.25">
      <c r="A520" s="9" t="s">
        <v>4267</v>
      </c>
      <c r="B520" s="9" t="s">
        <v>4268</v>
      </c>
      <c r="C520" s="9" t="s">
        <v>4269</v>
      </c>
      <c r="D520" s="9" t="s">
        <v>4161</v>
      </c>
      <c r="E520" s="9" t="s">
        <v>2619</v>
      </c>
      <c r="F520" s="9" t="s">
        <v>315</v>
      </c>
      <c r="G520" s="9" t="s">
        <v>97</v>
      </c>
      <c r="H520" s="9" t="s">
        <v>98</v>
      </c>
      <c r="I520" s="9" t="s">
        <v>115</v>
      </c>
      <c r="J520" s="9">
        <v>1861</v>
      </c>
      <c r="K520" s="9" t="s">
        <v>4215</v>
      </c>
      <c r="L520" s="9" t="s">
        <v>117</v>
      </c>
      <c r="M520" s="10">
        <v>5.0057870370370371E-2</v>
      </c>
      <c r="N520" s="9" t="s">
        <v>127</v>
      </c>
      <c r="O520" s="9" t="s">
        <v>4216</v>
      </c>
      <c r="P520" s="9" t="s">
        <v>119</v>
      </c>
      <c r="Q520" s="10">
        <v>3.304398148148148E-2</v>
      </c>
      <c r="R520" s="9" t="s">
        <v>56</v>
      </c>
      <c r="S520" s="10">
        <v>0.26701388888888888</v>
      </c>
      <c r="T520" s="9">
        <v>23.86</v>
      </c>
      <c r="U520" s="9">
        <v>6.53</v>
      </c>
      <c r="V520" s="10">
        <v>0.15231481481481479</v>
      </c>
      <c r="W520" s="10">
        <v>0.1103587962962963</v>
      </c>
      <c r="X520" s="10">
        <v>0</v>
      </c>
      <c r="Y520" s="9">
        <v>0</v>
      </c>
      <c r="Z520" s="9">
        <v>0</v>
      </c>
      <c r="AA520" s="9">
        <v>0</v>
      </c>
      <c r="AB520" s="9">
        <v>0</v>
      </c>
      <c r="AC520" s="9">
        <v>0</v>
      </c>
      <c r="AD520" s="9">
        <v>0</v>
      </c>
      <c r="AE520" s="9" t="s">
        <v>139</v>
      </c>
      <c r="AF520" s="9" t="s">
        <v>4270</v>
      </c>
      <c r="AG520" s="9" t="s">
        <v>4217</v>
      </c>
      <c r="AH520" s="9">
        <v>6.2258190000000004</v>
      </c>
      <c r="AI520" s="9">
        <v>-75.599402999999995</v>
      </c>
      <c r="AJ520" s="9" t="s">
        <v>4218</v>
      </c>
      <c r="AK520" s="9">
        <v>6.3085129999999996</v>
      </c>
      <c r="AL520" s="9">
        <v>-75.580482000000003</v>
      </c>
      <c r="AM520" s="26">
        <f t="shared" si="9"/>
        <v>3.304398148148148E-2</v>
      </c>
      <c r="AY520" s="14"/>
      <c r="AZ520" s="14"/>
      <c r="BA520" s="14"/>
      <c r="BB520" s="14"/>
    </row>
    <row r="521" spans="1:54" ht="15" x14ac:dyDescent="0.25">
      <c r="A521" s="9" t="s">
        <v>4271</v>
      </c>
      <c r="B521" s="9" t="s">
        <v>4272</v>
      </c>
      <c r="C521" s="9" t="s">
        <v>4273</v>
      </c>
      <c r="D521" s="9" t="s">
        <v>4274</v>
      </c>
      <c r="E521" s="9" t="s">
        <v>2619</v>
      </c>
      <c r="F521" s="9" t="s">
        <v>406</v>
      </c>
      <c r="G521" s="9" t="s">
        <v>38</v>
      </c>
      <c r="H521" s="9" t="s">
        <v>39</v>
      </c>
      <c r="I521" s="9" t="s">
        <v>40</v>
      </c>
      <c r="J521" s="9">
        <v>4462</v>
      </c>
      <c r="K521" s="9" t="s">
        <v>4275</v>
      </c>
      <c r="L521" s="9" t="s">
        <v>42</v>
      </c>
      <c r="M521" s="10">
        <v>8.472222222222223E-3</v>
      </c>
      <c r="N521" s="9" t="s">
        <v>65</v>
      </c>
      <c r="O521" s="9" t="s">
        <v>4276</v>
      </c>
      <c r="P521" s="9" t="s">
        <v>413</v>
      </c>
      <c r="Q521" s="10">
        <v>1.496527777777778E-2</v>
      </c>
      <c r="R521" s="9" t="s">
        <v>56</v>
      </c>
      <c r="S521" s="10">
        <v>0.2890625</v>
      </c>
      <c r="T521" s="9">
        <v>61.488</v>
      </c>
      <c r="U521" s="9">
        <v>14.19</v>
      </c>
      <c r="V521" s="10">
        <v>0.1805208333333333</v>
      </c>
      <c r="W521" s="10">
        <v>9.2534722222222227E-2</v>
      </c>
      <c r="X521" s="10">
        <v>0</v>
      </c>
      <c r="Y521" s="9">
        <v>0</v>
      </c>
      <c r="Z521" s="9">
        <v>0</v>
      </c>
      <c r="AA521" s="9">
        <v>0</v>
      </c>
      <c r="AB521" s="9">
        <v>0</v>
      </c>
      <c r="AC521" s="9">
        <v>0</v>
      </c>
      <c r="AD521" s="9">
        <v>0</v>
      </c>
      <c r="AE521" s="9" t="s">
        <v>67</v>
      </c>
      <c r="AF521" s="9" t="s">
        <v>4277</v>
      </c>
      <c r="AG521" s="9" t="s">
        <v>4278</v>
      </c>
      <c r="AH521" s="9">
        <v>6.2033050000000003</v>
      </c>
      <c r="AI521" s="9">
        <v>-75.600919000000005</v>
      </c>
      <c r="AJ521" s="9" t="s">
        <v>4279</v>
      </c>
      <c r="AK521" s="9">
        <v>6.2321039999999996</v>
      </c>
      <c r="AL521" s="9">
        <v>-75.596868999999998</v>
      </c>
      <c r="AM521" s="26">
        <f t="shared" si="9"/>
        <v>1.496527777777778E-2</v>
      </c>
    </row>
    <row r="522" spans="1:54" ht="15" x14ac:dyDescent="0.25">
      <c r="A522" s="9" t="s">
        <v>4280</v>
      </c>
      <c r="B522" s="9" t="s">
        <v>4281</v>
      </c>
      <c r="C522" s="9" t="s">
        <v>4282</v>
      </c>
      <c r="D522" s="9" t="s">
        <v>4274</v>
      </c>
      <c r="E522" s="9" t="s">
        <v>2619</v>
      </c>
      <c r="F522" s="9" t="s">
        <v>406</v>
      </c>
      <c r="G522" s="9" t="s">
        <v>52</v>
      </c>
      <c r="H522" s="9" t="s">
        <v>53</v>
      </c>
      <c r="I522" s="9" t="s">
        <v>40</v>
      </c>
      <c r="J522" s="9">
        <v>2529</v>
      </c>
      <c r="K522" s="9" t="s">
        <v>4283</v>
      </c>
      <c r="L522" s="9" t="s">
        <v>42</v>
      </c>
      <c r="M522" s="10">
        <v>6.4814814814814813E-4</v>
      </c>
      <c r="N522" s="9" t="s">
        <v>65</v>
      </c>
      <c r="O522" s="9" t="s">
        <v>4284</v>
      </c>
      <c r="P522" s="9" t="s">
        <v>413</v>
      </c>
      <c r="Q522" s="10">
        <v>0.11565972222222221</v>
      </c>
      <c r="R522" s="9" t="s">
        <v>56</v>
      </c>
      <c r="S522" s="10">
        <v>0.19619212962962959</v>
      </c>
      <c r="T522" s="9">
        <v>33.01</v>
      </c>
      <c r="U522" s="9">
        <v>9.09</v>
      </c>
      <c r="V522" s="10">
        <v>0.15137731481481481</v>
      </c>
      <c r="W522" s="10">
        <v>0.1050347222222222</v>
      </c>
      <c r="X522" s="10">
        <v>2.97337962962963E-2</v>
      </c>
      <c r="Y522" s="9">
        <v>1</v>
      </c>
      <c r="Z522" s="9">
        <v>1</v>
      </c>
      <c r="AA522" s="9">
        <v>1</v>
      </c>
      <c r="AB522" s="9">
        <v>1</v>
      </c>
      <c r="AC522" s="9">
        <v>0</v>
      </c>
      <c r="AD522" s="9">
        <v>1</v>
      </c>
      <c r="AE522" s="9" t="s">
        <v>67</v>
      </c>
      <c r="AF522" s="9" t="s">
        <v>4285</v>
      </c>
      <c r="AG522" s="9" t="s">
        <v>4286</v>
      </c>
      <c r="AH522" s="9">
        <v>6.2472599999999998</v>
      </c>
      <c r="AI522" s="9">
        <v>-75.614570000000001</v>
      </c>
      <c r="AJ522" s="9" t="s">
        <v>4287</v>
      </c>
      <c r="AK522" s="9">
        <v>6.1981789999999997</v>
      </c>
      <c r="AL522" s="9">
        <v>-75.593790999999996</v>
      </c>
      <c r="AM522" s="26">
        <f t="shared" si="9"/>
        <v>0.11565972222222221</v>
      </c>
    </row>
    <row r="523" spans="1:54" ht="15" x14ac:dyDescent="0.25">
      <c r="A523" s="9" t="s">
        <v>4288</v>
      </c>
      <c r="B523" s="9" t="s">
        <v>4289</v>
      </c>
      <c r="C523" s="9" t="s">
        <v>4290</v>
      </c>
      <c r="D523" s="9" t="s">
        <v>4274</v>
      </c>
      <c r="E523" s="9" t="s">
        <v>2619</v>
      </c>
      <c r="F523" s="9" t="s">
        <v>406</v>
      </c>
      <c r="G523" s="9" t="s">
        <v>62</v>
      </c>
      <c r="H523" s="9" t="s">
        <v>63</v>
      </c>
      <c r="I523" s="9" t="s">
        <v>40</v>
      </c>
      <c r="J523" s="9">
        <v>3624</v>
      </c>
      <c r="K523" s="9" t="s">
        <v>4291</v>
      </c>
      <c r="L523" s="9" t="s">
        <v>42</v>
      </c>
      <c r="M523" s="10">
        <v>8.6805555555555551E-4</v>
      </c>
      <c r="N523" s="9" t="s">
        <v>65</v>
      </c>
      <c r="O523" s="9" t="s">
        <v>4292</v>
      </c>
      <c r="P523" s="9" t="s">
        <v>413</v>
      </c>
      <c r="Q523" s="10">
        <v>0.15237268518518521</v>
      </c>
      <c r="R523" s="9" t="s">
        <v>56</v>
      </c>
      <c r="S523" s="10">
        <v>0.1609953703703704</v>
      </c>
      <c r="T523" s="9">
        <v>49.66</v>
      </c>
      <c r="U523" s="9">
        <v>17.190000000000001</v>
      </c>
      <c r="V523" s="10">
        <v>0.1203819444444444</v>
      </c>
      <c r="W523" s="10">
        <v>5.665509259259259E-2</v>
      </c>
      <c r="X523" s="10">
        <v>0</v>
      </c>
      <c r="Y523" s="9">
        <v>0</v>
      </c>
      <c r="Z523" s="9">
        <v>0</v>
      </c>
      <c r="AA523" s="9">
        <v>0</v>
      </c>
      <c r="AB523" s="9">
        <v>0</v>
      </c>
      <c r="AC523" s="9">
        <v>0</v>
      </c>
      <c r="AD523" s="9">
        <v>0</v>
      </c>
      <c r="AE523" s="9" t="s">
        <v>67</v>
      </c>
      <c r="AF523" s="9" t="s">
        <v>4293</v>
      </c>
      <c r="AG523" s="9" t="s">
        <v>4294</v>
      </c>
      <c r="AH523" s="9">
        <v>6.2430919999999999</v>
      </c>
      <c r="AI523" s="9">
        <v>-75.562021999999999</v>
      </c>
      <c r="AJ523" s="9" t="s">
        <v>4295</v>
      </c>
      <c r="AK523" s="9">
        <v>6.2374159999999996</v>
      </c>
      <c r="AL523" s="9">
        <v>-75.514167</v>
      </c>
      <c r="AM523" s="26">
        <f t="shared" si="9"/>
        <v>0.15237268518518521</v>
      </c>
    </row>
    <row r="524" spans="1:54" ht="15" x14ac:dyDescent="0.25">
      <c r="A524" s="9" t="s">
        <v>4296</v>
      </c>
      <c r="B524" s="9" t="s">
        <v>4297</v>
      </c>
      <c r="C524" s="9" t="s">
        <v>4298</v>
      </c>
      <c r="D524" s="9" t="s">
        <v>4274</v>
      </c>
      <c r="E524" s="9" t="s">
        <v>2619</v>
      </c>
      <c r="F524" s="9" t="s">
        <v>406</v>
      </c>
      <c r="G524" s="9" t="s">
        <v>152</v>
      </c>
      <c r="H524" s="9" t="s">
        <v>153</v>
      </c>
      <c r="I524" s="9" t="s">
        <v>40</v>
      </c>
      <c r="J524" s="9">
        <v>2302</v>
      </c>
      <c r="K524" s="9" t="s">
        <v>4299</v>
      </c>
      <c r="L524" s="9" t="s">
        <v>42</v>
      </c>
      <c r="M524" s="10">
        <v>1.157407407407407E-2</v>
      </c>
      <c r="N524" s="9" t="s">
        <v>127</v>
      </c>
      <c r="O524" s="9" t="s">
        <v>4300</v>
      </c>
      <c r="P524" s="9" t="s">
        <v>413</v>
      </c>
      <c r="Q524" s="10">
        <v>5.980324074074074E-2</v>
      </c>
      <c r="R524" s="9" t="s">
        <v>56</v>
      </c>
      <c r="S524" s="10">
        <v>0.26427083333333329</v>
      </c>
      <c r="T524" s="9">
        <v>30.423999999999999</v>
      </c>
      <c r="U524" s="9">
        <v>6.67</v>
      </c>
      <c r="V524" s="10">
        <v>0.1900462962962963</v>
      </c>
      <c r="W524" s="10">
        <v>0.1363657407407407</v>
      </c>
      <c r="X524" s="10">
        <v>0</v>
      </c>
      <c r="Y524" s="9">
        <v>0</v>
      </c>
      <c r="Z524" s="9">
        <v>0</v>
      </c>
      <c r="AA524" s="9">
        <v>0</v>
      </c>
      <c r="AB524" s="9">
        <v>0</v>
      </c>
      <c r="AC524" s="9">
        <v>0</v>
      </c>
      <c r="AD524" s="9">
        <v>0</v>
      </c>
      <c r="AE524" s="9" t="s">
        <v>139</v>
      </c>
      <c r="AF524" s="9" t="s">
        <v>4301</v>
      </c>
      <c r="AG524" s="9" t="s">
        <v>4302</v>
      </c>
      <c r="AH524" s="9">
        <v>6.2505129999999998</v>
      </c>
      <c r="AI524" s="9">
        <v>-75.551883000000004</v>
      </c>
      <c r="AJ524" s="9" t="s">
        <v>4303</v>
      </c>
      <c r="AK524" s="9">
        <v>6.2518399999999996</v>
      </c>
      <c r="AL524" s="9">
        <v>-75.551846999999995</v>
      </c>
      <c r="AM524" s="26">
        <f t="shared" si="9"/>
        <v>5.980324074074074E-2</v>
      </c>
    </row>
    <row r="525" spans="1:54" ht="15" x14ac:dyDescent="0.25">
      <c r="A525" s="9" t="s">
        <v>4304</v>
      </c>
      <c r="B525" s="9" t="s">
        <v>4305</v>
      </c>
      <c r="C525" s="9" t="s">
        <v>4306</v>
      </c>
      <c r="D525" s="9" t="s">
        <v>4274</v>
      </c>
      <c r="E525" s="9" t="s">
        <v>2619</v>
      </c>
      <c r="F525" s="9" t="s">
        <v>406</v>
      </c>
      <c r="G525" s="9" t="s">
        <v>89</v>
      </c>
      <c r="H525" s="9" t="s">
        <v>90</v>
      </c>
      <c r="I525" s="9" t="s">
        <v>40</v>
      </c>
      <c r="J525" s="9">
        <v>2462</v>
      </c>
      <c r="K525" s="9" t="s">
        <v>4307</v>
      </c>
      <c r="L525" s="9" t="s">
        <v>42</v>
      </c>
      <c r="M525" s="10">
        <v>1.446759259259259E-3</v>
      </c>
      <c r="N525" s="9" t="s">
        <v>65</v>
      </c>
      <c r="O525" s="9" t="s">
        <v>4308</v>
      </c>
      <c r="P525" s="9" t="s">
        <v>413</v>
      </c>
      <c r="Q525" s="10">
        <v>2.0636574074074071E-2</v>
      </c>
      <c r="R525" s="9" t="s">
        <v>56</v>
      </c>
      <c r="S525" s="10">
        <v>0.2933101851851852</v>
      </c>
      <c r="T525" s="9">
        <v>31.009</v>
      </c>
      <c r="U525" s="9">
        <v>5.55</v>
      </c>
      <c r="V525" s="10">
        <v>0.23291666666666669</v>
      </c>
      <c r="W525" s="10">
        <v>0.17158564814814811</v>
      </c>
      <c r="X525" s="10">
        <v>0</v>
      </c>
      <c r="Y525" s="9">
        <v>0</v>
      </c>
      <c r="Z525" s="9">
        <v>0</v>
      </c>
      <c r="AA525" s="9">
        <v>0</v>
      </c>
      <c r="AB525" s="9">
        <v>0</v>
      </c>
      <c r="AC525" s="9">
        <v>0</v>
      </c>
      <c r="AD525" s="9">
        <v>2</v>
      </c>
      <c r="AE525" s="9" t="s">
        <v>67</v>
      </c>
      <c r="AF525" s="9" t="s">
        <v>4309</v>
      </c>
      <c r="AG525" s="9" t="s">
        <v>4310</v>
      </c>
      <c r="AH525" s="9">
        <v>6.2265170000000003</v>
      </c>
      <c r="AI525" s="9">
        <v>-75.599256999999994</v>
      </c>
      <c r="AJ525" s="9" t="s">
        <v>4311</v>
      </c>
      <c r="AK525" s="9">
        <v>6.2793900000000002</v>
      </c>
      <c r="AL525" s="9">
        <v>-75.571443000000002</v>
      </c>
      <c r="AM525" s="26">
        <f t="shared" si="9"/>
        <v>2.0636574074074071E-2</v>
      </c>
    </row>
    <row r="526" spans="1:54" ht="15" x14ac:dyDescent="0.25">
      <c r="A526" s="9" t="s">
        <v>4312</v>
      </c>
      <c r="B526" s="9" t="s">
        <v>4313</v>
      </c>
      <c r="C526" s="9" t="s">
        <v>4314</v>
      </c>
      <c r="D526" s="9" t="s">
        <v>4274</v>
      </c>
      <c r="E526" s="9" t="s">
        <v>2619</v>
      </c>
      <c r="F526" s="9" t="s">
        <v>406</v>
      </c>
      <c r="G526" s="9" t="s">
        <v>113</v>
      </c>
      <c r="H526" s="9" t="s">
        <v>114</v>
      </c>
      <c r="I526" s="9" t="s">
        <v>115</v>
      </c>
      <c r="J526" s="9">
        <v>1590</v>
      </c>
      <c r="K526" s="9" t="s">
        <v>4315</v>
      </c>
      <c r="L526" s="9" t="s">
        <v>117</v>
      </c>
      <c r="M526" s="10">
        <v>9.9652777777777778E-3</v>
      </c>
      <c r="N526" s="9" t="s">
        <v>65</v>
      </c>
      <c r="O526" s="9" t="s">
        <v>4316</v>
      </c>
      <c r="P526" s="9" t="s">
        <v>119</v>
      </c>
      <c r="Q526" s="10">
        <v>0.1102662037037037</v>
      </c>
      <c r="R526" s="9" t="s">
        <v>56</v>
      </c>
      <c r="S526" s="10">
        <v>0.12976851851851851</v>
      </c>
      <c r="T526" s="9">
        <v>22.916</v>
      </c>
      <c r="U526" s="9">
        <v>11.21</v>
      </c>
      <c r="V526" s="10">
        <v>8.5162037037037036E-2</v>
      </c>
      <c r="W526" s="10">
        <v>5.1944444444444453E-2</v>
      </c>
      <c r="X526" s="10">
        <v>0</v>
      </c>
      <c r="Y526" s="9">
        <v>0</v>
      </c>
      <c r="Z526" s="9">
        <v>0</v>
      </c>
      <c r="AA526" s="9">
        <v>0</v>
      </c>
      <c r="AB526" s="9">
        <v>0</v>
      </c>
      <c r="AC526" s="9">
        <v>0</v>
      </c>
      <c r="AD526" s="9">
        <v>1</v>
      </c>
      <c r="AE526" s="9" t="s">
        <v>67</v>
      </c>
      <c r="AF526" s="9" t="s">
        <v>4317</v>
      </c>
      <c r="AG526" s="9" t="s">
        <v>4318</v>
      </c>
      <c r="AH526" s="9">
        <v>6.2007099999999999</v>
      </c>
      <c r="AI526" s="9">
        <v>-75.579486000000003</v>
      </c>
      <c r="AJ526" s="9" t="s">
        <v>4319</v>
      </c>
      <c r="AK526" s="9">
        <v>6.2636770000000004</v>
      </c>
      <c r="AL526" s="9">
        <v>-75.597064000000003</v>
      </c>
      <c r="AM526" s="26">
        <f t="shared" si="9"/>
        <v>0.1102662037037037</v>
      </c>
    </row>
    <row r="527" spans="1:54" ht="15" x14ac:dyDescent="0.25">
      <c r="A527" s="9" t="s">
        <v>4320</v>
      </c>
      <c r="B527" s="9" t="s">
        <v>4321</v>
      </c>
      <c r="C527" s="9" t="s">
        <v>4322</v>
      </c>
      <c r="D527" s="9" t="s">
        <v>4274</v>
      </c>
      <c r="E527" s="9" t="s">
        <v>2619</v>
      </c>
      <c r="F527" s="9" t="s">
        <v>406</v>
      </c>
      <c r="G527" s="9" t="s">
        <v>124</v>
      </c>
      <c r="H527" s="9" t="s">
        <v>125</v>
      </c>
      <c r="I527" s="9" t="s">
        <v>115</v>
      </c>
      <c r="J527" s="9">
        <v>3256</v>
      </c>
      <c r="K527" s="9" t="s">
        <v>4323</v>
      </c>
      <c r="L527" s="9" t="s">
        <v>117</v>
      </c>
      <c r="M527" s="10">
        <v>2.6354166666666672E-2</v>
      </c>
      <c r="N527" s="9" t="s">
        <v>43</v>
      </c>
      <c r="O527" s="9" t="s">
        <v>4324</v>
      </c>
      <c r="P527" s="9" t="s">
        <v>119</v>
      </c>
      <c r="Q527" s="10">
        <v>2.6243865740740739</v>
      </c>
      <c r="R527" s="9" t="s">
        <v>129</v>
      </c>
      <c r="S527" s="10">
        <v>2.8480324074074068</v>
      </c>
      <c r="T527" s="9">
        <v>41.905999999999999</v>
      </c>
      <c r="U527" s="9">
        <v>0.83</v>
      </c>
      <c r="V527" s="10">
        <v>2.100034722222222</v>
      </c>
      <c r="W527" s="10">
        <v>2.0296759259259258</v>
      </c>
      <c r="X527" s="10">
        <v>0</v>
      </c>
      <c r="Y527" s="9">
        <v>0</v>
      </c>
      <c r="Z527" s="9">
        <v>0</v>
      </c>
      <c r="AA527" s="9">
        <v>0</v>
      </c>
      <c r="AB527" s="9">
        <v>0</v>
      </c>
      <c r="AC527" s="9">
        <v>0</v>
      </c>
      <c r="AD527" s="9">
        <v>1</v>
      </c>
      <c r="AE527" s="9" t="s">
        <v>130</v>
      </c>
      <c r="AF527" s="9" t="s">
        <v>4325</v>
      </c>
      <c r="AG527" s="9" t="s">
        <v>4326</v>
      </c>
      <c r="AH527" s="9">
        <v>6.250121</v>
      </c>
      <c r="AI527" s="9">
        <v>-75.556875000000005</v>
      </c>
      <c r="AJ527" s="9" t="s">
        <v>4327</v>
      </c>
      <c r="AK527" s="9">
        <v>6.2255880000000001</v>
      </c>
      <c r="AL527" s="9">
        <v>-75.598989000000003</v>
      </c>
      <c r="AM527" s="26">
        <f t="shared" si="9"/>
        <v>2.6354166666666672E-2</v>
      </c>
    </row>
    <row r="528" spans="1:54" ht="15" x14ac:dyDescent="0.25">
      <c r="A528" s="9" t="s">
        <v>4328</v>
      </c>
      <c r="B528" s="9" t="s">
        <v>4329</v>
      </c>
      <c r="C528" s="9" t="s">
        <v>4330</v>
      </c>
      <c r="D528" s="9" t="s">
        <v>4274</v>
      </c>
      <c r="E528" s="9" t="s">
        <v>2619</v>
      </c>
      <c r="F528" s="9" t="s">
        <v>406</v>
      </c>
      <c r="G528" s="9" t="s">
        <v>135</v>
      </c>
      <c r="H528" s="9" t="s">
        <v>136</v>
      </c>
      <c r="I528" s="9" t="s">
        <v>115</v>
      </c>
      <c r="J528" s="9">
        <v>2306</v>
      </c>
      <c r="K528" s="9" t="s">
        <v>4331</v>
      </c>
      <c r="L528" s="9" t="s">
        <v>117</v>
      </c>
      <c r="M528" s="10">
        <v>2.5775462962962958E-2</v>
      </c>
      <c r="N528" s="9" t="s">
        <v>43</v>
      </c>
      <c r="O528" s="9" t="s">
        <v>4332</v>
      </c>
      <c r="P528" s="9" t="s">
        <v>119</v>
      </c>
      <c r="Q528" s="10">
        <v>1.5810185185185181E-2</v>
      </c>
      <c r="R528" s="9" t="s">
        <v>56</v>
      </c>
      <c r="S528" s="10">
        <v>0.20841435185185189</v>
      </c>
      <c r="T528" s="9">
        <v>35.134</v>
      </c>
      <c r="U528" s="9">
        <v>17.670000000000002</v>
      </c>
      <c r="V528" s="10">
        <v>8.2824074074074078E-2</v>
      </c>
      <c r="W528" s="10">
        <v>4.1585648148148149E-2</v>
      </c>
      <c r="X528" s="10">
        <v>8.5879629629629622E-3</v>
      </c>
      <c r="Y528" s="9">
        <v>1</v>
      </c>
      <c r="Z528" s="9">
        <v>0</v>
      </c>
      <c r="AA528" s="9">
        <v>0</v>
      </c>
      <c r="AB528" s="9">
        <v>0</v>
      </c>
      <c r="AC528" s="9">
        <v>0</v>
      </c>
      <c r="AD528" s="9">
        <v>6</v>
      </c>
      <c r="AE528" s="9" t="s">
        <v>57</v>
      </c>
      <c r="AF528" s="9" t="s">
        <v>4333</v>
      </c>
      <c r="AG528" s="9" t="s">
        <v>4334</v>
      </c>
      <c r="AH528" s="9">
        <v>6.2725720000000003</v>
      </c>
      <c r="AI528" s="9">
        <v>-75.540537</v>
      </c>
      <c r="AJ528" s="9" t="s">
        <v>4335</v>
      </c>
      <c r="AK528" s="9">
        <v>6.2171329999999996</v>
      </c>
      <c r="AL528" s="9">
        <v>-75.595055000000002</v>
      </c>
      <c r="AM528" s="26">
        <f t="shared" si="9"/>
        <v>4.1585648148148135E-2</v>
      </c>
    </row>
    <row r="529" spans="1:40" ht="15" x14ac:dyDescent="0.25">
      <c r="A529" s="9" t="s">
        <v>4336</v>
      </c>
      <c r="B529" s="9" t="s">
        <v>4337</v>
      </c>
      <c r="C529" s="9" t="s">
        <v>4338</v>
      </c>
      <c r="D529" s="9" t="s">
        <v>4274</v>
      </c>
      <c r="E529" s="9" t="s">
        <v>2619</v>
      </c>
      <c r="F529" s="9" t="s">
        <v>406</v>
      </c>
      <c r="G529" s="9" t="s">
        <v>72</v>
      </c>
      <c r="H529" s="9" t="s">
        <v>73</v>
      </c>
      <c r="I529" s="9" t="s">
        <v>115</v>
      </c>
      <c r="J529" s="9">
        <v>3993</v>
      </c>
      <c r="K529" s="9" t="s">
        <v>4339</v>
      </c>
      <c r="L529" s="9" t="s">
        <v>117</v>
      </c>
      <c r="M529" s="10">
        <v>7.6145833333333329E-2</v>
      </c>
      <c r="N529" s="9" t="s">
        <v>43</v>
      </c>
      <c r="O529" s="9" t="s">
        <v>4340</v>
      </c>
      <c r="P529" s="9" t="s">
        <v>119</v>
      </c>
      <c r="Q529" s="10">
        <v>1.981481481481482E-2</v>
      </c>
      <c r="R529" s="9" t="s">
        <v>56</v>
      </c>
      <c r="S529" s="10">
        <v>0.15403935185185191</v>
      </c>
      <c r="T529" s="9">
        <v>55.517000000000003</v>
      </c>
      <c r="U529" s="9">
        <v>17.39</v>
      </c>
      <c r="V529" s="10">
        <v>0.1330324074074074</v>
      </c>
      <c r="W529" s="10">
        <v>5.3761574074074073E-2</v>
      </c>
      <c r="X529" s="10">
        <v>0</v>
      </c>
      <c r="Y529" s="9">
        <v>0</v>
      </c>
      <c r="Z529" s="9">
        <v>0</v>
      </c>
      <c r="AA529" s="9">
        <v>0</v>
      </c>
      <c r="AB529" s="9">
        <v>0</v>
      </c>
      <c r="AC529" s="9">
        <v>0</v>
      </c>
      <c r="AD529" s="9">
        <v>0</v>
      </c>
      <c r="AE529" s="9" t="s">
        <v>57</v>
      </c>
      <c r="AF529" s="9" t="s">
        <v>4341</v>
      </c>
      <c r="AG529" s="9" t="s">
        <v>4342</v>
      </c>
      <c r="AH529" s="9">
        <v>6.2386489999999997</v>
      </c>
      <c r="AI529" s="9">
        <v>-75.573251999999997</v>
      </c>
      <c r="AJ529" s="9" t="s">
        <v>4343</v>
      </c>
      <c r="AK529" s="9">
        <v>6.2354180000000001</v>
      </c>
      <c r="AL529" s="9">
        <v>-75.554732999999999</v>
      </c>
      <c r="AM529" s="26">
        <f t="shared" si="9"/>
        <v>9.5960648148148142E-2</v>
      </c>
    </row>
    <row r="530" spans="1:40" ht="15" x14ac:dyDescent="0.25">
      <c r="A530" s="9" t="s">
        <v>4344</v>
      </c>
      <c r="B530" s="9" t="s">
        <v>4345</v>
      </c>
      <c r="C530" s="9" t="s">
        <v>4346</v>
      </c>
      <c r="D530" s="9" t="s">
        <v>4274</v>
      </c>
      <c r="E530" s="9" t="s">
        <v>2619</v>
      </c>
      <c r="F530" s="9" t="s">
        <v>406</v>
      </c>
      <c r="G530" s="9" t="s">
        <v>80</v>
      </c>
      <c r="H530" s="9" t="s">
        <v>81</v>
      </c>
      <c r="I530" s="9" t="s">
        <v>115</v>
      </c>
      <c r="J530" s="9">
        <v>11948</v>
      </c>
      <c r="K530" s="9" t="s">
        <v>4347</v>
      </c>
      <c r="L530" s="9" t="s">
        <v>117</v>
      </c>
      <c r="M530" s="10">
        <v>1.724733796296296E-3</v>
      </c>
      <c r="N530" s="9" t="s">
        <v>65</v>
      </c>
      <c r="O530" s="9" t="s">
        <v>4348</v>
      </c>
      <c r="P530" s="9" t="s">
        <v>119</v>
      </c>
      <c r="Q530" s="10">
        <v>1.2208333333333331E-3</v>
      </c>
      <c r="R530" s="9" t="s">
        <v>46</v>
      </c>
      <c r="S530" s="10">
        <v>0.24705443287037041</v>
      </c>
      <c r="T530" s="9">
        <v>93.061999999999998</v>
      </c>
      <c r="U530" s="9">
        <v>31.19</v>
      </c>
      <c r="V530" s="10">
        <v>0.1243100578703704</v>
      </c>
      <c r="W530" s="10">
        <v>1.4461805555555559E-2</v>
      </c>
      <c r="X530" s="10">
        <v>0</v>
      </c>
      <c r="Y530" s="9">
        <v>0</v>
      </c>
      <c r="Z530" s="9">
        <v>0</v>
      </c>
      <c r="AA530" s="9">
        <v>0</v>
      </c>
      <c r="AB530" s="9">
        <v>0</v>
      </c>
      <c r="AC530" s="9">
        <v>0</v>
      </c>
      <c r="AD530" s="9">
        <v>3</v>
      </c>
      <c r="AE530" s="9" t="s">
        <v>84</v>
      </c>
      <c r="AF530" s="9" t="s">
        <v>292</v>
      </c>
      <c r="AG530" s="9" t="s">
        <v>4349</v>
      </c>
      <c r="AH530" s="9">
        <v>6.2557660000000004</v>
      </c>
      <c r="AI530" s="9">
        <v>-75.619710999999995</v>
      </c>
      <c r="AJ530" s="9" t="s">
        <v>4350</v>
      </c>
      <c r="AK530" s="9">
        <v>6.2469840000000003</v>
      </c>
      <c r="AL530" s="9">
        <v>-75.554086999999996</v>
      </c>
      <c r="AM530" s="26">
        <f t="shared" si="9"/>
        <v>0</v>
      </c>
    </row>
    <row r="531" spans="1:40" ht="15" x14ac:dyDescent="0.25">
      <c r="A531" s="9" t="s">
        <v>4351</v>
      </c>
      <c r="B531" s="9" t="s">
        <v>4352</v>
      </c>
      <c r="C531" s="9" t="s">
        <v>4353</v>
      </c>
      <c r="D531" s="9" t="s">
        <v>4274</v>
      </c>
      <c r="E531" s="9" t="s">
        <v>2619</v>
      </c>
      <c r="F531" s="9" t="s">
        <v>406</v>
      </c>
      <c r="G531" s="9" t="s">
        <v>97</v>
      </c>
      <c r="H531" s="9" t="s">
        <v>98</v>
      </c>
      <c r="I531" s="9" t="s">
        <v>115</v>
      </c>
      <c r="J531" s="9">
        <v>2218</v>
      </c>
      <c r="K531" s="9" t="s">
        <v>4354</v>
      </c>
      <c r="L531" s="9" t="s">
        <v>117</v>
      </c>
      <c r="M531" s="10">
        <v>2.299768518518518E-2</v>
      </c>
      <c r="N531" s="9" t="s">
        <v>127</v>
      </c>
      <c r="O531" s="9" t="s">
        <v>4355</v>
      </c>
      <c r="P531" s="9" t="s">
        <v>119</v>
      </c>
      <c r="Q531" s="10">
        <v>7.3726851851851849E-2</v>
      </c>
      <c r="R531" s="9" t="s">
        <v>56</v>
      </c>
      <c r="S531" s="10">
        <v>0.19927083333333331</v>
      </c>
      <c r="T531" s="9">
        <v>28.459</v>
      </c>
      <c r="U531" s="9">
        <v>8.06</v>
      </c>
      <c r="V531" s="10">
        <v>0.14703703703703699</v>
      </c>
      <c r="W531" s="10">
        <v>8.9282407407407408E-2</v>
      </c>
      <c r="X531" s="10">
        <v>0</v>
      </c>
      <c r="Y531" s="9">
        <v>0</v>
      </c>
      <c r="Z531" s="9">
        <v>0</v>
      </c>
      <c r="AA531" s="9">
        <v>0</v>
      </c>
      <c r="AB531" s="9">
        <v>0</v>
      </c>
      <c r="AC531" s="9">
        <v>0</v>
      </c>
      <c r="AD531" s="9">
        <v>0</v>
      </c>
      <c r="AE531" s="9" t="s">
        <v>139</v>
      </c>
      <c r="AF531" s="9" t="s">
        <v>4356</v>
      </c>
      <c r="AG531" s="9" t="s">
        <v>4357</v>
      </c>
      <c r="AH531" s="9">
        <v>6.3092480000000002</v>
      </c>
      <c r="AI531" s="9">
        <v>-75.575903999999994</v>
      </c>
      <c r="AJ531" s="9" t="s">
        <v>4358</v>
      </c>
      <c r="AK531" s="9">
        <v>6.3090140000000003</v>
      </c>
      <c r="AL531" s="9">
        <v>-75.576318999999998</v>
      </c>
      <c r="AM531" s="26">
        <f t="shared" si="9"/>
        <v>7.3726851851851849E-2</v>
      </c>
    </row>
    <row r="532" spans="1:40" ht="15" x14ac:dyDescent="0.25">
      <c r="A532" s="9" t="s">
        <v>4359</v>
      </c>
      <c r="B532" s="9" t="s">
        <v>4360</v>
      </c>
      <c r="C532" s="9" t="s">
        <v>4361</v>
      </c>
      <c r="D532" s="9" t="s">
        <v>4362</v>
      </c>
      <c r="E532" s="9" t="s">
        <v>2619</v>
      </c>
      <c r="F532" s="9" t="s">
        <v>508</v>
      </c>
      <c r="G532" s="9" t="s">
        <v>38</v>
      </c>
      <c r="H532" s="9" t="s">
        <v>39</v>
      </c>
      <c r="I532" s="9" t="s">
        <v>40</v>
      </c>
      <c r="J532" s="9">
        <v>1295</v>
      </c>
      <c r="K532" s="9" t="s">
        <v>4363</v>
      </c>
      <c r="L532" s="9" t="s">
        <v>42</v>
      </c>
      <c r="M532" s="10">
        <v>1.65162037037037E-2</v>
      </c>
      <c r="N532" s="9" t="s">
        <v>43</v>
      </c>
      <c r="O532" s="9" t="s">
        <v>4364</v>
      </c>
      <c r="P532" s="9" t="s">
        <v>45</v>
      </c>
      <c r="Q532" s="10">
        <v>3.5763888888888889E-3</v>
      </c>
      <c r="R532" s="9" t="s">
        <v>46</v>
      </c>
      <c r="S532" s="10">
        <v>0.32039351851851849</v>
      </c>
      <c r="T532" s="9">
        <v>15.379</v>
      </c>
      <c r="U532" s="9">
        <v>5.72</v>
      </c>
      <c r="V532" s="10">
        <v>0.1120833333333333</v>
      </c>
      <c r="W532" s="10">
        <v>8.3564814814814814E-2</v>
      </c>
      <c r="X532" s="10">
        <v>0.10879629629629629</v>
      </c>
      <c r="Y532" s="9">
        <v>1</v>
      </c>
      <c r="Z532" s="9">
        <v>1</v>
      </c>
      <c r="AA532" s="9">
        <v>1</v>
      </c>
      <c r="AB532" s="9">
        <v>1</v>
      </c>
      <c r="AC532" s="9">
        <v>1</v>
      </c>
      <c r="AD532" s="9">
        <v>1</v>
      </c>
      <c r="AE532" s="9" t="s">
        <v>47</v>
      </c>
      <c r="AF532" s="9" t="s">
        <v>4365</v>
      </c>
      <c r="AG532" s="9" t="s">
        <v>4366</v>
      </c>
      <c r="AH532" s="9">
        <v>6.2034070000000003</v>
      </c>
      <c r="AI532" s="9">
        <v>-75.600691999999995</v>
      </c>
      <c r="AJ532" s="9" t="s">
        <v>4367</v>
      </c>
      <c r="AK532" s="9">
        <v>6.2215749999999996</v>
      </c>
      <c r="AL532" s="9">
        <v>-75.593852999999996</v>
      </c>
      <c r="AM532" s="26">
        <f t="shared" si="9"/>
        <v>1.65162037037037E-2</v>
      </c>
    </row>
    <row r="533" spans="1:40" ht="15" x14ac:dyDescent="0.25">
      <c r="A533" s="9" t="s">
        <v>4368</v>
      </c>
      <c r="B533" s="9" t="s">
        <v>4369</v>
      </c>
      <c r="C533" s="9" t="s">
        <v>4370</v>
      </c>
      <c r="D533" s="9" t="s">
        <v>4362</v>
      </c>
      <c r="E533" s="9" t="s">
        <v>2619</v>
      </c>
      <c r="F533" s="9" t="s">
        <v>508</v>
      </c>
      <c r="G533" s="9" t="s">
        <v>52</v>
      </c>
      <c r="H533" s="9" t="s">
        <v>53</v>
      </c>
      <c r="I533" s="9" t="s">
        <v>40</v>
      </c>
      <c r="J533" s="9">
        <v>3125</v>
      </c>
      <c r="K533" s="9" t="s">
        <v>4371</v>
      </c>
      <c r="L533" s="9" t="s">
        <v>42</v>
      </c>
      <c r="M533" s="10">
        <v>1.819444444444444E-2</v>
      </c>
      <c r="N533" s="9" t="s">
        <v>127</v>
      </c>
      <c r="O533" s="9" t="s">
        <v>4372</v>
      </c>
      <c r="P533" s="9" t="s">
        <v>45</v>
      </c>
      <c r="Q533" s="10">
        <v>1.701388888888889E-3</v>
      </c>
      <c r="R533" s="9" t="s">
        <v>46</v>
      </c>
      <c r="S533" s="10">
        <v>0.35322916666666659</v>
      </c>
      <c r="T533" s="9">
        <v>39.334000000000003</v>
      </c>
      <c r="U533" s="9">
        <v>8.41</v>
      </c>
      <c r="V533" s="10">
        <v>0.19497685185185179</v>
      </c>
      <c r="W533" s="10">
        <v>0.12534722222222219</v>
      </c>
      <c r="X533" s="10">
        <v>0</v>
      </c>
      <c r="Y533" s="9">
        <v>0</v>
      </c>
      <c r="Z533" s="9">
        <v>0</v>
      </c>
      <c r="AA533" s="9">
        <v>0</v>
      </c>
      <c r="AB533" s="9">
        <v>0</v>
      </c>
      <c r="AC533" s="9">
        <v>0</v>
      </c>
      <c r="AD533" s="9">
        <v>1</v>
      </c>
      <c r="AE533" s="9" t="s">
        <v>139</v>
      </c>
      <c r="AF533" s="9" t="s">
        <v>4373</v>
      </c>
      <c r="AG533" s="9" t="s">
        <v>4374</v>
      </c>
      <c r="AH533" s="9">
        <v>6.2256130000000001</v>
      </c>
      <c r="AI533" s="9">
        <v>-75.599299999999999</v>
      </c>
      <c r="AJ533" s="9" t="s">
        <v>4375</v>
      </c>
      <c r="AK533" s="9">
        <v>6.2477119999999999</v>
      </c>
      <c r="AL533" s="9">
        <v>-75.615081000000004</v>
      </c>
      <c r="AM533" s="26">
        <f t="shared" si="9"/>
        <v>0</v>
      </c>
    </row>
    <row r="534" spans="1:40" ht="15" x14ac:dyDescent="0.25">
      <c r="A534" s="9" t="s">
        <v>4376</v>
      </c>
      <c r="B534" s="9" t="s">
        <v>4377</v>
      </c>
      <c r="C534" s="9" t="s">
        <v>4378</v>
      </c>
      <c r="D534" s="9" t="s">
        <v>4362</v>
      </c>
      <c r="E534" s="9" t="s">
        <v>2619</v>
      </c>
      <c r="F534" s="9" t="s">
        <v>508</v>
      </c>
      <c r="G534" s="9" t="s">
        <v>62</v>
      </c>
      <c r="H534" s="9" t="s">
        <v>63</v>
      </c>
      <c r="I534" s="9" t="s">
        <v>40</v>
      </c>
      <c r="J534" s="9">
        <v>2689</v>
      </c>
      <c r="K534" s="9" t="s">
        <v>4379</v>
      </c>
      <c r="L534" s="9" t="s">
        <v>42</v>
      </c>
      <c r="M534" s="10">
        <v>8.472222222222223E-3</v>
      </c>
      <c r="N534" s="9" t="s">
        <v>65</v>
      </c>
      <c r="O534" s="9" t="s">
        <v>4380</v>
      </c>
      <c r="P534" s="9" t="s">
        <v>45</v>
      </c>
      <c r="Q534" s="10">
        <v>0.12221064814814819</v>
      </c>
      <c r="R534" s="9" t="s">
        <v>56</v>
      </c>
      <c r="S534" s="10">
        <v>0.21959490740740739</v>
      </c>
      <c r="T534" s="9">
        <v>36.213000000000001</v>
      </c>
      <c r="U534" s="9">
        <v>9.9</v>
      </c>
      <c r="V534" s="10">
        <v>0.15236111111111111</v>
      </c>
      <c r="W534" s="10">
        <v>9.1979166666666667E-2</v>
      </c>
      <c r="X534" s="10">
        <v>0</v>
      </c>
      <c r="Y534" s="9">
        <v>0</v>
      </c>
      <c r="Z534" s="9">
        <v>0</v>
      </c>
      <c r="AA534" s="9">
        <v>0</v>
      </c>
      <c r="AB534" s="9">
        <v>0</v>
      </c>
      <c r="AC534" s="9">
        <v>0</v>
      </c>
      <c r="AD534" s="9">
        <v>1</v>
      </c>
      <c r="AE534" s="9" t="s">
        <v>67</v>
      </c>
      <c r="AF534" s="9" t="s">
        <v>4381</v>
      </c>
      <c r="AG534" s="9" t="s">
        <v>4382</v>
      </c>
      <c r="AH534" s="9">
        <v>6.2257610000000003</v>
      </c>
      <c r="AI534" s="9">
        <v>-75.599428000000003</v>
      </c>
      <c r="AJ534" s="9" t="s">
        <v>4383</v>
      </c>
      <c r="AK534" s="9">
        <v>6.2905530000000001</v>
      </c>
      <c r="AL534" s="9">
        <v>-75.569749999999999</v>
      </c>
      <c r="AM534" s="26">
        <f t="shared" si="9"/>
        <v>0.12221064814814819</v>
      </c>
    </row>
    <row r="535" spans="1:40" ht="15" x14ac:dyDescent="0.25">
      <c r="A535" s="9" t="s">
        <v>4384</v>
      </c>
      <c r="B535" s="9" t="s">
        <v>4385</v>
      </c>
      <c r="C535" s="9" t="s">
        <v>4386</v>
      </c>
      <c r="D535" s="9" t="s">
        <v>4362</v>
      </c>
      <c r="E535" s="9" t="s">
        <v>2619</v>
      </c>
      <c r="F535" s="9" t="s">
        <v>508</v>
      </c>
      <c r="G535" s="9" t="s">
        <v>144</v>
      </c>
      <c r="H535" s="9" t="s">
        <v>145</v>
      </c>
      <c r="I535" s="9" t="s">
        <v>40</v>
      </c>
      <c r="J535" s="9">
        <v>4530</v>
      </c>
      <c r="K535" s="9" t="s">
        <v>4387</v>
      </c>
      <c r="L535" s="9" t="s">
        <v>42</v>
      </c>
      <c r="M535" s="10">
        <v>5.5555555555555558E-3</v>
      </c>
      <c r="N535" s="9" t="s">
        <v>65</v>
      </c>
      <c r="O535" s="9" t="s">
        <v>4388</v>
      </c>
      <c r="P535" s="9" t="s">
        <v>45</v>
      </c>
      <c r="Q535" s="10">
        <v>1.5844907407407412E-2</v>
      </c>
      <c r="R535" s="9" t="s">
        <v>56</v>
      </c>
      <c r="S535" s="10">
        <v>0.3230439814814815</v>
      </c>
      <c r="T535" s="9">
        <v>57.572000000000003</v>
      </c>
      <c r="U535" s="9">
        <v>10.16</v>
      </c>
      <c r="V535" s="10">
        <v>0.23621527777777779</v>
      </c>
      <c r="W535" s="10">
        <v>0.12913194444444451</v>
      </c>
      <c r="X535" s="10">
        <v>0</v>
      </c>
      <c r="Y535" s="9">
        <v>0</v>
      </c>
      <c r="Z535" s="9">
        <v>0</v>
      </c>
      <c r="AA535" s="9">
        <v>0</v>
      </c>
      <c r="AB535" s="9">
        <v>0</v>
      </c>
      <c r="AC535" s="9">
        <v>0</v>
      </c>
      <c r="AD535" s="9">
        <v>0</v>
      </c>
      <c r="AE535" s="9" t="s">
        <v>67</v>
      </c>
      <c r="AF535" s="9" t="s">
        <v>4389</v>
      </c>
      <c r="AG535" s="9" t="s">
        <v>4390</v>
      </c>
      <c r="AH535" s="9">
        <v>6.2256090000000004</v>
      </c>
      <c r="AI535" s="9">
        <v>-75.599514999999997</v>
      </c>
      <c r="AJ535" s="9" t="s">
        <v>4391</v>
      </c>
      <c r="AK535" s="9">
        <v>6.263744</v>
      </c>
      <c r="AL535" s="9">
        <v>-75.567603000000005</v>
      </c>
      <c r="AM535" s="26">
        <f t="shared" si="9"/>
        <v>1.5844907407407412E-2</v>
      </c>
    </row>
    <row r="536" spans="1:40" ht="15" x14ac:dyDescent="0.25">
      <c r="A536" s="9" t="s">
        <v>4392</v>
      </c>
      <c r="B536" s="9" t="s">
        <v>4393</v>
      </c>
      <c r="C536" s="9" t="s">
        <v>4394</v>
      </c>
      <c r="D536" s="9" t="s">
        <v>4362</v>
      </c>
      <c r="E536" s="9" t="s">
        <v>2619</v>
      </c>
      <c r="F536" s="9" t="s">
        <v>508</v>
      </c>
      <c r="G536" s="9" t="s">
        <v>89</v>
      </c>
      <c r="H536" s="9" t="s">
        <v>90</v>
      </c>
      <c r="I536" s="9" t="s">
        <v>40</v>
      </c>
      <c r="J536" s="9">
        <v>1529</v>
      </c>
      <c r="K536" s="9" t="s">
        <v>4395</v>
      </c>
      <c r="L536" s="9" t="s">
        <v>42</v>
      </c>
      <c r="M536" s="10">
        <v>7.013888888888889E-3</v>
      </c>
      <c r="N536" s="9" t="s">
        <v>65</v>
      </c>
      <c r="O536" s="9" t="s">
        <v>4396</v>
      </c>
      <c r="P536" s="9" t="s">
        <v>45</v>
      </c>
      <c r="Q536" s="10">
        <v>1.388888888888889E-2</v>
      </c>
      <c r="R536" s="9" t="s">
        <v>56</v>
      </c>
      <c r="S536" s="10">
        <v>0.31243055555555549</v>
      </c>
      <c r="T536" s="9">
        <v>16.675000000000001</v>
      </c>
      <c r="U536" s="9">
        <v>3.26</v>
      </c>
      <c r="V536" s="10">
        <v>0.2129861111111111</v>
      </c>
      <c r="W536" s="10">
        <v>0.18839120370370371</v>
      </c>
      <c r="X536" s="10">
        <v>0</v>
      </c>
      <c r="Y536" s="9">
        <v>0</v>
      </c>
      <c r="Z536" s="9">
        <v>0</v>
      </c>
      <c r="AA536" s="9">
        <v>0</v>
      </c>
      <c r="AB536" s="9">
        <v>0</v>
      </c>
      <c r="AC536" s="9">
        <v>0</v>
      </c>
      <c r="AD536" s="9">
        <v>0</v>
      </c>
      <c r="AE536" s="9" t="s">
        <v>67</v>
      </c>
      <c r="AF536" s="9" t="s">
        <v>4397</v>
      </c>
      <c r="AG536" s="9" t="s">
        <v>4398</v>
      </c>
      <c r="AH536" s="9">
        <v>6.2266620000000001</v>
      </c>
      <c r="AI536" s="9">
        <v>-75.599292000000005</v>
      </c>
      <c r="AJ536" s="9" t="s">
        <v>4399</v>
      </c>
      <c r="AK536" s="9">
        <v>6.2466369999999998</v>
      </c>
      <c r="AL536" s="9">
        <v>-75.570026999999996</v>
      </c>
      <c r="AM536" s="26">
        <f t="shared" si="9"/>
        <v>1.388888888888889E-2</v>
      </c>
    </row>
    <row r="537" spans="1:40" ht="15" x14ac:dyDescent="0.25">
      <c r="A537" s="9" t="s">
        <v>4400</v>
      </c>
      <c r="B537" s="9" t="s">
        <v>4401</v>
      </c>
      <c r="C537" s="9" t="s">
        <v>4402</v>
      </c>
      <c r="D537" s="9" t="s">
        <v>4362</v>
      </c>
      <c r="E537" s="9" t="s">
        <v>2619</v>
      </c>
      <c r="F537" s="9" t="s">
        <v>508</v>
      </c>
      <c r="G537" s="9" t="s">
        <v>105</v>
      </c>
      <c r="H537" s="9" t="s">
        <v>106</v>
      </c>
      <c r="I537" s="9" t="s">
        <v>40</v>
      </c>
      <c r="J537" s="9">
        <v>4278</v>
      </c>
      <c r="K537" s="9" t="s">
        <v>4403</v>
      </c>
      <c r="L537" s="9" t="s">
        <v>42</v>
      </c>
      <c r="M537" s="10">
        <v>8.9733796296296298E-2</v>
      </c>
      <c r="N537" s="9" t="s">
        <v>43</v>
      </c>
      <c r="O537" s="9" t="s">
        <v>4404</v>
      </c>
      <c r="P537" s="9" t="s">
        <v>45</v>
      </c>
      <c r="Q537" s="10">
        <v>6.958333333333333E-2</v>
      </c>
      <c r="R537" s="9" t="s">
        <v>56</v>
      </c>
      <c r="S537" s="10">
        <v>0.17401620370370369</v>
      </c>
      <c r="T537" s="9">
        <v>70.099999999999994</v>
      </c>
      <c r="U537" s="9">
        <v>21.01</v>
      </c>
      <c r="V537" s="10">
        <v>0.13900462962962959</v>
      </c>
      <c r="W537" s="10">
        <v>5.8738425925925923E-2</v>
      </c>
      <c r="X537" s="10">
        <v>4.6412037037037038E-3</v>
      </c>
      <c r="Y537" s="9">
        <v>0</v>
      </c>
      <c r="Z537" s="9">
        <v>0</v>
      </c>
      <c r="AA537" s="9">
        <v>0</v>
      </c>
      <c r="AB537" s="9">
        <v>0</v>
      </c>
      <c r="AC537" s="9">
        <v>0</v>
      </c>
      <c r="AD537" s="9">
        <v>1</v>
      </c>
      <c r="AE537" s="9" t="s">
        <v>57</v>
      </c>
      <c r="AF537" s="9" t="s">
        <v>4405</v>
      </c>
      <c r="AG537" s="9" t="s">
        <v>4406</v>
      </c>
      <c r="AH537" s="9">
        <v>6.258375</v>
      </c>
      <c r="AI537" s="9">
        <v>-75.615757000000002</v>
      </c>
      <c r="AJ537" s="9" t="s">
        <v>4407</v>
      </c>
      <c r="AK537" s="9">
        <v>6.2585220000000001</v>
      </c>
      <c r="AL537" s="9">
        <v>-75.616169999999997</v>
      </c>
      <c r="AM537" s="26">
        <f t="shared" si="9"/>
        <v>0.15931712962962963</v>
      </c>
    </row>
    <row r="538" spans="1:40" ht="15" x14ac:dyDescent="0.25">
      <c r="A538" s="9" t="s">
        <v>4408</v>
      </c>
      <c r="B538" s="9" t="s">
        <v>4409</v>
      </c>
      <c r="C538" s="9" t="s">
        <v>4410</v>
      </c>
      <c r="D538" s="9" t="s">
        <v>4362</v>
      </c>
      <c r="E538" s="9" t="s">
        <v>2619</v>
      </c>
      <c r="F538" s="9" t="s">
        <v>508</v>
      </c>
      <c r="G538" s="9" t="s">
        <v>113</v>
      </c>
      <c r="H538" s="9" t="s">
        <v>114</v>
      </c>
      <c r="I538" s="9" t="s">
        <v>115</v>
      </c>
      <c r="J538" s="9">
        <v>2123</v>
      </c>
      <c r="K538" s="9" t="s">
        <v>4411</v>
      </c>
      <c r="L538" s="9" t="s">
        <v>117</v>
      </c>
      <c r="M538" s="10">
        <v>2.8009259259259259E-3</v>
      </c>
      <c r="N538" s="9" t="s">
        <v>65</v>
      </c>
      <c r="O538" s="9" t="s">
        <v>4412</v>
      </c>
      <c r="P538" s="9" t="s">
        <v>119</v>
      </c>
      <c r="Q538" s="10">
        <v>7.2789351851851855E-2</v>
      </c>
      <c r="R538" s="9" t="s">
        <v>56</v>
      </c>
      <c r="S538" s="10">
        <v>0.1744097222222222</v>
      </c>
      <c r="T538" s="9">
        <v>26.995000000000001</v>
      </c>
      <c r="U538" s="9">
        <v>10.23</v>
      </c>
      <c r="V538" s="10">
        <v>0.10998842592592591</v>
      </c>
      <c r="W538" s="10">
        <v>5.8229166666666672E-2</v>
      </c>
      <c r="X538" s="10">
        <v>0</v>
      </c>
      <c r="Y538" s="9">
        <v>0</v>
      </c>
      <c r="Z538" s="9">
        <v>0</v>
      </c>
      <c r="AA538" s="9">
        <v>0</v>
      </c>
      <c r="AB538" s="9">
        <v>0</v>
      </c>
      <c r="AC538" s="9">
        <v>0</v>
      </c>
      <c r="AD538" s="9">
        <v>0</v>
      </c>
      <c r="AE538" s="9" t="s">
        <v>67</v>
      </c>
      <c r="AF538" s="9" t="s">
        <v>4413</v>
      </c>
      <c r="AG538" s="9" t="s">
        <v>4414</v>
      </c>
      <c r="AH538" s="9">
        <v>6.2503349999999998</v>
      </c>
      <c r="AI538" s="9">
        <v>-75.600363999999999</v>
      </c>
      <c r="AJ538" s="9" t="s">
        <v>4415</v>
      </c>
      <c r="AK538" s="9">
        <v>6.2506919999999999</v>
      </c>
      <c r="AL538" s="9">
        <v>-75.60154</v>
      </c>
      <c r="AM538" s="26">
        <f t="shared" si="9"/>
        <v>7.2789351851851855E-2</v>
      </c>
      <c r="AN538" s="1" t="s">
        <v>4061</v>
      </c>
    </row>
    <row r="539" spans="1:40" ht="15" x14ac:dyDescent="0.25">
      <c r="A539" s="9" t="s">
        <v>4416</v>
      </c>
      <c r="B539" s="9" t="s">
        <v>4417</v>
      </c>
      <c r="C539" s="9" t="s">
        <v>4418</v>
      </c>
      <c r="D539" s="9" t="s">
        <v>4362</v>
      </c>
      <c r="E539" s="9" t="s">
        <v>2619</v>
      </c>
      <c r="F539" s="9" t="s">
        <v>508</v>
      </c>
      <c r="G539" s="9" t="s">
        <v>124</v>
      </c>
      <c r="H539" s="9" t="s">
        <v>125</v>
      </c>
      <c r="I539" s="9" t="s">
        <v>115</v>
      </c>
      <c r="J539" s="9">
        <v>5852</v>
      </c>
      <c r="K539" s="9" t="s">
        <v>4419</v>
      </c>
      <c r="L539" s="9" t="s">
        <v>117</v>
      </c>
      <c r="M539" s="10">
        <v>5.9409722222222218E-2</v>
      </c>
      <c r="N539" s="9" t="s">
        <v>127</v>
      </c>
      <c r="O539" s="9" t="s">
        <v>4420</v>
      </c>
      <c r="P539" s="9" t="s">
        <v>119</v>
      </c>
      <c r="Q539" s="10">
        <v>1.0949074074074069E-2</v>
      </c>
      <c r="R539" s="9" t="s">
        <v>129</v>
      </c>
      <c r="S539" s="10">
        <v>0.32035879629629632</v>
      </c>
      <c r="T539" s="9">
        <v>74.962999999999994</v>
      </c>
      <c r="U539" s="9">
        <v>12.45</v>
      </c>
      <c r="V539" s="10">
        <v>0.25081018518518522</v>
      </c>
      <c r="W539" s="10">
        <v>9.9386574074074072E-2</v>
      </c>
      <c r="X539" s="10">
        <v>1.525462962962963E-2</v>
      </c>
      <c r="Y539" s="9">
        <v>1</v>
      </c>
      <c r="Z539" s="9">
        <v>1</v>
      </c>
      <c r="AA539" s="9">
        <v>0</v>
      </c>
      <c r="AB539" s="9">
        <v>0</v>
      </c>
      <c r="AC539" s="9">
        <v>0</v>
      </c>
      <c r="AD539" s="9">
        <v>0</v>
      </c>
      <c r="AE539" s="9" t="s">
        <v>130</v>
      </c>
      <c r="AF539" s="9" t="s">
        <v>4421</v>
      </c>
      <c r="AG539" s="9" t="s">
        <v>4422</v>
      </c>
      <c r="AH539" s="9">
        <v>6.2254690000000004</v>
      </c>
      <c r="AI539" s="9">
        <v>-75.599356</v>
      </c>
      <c r="AJ539" s="9" t="s">
        <v>4423</v>
      </c>
      <c r="AK539" s="9">
        <v>6.2726179999999996</v>
      </c>
      <c r="AL539" s="9">
        <v>-75.601983000000004</v>
      </c>
      <c r="AM539" s="26">
        <f t="shared" si="9"/>
        <v>0</v>
      </c>
      <c r="AN539" s="1" t="s">
        <v>4061</v>
      </c>
    </row>
    <row r="540" spans="1:40" ht="15" x14ac:dyDescent="0.25">
      <c r="A540" s="9" t="s">
        <v>4424</v>
      </c>
      <c r="B540" s="9" t="s">
        <v>4425</v>
      </c>
      <c r="C540" s="9" t="s">
        <v>4426</v>
      </c>
      <c r="D540" s="9" t="s">
        <v>4362</v>
      </c>
      <c r="E540" s="9" t="s">
        <v>2619</v>
      </c>
      <c r="F540" s="9" t="s">
        <v>508</v>
      </c>
      <c r="G540" s="9" t="s">
        <v>135</v>
      </c>
      <c r="H540" s="9" t="s">
        <v>136</v>
      </c>
      <c r="I540" s="9" t="s">
        <v>115</v>
      </c>
      <c r="J540" s="9">
        <v>1179</v>
      </c>
      <c r="K540" s="9" t="s">
        <v>4427</v>
      </c>
      <c r="L540" s="9" t="s">
        <v>117</v>
      </c>
      <c r="M540" s="10">
        <v>7.526620370370371E-2</v>
      </c>
      <c r="N540" s="9" t="s">
        <v>127</v>
      </c>
      <c r="O540" s="9" t="s">
        <v>4428</v>
      </c>
      <c r="P540" s="9" t="s">
        <v>119</v>
      </c>
      <c r="Q540" s="10">
        <v>2.0023148148148148E-3</v>
      </c>
      <c r="R540" s="9" t="s">
        <v>46</v>
      </c>
      <c r="S540" s="10">
        <v>0.32326388888888891</v>
      </c>
      <c r="T540" s="9">
        <v>37.79</v>
      </c>
      <c r="U540" s="9">
        <v>20.78</v>
      </c>
      <c r="V540" s="10">
        <v>7.5775462962962961E-2</v>
      </c>
      <c r="W540" s="10">
        <v>3.8530092592592588E-2</v>
      </c>
      <c r="X540" s="10">
        <v>0</v>
      </c>
      <c r="Y540" s="9">
        <v>0</v>
      </c>
      <c r="Z540" s="9">
        <v>0</v>
      </c>
      <c r="AA540" s="9">
        <v>0</v>
      </c>
      <c r="AB540" s="9">
        <v>0</v>
      </c>
      <c r="AC540" s="9">
        <v>0</v>
      </c>
      <c r="AD540" s="9">
        <v>3</v>
      </c>
      <c r="AE540" s="9" t="s">
        <v>139</v>
      </c>
      <c r="AF540" s="9" t="s">
        <v>4429</v>
      </c>
      <c r="AG540" s="9" t="s">
        <v>4430</v>
      </c>
      <c r="AH540" s="9">
        <v>6.2257619999999996</v>
      </c>
      <c r="AI540" s="9">
        <v>-75.599109999999996</v>
      </c>
      <c r="AJ540" s="9" t="s">
        <v>4431</v>
      </c>
      <c r="AK540" s="9">
        <v>6.2250120000000004</v>
      </c>
      <c r="AL540" s="9">
        <v>-75.599492999999995</v>
      </c>
      <c r="AM540" s="26">
        <f t="shared" si="9"/>
        <v>0</v>
      </c>
      <c r="AN540" s="1" t="s">
        <v>4061</v>
      </c>
    </row>
    <row r="541" spans="1:40" ht="15" x14ac:dyDescent="0.25">
      <c r="A541" s="9" t="s">
        <v>4432</v>
      </c>
      <c r="B541" s="9" t="s">
        <v>4433</v>
      </c>
      <c r="C541" s="9" t="s">
        <v>4434</v>
      </c>
      <c r="D541" s="9" t="s">
        <v>4362</v>
      </c>
      <c r="E541" s="9" t="s">
        <v>2619</v>
      </c>
      <c r="F541" s="9" t="s">
        <v>508</v>
      </c>
      <c r="G541" s="9" t="s">
        <v>72</v>
      </c>
      <c r="H541" s="9" t="s">
        <v>73</v>
      </c>
      <c r="I541" s="9" t="s">
        <v>115</v>
      </c>
      <c r="J541" s="9">
        <v>2109</v>
      </c>
      <c r="K541" s="9" t="s">
        <v>4435</v>
      </c>
      <c r="L541" s="9" t="s">
        <v>117</v>
      </c>
      <c r="M541" s="10">
        <v>4.1562500000000002E-2</v>
      </c>
      <c r="N541" s="9" t="s">
        <v>127</v>
      </c>
      <c r="O541" s="9" t="s">
        <v>4436</v>
      </c>
      <c r="P541" s="9" t="s">
        <v>119</v>
      </c>
      <c r="Q541" s="10">
        <v>6.1145833333333337E-2</v>
      </c>
      <c r="R541" s="9" t="s">
        <v>56</v>
      </c>
      <c r="S541" s="10">
        <v>0.23041666666666669</v>
      </c>
      <c r="T541" s="9">
        <v>29.806000000000001</v>
      </c>
      <c r="U541" s="9">
        <v>10.25</v>
      </c>
      <c r="V541" s="10">
        <v>0.1211805555555556</v>
      </c>
      <c r="W541" s="10">
        <v>8.0706018518518524E-2</v>
      </c>
      <c r="X541" s="10">
        <v>0</v>
      </c>
      <c r="Y541" s="9">
        <v>0</v>
      </c>
      <c r="Z541" s="9">
        <v>0</v>
      </c>
      <c r="AA541" s="9">
        <v>0</v>
      </c>
      <c r="AB541" s="9">
        <v>0</v>
      </c>
      <c r="AC541" s="9">
        <v>0</v>
      </c>
      <c r="AD541" s="9">
        <v>1</v>
      </c>
      <c r="AE541" s="9" t="s">
        <v>139</v>
      </c>
      <c r="AF541" s="9" t="s">
        <v>4437</v>
      </c>
      <c r="AG541" s="9" t="s">
        <v>4438</v>
      </c>
      <c r="AH541" s="9">
        <v>6.2253780000000001</v>
      </c>
      <c r="AI541" s="9">
        <v>-75.599435</v>
      </c>
      <c r="AJ541" s="9" t="s">
        <v>4439</v>
      </c>
      <c r="AK541" s="9">
        <v>6.2369779999999997</v>
      </c>
      <c r="AL541" s="9">
        <v>-75.558823000000004</v>
      </c>
      <c r="AM541" s="26">
        <f t="shared" si="9"/>
        <v>6.1145833333333337E-2</v>
      </c>
      <c r="AN541" s="1" t="s">
        <v>4061</v>
      </c>
    </row>
    <row r="542" spans="1:40" ht="15" x14ac:dyDescent="0.25">
      <c r="A542" s="9" t="s">
        <v>4440</v>
      </c>
      <c r="B542" s="9" t="s">
        <v>4441</v>
      </c>
      <c r="C542" s="9" t="s">
        <v>4442</v>
      </c>
      <c r="D542" s="9" t="s">
        <v>4362</v>
      </c>
      <c r="E542" s="9" t="s">
        <v>2619</v>
      </c>
      <c r="F542" s="9" t="s">
        <v>508</v>
      </c>
      <c r="G542" s="9" t="s">
        <v>80</v>
      </c>
      <c r="H542" s="9" t="s">
        <v>81</v>
      </c>
      <c r="I542" s="9" t="s">
        <v>115</v>
      </c>
      <c r="J542" s="9">
        <v>5789</v>
      </c>
      <c r="K542" s="9" t="s">
        <v>4443</v>
      </c>
      <c r="L542" s="9" t="s">
        <v>117</v>
      </c>
      <c r="M542" s="10">
        <v>6.564386574074074E-3</v>
      </c>
      <c r="N542" s="9" t="s">
        <v>65</v>
      </c>
      <c r="O542" s="9" t="s">
        <v>4444</v>
      </c>
      <c r="P542" s="9" t="s">
        <v>119</v>
      </c>
      <c r="Q542" s="10">
        <v>5.3287962962962968E-3</v>
      </c>
      <c r="R542" s="9" t="s">
        <v>46</v>
      </c>
      <c r="S542" s="10">
        <v>0.23810681712962961</v>
      </c>
      <c r="T542" s="9">
        <v>48.529000000000003</v>
      </c>
      <c r="U542" s="9">
        <v>23.12</v>
      </c>
      <c r="V542" s="10">
        <v>8.7473287037036968E-2</v>
      </c>
      <c r="W542" s="10">
        <v>2.789581018518519E-2</v>
      </c>
      <c r="X542" s="10">
        <v>0</v>
      </c>
      <c r="Y542" s="9">
        <v>0</v>
      </c>
      <c r="Z542" s="9">
        <v>0</v>
      </c>
      <c r="AA542" s="9">
        <v>0</v>
      </c>
      <c r="AB542" s="9">
        <v>0</v>
      </c>
      <c r="AC542" s="9">
        <v>0</v>
      </c>
      <c r="AD542" s="9">
        <v>7</v>
      </c>
      <c r="AE542" s="9" t="s">
        <v>84</v>
      </c>
      <c r="AF542" s="9" t="s">
        <v>2832</v>
      </c>
      <c r="AG542" s="9" t="s">
        <v>4445</v>
      </c>
      <c r="AH542" s="9">
        <v>6.1904450000000004</v>
      </c>
      <c r="AI542" s="9">
        <v>-75.577248999999995</v>
      </c>
      <c r="AJ542" s="9" t="s">
        <v>4446</v>
      </c>
      <c r="AK542" s="9">
        <v>6.2556419999999999</v>
      </c>
      <c r="AL542" s="9">
        <v>-75.620604</v>
      </c>
      <c r="AM542" s="26">
        <f t="shared" si="9"/>
        <v>0</v>
      </c>
      <c r="AN542" s="1" t="s">
        <v>4061</v>
      </c>
    </row>
    <row r="543" spans="1:40" ht="15" x14ac:dyDescent="0.25">
      <c r="A543" s="9" t="s">
        <v>4447</v>
      </c>
      <c r="B543" s="9" t="s">
        <v>4448</v>
      </c>
      <c r="C543" s="9" t="s">
        <v>4449</v>
      </c>
      <c r="D543" s="9" t="s">
        <v>4362</v>
      </c>
      <c r="E543" s="9" t="s">
        <v>2619</v>
      </c>
      <c r="F543" s="9" t="s">
        <v>508</v>
      </c>
      <c r="G543" s="9" t="s">
        <v>160</v>
      </c>
      <c r="H543" s="9" t="s">
        <v>161</v>
      </c>
      <c r="I543" s="9" t="s">
        <v>115</v>
      </c>
      <c r="J543" s="9">
        <v>15127</v>
      </c>
      <c r="K543" s="9" t="s">
        <v>4450</v>
      </c>
      <c r="L543" s="9" t="s">
        <v>117</v>
      </c>
      <c r="M543" s="10">
        <v>6.2735798611111102E-2</v>
      </c>
      <c r="N543" s="9" t="s">
        <v>127</v>
      </c>
      <c r="O543" s="9" t="s">
        <v>4451</v>
      </c>
      <c r="P543" s="9" t="s">
        <v>119</v>
      </c>
      <c r="Q543" s="10">
        <v>8.884513888888888E-3</v>
      </c>
      <c r="R543" s="9" t="s">
        <v>46</v>
      </c>
      <c r="S543" s="10">
        <v>0.32162031250000001</v>
      </c>
      <c r="T543" s="9">
        <v>90.927999999999997</v>
      </c>
      <c r="U543" s="9">
        <v>17.809999999999999</v>
      </c>
      <c r="V543" s="10">
        <v>0.21276561342592579</v>
      </c>
      <c r="W543" s="10">
        <v>0.1150462847222222</v>
      </c>
      <c r="X543" s="10">
        <v>0</v>
      </c>
      <c r="Y543" s="9">
        <v>0</v>
      </c>
      <c r="Z543" s="9">
        <v>0</v>
      </c>
      <c r="AA543" s="9">
        <v>0</v>
      </c>
      <c r="AB543" s="9">
        <v>0</v>
      </c>
      <c r="AC543" s="9">
        <v>0</v>
      </c>
      <c r="AD543" s="9">
        <v>3</v>
      </c>
      <c r="AE543" s="9" t="s">
        <v>139</v>
      </c>
      <c r="AF543" s="9" t="s">
        <v>4452</v>
      </c>
      <c r="AG543" s="9" t="s">
        <v>4453</v>
      </c>
      <c r="AH543" s="9">
        <v>6.2266300000000001</v>
      </c>
      <c r="AI543" s="9">
        <v>-75.599256999999994</v>
      </c>
      <c r="AJ543" s="9" t="s">
        <v>4454</v>
      </c>
      <c r="AK543" s="9">
        <v>6.2574920000000001</v>
      </c>
      <c r="AL543" s="9">
        <v>-75.583867999999995</v>
      </c>
      <c r="AM543" s="26">
        <f t="shared" si="9"/>
        <v>0</v>
      </c>
      <c r="AN543" s="1" t="s">
        <v>4061</v>
      </c>
    </row>
    <row r="544" spans="1:40" ht="15" x14ac:dyDescent="0.25">
      <c r="A544" s="9" t="s">
        <v>4455</v>
      </c>
      <c r="B544" s="9" t="s">
        <v>4456</v>
      </c>
      <c r="C544" s="9" t="s">
        <v>4457</v>
      </c>
      <c r="D544" s="9" t="s">
        <v>4362</v>
      </c>
      <c r="E544" s="9" t="s">
        <v>2619</v>
      </c>
      <c r="F544" s="9" t="s">
        <v>508</v>
      </c>
      <c r="G544" s="9" t="s">
        <v>97</v>
      </c>
      <c r="H544" s="9" t="s">
        <v>98</v>
      </c>
      <c r="I544" s="9" t="s">
        <v>115</v>
      </c>
      <c r="J544" s="9">
        <v>1859</v>
      </c>
      <c r="K544" s="9" t="s">
        <v>4458</v>
      </c>
      <c r="L544" s="9" t="s">
        <v>117</v>
      </c>
      <c r="M544" s="10">
        <v>4.4120370370370372E-2</v>
      </c>
      <c r="N544" s="9" t="s">
        <v>43</v>
      </c>
      <c r="O544" s="9" t="s">
        <v>4459</v>
      </c>
      <c r="P544" s="9" t="s">
        <v>119</v>
      </c>
      <c r="Q544" s="10">
        <v>1.068287037037037E-2</v>
      </c>
      <c r="R544" s="9" t="s">
        <v>56</v>
      </c>
      <c r="S544" s="10">
        <v>0.19519675925925931</v>
      </c>
      <c r="T544" s="9">
        <v>24.123999999999999</v>
      </c>
      <c r="U544" s="9">
        <v>8.67</v>
      </c>
      <c r="V544" s="10">
        <v>0.1159953703703704</v>
      </c>
      <c r="W544" s="10">
        <v>7.0023148148148154E-2</v>
      </c>
      <c r="X544" s="10">
        <v>0</v>
      </c>
      <c r="Y544" s="9">
        <v>0</v>
      </c>
      <c r="Z544" s="9">
        <v>0</v>
      </c>
      <c r="AA544" s="9">
        <v>0</v>
      </c>
      <c r="AB544" s="9">
        <v>0</v>
      </c>
      <c r="AC544" s="9">
        <v>0</v>
      </c>
      <c r="AD544" s="9">
        <v>0</v>
      </c>
      <c r="AE544" s="9" t="s">
        <v>57</v>
      </c>
      <c r="AF544" s="9" t="s">
        <v>4460</v>
      </c>
      <c r="AG544" s="9" t="s">
        <v>4461</v>
      </c>
      <c r="AH544" s="9">
        <v>6.2227949999999996</v>
      </c>
      <c r="AI544" s="9">
        <v>-75.598664999999997</v>
      </c>
      <c r="AJ544" s="9" t="s">
        <v>4462</v>
      </c>
      <c r="AK544" s="9">
        <v>6.3079090000000004</v>
      </c>
      <c r="AL544" s="9">
        <v>-75.582012000000006</v>
      </c>
      <c r="AM544" s="26">
        <f t="shared" si="9"/>
        <v>5.4803240740740743E-2</v>
      </c>
      <c r="AN544" s="1" t="s">
        <v>4061</v>
      </c>
    </row>
    <row r="545" spans="1:40" ht="15" x14ac:dyDescent="0.25">
      <c r="A545" s="9" t="s">
        <v>4463</v>
      </c>
      <c r="B545" s="9" t="s">
        <v>4464</v>
      </c>
      <c r="C545" s="9" t="s">
        <v>4465</v>
      </c>
      <c r="D545" s="9" t="s">
        <v>4466</v>
      </c>
      <c r="E545" s="9" t="s">
        <v>2619</v>
      </c>
      <c r="F545" s="9" t="s">
        <v>37</v>
      </c>
      <c r="G545" s="9" t="s">
        <v>62</v>
      </c>
      <c r="H545" s="9" t="s">
        <v>63</v>
      </c>
      <c r="I545" s="9" t="s">
        <v>40</v>
      </c>
      <c r="J545" s="9">
        <v>2253</v>
      </c>
      <c r="K545" s="9" t="s">
        <v>4467</v>
      </c>
      <c r="L545" s="9" t="s">
        <v>42</v>
      </c>
      <c r="M545" s="10">
        <v>3.7962962962962959E-3</v>
      </c>
      <c r="N545" s="9" t="s">
        <v>65</v>
      </c>
      <c r="O545" s="9" t="s">
        <v>4468</v>
      </c>
      <c r="P545" s="9" t="s">
        <v>45</v>
      </c>
      <c r="Q545" s="10">
        <v>0.1106712962962963</v>
      </c>
      <c r="R545" s="9" t="s">
        <v>56</v>
      </c>
      <c r="S545" s="10">
        <v>0.21886574074074069</v>
      </c>
      <c r="T545" s="9">
        <v>28.928999999999998</v>
      </c>
      <c r="U545" s="9">
        <v>8.5</v>
      </c>
      <c r="V545" s="10">
        <v>0.1418402777777778</v>
      </c>
      <c r="W545" s="10">
        <v>9.284722222222222E-2</v>
      </c>
      <c r="X545" s="10">
        <v>0</v>
      </c>
      <c r="Y545" s="9">
        <v>0</v>
      </c>
      <c r="Z545" s="9">
        <v>0</v>
      </c>
      <c r="AA545" s="9">
        <v>0</v>
      </c>
      <c r="AB545" s="9">
        <v>0</v>
      </c>
      <c r="AC545" s="9">
        <v>0</v>
      </c>
      <c r="AD545" s="9">
        <v>1</v>
      </c>
      <c r="AE545" s="9" t="s">
        <v>67</v>
      </c>
      <c r="AF545" s="9" t="s">
        <v>4469</v>
      </c>
      <c r="AG545" s="9" t="s">
        <v>4470</v>
      </c>
      <c r="AH545" s="9">
        <v>6.2346060000000003</v>
      </c>
      <c r="AI545" s="9">
        <v>-75.608090000000004</v>
      </c>
      <c r="AJ545" s="9" t="s">
        <v>4471</v>
      </c>
      <c r="AK545" s="9">
        <v>6.2874600000000003</v>
      </c>
      <c r="AL545" s="9">
        <v>-75.567243000000005</v>
      </c>
      <c r="AM545" s="26">
        <f t="shared" si="9"/>
        <v>0.1106712962962963</v>
      </c>
    </row>
    <row r="546" spans="1:40" ht="15" x14ac:dyDescent="0.25">
      <c r="A546" s="9" t="s">
        <v>4472</v>
      </c>
      <c r="B546" s="9" t="s">
        <v>4473</v>
      </c>
      <c r="C546" s="9" t="s">
        <v>4474</v>
      </c>
      <c r="D546" s="9" t="s">
        <v>4466</v>
      </c>
      <c r="E546" s="9" t="s">
        <v>2619</v>
      </c>
      <c r="F546" s="9" t="s">
        <v>37</v>
      </c>
      <c r="G546" s="9" t="s">
        <v>144</v>
      </c>
      <c r="H546" s="9" t="s">
        <v>145</v>
      </c>
      <c r="I546" s="9" t="s">
        <v>40</v>
      </c>
      <c r="J546" s="9">
        <v>2148</v>
      </c>
      <c r="K546" s="9" t="s">
        <v>4475</v>
      </c>
      <c r="L546" s="9" t="s">
        <v>42</v>
      </c>
      <c r="M546" s="10">
        <v>0.14432870370370371</v>
      </c>
      <c r="N546" s="9" t="s">
        <v>43</v>
      </c>
      <c r="O546" s="9" t="s">
        <v>4476</v>
      </c>
      <c r="P546" s="9" t="s">
        <v>45</v>
      </c>
      <c r="Q546" s="10">
        <v>5.5324074074074078E-3</v>
      </c>
      <c r="R546" s="9" t="s">
        <v>46</v>
      </c>
      <c r="S546" s="10">
        <v>0.19453703703703701</v>
      </c>
      <c r="T546" s="9">
        <v>26.943999999999999</v>
      </c>
      <c r="U546" s="9">
        <v>8.5399999999999991</v>
      </c>
      <c r="V546" s="10">
        <v>0.1315162037037037</v>
      </c>
      <c r="W546" s="10">
        <v>7.7546296296296294E-2</v>
      </c>
      <c r="X546" s="10">
        <v>0</v>
      </c>
      <c r="Y546" s="9">
        <v>0</v>
      </c>
      <c r="Z546" s="9">
        <v>0</v>
      </c>
      <c r="AA546" s="9">
        <v>0</v>
      </c>
      <c r="AB546" s="9">
        <v>0</v>
      </c>
      <c r="AC546" s="9">
        <v>0</v>
      </c>
      <c r="AD546" s="9">
        <v>0</v>
      </c>
      <c r="AE546" s="9" t="s">
        <v>47</v>
      </c>
      <c r="AF546" s="9" t="s">
        <v>4477</v>
      </c>
      <c r="AG546" s="9" t="s">
        <v>4478</v>
      </c>
      <c r="AH546" s="9">
        <v>6.1932229999999997</v>
      </c>
      <c r="AI546" s="9">
        <v>-75.581580000000002</v>
      </c>
      <c r="AJ546" s="9" t="s">
        <v>4479</v>
      </c>
      <c r="AK546" s="9">
        <v>6.2904340000000003</v>
      </c>
      <c r="AL546" s="9">
        <v>-75.546554999999998</v>
      </c>
      <c r="AM546" s="26">
        <f t="shared" si="9"/>
        <v>0.14432870370370371</v>
      </c>
      <c r="AN546" s="1" t="s">
        <v>4512</v>
      </c>
    </row>
    <row r="547" spans="1:40" ht="15" x14ac:dyDescent="0.25">
      <c r="A547" s="9" t="s">
        <v>4480</v>
      </c>
      <c r="B547" s="9" t="s">
        <v>4481</v>
      </c>
      <c r="C547" s="9" t="s">
        <v>4482</v>
      </c>
      <c r="D547" s="9" t="s">
        <v>4466</v>
      </c>
      <c r="E547" s="9" t="s">
        <v>2619</v>
      </c>
      <c r="F547" s="9" t="s">
        <v>37</v>
      </c>
      <c r="G547" s="9" t="s">
        <v>152</v>
      </c>
      <c r="H547" s="9" t="s">
        <v>153</v>
      </c>
      <c r="I547" s="9" t="s">
        <v>40</v>
      </c>
      <c r="J547" s="9">
        <v>3431</v>
      </c>
      <c r="K547" s="9" t="s">
        <v>4483</v>
      </c>
      <c r="L547" s="9" t="s">
        <v>42</v>
      </c>
      <c r="M547" s="10">
        <v>1.4999999999999999E-2</v>
      </c>
      <c r="N547" s="9" t="s">
        <v>127</v>
      </c>
      <c r="O547" s="9" t="s">
        <v>4484</v>
      </c>
      <c r="P547" s="9" t="s">
        <v>45</v>
      </c>
      <c r="Q547" s="10">
        <v>7.5752314814814814E-2</v>
      </c>
      <c r="R547" s="9" t="s">
        <v>56</v>
      </c>
      <c r="S547" s="10">
        <v>0.27258101851851851</v>
      </c>
      <c r="T547" s="9">
        <v>44.609000000000002</v>
      </c>
      <c r="U547" s="9">
        <v>7.56</v>
      </c>
      <c r="V547" s="10">
        <v>0.2459722222222222</v>
      </c>
      <c r="W547" s="10">
        <v>0.16136574074074081</v>
      </c>
      <c r="X547" s="10">
        <v>0</v>
      </c>
      <c r="Y547" s="9">
        <v>0</v>
      </c>
      <c r="Z547" s="9">
        <v>0</v>
      </c>
      <c r="AA547" s="9">
        <v>0</v>
      </c>
      <c r="AB547" s="9">
        <v>0</v>
      </c>
      <c r="AC547" s="9">
        <v>0</v>
      </c>
      <c r="AD547" s="9">
        <v>1</v>
      </c>
      <c r="AE547" s="9" t="s">
        <v>139</v>
      </c>
      <c r="AF547" s="9" t="s">
        <v>4485</v>
      </c>
      <c r="AG547" s="9" t="s">
        <v>4486</v>
      </c>
      <c r="AH547" s="9">
        <v>6.2256749999999998</v>
      </c>
      <c r="AI547" s="9">
        <v>-75.599542999999997</v>
      </c>
      <c r="AJ547" s="9" t="s">
        <v>4487</v>
      </c>
      <c r="AK547" s="9">
        <v>6.2518649999999996</v>
      </c>
      <c r="AL547" s="9">
        <v>-75.551807999999994</v>
      </c>
      <c r="AM547" s="26">
        <f t="shared" si="9"/>
        <v>7.5752314814814814E-2</v>
      </c>
    </row>
    <row r="548" spans="1:40" ht="15" x14ac:dyDescent="0.25">
      <c r="A548" s="9" t="s">
        <v>4488</v>
      </c>
      <c r="B548" s="9" t="s">
        <v>4489</v>
      </c>
      <c r="C548" s="9" t="s">
        <v>4490</v>
      </c>
      <c r="D548" s="9" t="s">
        <v>4466</v>
      </c>
      <c r="E548" s="9" t="s">
        <v>2619</v>
      </c>
      <c r="F548" s="9" t="s">
        <v>37</v>
      </c>
      <c r="G548" s="9" t="s">
        <v>89</v>
      </c>
      <c r="H548" s="9" t="s">
        <v>90</v>
      </c>
      <c r="I548" s="9" t="s">
        <v>40</v>
      </c>
      <c r="J548" s="9">
        <v>2563</v>
      </c>
      <c r="K548" s="9" t="s">
        <v>4491</v>
      </c>
      <c r="L548" s="9" t="s">
        <v>42</v>
      </c>
      <c r="M548" s="10">
        <v>1.655092592592593E-3</v>
      </c>
      <c r="N548" s="9" t="s">
        <v>65</v>
      </c>
      <c r="O548" s="9" t="s">
        <v>4492</v>
      </c>
      <c r="P548" s="9" t="s">
        <v>45</v>
      </c>
      <c r="Q548" s="10">
        <v>6.7280092592592586E-2</v>
      </c>
      <c r="R548" s="9" t="s">
        <v>56</v>
      </c>
      <c r="S548" s="10">
        <v>0.26770833333333333</v>
      </c>
      <c r="T548" s="9">
        <v>30.376999999999999</v>
      </c>
      <c r="U548" s="9">
        <v>5.75</v>
      </c>
      <c r="V548" s="10">
        <v>0.22009259259259259</v>
      </c>
      <c r="W548" s="10">
        <v>0.16950231481481479</v>
      </c>
      <c r="X548" s="10">
        <v>0</v>
      </c>
      <c r="Y548" s="9">
        <v>0</v>
      </c>
      <c r="Z548" s="9">
        <v>0</v>
      </c>
      <c r="AA548" s="9">
        <v>0</v>
      </c>
      <c r="AB548" s="9">
        <v>0</v>
      </c>
      <c r="AC548" s="9">
        <v>0</v>
      </c>
      <c r="AD548" s="9">
        <v>0</v>
      </c>
      <c r="AE548" s="9" t="s">
        <v>67</v>
      </c>
      <c r="AF548" s="9" t="s">
        <v>4493</v>
      </c>
      <c r="AG548" s="9" t="s">
        <v>4494</v>
      </c>
      <c r="AH548" s="9">
        <v>6.2266750000000002</v>
      </c>
      <c r="AI548" s="9">
        <v>-75.599328</v>
      </c>
      <c r="AJ548" s="9" t="s">
        <v>4495</v>
      </c>
      <c r="AK548" s="9">
        <v>6.2255830000000003</v>
      </c>
      <c r="AL548" s="9">
        <v>-75.599237000000002</v>
      </c>
      <c r="AM548" s="26">
        <f t="shared" si="9"/>
        <v>6.7280092592592586E-2</v>
      </c>
    </row>
    <row r="549" spans="1:40" ht="15" x14ac:dyDescent="0.25">
      <c r="A549" s="9" t="s">
        <v>4496</v>
      </c>
      <c r="B549" s="9" t="s">
        <v>4497</v>
      </c>
      <c r="C549" s="9" t="s">
        <v>4498</v>
      </c>
      <c r="D549" s="9" t="s">
        <v>4466</v>
      </c>
      <c r="E549" s="9" t="s">
        <v>2619</v>
      </c>
      <c r="F549" s="9" t="s">
        <v>37</v>
      </c>
      <c r="G549" s="9" t="s">
        <v>105</v>
      </c>
      <c r="H549" s="9" t="s">
        <v>106</v>
      </c>
      <c r="I549" s="9" t="s">
        <v>40</v>
      </c>
      <c r="J549" s="9">
        <v>2639</v>
      </c>
      <c r="K549" s="9" t="s">
        <v>4499</v>
      </c>
      <c r="L549" s="9" t="s">
        <v>42</v>
      </c>
      <c r="M549" s="10">
        <v>2.072916666666667E-2</v>
      </c>
      <c r="N549" s="9" t="s">
        <v>127</v>
      </c>
      <c r="O549" s="9" t="s">
        <v>4500</v>
      </c>
      <c r="P549" s="9" t="s">
        <v>45</v>
      </c>
      <c r="Q549" s="10">
        <v>2.6944444444444441E-2</v>
      </c>
      <c r="R549" s="9" t="s">
        <v>56</v>
      </c>
      <c r="S549" s="10">
        <v>0.32711805555555562</v>
      </c>
      <c r="T549" s="9">
        <v>34.475999999999999</v>
      </c>
      <c r="U549" s="9">
        <v>7.8</v>
      </c>
      <c r="V549" s="10">
        <v>0.1842708333333333</v>
      </c>
      <c r="W549" s="10">
        <v>0.12942129629629631</v>
      </c>
      <c r="X549" s="10">
        <v>0</v>
      </c>
      <c r="Y549" s="9">
        <v>0</v>
      </c>
      <c r="Z549" s="9">
        <v>0</v>
      </c>
      <c r="AA549" s="9">
        <v>0</v>
      </c>
      <c r="AB549" s="9">
        <v>0</v>
      </c>
      <c r="AC549" s="9">
        <v>0</v>
      </c>
      <c r="AD549" s="9">
        <v>2</v>
      </c>
      <c r="AE549" s="9" t="s">
        <v>139</v>
      </c>
      <c r="AF549" s="9" t="s">
        <v>4501</v>
      </c>
      <c r="AG549" s="9" t="s">
        <v>4502</v>
      </c>
      <c r="AH549" s="9">
        <v>6.2256169999999997</v>
      </c>
      <c r="AI549" s="9">
        <v>-75.59939</v>
      </c>
      <c r="AJ549" s="9" t="s">
        <v>4503</v>
      </c>
      <c r="AK549" s="9">
        <v>6.2583659999999997</v>
      </c>
      <c r="AL549" s="9">
        <v>-75.615859999999998</v>
      </c>
      <c r="AM549" s="26">
        <f t="shared" si="9"/>
        <v>2.6944444444444441E-2</v>
      </c>
    </row>
    <row r="550" spans="1:40" ht="15" x14ac:dyDescent="0.25">
      <c r="A550" s="9" t="s">
        <v>4504</v>
      </c>
      <c r="B550" s="9" t="s">
        <v>4505</v>
      </c>
      <c r="C550" s="9" t="s">
        <v>4506</v>
      </c>
      <c r="D550" s="9" t="s">
        <v>4466</v>
      </c>
      <c r="E550" s="9" t="s">
        <v>2619</v>
      </c>
      <c r="F550" s="9" t="s">
        <v>37</v>
      </c>
      <c r="G550" s="9" t="s">
        <v>52</v>
      </c>
      <c r="H550" s="9" t="s">
        <v>53</v>
      </c>
      <c r="I550" s="9" t="s">
        <v>40</v>
      </c>
      <c r="J550" s="9">
        <v>3149</v>
      </c>
      <c r="K550" s="9" t="s">
        <v>4507</v>
      </c>
      <c r="L550" s="9" t="s">
        <v>42</v>
      </c>
      <c r="M550" s="10">
        <v>2.015046296296296E-2</v>
      </c>
      <c r="N550" s="9" t="s">
        <v>127</v>
      </c>
      <c r="O550" s="9" t="s">
        <v>4508</v>
      </c>
      <c r="P550" s="9" t="s">
        <v>45</v>
      </c>
      <c r="Q550" s="10">
        <v>3.5879629629629629E-3</v>
      </c>
      <c r="R550" s="9" t="s">
        <v>46</v>
      </c>
      <c r="S550" s="10">
        <v>0.35707175925925932</v>
      </c>
      <c r="T550" s="9">
        <v>40.28</v>
      </c>
      <c r="U550" s="9">
        <v>7.22</v>
      </c>
      <c r="V550" s="10">
        <v>0.23243055555555561</v>
      </c>
      <c r="W550" s="10">
        <v>0.16241898148148151</v>
      </c>
      <c r="X550" s="10">
        <v>6.7534722222222218E-2</v>
      </c>
      <c r="Y550" s="9">
        <v>1</v>
      </c>
      <c r="Z550" s="9">
        <v>1</v>
      </c>
      <c r="AA550" s="9">
        <v>1</v>
      </c>
      <c r="AB550" s="9">
        <v>1</v>
      </c>
      <c r="AC550" s="9">
        <v>1</v>
      </c>
      <c r="AD550" s="9">
        <v>2</v>
      </c>
      <c r="AE550" s="9" t="s">
        <v>139</v>
      </c>
      <c r="AF550" s="9" t="s">
        <v>4509</v>
      </c>
      <c r="AG550" s="9" t="s">
        <v>4510</v>
      </c>
      <c r="AH550" s="9">
        <v>6.2257259999999999</v>
      </c>
      <c r="AI550" s="9">
        <v>-75.599491999999998</v>
      </c>
      <c r="AJ550" s="9" t="s">
        <v>4511</v>
      </c>
      <c r="AK550" s="9">
        <v>6.2256710000000002</v>
      </c>
      <c r="AL550" s="9">
        <v>-75.599393000000006</v>
      </c>
      <c r="AM550" s="26">
        <f t="shared" si="9"/>
        <v>0</v>
      </c>
    </row>
    <row r="551" spans="1:40" ht="15" x14ac:dyDescent="0.25">
      <c r="A551" s="9" t="s">
        <v>4513</v>
      </c>
      <c r="B551" s="9" t="s">
        <v>4514</v>
      </c>
      <c r="C551" s="9" t="s">
        <v>4515</v>
      </c>
      <c r="D551" s="9" t="s">
        <v>4466</v>
      </c>
      <c r="E551" s="9" t="s">
        <v>2619</v>
      </c>
      <c r="F551" s="9" t="s">
        <v>37</v>
      </c>
      <c r="G551" s="9" t="s">
        <v>38</v>
      </c>
      <c r="H551" s="9" t="s">
        <v>39</v>
      </c>
      <c r="I551" s="9" t="s">
        <v>40</v>
      </c>
      <c r="J551" s="9">
        <v>2544</v>
      </c>
      <c r="K551" s="9" t="s">
        <v>4516</v>
      </c>
      <c r="L551" s="9" t="s">
        <v>42</v>
      </c>
      <c r="M551" s="10">
        <v>5.9027777777777778E-4</v>
      </c>
      <c r="N551" s="9" t="s">
        <v>65</v>
      </c>
      <c r="O551" s="9" t="s">
        <v>4517</v>
      </c>
      <c r="P551" s="9" t="s">
        <v>45</v>
      </c>
      <c r="Q551" s="10">
        <v>1.8981481481481479E-3</v>
      </c>
      <c r="R551" s="9" t="s">
        <v>46</v>
      </c>
      <c r="S551" s="10">
        <v>0.3346412037037037</v>
      </c>
      <c r="T551" s="9">
        <v>34.115000000000002</v>
      </c>
      <c r="U551" s="9">
        <v>6.04</v>
      </c>
      <c r="V551" s="10">
        <v>0.23518518518518519</v>
      </c>
      <c r="W551" s="10">
        <v>0.17627314814814821</v>
      </c>
      <c r="X551" s="10">
        <v>6.3078703703703708E-3</v>
      </c>
      <c r="Y551" s="9">
        <v>0</v>
      </c>
      <c r="Z551" s="9">
        <v>0</v>
      </c>
      <c r="AA551" s="9">
        <v>0</v>
      </c>
      <c r="AB551" s="9">
        <v>0</v>
      </c>
      <c r="AC551" s="9">
        <v>0</v>
      </c>
      <c r="AD551" s="9">
        <v>0</v>
      </c>
      <c r="AE551" s="9" t="s">
        <v>84</v>
      </c>
      <c r="AF551" s="9" t="s">
        <v>3016</v>
      </c>
      <c r="AG551" s="9" t="s">
        <v>4518</v>
      </c>
      <c r="AH551" s="9">
        <v>6.2033079999999998</v>
      </c>
      <c r="AI551" s="9">
        <v>-75.600774999999999</v>
      </c>
      <c r="AJ551" s="9" t="s">
        <v>4519</v>
      </c>
      <c r="AK551" s="9">
        <v>6.2256330000000002</v>
      </c>
      <c r="AL551" s="9">
        <v>-75.599179000000007</v>
      </c>
      <c r="AM551" s="26">
        <f t="shared" si="9"/>
        <v>0</v>
      </c>
    </row>
    <row r="552" spans="1:40" ht="15" x14ac:dyDescent="0.25">
      <c r="A552" s="9" t="s">
        <v>4520</v>
      </c>
      <c r="B552" s="9" t="s">
        <v>4521</v>
      </c>
      <c r="C552" s="9" t="s">
        <v>4522</v>
      </c>
      <c r="D552" s="9" t="s">
        <v>4466</v>
      </c>
      <c r="E552" s="9" t="s">
        <v>2619</v>
      </c>
      <c r="F552" s="9" t="s">
        <v>37</v>
      </c>
      <c r="G552" s="9" t="s">
        <v>113</v>
      </c>
      <c r="H552" s="9" t="s">
        <v>114</v>
      </c>
      <c r="I552" s="9" t="s">
        <v>115</v>
      </c>
      <c r="J552" s="9">
        <v>4539</v>
      </c>
      <c r="K552" s="9" t="s">
        <v>4523</v>
      </c>
      <c r="L552" s="9" t="s">
        <v>117</v>
      </c>
      <c r="M552" s="10">
        <v>2.476851851851852E-3</v>
      </c>
      <c r="N552" s="9" t="s">
        <v>65</v>
      </c>
      <c r="O552" s="9" t="s">
        <v>4524</v>
      </c>
      <c r="P552" s="9" t="s">
        <v>119</v>
      </c>
      <c r="Q552" s="10">
        <v>5.2662037037037026E-3</v>
      </c>
      <c r="R552" s="9" t="s">
        <v>46</v>
      </c>
      <c r="S552" s="10">
        <v>0.24225694444444451</v>
      </c>
      <c r="T552" s="9">
        <v>61.779000000000003</v>
      </c>
      <c r="U552" s="9">
        <v>14.14</v>
      </c>
      <c r="V552" s="10">
        <v>0.182037037037037</v>
      </c>
      <c r="W552" s="10">
        <v>9.662037037037037E-2</v>
      </c>
      <c r="X552" s="10">
        <v>0</v>
      </c>
      <c r="Y552" s="9">
        <v>0</v>
      </c>
      <c r="Z552" s="9">
        <v>0</v>
      </c>
      <c r="AA552" s="9">
        <v>0</v>
      </c>
      <c r="AB552" s="9">
        <v>0</v>
      </c>
      <c r="AC552" s="9">
        <v>0</v>
      </c>
      <c r="AD552" s="9">
        <v>2</v>
      </c>
      <c r="AE552" s="9" t="s">
        <v>84</v>
      </c>
      <c r="AF552" s="9" t="s">
        <v>1384</v>
      </c>
      <c r="AG552" s="9" t="s">
        <v>4525</v>
      </c>
      <c r="AH552" s="9">
        <v>6.2139249999999997</v>
      </c>
      <c r="AI552" s="9">
        <v>-75.596495000000004</v>
      </c>
      <c r="AJ552" s="9" t="s">
        <v>4526</v>
      </c>
      <c r="AK552" s="9">
        <v>6.2253970000000001</v>
      </c>
      <c r="AL552" s="9">
        <v>-75.599834999999999</v>
      </c>
      <c r="AM552" s="26">
        <f t="shared" si="9"/>
        <v>0</v>
      </c>
    </row>
    <row r="553" spans="1:40" ht="15" x14ac:dyDescent="0.25">
      <c r="A553" s="9" t="s">
        <v>4527</v>
      </c>
      <c r="B553" s="9" t="s">
        <v>4528</v>
      </c>
      <c r="C553" s="9" t="s">
        <v>4529</v>
      </c>
      <c r="D553" s="9" t="s">
        <v>4466</v>
      </c>
      <c r="E553" s="9" t="s">
        <v>2619</v>
      </c>
      <c r="F553" s="9" t="s">
        <v>37</v>
      </c>
      <c r="G553" s="9" t="s">
        <v>124</v>
      </c>
      <c r="H553" s="9" t="s">
        <v>125</v>
      </c>
      <c r="I553" s="9" t="s">
        <v>115</v>
      </c>
      <c r="J553" s="9">
        <v>3744</v>
      </c>
      <c r="K553" s="9" t="s">
        <v>4530</v>
      </c>
      <c r="L553" s="9" t="s">
        <v>117</v>
      </c>
      <c r="M553" s="10">
        <v>4.7847222222222222E-2</v>
      </c>
      <c r="N553" s="9" t="s">
        <v>127</v>
      </c>
      <c r="O553" s="9" t="s">
        <v>4531</v>
      </c>
      <c r="P553" s="9" t="s">
        <v>119</v>
      </c>
      <c r="Q553" s="10">
        <v>9.5949074074074079E-3</v>
      </c>
      <c r="R553" s="9" t="s">
        <v>46</v>
      </c>
      <c r="S553" s="10">
        <v>0.30744212962962958</v>
      </c>
      <c r="T553" s="9">
        <v>44.134</v>
      </c>
      <c r="U553" s="9">
        <v>10.77</v>
      </c>
      <c r="V553" s="10">
        <v>0.17071759259259259</v>
      </c>
      <c r="W553" s="10">
        <v>7.9351851851851854E-2</v>
      </c>
      <c r="X553" s="10">
        <v>1.8599537037037039E-2</v>
      </c>
      <c r="Y553" s="9">
        <v>1</v>
      </c>
      <c r="Z553" s="9">
        <v>1</v>
      </c>
      <c r="AA553" s="9">
        <v>0</v>
      </c>
      <c r="AB553" s="9">
        <v>0</v>
      </c>
      <c r="AC553" s="9">
        <v>0</v>
      </c>
      <c r="AD553" s="9">
        <v>1</v>
      </c>
      <c r="AE553" s="9" t="s">
        <v>139</v>
      </c>
      <c r="AF553" s="9" t="s">
        <v>4532</v>
      </c>
      <c r="AG553" s="9" t="s">
        <v>4533</v>
      </c>
      <c r="AH553" s="9">
        <v>6.2267070000000002</v>
      </c>
      <c r="AI553" s="9">
        <v>-75.599355000000003</v>
      </c>
      <c r="AJ553" s="9" t="s">
        <v>4534</v>
      </c>
      <c r="AK553" s="9">
        <v>6.272748</v>
      </c>
      <c r="AL553" s="9">
        <v>-75.601923999999997</v>
      </c>
      <c r="AM553" s="26">
        <f t="shared" si="9"/>
        <v>0</v>
      </c>
    </row>
    <row r="554" spans="1:40" ht="15" x14ac:dyDescent="0.25">
      <c r="A554" s="9" t="s">
        <v>4535</v>
      </c>
      <c r="B554" s="9" t="s">
        <v>4536</v>
      </c>
      <c r="C554" s="9" t="s">
        <v>4537</v>
      </c>
      <c r="D554" s="9" t="s">
        <v>4466</v>
      </c>
      <c r="E554" s="9" t="s">
        <v>2619</v>
      </c>
      <c r="F554" s="9" t="s">
        <v>37</v>
      </c>
      <c r="G554" s="9" t="s">
        <v>135</v>
      </c>
      <c r="H554" s="9" t="s">
        <v>136</v>
      </c>
      <c r="I554" s="9" t="s">
        <v>115</v>
      </c>
      <c r="J554" s="9">
        <v>1359</v>
      </c>
      <c r="K554" s="9" t="s">
        <v>4538</v>
      </c>
      <c r="L554" s="9" t="s">
        <v>117</v>
      </c>
      <c r="M554" s="10">
        <v>5.8923611111111107E-2</v>
      </c>
      <c r="N554" s="9" t="s">
        <v>127</v>
      </c>
      <c r="O554" s="9" t="s">
        <v>4539</v>
      </c>
      <c r="P554" s="9" t="s">
        <v>119</v>
      </c>
      <c r="Q554" s="10">
        <v>4.6631944444444441E-2</v>
      </c>
      <c r="R554" s="9" t="s">
        <v>56</v>
      </c>
      <c r="S554" s="10">
        <v>0.26229166666666659</v>
      </c>
      <c r="T554" s="9">
        <v>40.345999999999997</v>
      </c>
      <c r="U554" s="9">
        <v>7.64</v>
      </c>
      <c r="V554" s="10">
        <v>0.21995370370370371</v>
      </c>
      <c r="W554" s="10">
        <v>0.18287037037037041</v>
      </c>
      <c r="X554" s="10">
        <v>0</v>
      </c>
      <c r="Y554" s="9">
        <v>0</v>
      </c>
      <c r="Z554" s="9">
        <v>0</v>
      </c>
      <c r="AA554" s="9">
        <v>0</v>
      </c>
      <c r="AB554" s="9">
        <v>0</v>
      </c>
      <c r="AC554" s="9">
        <v>0</v>
      </c>
      <c r="AD554" s="9">
        <v>3</v>
      </c>
      <c r="AE554" s="9" t="s">
        <v>139</v>
      </c>
      <c r="AF554" s="9" t="s">
        <v>4540</v>
      </c>
      <c r="AG554" s="9" t="s">
        <v>4541</v>
      </c>
      <c r="AH554" s="9">
        <v>6.2256070000000001</v>
      </c>
      <c r="AI554" s="9">
        <v>-75.599148999999997</v>
      </c>
      <c r="AJ554" s="9" t="s">
        <v>4542</v>
      </c>
      <c r="AK554" s="9">
        <v>6.2616579999999997</v>
      </c>
      <c r="AL554" s="9">
        <v>-75.556608999999995</v>
      </c>
      <c r="AM554" s="26">
        <f t="shared" si="9"/>
        <v>4.6631944444444441E-2</v>
      </c>
    </row>
    <row r="555" spans="1:40" ht="15" x14ac:dyDescent="0.25">
      <c r="A555" s="9" t="s">
        <v>4543</v>
      </c>
      <c r="B555" s="9" t="s">
        <v>4544</v>
      </c>
      <c r="C555" s="9" t="s">
        <v>4545</v>
      </c>
      <c r="D555" s="9" t="s">
        <v>4466</v>
      </c>
      <c r="E555" s="9" t="s">
        <v>2619</v>
      </c>
      <c r="F555" s="9" t="s">
        <v>37</v>
      </c>
      <c r="G555" s="9" t="s">
        <v>72</v>
      </c>
      <c r="H555" s="9" t="s">
        <v>73</v>
      </c>
      <c r="I555" s="9" t="s">
        <v>115</v>
      </c>
      <c r="J555" s="9">
        <v>4026</v>
      </c>
      <c r="K555" s="9" t="s">
        <v>4546</v>
      </c>
      <c r="L555" s="9" t="s">
        <v>117</v>
      </c>
      <c r="M555" s="10">
        <v>5.8576388888888893E-2</v>
      </c>
      <c r="N555" s="9" t="s">
        <v>127</v>
      </c>
      <c r="O555" s="9" t="s">
        <v>4547</v>
      </c>
      <c r="P555" s="9" t="s">
        <v>119</v>
      </c>
      <c r="Q555" s="10">
        <v>6.7314814814814813E-2</v>
      </c>
      <c r="R555" s="9" t="s">
        <v>56</v>
      </c>
      <c r="S555" s="10">
        <v>0.24126157407407409</v>
      </c>
      <c r="T555" s="9">
        <v>55</v>
      </c>
      <c r="U555" s="9">
        <v>13.72</v>
      </c>
      <c r="V555" s="10">
        <v>0.16703703703703701</v>
      </c>
      <c r="W555" s="10">
        <v>9.4247685185185184E-2</v>
      </c>
      <c r="X555" s="10">
        <v>0</v>
      </c>
      <c r="Y555" s="9">
        <v>0</v>
      </c>
      <c r="Z555" s="9">
        <v>0</v>
      </c>
      <c r="AA555" s="9">
        <v>0</v>
      </c>
      <c r="AB555" s="9">
        <v>0</v>
      </c>
      <c r="AC555" s="9">
        <v>0</v>
      </c>
      <c r="AD555" s="9">
        <v>0</v>
      </c>
      <c r="AE555" s="9" t="s">
        <v>139</v>
      </c>
      <c r="AF555" s="9" t="s">
        <v>4548</v>
      </c>
      <c r="AG555" s="9" t="s">
        <v>4549</v>
      </c>
      <c r="AH555" s="9">
        <v>6.2255330000000004</v>
      </c>
      <c r="AI555" s="9">
        <v>-75.599143999999995</v>
      </c>
      <c r="AJ555" s="9" t="s">
        <v>4550</v>
      </c>
      <c r="AK555" s="9">
        <v>6.2369719999999997</v>
      </c>
      <c r="AL555" s="9">
        <v>-75.558848999999995</v>
      </c>
      <c r="AM555" s="26">
        <f t="shared" si="9"/>
        <v>6.7314814814814813E-2</v>
      </c>
    </row>
    <row r="556" spans="1:40" ht="15" x14ac:dyDescent="0.25">
      <c r="A556" s="9" t="s">
        <v>4551</v>
      </c>
      <c r="B556" s="9" t="s">
        <v>4552</v>
      </c>
      <c r="C556" s="9" t="s">
        <v>4553</v>
      </c>
      <c r="D556" s="9" t="s">
        <v>4466</v>
      </c>
      <c r="E556" s="9" t="s">
        <v>2619</v>
      </c>
      <c r="F556" s="9" t="s">
        <v>37</v>
      </c>
      <c r="G556" s="9" t="s">
        <v>80</v>
      </c>
      <c r="H556" s="9" t="s">
        <v>81</v>
      </c>
      <c r="I556" s="9" t="s">
        <v>115</v>
      </c>
      <c r="J556" s="9">
        <v>6866</v>
      </c>
      <c r="K556" s="9" t="s">
        <v>4554</v>
      </c>
      <c r="L556" s="9" t="s">
        <v>117</v>
      </c>
      <c r="M556" s="10">
        <v>4.7093217592592593E-2</v>
      </c>
      <c r="N556" s="9" t="s">
        <v>127</v>
      </c>
      <c r="O556" s="9" t="s">
        <v>4555</v>
      </c>
      <c r="P556" s="9" t="s">
        <v>119</v>
      </c>
      <c r="Q556" s="10">
        <v>4.7962037037037036E-3</v>
      </c>
      <c r="R556" s="9" t="s">
        <v>46</v>
      </c>
      <c r="S556" s="10">
        <v>0.2922970138888889</v>
      </c>
      <c r="T556" s="9">
        <v>56.264000000000003</v>
      </c>
      <c r="U556" s="9">
        <v>20.69</v>
      </c>
      <c r="V556" s="10">
        <v>0.1132882175925925</v>
      </c>
      <c r="W556" s="10">
        <v>4.4533043981481488E-2</v>
      </c>
      <c r="X556" s="10">
        <v>0</v>
      </c>
      <c r="Y556" s="9">
        <v>0</v>
      </c>
      <c r="Z556" s="9">
        <v>0</v>
      </c>
      <c r="AA556" s="9">
        <v>0</v>
      </c>
      <c r="AB556" s="9">
        <v>0</v>
      </c>
      <c r="AC556" s="9">
        <v>0</v>
      </c>
      <c r="AD556" s="9">
        <v>9</v>
      </c>
      <c r="AE556" s="9" t="s">
        <v>139</v>
      </c>
      <c r="AF556" s="9" t="s">
        <v>4556</v>
      </c>
      <c r="AG556" s="9" t="s">
        <v>4557</v>
      </c>
      <c r="AH556" s="9">
        <v>6.2256169999999997</v>
      </c>
      <c r="AI556" s="9">
        <v>-75.599435999999997</v>
      </c>
      <c r="AJ556" s="9" t="s">
        <v>4558</v>
      </c>
      <c r="AK556" s="9">
        <v>6.2554189999999998</v>
      </c>
      <c r="AL556" s="9">
        <v>-75.620418999999998</v>
      </c>
      <c r="AM556" s="26">
        <f t="shared" si="9"/>
        <v>0</v>
      </c>
    </row>
    <row r="557" spans="1:40" ht="15" x14ac:dyDescent="0.25">
      <c r="A557" s="9" t="s">
        <v>4559</v>
      </c>
      <c r="B557" s="9" t="s">
        <v>4560</v>
      </c>
      <c r="C557" s="9" t="s">
        <v>4561</v>
      </c>
      <c r="D557" s="9" t="s">
        <v>4466</v>
      </c>
      <c r="E557" s="9" t="s">
        <v>2619</v>
      </c>
      <c r="F557" s="9" t="s">
        <v>37</v>
      </c>
      <c r="G557" s="9" t="s">
        <v>160</v>
      </c>
      <c r="H557" s="9" t="s">
        <v>161</v>
      </c>
      <c r="I557" s="9" t="s">
        <v>115</v>
      </c>
      <c r="J557" s="9">
        <v>12106</v>
      </c>
      <c r="K557" s="9" t="s">
        <v>4562</v>
      </c>
      <c r="L557" s="9" t="s">
        <v>117</v>
      </c>
      <c r="M557" s="10">
        <v>5.8488194444444447E-2</v>
      </c>
      <c r="N557" s="9" t="s">
        <v>127</v>
      </c>
      <c r="O557" s="9" t="s">
        <v>4563</v>
      </c>
      <c r="P557" s="9" t="s">
        <v>119</v>
      </c>
      <c r="Q557" s="10">
        <v>1.8749999999999998E-5</v>
      </c>
      <c r="R557" s="9" t="s">
        <v>46</v>
      </c>
      <c r="S557" s="10">
        <v>0.30850694444444438</v>
      </c>
      <c r="T557" s="9">
        <v>70.143000000000001</v>
      </c>
      <c r="U557" s="9">
        <v>14.11</v>
      </c>
      <c r="V557" s="10">
        <v>0.2070945833333333</v>
      </c>
      <c r="W557" s="10">
        <v>0.14151591435185179</v>
      </c>
      <c r="X557" s="10">
        <v>0</v>
      </c>
      <c r="Y557" s="9">
        <v>0</v>
      </c>
      <c r="Z557" s="9">
        <v>0</v>
      </c>
      <c r="AA557" s="9">
        <v>0</v>
      </c>
      <c r="AB557" s="9">
        <v>0</v>
      </c>
      <c r="AC557" s="9">
        <v>0</v>
      </c>
      <c r="AD557" s="9">
        <v>4</v>
      </c>
      <c r="AE557" s="9" t="s">
        <v>139</v>
      </c>
      <c r="AF557" s="9" t="s">
        <v>4564</v>
      </c>
      <c r="AG557" s="9" t="s">
        <v>4565</v>
      </c>
      <c r="AH557" s="9">
        <v>6.2255070000000003</v>
      </c>
      <c r="AI557" s="9">
        <v>-75.599450000000004</v>
      </c>
      <c r="AJ557" s="9" t="s">
        <v>4566</v>
      </c>
      <c r="AK557" s="9">
        <v>6.219703</v>
      </c>
      <c r="AL557" s="9">
        <v>-75.576880000000003</v>
      </c>
      <c r="AM557" s="26">
        <f t="shared" si="9"/>
        <v>0</v>
      </c>
    </row>
    <row r="558" spans="1:40" ht="15" x14ac:dyDescent="0.25">
      <c r="A558" s="9" t="s">
        <v>4567</v>
      </c>
      <c r="B558" s="9" t="s">
        <v>4568</v>
      </c>
      <c r="C558" s="9" t="s">
        <v>4569</v>
      </c>
      <c r="D558" s="9" t="s">
        <v>4466</v>
      </c>
      <c r="E558" s="9" t="s">
        <v>2619</v>
      </c>
      <c r="F558" s="9" t="s">
        <v>37</v>
      </c>
      <c r="G558" s="9" t="s">
        <v>97</v>
      </c>
      <c r="H558" s="9" t="s">
        <v>98</v>
      </c>
      <c r="I558" s="9" t="s">
        <v>115</v>
      </c>
      <c r="J558" s="9">
        <v>2679</v>
      </c>
      <c r="K558" s="9" t="s">
        <v>4570</v>
      </c>
      <c r="L558" s="9" t="s">
        <v>117</v>
      </c>
      <c r="M558" s="10">
        <v>5.1793981481481483E-2</v>
      </c>
      <c r="N558" s="9" t="s">
        <v>127</v>
      </c>
      <c r="O558" s="9" t="s">
        <v>4571</v>
      </c>
      <c r="P558" s="9" t="s">
        <v>119</v>
      </c>
      <c r="Q558" s="10">
        <v>4.1087962962962962E-3</v>
      </c>
      <c r="R558" s="9" t="s">
        <v>46</v>
      </c>
      <c r="S558" s="10">
        <v>0.29768518518518522</v>
      </c>
      <c r="T558" s="9">
        <v>35.963000000000001</v>
      </c>
      <c r="U558" s="9">
        <v>8.99</v>
      </c>
      <c r="V558" s="10">
        <v>0.16667824074074081</v>
      </c>
      <c r="W558" s="10">
        <v>0.1171180555555556</v>
      </c>
      <c r="X558" s="10">
        <v>0</v>
      </c>
      <c r="Y558" s="9">
        <v>0</v>
      </c>
      <c r="Z558" s="9">
        <v>0</v>
      </c>
      <c r="AA558" s="9">
        <v>0</v>
      </c>
      <c r="AB558" s="9">
        <v>0</v>
      </c>
      <c r="AC558" s="9">
        <v>0</v>
      </c>
      <c r="AD558" s="9">
        <v>1</v>
      </c>
      <c r="AE558" s="9" t="s">
        <v>139</v>
      </c>
      <c r="AF558" s="9" t="s">
        <v>4572</v>
      </c>
      <c r="AG558" s="9" t="s">
        <v>4573</v>
      </c>
      <c r="AH558" s="9">
        <v>6.2255779999999996</v>
      </c>
      <c r="AI558" s="9">
        <v>-75.599444000000005</v>
      </c>
      <c r="AJ558" s="9" t="s">
        <v>4574</v>
      </c>
      <c r="AK558" s="9">
        <v>6.3078640000000004</v>
      </c>
      <c r="AL558" s="9">
        <v>-75.582019000000003</v>
      </c>
      <c r="AM558" s="26">
        <f t="shared" si="9"/>
        <v>0</v>
      </c>
    </row>
    <row r="559" spans="1:40" ht="15" x14ac:dyDescent="0.25">
      <c r="A559" s="9" t="s">
        <v>4575</v>
      </c>
      <c r="B559" s="9" t="s">
        <v>4576</v>
      </c>
      <c r="C559" s="9" t="s">
        <v>4577</v>
      </c>
      <c r="D559" s="9" t="s">
        <v>4578</v>
      </c>
      <c r="E559" s="9" t="s">
        <v>2619</v>
      </c>
      <c r="F559" s="9" t="s">
        <v>169</v>
      </c>
      <c r="G559" s="9" t="s">
        <v>52</v>
      </c>
      <c r="H559" s="9" t="s">
        <v>53</v>
      </c>
      <c r="I559" s="9" t="s">
        <v>40</v>
      </c>
      <c r="J559" s="9">
        <v>2284</v>
      </c>
      <c r="K559" s="9" t="s">
        <v>4579</v>
      </c>
      <c r="L559" s="9" t="s">
        <v>42</v>
      </c>
      <c r="M559" s="10">
        <v>2.0810185185185189E-2</v>
      </c>
      <c r="N559" s="9" t="s">
        <v>127</v>
      </c>
      <c r="O559" s="9" t="s">
        <v>4580</v>
      </c>
      <c r="P559" s="9" t="s">
        <v>45</v>
      </c>
      <c r="Q559" s="10">
        <v>1.168981481481482E-3</v>
      </c>
      <c r="R559" s="9" t="s">
        <v>46</v>
      </c>
      <c r="S559" s="10">
        <v>0.35531249999999998</v>
      </c>
      <c r="T559" s="9">
        <v>28.311</v>
      </c>
      <c r="U559" s="9">
        <v>4.91</v>
      </c>
      <c r="V559" s="10">
        <v>0.240474537037037</v>
      </c>
      <c r="W559" s="10">
        <v>0.19496527777777781</v>
      </c>
      <c r="X559" s="10">
        <v>0</v>
      </c>
      <c r="Y559" s="9">
        <v>0</v>
      </c>
      <c r="Z559" s="9">
        <v>0</v>
      </c>
      <c r="AA559" s="9">
        <v>0</v>
      </c>
      <c r="AB559" s="9">
        <v>0</v>
      </c>
      <c r="AC559" s="9">
        <v>0</v>
      </c>
      <c r="AD559" s="9">
        <v>2</v>
      </c>
      <c r="AE559" s="9" t="s">
        <v>139</v>
      </c>
      <c r="AF559" s="9" t="s">
        <v>4581</v>
      </c>
      <c r="AG559" s="9" t="s">
        <v>4582</v>
      </c>
      <c r="AH559" s="9">
        <v>6.2256970000000003</v>
      </c>
      <c r="AI559" s="9">
        <v>-75.599361000000002</v>
      </c>
      <c r="AJ559" s="9" t="s">
        <v>4583</v>
      </c>
      <c r="AK559" s="9">
        <v>6.2477960000000001</v>
      </c>
      <c r="AL559" s="9">
        <v>-75.615071999999998</v>
      </c>
      <c r="AM559" s="26">
        <f t="shared" si="9"/>
        <v>0</v>
      </c>
    </row>
    <row r="560" spans="1:40" ht="15" x14ac:dyDescent="0.25">
      <c r="A560" s="9" t="s">
        <v>4584</v>
      </c>
      <c r="B560" s="9" t="s">
        <v>4585</v>
      </c>
      <c r="C560" s="9" t="s">
        <v>4586</v>
      </c>
      <c r="D560" s="9" t="s">
        <v>4578</v>
      </c>
      <c r="E560" s="9" t="s">
        <v>2619</v>
      </c>
      <c r="F560" s="9" t="s">
        <v>169</v>
      </c>
      <c r="G560" s="9" t="s">
        <v>62</v>
      </c>
      <c r="H560" s="9" t="s">
        <v>63</v>
      </c>
      <c r="I560" s="9" t="s">
        <v>40</v>
      </c>
      <c r="J560" s="9">
        <v>1296</v>
      </c>
      <c r="K560" s="9" t="s">
        <v>4587</v>
      </c>
      <c r="L560" s="9" t="s">
        <v>42</v>
      </c>
      <c r="M560" s="10">
        <v>9.4444444444444445E-3</v>
      </c>
      <c r="N560" s="9" t="s">
        <v>65</v>
      </c>
      <c r="O560" s="9" t="s">
        <v>4588</v>
      </c>
      <c r="P560" s="9" t="s">
        <v>45</v>
      </c>
      <c r="Q560" s="10">
        <v>0.1170601851851852</v>
      </c>
      <c r="R560" s="9" t="s">
        <v>56</v>
      </c>
      <c r="S560" s="10">
        <v>0.20682870370370371</v>
      </c>
      <c r="T560" s="9">
        <v>17.535</v>
      </c>
      <c r="U560" s="9">
        <v>4.12</v>
      </c>
      <c r="V560" s="10">
        <v>0.1774189814814815</v>
      </c>
      <c r="W560" s="10">
        <v>0.14685185185185179</v>
      </c>
      <c r="X560" s="10">
        <v>0</v>
      </c>
      <c r="Y560" s="9">
        <v>0</v>
      </c>
      <c r="Z560" s="9">
        <v>0</v>
      </c>
      <c r="AA560" s="9">
        <v>0</v>
      </c>
      <c r="AB560" s="9">
        <v>0</v>
      </c>
      <c r="AC560" s="9">
        <v>0</v>
      </c>
      <c r="AD560" s="9">
        <v>4</v>
      </c>
      <c r="AE560" s="9" t="s">
        <v>67</v>
      </c>
      <c r="AF560" s="9" t="s">
        <v>4589</v>
      </c>
      <c r="AG560" s="9" t="s">
        <v>4590</v>
      </c>
      <c r="AH560" s="9">
        <v>6.2257410000000002</v>
      </c>
      <c r="AI560" s="9">
        <v>-75.599435999999997</v>
      </c>
      <c r="AJ560" s="9" t="s">
        <v>4591</v>
      </c>
      <c r="AK560" s="9">
        <v>6.2495240000000001</v>
      </c>
      <c r="AL560" s="9">
        <v>-75.553972999999999</v>
      </c>
      <c r="AM560" s="26">
        <f t="shared" si="9"/>
        <v>0.1170601851851852</v>
      </c>
    </row>
    <row r="561" spans="1:39" ht="15" x14ac:dyDescent="0.25">
      <c r="A561" s="9" t="s">
        <v>4592</v>
      </c>
      <c r="B561" s="9" t="s">
        <v>4593</v>
      </c>
      <c r="C561" s="9" t="s">
        <v>4594</v>
      </c>
      <c r="D561" s="9" t="s">
        <v>4578</v>
      </c>
      <c r="E561" s="9" t="s">
        <v>2619</v>
      </c>
      <c r="F561" s="9" t="s">
        <v>169</v>
      </c>
      <c r="G561" s="9" t="s">
        <v>144</v>
      </c>
      <c r="H561" s="9" t="s">
        <v>145</v>
      </c>
      <c r="I561" s="9" t="s">
        <v>40</v>
      </c>
      <c r="J561" s="9">
        <v>3765</v>
      </c>
      <c r="K561" s="9" t="s">
        <v>4595</v>
      </c>
      <c r="L561" s="9" t="s">
        <v>42</v>
      </c>
      <c r="M561" s="10">
        <v>4.2372685185185187E-2</v>
      </c>
      <c r="N561" s="9" t="s">
        <v>127</v>
      </c>
      <c r="O561" s="9" t="s">
        <v>4596</v>
      </c>
      <c r="P561" s="9" t="s">
        <v>45</v>
      </c>
      <c r="Q561" s="10">
        <v>1.545138888888889E-2</v>
      </c>
      <c r="R561" s="9" t="s">
        <v>56</v>
      </c>
      <c r="S561" s="10">
        <v>0.36025462962962962</v>
      </c>
      <c r="T561" s="9">
        <v>47.948</v>
      </c>
      <c r="U561" s="9">
        <v>7.79</v>
      </c>
      <c r="V561" s="10">
        <v>0.2565972222222222</v>
      </c>
      <c r="W561" s="10">
        <v>0.1600694444444444</v>
      </c>
      <c r="X561" s="10">
        <v>1.0092592592592591E-2</v>
      </c>
      <c r="Y561" s="9">
        <v>1</v>
      </c>
      <c r="Z561" s="9">
        <v>0</v>
      </c>
      <c r="AA561" s="9">
        <v>0</v>
      </c>
      <c r="AB561" s="9">
        <v>0</v>
      </c>
      <c r="AC561" s="9">
        <v>0</v>
      </c>
      <c r="AD561" s="9">
        <v>0</v>
      </c>
      <c r="AE561" s="9" t="s">
        <v>139</v>
      </c>
      <c r="AF561" s="9" t="s">
        <v>4597</v>
      </c>
      <c r="AG561" s="9" t="s">
        <v>4598</v>
      </c>
      <c r="AH561" s="9">
        <v>6.2905069999999998</v>
      </c>
      <c r="AI561" s="9">
        <v>-75.546367000000004</v>
      </c>
      <c r="AJ561" s="9" t="s">
        <v>4599</v>
      </c>
      <c r="AK561" s="9">
        <v>6.2728479999999998</v>
      </c>
      <c r="AL561" s="9">
        <v>-75.574400999999995</v>
      </c>
      <c r="AM561" s="26">
        <f t="shared" si="9"/>
        <v>1.545138888888889E-2</v>
      </c>
    </row>
    <row r="562" spans="1:39" ht="15" x14ac:dyDescent="0.25">
      <c r="A562" s="9" t="s">
        <v>4605</v>
      </c>
      <c r="B562" s="9" t="s">
        <v>4606</v>
      </c>
      <c r="C562" s="9" t="s">
        <v>4607</v>
      </c>
      <c r="D562" s="9" t="s">
        <v>4578</v>
      </c>
      <c r="E562" s="9" t="s">
        <v>2619</v>
      </c>
      <c r="F562" s="9" t="s">
        <v>169</v>
      </c>
      <c r="G562" s="9" t="s">
        <v>152</v>
      </c>
      <c r="H562" s="9" t="s">
        <v>153</v>
      </c>
      <c r="I562" s="9" t="s">
        <v>40</v>
      </c>
      <c r="J562" s="9">
        <v>2490</v>
      </c>
      <c r="K562" s="9" t="s">
        <v>4608</v>
      </c>
      <c r="L562" s="9" t="s">
        <v>42</v>
      </c>
      <c r="M562" s="10">
        <v>4.9652777777777777E-3</v>
      </c>
      <c r="N562" s="9" t="s">
        <v>65</v>
      </c>
      <c r="O562" s="9" t="s">
        <v>4609</v>
      </c>
      <c r="P562" s="9" t="s">
        <v>45</v>
      </c>
      <c r="Q562" s="10">
        <v>1.699074074074074E-2</v>
      </c>
      <c r="R562" s="9" t="s">
        <v>56</v>
      </c>
      <c r="S562" s="10">
        <v>0.3213078703703704</v>
      </c>
      <c r="T562" s="9">
        <v>33.531999999999996</v>
      </c>
      <c r="U562" s="9">
        <v>6.03</v>
      </c>
      <c r="V562" s="10">
        <v>0.23166666666666669</v>
      </c>
      <c r="W562" s="10">
        <v>0.1847569444444444</v>
      </c>
      <c r="X562" s="10">
        <v>0</v>
      </c>
      <c r="Y562" s="9">
        <v>0</v>
      </c>
      <c r="Z562" s="9">
        <v>0</v>
      </c>
      <c r="AA562" s="9">
        <v>0</v>
      </c>
      <c r="AB562" s="9">
        <v>0</v>
      </c>
      <c r="AC562" s="9">
        <v>0</v>
      </c>
      <c r="AD562" s="9">
        <v>0</v>
      </c>
      <c r="AE562" s="9" t="s">
        <v>67</v>
      </c>
      <c r="AF562" s="9" t="s">
        <v>4610</v>
      </c>
      <c r="AG562" s="9" t="s">
        <v>4611</v>
      </c>
      <c r="AH562" s="9">
        <v>6.2256720000000003</v>
      </c>
      <c r="AI562" s="9">
        <v>-75.599391999999995</v>
      </c>
      <c r="AJ562" s="9" t="s">
        <v>4612</v>
      </c>
      <c r="AK562" s="9">
        <v>6.2517230000000001</v>
      </c>
      <c r="AL562" s="9">
        <v>-75.551834999999997</v>
      </c>
      <c r="AM562" s="26">
        <f t="shared" si="9"/>
        <v>1.699074074074074E-2</v>
      </c>
    </row>
    <row r="563" spans="1:39" ht="15" x14ac:dyDescent="0.25">
      <c r="A563" s="9" t="s">
        <v>4613</v>
      </c>
      <c r="B563" s="9" t="s">
        <v>4614</v>
      </c>
      <c r="C563" s="9" t="s">
        <v>4615</v>
      </c>
      <c r="D563" s="9" t="s">
        <v>4578</v>
      </c>
      <c r="E563" s="9" t="s">
        <v>2619</v>
      </c>
      <c r="F563" s="9" t="s">
        <v>169</v>
      </c>
      <c r="G563" s="9" t="s">
        <v>89</v>
      </c>
      <c r="H563" s="9" t="s">
        <v>90</v>
      </c>
      <c r="I563" s="9" t="s">
        <v>40</v>
      </c>
      <c r="J563" s="9">
        <v>2791</v>
      </c>
      <c r="K563" s="9" t="s">
        <v>4616</v>
      </c>
      <c r="L563" s="9" t="s">
        <v>42</v>
      </c>
      <c r="M563" s="10">
        <v>7.9861111111111105E-3</v>
      </c>
      <c r="N563" s="9" t="s">
        <v>65</v>
      </c>
      <c r="O563" s="9" t="s">
        <v>4617</v>
      </c>
      <c r="P563" s="9" t="s">
        <v>45</v>
      </c>
      <c r="Q563" s="10">
        <v>1.3472222222222221E-2</v>
      </c>
      <c r="R563" s="9" t="s">
        <v>56</v>
      </c>
      <c r="S563" s="10">
        <v>0.31187500000000001</v>
      </c>
      <c r="T563" s="9">
        <v>38.94</v>
      </c>
      <c r="U563" s="9">
        <v>6.99</v>
      </c>
      <c r="V563" s="10">
        <v>0.23203703703703699</v>
      </c>
      <c r="W563" s="10">
        <v>0.1537847222222222</v>
      </c>
      <c r="X563" s="10">
        <v>0</v>
      </c>
      <c r="Y563" s="9">
        <v>0</v>
      </c>
      <c r="Z563" s="9">
        <v>0</v>
      </c>
      <c r="AA563" s="9">
        <v>0</v>
      </c>
      <c r="AB563" s="9">
        <v>0</v>
      </c>
      <c r="AC563" s="9">
        <v>0</v>
      </c>
      <c r="AD563" s="9">
        <v>1</v>
      </c>
      <c r="AE563" s="9" t="s">
        <v>67</v>
      </c>
      <c r="AF563" s="9" t="s">
        <v>4618</v>
      </c>
      <c r="AG563" s="9" t="s">
        <v>4619</v>
      </c>
      <c r="AH563" s="9">
        <v>6.2256520000000002</v>
      </c>
      <c r="AI563" s="9">
        <v>-75.599468000000002</v>
      </c>
      <c r="AJ563" s="9" t="s">
        <v>4620</v>
      </c>
      <c r="AK563" s="9">
        <v>6.2469130000000002</v>
      </c>
      <c r="AL563" s="9">
        <v>-75.569755999999998</v>
      </c>
      <c r="AM563" s="26">
        <f t="shared" si="9"/>
        <v>1.3472222222222221E-2</v>
      </c>
    </row>
    <row r="564" spans="1:39" ht="15" x14ac:dyDescent="0.25">
      <c r="A564" s="9" t="s">
        <v>4621</v>
      </c>
      <c r="B564" s="9" t="s">
        <v>4622</v>
      </c>
      <c r="C564" s="9" t="s">
        <v>4623</v>
      </c>
      <c r="D564" s="9" t="s">
        <v>4578</v>
      </c>
      <c r="E564" s="9" t="s">
        <v>2619</v>
      </c>
      <c r="F564" s="9" t="s">
        <v>169</v>
      </c>
      <c r="G564" s="9" t="s">
        <v>38</v>
      </c>
      <c r="H564" s="9" t="s">
        <v>39</v>
      </c>
      <c r="I564" s="9" t="s">
        <v>40</v>
      </c>
      <c r="J564" s="9">
        <v>2030</v>
      </c>
      <c r="K564" s="9" t="s">
        <v>4600</v>
      </c>
      <c r="L564" s="9" t="s">
        <v>42</v>
      </c>
      <c r="M564" s="10">
        <v>3.0381944444444441E-2</v>
      </c>
      <c r="N564" s="9" t="s">
        <v>43</v>
      </c>
      <c r="O564" s="9" t="s">
        <v>4601</v>
      </c>
      <c r="P564" s="9" t="s">
        <v>45</v>
      </c>
      <c r="Q564" s="10">
        <v>1.4004629629629629E-3</v>
      </c>
      <c r="R564" s="9" t="s">
        <v>46</v>
      </c>
      <c r="S564" s="10">
        <v>0.30435185185185187</v>
      </c>
      <c r="T564" s="9">
        <v>30.99</v>
      </c>
      <c r="U564" s="9">
        <v>6.09</v>
      </c>
      <c r="V564" s="10">
        <v>0.212037037037037</v>
      </c>
      <c r="W564" s="10">
        <v>0.16943287037037039</v>
      </c>
      <c r="X564" s="10">
        <v>5.3379629629629631E-2</v>
      </c>
      <c r="Y564" s="9">
        <v>1</v>
      </c>
      <c r="Z564" s="9">
        <v>1</v>
      </c>
      <c r="AA564" s="9">
        <v>1</v>
      </c>
      <c r="AB564" s="9">
        <v>1</v>
      </c>
      <c r="AC564" s="9">
        <v>1</v>
      </c>
      <c r="AD564" s="9">
        <v>0</v>
      </c>
      <c r="AE564" s="9" t="s">
        <v>47</v>
      </c>
      <c r="AF564" s="9" t="s">
        <v>4602</v>
      </c>
      <c r="AG564" s="9" t="s">
        <v>4603</v>
      </c>
      <c r="AH564" s="9">
        <v>6.2032860000000003</v>
      </c>
      <c r="AI564" s="9">
        <v>-75.600714999999994</v>
      </c>
      <c r="AJ564" s="9" t="s">
        <v>4604</v>
      </c>
      <c r="AK564" s="9">
        <v>6.2217269999999996</v>
      </c>
      <c r="AL564" s="9">
        <v>-75.593839000000003</v>
      </c>
      <c r="AM564" s="26">
        <f t="shared" si="9"/>
        <v>3.0381944444444441E-2</v>
      </c>
    </row>
    <row r="565" spans="1:39" ht="15" x14ac:dyDescent="0.25">
      <c r="A565" s="9" t="s">
        <v>4624</v>
      </c>
      <c r="B565" s="9" t="s">
        <v>4625</v>
      </c>
      <c r="C565" s="9" t="s">
        <v>4626</v>
      </c>
      <c r="D565" s="9" t="s">
        <v>4578</v>
      </c>
      <c r="E565" s="9" t="s">
        <v>2619</v>
      </c>
      <c r="F565" s="9" t="s">
        <v>169</v>
      </c>
      <c r="G565" s="9" t="s">
        <v>113</v>
      </c>
      <c r="H565" s="9" t="s">
        <v>114</v>
      </c>
      <c r="I565" s="9" t="s">
        <v>115</v>
      </c>
      <c r="J565" s="9">
        <v>3053</v>
      </c>
      <c r="K565" s="9" t="s">
        <v>4627</v>
      </c>
      <c r="L565" s="9" t="s">
        <v>117</v>
      </c>
      <c r="M565" s="10">
        <v>9.3749999999999997E-4</v>
      </c>
      <c r="N565" s="9" t="s">
        <v>65</v>
      </c>
      <c r="O565" s="9" t="s">
        <v>4628</v>
      </c>
      <c r="P565" s="9" t="s">
        <v>119</v>
      </c>
      <c r="Q565" s="10">
        <v>5.6250000000000001E-2</v>
      </c>
      <c r="R565" s="9" t="s">
        <v>56</v>
      </c>
      <c r="S565" s="10">
        <v>0.1928125</v>
      </c>
      <c r="T565" s="9">
        <v>39.712000000000003</v>
      </c>
      <c r="U565" s="9">
        <v>13.32</v>
      </c>
      <c r="V565" s="10">
        <v>0.12418981481481479</v>
      </c>
      <c r="W565" s="10">
        <v>4.449074074074074E-2</v>
      </c>
      <c r="X565" s="10">
        <v>0</v>
      </c>
      <c r="Y565" s="9">
        <v>0</v>
      </c>
      <c r="Z565" s="9">
        <v>0</v>
      </c>
      <c r="AA565" s="9">
        <v>0</v>
      </c>
      <c r="AB565" s="9">
        <v>0</v>
      </c>
      <c r="AC565" s="9">
        <v>0</v>
      </c>
      <c r="AD565" s="9">
        <v>0</v>
      </c>
      <c r="AE565" s="9" t="s">
        <v>67</v>
      </c>
      <c r="AF565" s="9" t="s">
        <v>4629</v>
      </c>
      <c r="AG565" s="9" t="s">
        <v>4630</v>
      </c>
      <c r="AH565" s="9">
        <v>6.2542609999999996</v>
      </c>
      <c r="AI565" s="9">
        <v>-75.610567000000003</v>
      </c>
      <c r="AJ565" s="9" t="s">
        <v>4631</v>
      </c>
      <c r="AK565" s="9">
        <v>6.2786530000000003</v>
      </c>
      <c r="AL565" s="9">
        <v>-75.630520000000004</v>
      </c>
      <c r="AM565" s="26">
        <f t="shared" si="9"/>
        <v>5.6250000000000001E-2</v>
      </c>
    </row>
    <row r="566" spans="1:39" ht="15" x14ac:dyDescent="0.25">
      <c r="A566" s="9" t="s">
        <v>4632</v>
      </c>
      <c r="B566" s="9" t="s">
        <v>4633</v>
      </c>
      <c r="C566" s="9" t="s">
        <v>4634</v>
      </c>
      <c r="D566" s="9" t="s">
        <v>4578</v>
      </c>
      <c r="E566" s="9" t="s">
        <v>2619</v>
      </c>
      <c r="F566" s="9" t="s">
        <v>169</v>
      </c>
      <c r="G566" s="9" t="s">
        <v>124</v>
      </c>
      <c r="H566" s="9" t="s">
        <v>125</v>
      </c>
      <c r="I566" s="9" t="s">
        <v>115</v>
      </c>
      <c r="J566" s="9">
        <v>5857</v>
      </c>
      <c r="K566" s="9" t="s">
        <v>4635</v>
      </c>
      <c r="L566" s="9" t="s">
        <v>117</v>
      </c>
      <c r="M566" s="10">
        <v>4.7870370370370369E-2</v>
      </c>
      <c r="N566" s="9" t="s">
        <v>127</v>
      </c>
      <c r="O566" s="9" t="s">
        <v>4636</v>
      </c>
      <c r="P566" s="9" t="s">
        <v>119</v>
      </c>
      <c r="Q566" s="10">
        <v>1.9155092592592592E-2</v>
      </c>
      <c r="R566" s="9" t="s">
        <v>129</v>
      </c>
      <c r="S566" s="10">
        <v>0.31702546296296302</v>
      </c>
      <c r="T566" s="9">
        <v>72.325999999999993</v>
      </c>
      <c r="U566" s="9">
        <v>13.86</v>
      </c>
      <c r="V566" s="10">
        <v>0.2175</v>
      </c>
      <c r="W566" s="10">
        <v>9.4386574074074067E-2</v>
      </c>
      <c r="X566" s="10">
        <v>2.164351851851852E-2</v>
      </c>
      <c r="Y566" s="9">
        <v>1</v>
      </c>
      <c r="Z566" s="9">
        <v>1</v>
      </c>
      <c r="AA566" s="9">
        <v>1</v>
      </c>
      <c r="AB566" s="9">
        <v>0</v>
      </c>
      <c r="AC566" s="9">
        <v>0</v>
      </c>
      <c r="AD566" s="9">
        <v>0</v>
      </c>
      <c r="AE566" s="9" t="s">
        <v>130</v>
      </c>
      <c r="AF566" s="9" t="s">
        <v>4637</v>
      </c>
      <c r="AG566" s="9" t="s">
        <v>4638</v>
      </c>
      <c r="AH566" s="9">
        <v>6.226731</v>
      </c>
      <c r="AI566" s="9">
        <v>-75.599260999999998</v>
      </c>
      <c r="AJ566" s="9" t="s">
        <v>4639</v>
      </c>
      <c r="AK566" s="9">
        <v>6.2725070000000001</v>
      </c>
      <c r="AL566" s="9">
        <v>-75.602221</v>
      </c>
      <c r="AM566" s="26">
        <f t="shared" si="9"/>
        <v>0</v>
      </c>
    </row>
    <row r="567" spans="1:39" ht="15" x14ac:dyDescent="0.25">
      <c r="A567" s="9" t="s">
        <v>4640</v>
      </c>
      <c r="B567" s="9" t="s">
        <v>4641</v>
      </c>
      <c r="C567" s="9" t="s">
        <v>4642</v>
      </c>
      <c r="D567" s="9" t="s">
        <v>4578</v>
      </c>
      <c r="E567" s="9" t="s">
        <v>2619</v>
      </c>
      <c r="F567" s="9" t="s">
        <v>169</v>
      </c>
      <c r="G567" s="9" t="s">
        <v>135</v>
      </c>
      <c r="H567" s="9" t="s">
        <v>136</v>
      </c>
      <c r="I567" s="9" t="s">
        <v>115</v>
      </c>
      <c r="J567" s="9">
        <v>1920</v>
      </c>
      <c r="K567" s="9" t="s">
        <v>4643</v>
      </c>
      <c r="L567" s="9" t="s">
        <v>117</v>
      </c>
      <c r="M567" s="10">
        <v>8.6793981481481486E-2</v>
      </c>
      <c r="N567" s="9" t="s">
        <v>127</v>
      </c>
      <c r="O567" s="9" t="s">
        <v>4644</v>
      </c>
      <c r="P567" s="9" t="s">
        <v>119</v>
      </c>
      <c r="Q567" s="10">
        <v>7.3958333333333333E-3</v>
      </c>
      <c r="R567" s="9" t="s">
        <v>46</v>
      </c>
      <c r="S567" s="10">
        <v>0.32939814814814822</v>
      </c>
      <c r="T567" s="9">
        <v>33.055</v>
      </c>
      <c r="U567" s="9">
        <v>9.39</v>
      </c>
      <c r="V567" s="10">
        <v>0.14673611111111109</v>
      </c>
      <c r="W567" s="10">
        <v>0.1091782407407407</v>
      </c>
      <c r="X567" s="10">
        <v>0</v>
      </c>
      <c r="Y567" s="9">
        <v>0</v>
      </c>
      <c r="Z567" s="9">
        <v>0</v>
      </c>
      <c r="AA567" s="9">
        <v>0</v>
      </c>
      <c r="AB567" s="9">
        <v>0</v>
      </c>
      <c r="AC567" s="9">
        <v>0</v>
      </c>
      <c r="AD567" s="9">
        <v>2</v>
      </c>
      <c r="AE567" s="9" t="s">
        <v>139</v>
      </c>
      <c r="AF567" s="9" t="s">
        <v>4645</v>
      </c>
      <c r="AG567" s="9" t="s">
        <v>4646</v>
      </c>
      <c r="AH567" s="9">
        <v>6.2256830000000001</v>
      </c>
      <c r="AI567" s="9">
        <v>-75.599108999999999</v>
      </c>
      <c r="AJ567" s="9" t="s">
        <v>4647</v>
      </c>
      <c r="AK567" s="9">
        <v>6.2759070000000001</v>
      </c>
      <c r="AL567" s="9">
        <v>-75.603696999999997</v>
      </c>
      <c r="AM567" s="26">
        <f t="shared" si="9"/>
        <v>0</v>
      </c>
    </row>
    <row r="568" spans="1:39" ht="15" x14ac:dyDescent="0.25">
      <c r="A568" s="9" t="s">
        <v>4648</v>
      </c>
      <c r="B568" s="9" t="s">
        <v>4649</v>
      </c>
      <c r="C568" s="9" t="s">
        <v>4650</v>
      </c>
      <c r="D568" s="9" t="s">
        <v>4578</v>
      </c>
      <c r="E568" s="9" t="s">
        <v>2619</v>
      </c>
      <c r="F568" s="9" t="s">
        <v>169</v>
      </c>
      <c r="G568" s="9" t="s">
        <v>72</v>
      </c>
      <c r="H568" s="9" t="s">
        <v>73</v>
      </c>
      <c r="I568" s="9" t="s">
        <v>115</v>
      </c>
      <c r="J568" s="9">
        <v>2654</v>
      </c>
      <c r="K568" s="9" t="s">
        <v>4651</v>
      </c>
      <c r="L568" s="9" t="s">
        <v>117</v>
      </c>
      <c r="M568" s="10">
        <v>5.4745370370370368E-2</v>
      </c>
      <c r="N568" s="9" t="s">
        <v>127</v>
      </c>
      <c r="O568" s="9" t="s">
        <v>4652</v>
      </c>
      <c r="P568" s="9" t="s">
        <v>119</v>
      </c>
      <c r="Q568" s="10">
        <v>4.4537037037037028E-2</v>
      </c>
      <c r="R568" s="9" t="s">
        <v>56</v>
      </c>
      <c r="S568" s="10">
        <v>0.26020833333333332</v>
      </c>
      <c r="T568" s="9">
        <v>38.084000000000003</v>
      </c>
      <c r="U568" s="9">
        <v>8.34</v>
      </c>
      <c r="V568" s="10">
        <v>0.19018518518518521</v>
      </c>
      <c r="W568" s="10">
        <v>0.143587962962963</v>
      </c>
      <c r="X568" s="10">
        <v>0</v>
      </c>
      <c r="Y568" s="9">
        <v>0</v>
      </c>
      <c r="Z568" s="9">
        <v>0</v>
      </c>
      <c r="AA568" s="9">
        <v>0</v>
      </c>
      <c r="AB568" s="9">
        <v>0</v>
      </c>
      <c r="AC568" s="9">
        <v>0</v>
      </c>
      <c r="AD568" s="9">
        <v>2</v>
      </c>
      <c r="AE568" s="9" t="s">
        <v>139</v>
      </c>
      <c r="AF568" s="9" t="s">
        <v>4653</v>
      </c>
      <c r="AG568" s="9" t="s">
        <v>4654</v>
      </c>
      <c r="AH568" s="9">
        <v>6.2256020000000003</v>
      </c>
      <c r="AI568" s="9">
        <v>-75.599429999999998</v>
      </c>
      <c r="AJ568" s="9" t="s">
        <v>4655</v>
      </c>
      <c r="AK568" s="9">
        <v>6.2370289999999997</v>
      </c>
      <c r="AL568" s="9">
        <v>-75.558806000000004</v>
      </c>
      <c r="AM568" s="26">
        <f t="shared" si="9"/>
        <v>4.4537037037037028E-2</v>
      </c>
    </row>
    <row r="569" spans="1:39" ht="15" x14ac:dyDescent="0.25">
      <c r="A569" s="9" t="s">
        <v>4656</v>
      </c>
      <c r="B569" s="9" t="s">
        <v>4657</v>
      </c>
      <c r="C569" s="9" t="s">
        <v>4658</v>
      </c>
      <c r="D569" s="9" t="s">
        <v>4578</v>
      </c>
      <c r="E569" s="9" t="s">
        <v>2619</v>
      </c>
      <c r="F569" s="9" t="s">
        <v>169</v>
      </c>
      <c r="G569" s="9" t="s">
        <v>80</v>
      </c>
      <c r="H569" s="9" t="s">
        <v>81</v>
      </c>
      <c r="I569" s="9" t="s">
        <v>115</v>
      </c>
      <c r="J569" s="9">
        <v>5763</v>
      </c>
      <c r="K569" s="9" t="s">
        <v>4659</v>
      </c>
      <c r="L569" s="9" t="s">
        <v>117</v>
      </c>
      <c r="M569" s="10">
        <v>2.4879166666666661E-3</v>
      </c>
      <c r="N569" s="9" t="s">
        <v>65</v>
      </c>
      <c r="O569" s="9" t="s">
        <v>4660</v>
      </c>
      <c r="P569" s="9" t="s">
        <v>119</v>
      </c>
      <c r="Q569" s="10">
        <v>6.0653009259259262E-3</v>
      </c>
      <c r="R569" s="9" t="s">
        <v>46</v>
      </c>
      <c r="S569" s="10">
        <v>0.24642261574074081</v>
      </c>
      <c r="T569" s="9">
        <v>48.384</v>
      </c>
      <c r="U569" s="9">
        <v>13.58</v>
      </c>
      <c r="V569" s="10">
        <v>0.1484798379629631</v>
      </c>
      <c r="W569" s="10">
        <v>9.0937037037037011E-2</v>
      </c>
      <c r="X569" s="10">
        <v>0</v>
      </c>
      <c r="Y569" s="9">
        <v>0</v>
      </c>
      <c r="Z569" s="9">
        <v>0</v>
      </c>
      <c r="AA569" s="9">
        <v>0</v>
      </c>
      <c r="AB569" s="9">
        <v>0</v>
      </c>
      <c r="AC569" s="9">
        <v>0</v>
      </c>
      <c r="AD569" s="9">
        <v>4</v>
      </c>
      <c r="AE569" s="9" t="s">
        <v>84</v>
      </c>
      <c r="AF569" s="9" t="s">
        <v>1602</v>
      </c>
      <c r="AG569" s="9" t="s">
        <v>4661</v>
      </c>
      <c r="AH569" s="9">
        <v>6.2124959999999998</v>
      </c>
      <c r="AI569" s="9">
        <v>-75.594095999999993</v>
      </c>
      <c r="AJ569" s="9" t="s">
        <v>4662</v>
      </c>
      <c r="AK569" s="9">
        <v>6.2592239999999997</v>
      </c>
      <c r="AL569" s="9">
        <v>-75.620929000000004</v>
      </c>
      <c r="AM569" s="26">
        <f t="shared" si="9"/>
        <v>0</v>
      </c>
    </row>
    <row r="570" spans="1:39" ht="15" x14ac:dyDescent="0.25">
      <c r="A570" s="9" t="s">
        <v>4663</v>
      </c>
      <c r="B570" s="9" t="s">
        <v>4664</v>
      </c>
      <c r="C570" s="9" t="s">
        <v>4665</v>
      </c>
      <c r="D570" s="9" t="s">
        <v>4578</v>
      </c>
      <c r="E570" s="9" t="s">
        <v>2619</v>
      </c>
      <c r="F570" s="9" t="s">
        <v>169</v>
      </c>
      <c r="G570" s="9" t="s">
        <v>97</v>
      </c>
      <c r="H570" s="9" t="s">
        <v>98</v>
      </c>
      <c r="I570" s="9" t="s">
        <v>115</v>
      </c>
      <c r="J570" s="9">
        <v>2700</v>
      </c>
      <c r="K570" s="9" t="s">
        <v>4666</v>
      </c>
      <c r="L570" s="9" t="s">
        <v>117</v>
      </c>
      <c r="M570" s="10">
        <v>5.4120370370370367E-2</v>
      </c>
      <c r="N570" s="9" t="s">
        <v>127</v>
      </c>
      <c r="O570" s="9" t="s">
        <v>4667</v>
      </c>
      <c r="P570" s="9" t="s">
        <v>119</v>
      </c>
      <c r="Q570" s="10">
        <v>3.1909722222222221E-2</v>
      </c>
      <c r="R570" s="9" t="s">
        <v>56</v>
      </c>
      <c r="S570" s="10">
        <v>0.27221064814814822</v>
      </c>
      <c r="T570" s="9">
        <v>35.438000000000002</v>
      </c>
      <c r="U570" s="9">
        <v>9.61</v>
      </c>
      <c r="V570" s="10">
        <v>0.15357638888888889</v>
      </c>
      <c r="W570" s="10">
        <v>8.6539351851851853E-2</v>
      </c>
      <c r="X570" s="10">
        <v>0</v>
      </c>
      <c r="Y570" s="9">
        <v>0</v>
      </c>
      <c r="Z570" s="9">
        <v>0</v>
      </c>
      <c r="AA570" s="9">
        <v>0</v>
      </c>
      <c r="AB570" s="9">
        <v>0</v>
      </c>
      <c r="AC570" s="9">
        <v>0</v>
      </c>
      <c r="AD570" s="9">
        <v>0</v>
      </c>
      <c r="AE570" s="9" t="s">
        <v>139</v>
      </c>
      <c r="AF570" s="9" t="s">
        <v>4668</v>
      </c>
      <c r="AG570" s="9" t="s">
        <v>4669</v>
      </c>
      <c r="AH570" s="9">
        <v>6.2257110000000004</v>
      </c>
      <c r="AI570" s="9">
        <v>-75.599411000000003</v>
      </c>
      <c r="AJ570" s="9" t="s">
        <v>4670</v>
      </c>
      <c r="AK570" s="9">
        <v>6.3069509999999998</v>
      </c>
      <c r="AL570" s="9">
        <v>-75.576644000000002</v>
      </c>
      <c r="AM570" s="26">
        <f t="shared" si="9"/>
        <v>3.1909722222222221E-2</v>
      </c>
    </row>
    <row r="571" spans="1:39" ht="15" x14ac:dyDescent="0.25">
      <c r="A571" s="1" t="s">
        <v>4675</v>
      </c>
      <c r="B571" s="1" t="s">
        <v>4676</v>
      </c>
      <c r="C571" s="1" t="s">
        <v>4677</v>
      </c>
      <c r="D571" s="1" t="s">
        <v>4578</v>
      </c>
      <c r="E571" s="1" t="s">
        <v>2619</v>
      </c>
      <c r="F571" s="1" t="s">
        <v>169</v>
      </c>
      <c r="G571" s="1" t="s">
        <v>160</v>
      </c>
      <c r="H571" s="1" t="s">
        <v>161</v>
      </c>
      <c r="I571" s="1" t="s">
        <v>115</v>
      </c>
      <c r="J571" s="1">
        <v>12598</v>
      </c>
      <c r="K571" s="1" t="s">
        <v>4671</v>
      </c>
      <c r="L571" s="1" t="s">
        <v>117</v>
      </c>
      <c r="M571" s="38">
        <v>5.2816886574074073E-2</v>
      </c>
      <c r="N571" s="1" t="s">
        <v>127</v>
      </c>
      <c r="O571" s="1" t="s">
        <v>4672</v>
      </c>
      <c r="P571" s="1" t="s">
        <v>119</v>
      </c>
      <c r="Q571" s="38">
        <v>5.743171296296297E-4</v>
      </c>
      <c r="R571" s="1" t="s">
        <v>46</v>
      </c>
      <c r="S571" s="38">
        <v>0.3033912037037037</v>
      </c>
      <c r="T571" s="1">
        <v>86.429000000000002</v>
      </c>
      <c r="U571" s="1">
        <v>16.690000000000001</v>
      </c>
      <c r="V571" s="38">
        <v>0.215773912037037</v>
      </c>
      <c r="W571" s="38">
        <v>0.12236144675925931</v>
      </c>
      <c r="X571" s="38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2</v>
      </c>
      <c r="AE571" s="1" t="s">
        <v>139</v>
      </c>
      <c r="AF571" s="1" t="s">
        <v>4678</v>
      </c>
      <c r="AG571" s="1" t="s">
        <v>4673</v>
      </c>
      <c r="AH571" s="1">
        <v>6.2262820000000003</v>
      </c>
      <c r="AI571" s="1">
        <v>-75.599327000000002</v>
      </c>
      <c r="AJ571" s="1" t="s">
        <v>4674</v>
      </c>
      <c r="AK571" s="1">
        <v>6.2525130000000004</v>
      </c>
      <c r="AL571" s="1">
        <v>-75.582629999999995</v>
      </c>
      <c r="AM571" s="26">
        <f t="shared" si="9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5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2026-10-29T19:42:27Z</dcterms:modified>
</cp:coreProperties>
</file>