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7A0793D3-A1A5-4BE0-85B1-719122B0F4C3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8" r:id="rId8"/>
    <pivotCache cacheId="9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67" i="2" l="1"/>
  <c r="AM461" i="2"/>
  <c r="AM462" i="2"/>
  <c r="AM463" i="2"/>
  <c r="AM464" i="2"/>
  <c r="AM465" i="2"/>
  <c r="AM466" i="2"/>
  <c r="AM459" i="2"/>
  <c r="AM460" i="2"/>
  <c r="AM458" i="2"/>
  <c r="AM453" i="2"/>
  <c r="AM454" i="2"/>
  <c r="AM455" i="2"/>
  <c r="AM456" i="2"/>
  <c r="AM457" i="2"/>
  <c r="AM448" i="2"/>
  <c r="AM449" i="2"/>
  <c r="AM450" i="2"/>
  <c r="AM451" i="2"/>
  <c r="AM452" i="2"/>
  <c r="AM447" i="2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<sst xmlns="http://schemas.openxmlformats.org/spreadsheetml/2006/main" count="9834" uniqueCount="3853">
  <si>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</si>
  <si>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</si>
  <si>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</si>
  <si>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</si>
  <si>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</si>
  <si>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</si>
  <si>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</si>
  <si>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</si>
  <si>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</si>
  <si>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</si>
  <si>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</si>
  <si>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</si>
  <si>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</si>
  <si>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</si>
  <si>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</si>
  <si>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</si>
  <si>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</si>
  <si>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</si>
  <si>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</si>
  <si>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</si>
  <si>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</si>
  <si>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</si>
  <si>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</si>
  <si>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</si>
  <si>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</si>
  <si>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</si>
  <si>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</si>
  <si>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</si>
  <si>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</si>
  <si>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</si>
  <si>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</si>
  <si>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</si>
  <si>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</si>
  <si>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</si>
  <si>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</si>
  <si>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</si>
  <si>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</si>
  <si>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</si>
  <si>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</si>
  <si>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</si>
  <si>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</si>
  <si>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</si>
  <si>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</si>
  <si>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</si>
  <si>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</si>
  <si>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</si>
  <si>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</si>
  <si>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</si>
  <si>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</si>
  <si>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</si>
  <si>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</si>
  <si>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</si>
  <si>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</si>
  <si>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</si>
  <si>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</si>
  <si>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</si>
  <si>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</si>
  <si>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</si>
  <si>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</si>
  <si>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</si>
  <si>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</si>
  <si>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</si>
  <si>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</si>
  <si>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</si>
  <si>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</si>
  <si>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</si>
  <si>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</si>
  <si>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</si>
  <si>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</si>
  <si>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</si>
  <si>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</si>
  <si>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</si>
  <si>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</si>
  <si>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</si>
  <si>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</si>
  <si>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</si>
  <si>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</si>
  <si>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</si>
  <si>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</si>
  <si>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</si>
  <si>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</si>
  <si>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</si>
  <si>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</si>
  <si>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</si>
  <si>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</si>
  <si>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</si>
  <si>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</si>
  <si>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</si>
  <si>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</si>
  <si>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</si>
  <si>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</si>
  <si>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</si>
  <si>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</si>
  <si>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</si>
  <si>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</si>
  <si>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</si>
  <si>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</si>
  <si>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</si>
  <si>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</si>
  <si>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</si>
  <si>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</si>
  <si>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</si>
  <si>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</si>
  <si>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</si>
  <si>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</si>
  <si>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</si>
  <si>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</si>
  <si>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</si>
  <si>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</si>
  <si>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</si>
  <si>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</si>
  <si>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</si>
  <si>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</si>
  <si>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</si>
  <si>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</si>
  <si>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</si>
  <si>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</si>
  <si>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</si>
  <si>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</si>
  <si>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</si>
  <si>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</si>
  <si>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</si>
  <si>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</si>
  <si>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</si>
  <si>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</si>
  <si>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</si>
  <si>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</si>
  <si>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</si>
  <si>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</si>
  <si>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</si>
  <si>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</si>
  <si>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</si>
  <si>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</si>
  <si>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</si>
  <si>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</si>
  <si>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</si>
  <si>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</si>
  <si>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</si>
  <si>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</si>
  <si>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</si>
  <si>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</si>
  <si>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</si>
  <si>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</si>
  <si>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</si>
  <si>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</si>
  <si>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</si>
  <si>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</si>
  <si>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</si>
  <si>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</si>
  <si>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</si>
  <si>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</si>
  <si>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</si>
  <si>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</si>
  <si>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</si>
  <si>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</si>
  <si>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</si>
  <si>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</si>
  <si>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</si>
  <si>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</si>
  <si>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</si>
  <si>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</si>
  <si>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</si>
  <si>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</si>
  <si>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</si>
  <si>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</si>
  <si>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</si>
  <si>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</si>
  <si>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</si>
  <si>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</si>
  <si>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</si>
  <si>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</si>
  <si>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</si>
  <si>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</si>
  <si>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</si>
  <si>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</si>
  <si>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</si>
  <si>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</si>
  <si>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</si>
  <si>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</si>
  <si>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</si>
  <si>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</si>
  <si>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</si>
  <si>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</si>
  <si>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</si>
  <si>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</si>
  <si>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</si>
  <si>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</si>
  <si>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</si>
  <si>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</si>
  <si>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</si>
  <si>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</si>
  <si>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</si>
  <si>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</si>
  <si>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</si>
  <si>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</si>
  <si>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</si>
  <si>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</si>
  <si>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</si>
  <si>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</si>
  <si>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</si>
  <si>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</si>
  <si>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</si>
  <si>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</si>
  <si>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</si>
  <si>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</si>
  <si>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</si>
  <si>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</si>
  <si>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</si>
  <si>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</si>
  <si>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</si>
  <si>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</si>
  <si>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</si>
  <si>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</si>
  <si>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</si>
  <si>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</si>
  <si>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</si>
  <si>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</si>
  <si>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</si>
  <si>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</si>
  <si>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</si>
  <si>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</si>
  <si>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</si>
  <si>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</si>
  <si>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</si>
  <si>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</si>
  <si>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</si>
  <si>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</si>
  <si>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</si>
  <si>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</si>
  <si>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</si>
  <si>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</si>
  <si>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</si>
  <si>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</si>
  <si>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</si>
  <si>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</si>
  <si>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</si>
  <si>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</si>
  <si>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</si>
  <si>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</si>
  <si>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</si>
  <si>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</si>
  <si>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</si>
  <si>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</si>
  <si>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</si>
  <si>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</si>
  <si>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</si>
  <si>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</si>
  <si>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</si>
  <si>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</si>
  <si>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</si>
  <si>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</si>
  <si>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</si>
  <si>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</si>
  <si>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</si>
  <si>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</si>
  <si>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</si>
  <si>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</si>
  <si>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</si>
  <si>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</si>
  <si>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</si>
  <si>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</si>
  <si>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</si>
  <si>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</si>
  <si>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</si>
  <si>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</si>
  <si>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</si>
  <si>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</si>
  <si>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</si>
  <si>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</si>
  <si>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</si>
  <si>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</si>
  <si>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</si>
  <si>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</si>
  <si>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</si>
  <si>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</si>
  <si>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</si>
  <si>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</si>
  <si>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</si>
  <si>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</si>
  <si>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</si>
  <si>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</si>
  <si>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</si>
  <si>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</si>
  <si>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</si>
  <si>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</si>
  <si>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</si>
  <si>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</si>
  <si>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</si>
  <si>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</si>
  <si>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</si>
  <si>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</si>
  <si>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</si>
  <si>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</si>
  <si>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</si>
  <si>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</si>
  <si>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</si>
  <si>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</si>
  <si>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</si>
  <si>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</si>
  <si>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</si>
  <si>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</si>
  <si>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</si>
  <si>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</si>
  <si>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</si>
  <si>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</si>
  <si>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</si>
  <si>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</si>
  <si>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</si>
  <si>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</si>
  <si>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</si>
  <si>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</si>
  <si>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</si>
  <si>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</si>
  <si>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</si>
  <si>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</si>
  <si>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</si>
  <si>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</si>
  <si>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</si>
  <si>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</si>
  <si>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</si>
  <si>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</si>
  <si>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</si>
  <si>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</si>
  <si>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</si>
  <si>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</si>
  <si>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</si>
  <si>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</si>
  <si>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</si>
  <si>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</si>
  <si>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</si>
  <si>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</si>
  <si>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</si>
  <si>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</si>
  <si>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</si>
  <si>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</si>
  <si>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</si>
  <si>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</si>
  <si>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</si>
  <si>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</si>
  <si>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</si>
  <si>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</si>
  <si>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</si>
  <si>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</si>
  <si>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</si>
  <si>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</si>
  <si>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</si>
  <si>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</si>
  <si>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</si>
  <si>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</si>
  <si>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</si>
  <si>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</si>
  <si>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</si>
  <si>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</si>
  <si>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</si>
  <si>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</si>
  <si>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</si>
  <si>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</si>
  <si>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</si>
  <si>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</si>
  <si>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</si>
  <si>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</si>
  <si>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</si>
  <si>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</si>
  <si>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</si>
  <si>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</si>
  <si>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</si>
  <si>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</si>
  <si>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</si>
  <si>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</si>
  <si>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</si>
  <si>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</si>
  <si>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</si>
  <si>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</si>
  <si>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</si>
  <si>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</si>
  <si>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</si>
  <si>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</si>
  <si>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</si>
  <si>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</si>
  <si>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</si>
  <si>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</si>
  <si>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</si>
  <si>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</si>
  <si>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</si>
  <si>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</si>
  <si>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</si>
  <si>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</si>
  <si>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</si>
  <si>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</si>
  <si>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</si>
  <si>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</si>
  <si>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</si>
  <si>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</si>
  <si>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</si>
  <si>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</si>
  <si>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</si>
  <si>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</si>
  <si>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</si>
  <si>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</si>
  <si>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</si>
  <si>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</si>
  <si>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</si>
  <si>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</si>
  <si>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</si>
  <si>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</si>
  <si>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</si>
  <si>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</si>
  <si>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</si>
  <si>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</si>
  <si>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</si>
  <si>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</si>
  <si>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</si>
  <si>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</si>
  <si>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</si>
  <si>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</si>
  <si>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</si>
  <si>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</si>
  <si>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</si>
  <si>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</si>
  <si>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</si>
  <si>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</si>
  <si>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</si>
  <si>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</si>
  <si>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</si>
  <si>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</si>
  <si>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</si>
  <si>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</si>
  <si>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</si>
  <si>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</si>
  <si>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</si>
  <si>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</si>
  <si>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</si>
  <si>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</si>
  <si>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</si>
  <si>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</si>
  <si>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</si>
  <si>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</si>
  <si>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</si>
  <si>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</si>
  <si>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</si>
  <si>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</si>
  <si>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</si>
  <si>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</si>
  <si>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</si>
  <si>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</si>
  <si>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</si>
  <si>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</si>
  <si>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</si>
  <si>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</si>
  <si>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</si>
  <si>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</si>
  <si>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</si>
  <si>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</si>
  <si>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</si>
  <si>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</si>
  <si>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</si>
  <si>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</si>
  <si>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</si>
  <si>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</si>
  <si>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</si>
  <si>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</si>
  <si>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</si>
  <si>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</si>
  <si>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</si>
  <si>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</si>
  <si>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</si>
  <si>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</si>
  <si>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</si>
  <si>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</si>
  <si>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</si>
  <si>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</si>
  <si>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</si>
  <si>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</si>
  <si>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</si>
  <si>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</si>
  <si>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</si>
  <si>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</si>
  <si>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</si>
  <si>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</si>
  <si>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</si>
  <si>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</si>
  <si>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</si>
  <si>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</si>
  <si>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</si>
  <si>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</si>
  <si>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</si>
  <si>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</si>
  <si>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</si>
  <si>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</si>
  <si>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</si>
  <si>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</si>
  <si>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</si>
  <si>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</si>
  <si>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</si>
  <si>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</si>
  <si>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</si>
  <si>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</si>
  <si>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</si>
  <si>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</si>
  <si>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</si>
  <si>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</si>
  <si>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</si>
  <si>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</si>
  <si>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</si>
  <si>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</si>
  <si>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</si>
  <si>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</si>
  <si>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</si>
  <si>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</si>
  <si>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</si>
  <si>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</si>
  <si>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</si>
  <si>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</si>
  <si>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</si>
  <si>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</si>
  <si>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</si>
  <si>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</si>
  <si>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</si>
  <si>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</si>
  <si>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</si>
  <si>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</si>
  <si>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</si>
  <si>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</si>
  <si>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</si>
  <si>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</si>
  <si>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</si>
  <si>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</si>
  <si>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</si>
  <si>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</si>
  <si>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</si>
  <si>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</si>
  <si>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</si>
  <si>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</si>
  <si>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</si>
  <si>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</si>
  <si>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</si>
  <si>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</si>
  <si>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</si>
  <si>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</si>
  <si>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</si>
  <si>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</si>
  <si>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</si>
  <si>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</si>
  <si>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</si>
  <si>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</si>
  <si>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</si>
  <si>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</si>
  <si>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</si>
  <si>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</si>
  <si>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</si>
  <si>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</si>
  <si>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</si>
  <si>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</si>
  <si>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</si>
  <si>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</si>
  <si>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</si>
  <si>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</si>
  <si>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</si>
  <si>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</si>
  <si>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</si>
  <si>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</si>
  <si>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</si>
  <si>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</si>
  <si>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</si>
  <si>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</si>
  <si>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</si>
  <si>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</si>
  <si>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</si>
  <si>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</si>
  <si>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</si>
  <si>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</si>
  <si>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</si>
  <si>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</si>
  <si>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</si>
  <si>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</si>
  <si>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</si>
  <si>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</si>
  <si>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</si>
  <si>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</si>
  <si>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</si>
  <si>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</si>
  <si>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</si>
  <si>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</si>
  <si>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</si>
  <si>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</si>
  <si>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</si>
  <si>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</si>
  <si>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</si>
  <si>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</si>
  <si>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</si>
  <si>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</si>
  <si>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</si>
  <si>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</si>
  <si>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</si>
  <si>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</si>
  <si>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</si>
  <si>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</si>
  <si>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</si>
  <si>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</si>
  <si>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</si>
  <si>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</si>
  <si>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</si>
  <si>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</si>
  <si>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</si>
  <si>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</si>
  <si>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</si>
  <si>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</si>
  <si>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</si>
  <si>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</si>
  <si>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</si>
  <si>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</si>
  <si>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</si>
  <si>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</si>
  <si>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</si>
  <si>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</si>
  <si>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</si>
  <si>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</si>
  <si>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</si>
  <si>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</si>
  <si>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</si>
  <si>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</si>
  <si>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</si>
  <si>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</si>
  <si>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</si>
  <si>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</si>
  <si>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</si>
  <si>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</si>
  <si>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</si>
  <si>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</si>
  <si>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</si>
  <si>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</si>
  <si>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</si>
  <si>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</si>
  <si>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</si>
  <si>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</si>
  <si>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</si>
  <si>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</si>
  <si>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</si>
  <si>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</si>
  <si>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</si>
  <si>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</si>
  <si>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</si>
  <si>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</si>
  <si>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</si>
  <si>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</si>
  <si>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</si>
  <si>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</si>
  <si>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</si>
  <si>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</si>
  <si>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</si>
  <si>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</si>
  <si>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</si>
  <si>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</si>
  <si>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</si>
  <si>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</si>
  <si>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</si>
  <si>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</si>
  <si>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</si>
  <si>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</si>
  <si>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</si>
  <si>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</si>
  <si>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</si>
  <si>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</si>
  <si>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</si>
  <si>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</si>
  <si>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</si>
  <si>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</si>
  <si>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</si>
  <si>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</si>
  <si>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</si>
  <si>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</si>
  <si>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</si>
  <si>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</si>
  <si>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</si>
  <si>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</si>
  <si>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</si>
  <si>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</si>
  <si>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</si>
  <si>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</si>
  <si>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</si>
  <si>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</si>
  <si>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</si>
  <si>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</si>
  <si>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</si>
  <si>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</si>
  <si>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</si>
  <si>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</si>
  <si>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</si>
  <si>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</si>
  <si>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</si>
  <si>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</si>
  <si>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</si>
  <si>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</si>
  <si>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</si>
  <si>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</si>
  <si>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</si>
  <si>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</si>
  <si>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</si>
  <si>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</si>
  <si>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</si>
  <si>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</si>
  <si>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</si>
  <si>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</si>
  <si>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</si>
  <si>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</si>
  <si>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</si>
  <si>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</si>
  <si>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</si>
  <si>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</si>
  <si>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</si>
  <si>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</si>
  <si>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</si>
  <si>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</si>
  <si>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</si>
  <si>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</si>
  <si>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</si>
  <si>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</si>
  <si>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</si>
  <si>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</si>
  <si>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</si>
  <si>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</si>
  <si>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</si>
  <si>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</si>
  <si>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</si>
  <si>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</si>
  <si>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</si>
  <si>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</si>
  <si>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</si>
  <si>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</si>
  <si>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</si>
  <si>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</si>
  <si>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</si>
  <si>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</si>
  <si>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</si>
  <si>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</si>
  <si>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</si>
  <si>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</si>
  <si>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</si>
  <si>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</si>
  <si>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</si>
  <si>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</si>
  <si>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</si>
  <si>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</si>
  <si>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</si>
  <si>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</si>
  <si>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</si>
  <si>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</si>
  <si>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</si>
  <si>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</si>
  <si>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</si>
  <si>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</si>
  <si>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</si>
  <si>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</si>
  <si>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</si>
  <si>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</si>
  <si>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</si>
  <si>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</si>
  <si>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</si>
  <si>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</si>
  <si>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</si>
  <si>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</si>
  <si>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</si>
  <si>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</si>
  <si>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</si>
  <si>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</si>
  <si>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</si>
  <si>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</si>
  <si>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</si>
  <si>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</si>
  <si>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</si>
  <si>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</si>
  <si>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</si>
  <si>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</si>
  <si>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</si>
  <si>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</si>
  <si>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</si>
  <si>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</si>
  <si>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</si>
  <si>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</si>
  <si>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</si>
  <si>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</si>
  <si>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</si>
  <si>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</si>
  <si>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</si>
  <si>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</si>
  <si>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</si>
  <si>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</si>
  <si>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</si>
  <si>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</si>
  <si>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</si>
  <si>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</si>
  <si>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</si>
  <si>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</si>
  <si>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</si>
  <si>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</si>
  <si>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</si>
  <si>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</si>
  <si>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</si>
  <si>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</si>
  <si>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</si>
  <si>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</si>
  <si>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</si>
  <si>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</si>
  <si>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</si>
  <si>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</si>
  <si>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</si>
  <si>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</si>
  <si>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</si>
  <si>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</si>
  <si>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</si>
  <si>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</si>
  <si>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</si>
  <si>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</si>
  <si>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</si>
  <si>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</si>
  <si>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</si>
  <si>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</si>
  <si>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</si>
  <si>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</si>
  <si>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</si>
  <si>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</si>
  <si>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</si>
  <si>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</si>
  <si>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</si>
  <si>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</si>
  <si>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</si>
  <si>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</si>
  <si>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</si>
  <si>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</si>
  <si>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</si>
  <si>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</si>
  <si>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</si>
  <si>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</si>
  <si>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</si>
  <si>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</si>
  <si>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</si>
  <si>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</si>
  <si>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</si>
  <si>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</si>
  <si>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</si>
  <si>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</si>
  <si>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</si>
  <si>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</si>
  <si>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</si>
  <si>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</si>
  <si>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</si>
  <si>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</si>
  <si>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</si>
  <si>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</si>
  <si>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</si>
  <si>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</si>
  <si>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</si>
  <si>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</si>
  <si>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</si>
  <si>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</si>
  <si>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</si>
  <si>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</si>
  <si>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</si>
  <si>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</si>
  <si>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</si>
  <si>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</si>
  <si>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</si>
  <si>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</si>
  <si>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</si>
  <si>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</si>
  <si>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</si>
  <si>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</si>
  <si>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</si>
  <si>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</si>
  <si>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</si>
  <si>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</si>
  <si>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</si>
  <si>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</si>
  <si>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</si>
  <si>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</si>
  <si>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</si>
  <si>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</si>
  <si>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</si>
  <si>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</si>
  <si>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</si>
  <si>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</si>
  <si>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</si>
  <si>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</si>
  <si>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</si>
  <si>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</si>
  <si>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</si>
  <si>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</si>
  <si>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</si>
  <si>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</si>
  <si>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</si>
  <si>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</si>
  <si>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</si>
  <si>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</si>
  <si>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</si>
  <si>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</si>
  <si>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</si>
  <si>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</si>
  <si>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</si>
  <si>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</si>
  <si>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</si>
  <si>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</si>
  <si>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</si>
  <si>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</si>
  <si>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</si>
  <si>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</si>
  <si>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</si>
  <si>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</si>
  <si>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</si>
  <si>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</si>
  <si>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</si>
  <si>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</si>
  <si>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</si>
  <si>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</si>
  <si>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</si>
  <si>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</si>
  <si>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</si>
  <si>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</si>
  <si>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</si>
  <si>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</si>
  <si>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</si>
  <si>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</si>
  <si>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</si>
  <si>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</si>
  <si>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</si>
  <si>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</si>
  <si>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</si>
  <si>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</si>
  <si>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</si>
  <si>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</si>
  <si>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</si>
  <si>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</si>
  <si>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</si>
  <si>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</si>
  <si>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</si>
  <si>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</si>
  <si>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</si>
  <si>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</si>
  <si>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</si>
  <si>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</si>
  <si>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</si>
  <si>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</si>
  <si>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</si>
  <si>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</si>
  <si>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</si>
  <si>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</si>
  <si>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</si>
  <si>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</si>
  <si>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</si>
  <si>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</si>
  <si>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</si>
  <si>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</si>
  <si>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</si>
  <si>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</si>
  <si>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</si>
  <si>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</si>
  <si>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</si>
  <si>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</si>
  <si>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</si>
  <si>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</si>
  <si>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</si>
  <si>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</si>
  <si>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</si>
  <si>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</si>
  <si>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</si>
  <si>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</si>
  <si>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</si>
  <si>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</si>
  <si>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</si>
  <si>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</si>
  <si>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</si>
  <si>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</si>
  <si>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</si>
  <si>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</si>
  <si>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</si>
  <si>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</si>
  <si>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</si>
  <si>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</si>
  <si>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</si>
  <si>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</si>
  <si>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</si>
  <si>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</si>
  <si>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</si>
  <si>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</si>
  <si>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</si>
  <si>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</si>
  <si>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</si>
  <si>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</si>
  <si>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</si>
  <si>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</si>
  <si>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</si>
  <si>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</si>
  <si>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</si>
  <si>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</si>
  <si>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</si>
  <si>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</si>
  <si>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</si>
  <si>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</si>
  <si>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</si>
  <si>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</si>
  <si>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</si>
  <si>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</si>
  <si>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</si>
  <si>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</si>
  <si>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</si>
  <si>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</si>
  <si>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</si>
  <si>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</si>
  <si>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</si>
  <si>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</si>
  <si>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</si>
  <si>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</si>
  <si>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</si>
  <si>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</si>
  <si>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</si>
  <si>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</si>
  <si>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</si>
  <si>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</si>
  <si>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</si>
  <si>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</si>
  <si>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</si>
  <si>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</si>
  <si>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</si>
  <si>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</si>
  <si>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</si>
  <si>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</si>
  <si>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</si>
  <si>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</si>
  <si>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</si>
  <si>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</si>
  <si>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</si>
  <si>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</si>
  <si>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</si>
  <si>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</si>
  <si>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</si>
  <si>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</si>
  <si>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</si>
  <si>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</si>
  <si>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</si>
  <si>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</si>
  <si>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</si>
  <si>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</si>
  <si>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</si>
  <si>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</si>
  <si>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</si>
  <si>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</si>
  <si>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</si>
  <si>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</si>
  <si>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</si>
  <si>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</si>
  <si>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</si>
  <si>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</si>
  <si>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</si>
  <si>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</si>
  <si>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</si>
  <si>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</si>
  <si>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</si>
  <si>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</si>
  <si>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</si>
  <si>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</si>
  <si>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</si>
  <si>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</si>
  <si>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</si>
  <si>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</si>
  <si>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</si>
  <si>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</si>
  <si>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</si>
  <si>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</si>
  <si>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</si>
  <si>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</si>
  <si>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</si>
  <si>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</si>
  <si>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</si>
  <si>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</si>
  <si>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</si>
  <si>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</si>
  <si>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</si>
  <si>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</si>
  <si>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</si>
  <si>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</si>
  <si>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</si>
  <si>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</si>
  <si>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</si>
  <si>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</si>
  <si>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</si>
  <si>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</si>
  <si>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</si>
  <si>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</si>
  <si>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</si>
  <si>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</si>
  <si>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</si>
  <si>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</si>
  <si>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</si>
  <si>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</si>
  <si>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</si>
  <si>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</si>
  <si>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</si>
  <si>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</si>
  <si>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</si>
  <si>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</si>
  <si>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</si>
  <si>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</si>
  <si>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</si>
  <si>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</si>
  <si>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</si>
  <si>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</si>
  <si>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</si>
  <si>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</si>
  <si>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</si>
  <si>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</si>
  <si>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</si>
  <si>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</si>
  <si>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</si>
  <si>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</si>
  <si>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</si>
  <si>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</si>
  <si>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</si>
  <si>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</si>
  <si>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</si>
  <si>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</si>
  <si>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</si>
  <si>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</si>
  <si>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</si>
  <si>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</si>
  <si>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</si>
  <si>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</si>
  <si>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</si>
  <si>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</si>
  <si>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</si>
  <si>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</si>
  <si>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</si>
  <si>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</si>
  <si>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</si>
  <si>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</si>
  <si>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</si>
  <si>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</si>
  <si>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</si>
  <si>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</si>
  <si>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</si>
  <si>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</si>
  <si>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</si>
  <si>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</si>
  <si>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</si>
  <si>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</si>
  <si>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</si>
  <si>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</si>
  <si>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</si>
  <si>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</si>
  <si>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</si>
  <si>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</si>
  <si>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</si>
  <si>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</si>
  <si>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</si>
  <si>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</si>
  <si>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</si>
  <si>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</si>
  <si>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</si>
  <si>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</si>
  <si>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</si>
  <si>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</si>
  <si>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</si>
  <si>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</si>
  <si>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</si>
  <si>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</si>
  <si>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</si>
  <si>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</si>
  <si>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</si>
  <si>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</si>
  <si>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</si>
  <si>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</si>
  <si>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</si>
  <si>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</si>
  <si>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</si>
  <si>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</si>
  <si>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</si>
  <si>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</si>
  <si>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</si>
  <si>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</si>
  <si>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</si>
  <si>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</si>
  <si>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</si>
  <si>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</si>
  <si>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</si>
  <si>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</si>
  <si>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</si>
  <si>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</si>
  <si>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</si>
  <si>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</si>
  <si>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</si>
  <si>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</si>
  <si>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</si>
  <si>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</si>
  <si>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</si>
  <si>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</si>
  <si>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</si>
  <si>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</si>
  <si>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</si>
  <si>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</si>
  <si>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</si>
  <si>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</si>
  <si>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</si>
  <si>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</si>
  <si>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</si>
  <si>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</si>
  <si>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</si>
  <si>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</si>
  <si>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</si>
  <si>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</si>
  <si>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</si>
  <si>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</si>
  <si>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</si>
  <si>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</si>
  <si>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</si>
  <si>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</si>
  <si>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</si>
  <si>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</si>
  <si>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</si>
  <si>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</si>
  <si>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</si>
  <si>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</si>
  <si>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</si>
  <si>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</si>
  <si>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</si>
  <si>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</si>
  <si>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</si>
  <si>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</si>
  <si>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</si>
  <si>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</si>
  <si>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</si>
  <si>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</si>
  <si>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</si>
  <si>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</si>
  <si>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</si>
  <si>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</si>
  <si>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</si>
  <si>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</si>
  <si>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</si>
  <si>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</si>
  <si>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</si>
  <si>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</si>
  <si>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</si>
  <si>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</si>
  <si>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</si>
  <si>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</si>
  <si>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</si>
  <si>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</si>
  <si>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</si>
  <si>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</si>
  <si>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</si>
  <si>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</si>
  <si>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</si>
  <si>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</si>
  <si>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</si>
  <si>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</si>
  <si>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</si>
  <si>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</si>
  <si>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</si>
  <si>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</si>
  <si>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</si>
  <si>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</si>
  <si>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</si>
  <si>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</si>
  <si>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</si>
  <si>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</si>
  <si>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</si>
  <si>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</si>
  <si>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</si>
  <si>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</si>
  <si>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</si>
  <si>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</si>
  <si>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</si>
  <si>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</si>
  <si>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</si>
  <si>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</si>
  <si>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</si>
  <si>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</si>
  <si>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</si>
  <si>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</si>
  <si>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</si>
  <si>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</si>
  <si>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</si>
  <si>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</si>
  <si>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</si>
  <si>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</si>
  <si>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</si>
  <si>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</si>
  <si>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</si>
  <si>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</si>
  <si>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</si>
  <si>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</si>
  <si>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</si>
  <si>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</si>
  <si>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</si>
  <si>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</si>
  <si>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</si>
  <si>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</si>
  <si>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</si>
  <si>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</si>
  <si>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</si>
  <si>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</si>
  <si>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</si>
  <si>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</si>
  <si>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</si>
  <si>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</si>
  <si>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</si>
  <si>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</si>
  <si>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</si>
  <si>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</si>
  <si>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</si>
  <si>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</si>
  <si>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</si>
  <si>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</si>
  <si>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</si>
  <si>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</si>
  <si>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</si>
  <si>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</si>
  <si>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</si>
  <si>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</si>
  <si>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</si>
  <si>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</si>
  <si>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</si>
  <si>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</si>
  <si>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</si>
  <si>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</si>
  <si>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</si>
  <si>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</si>
  <si>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</si>
  <si>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</si>
  <si>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</si>
  <si>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</si>
  <si>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</si>
  <si>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</si>
  <si>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</si>
  <si>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</si>
  <si>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</si>
  <si>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</si>
  <si>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</si>
  <si>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</si>
  <si>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</si>
  <si>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</si>
  <si>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</si>
  <si>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</si>
  <si>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</si>
  <si>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</si>
  <si>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</si>
  <si>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</si>
  <si>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</si>
  <si>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</si>
  <si>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</si>
  <si>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</si>
  <si>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</si>
  <si>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</si>
  <si>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</si>
  <si>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</si>
  <si>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</si>
  <si>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</si>
  <si>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</si>
  <si>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</si>
  <si>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</si>
  <si>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</si>
  <si>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</si>
  <si>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</si>
  <si>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</si>
  <si>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</si>
  <si>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</si>
  <si>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</si>
  <si>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</si>
  <si>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</si>
  <si>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</si>
  <si>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</si>
  <si>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</si>
  <si>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</si>
  <si>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</si>
  <si>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</si>
  <si>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</si>
  <si>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</si>
  <si>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</si>
  <si>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</si>
  <si>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</si>
  <si>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</si>
  <si>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</si>
  <si>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</si>
  <si>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</si>
  <si>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</si>
  <si>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</si>
  <si>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</si>
  <si>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</si>
  <si>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</si>
  <si>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</si>
  <si>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</si>
  <si>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</si>
  <si>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</si>
  <si>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</si>
  <si>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</si>
  <si>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</si>
  <si>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</si>
  <si>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</si>
  <si>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</si>
  <si>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</si>
  <si>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</si>
  <si>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</si>
  <si>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</si>
  <si>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</si>
  <si>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</si>
  <si>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</si>
  <si>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</si>
  <si>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</si>
  <si>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</si>
  <si>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</si>
  <si>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</si>
  <si>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</si>
  <si>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</si>
  <si>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</si>
  <si>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</si>
  <si>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</si>
  <si>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</si>
  <si>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</si>
  <si>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</si>
  <si>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</si>
  <si>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</si>
  <si>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</si>
  <si>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</si>
  <si>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</si>
  <si>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</si>
  <si>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</si>
  <si>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</si>
  <si>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</si>
  <si>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</si>
  <si>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</si>
  <si>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</si>
  <si>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</si>
  <si>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</si>
  <si>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</si>
  <si>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</si>
  <si>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</si>
  <si>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</si>
  <si>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</si>
  <si>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</si>
  <si>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</si>
  <si>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</si>
  <si>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</si>
  <si>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</si>
  <si>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</si>
  <si>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</si>
  <si>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</si>
  <si>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</si>
  <si>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</si>
  <si>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</si>
  <si>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</si>
  <si>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</si>
  <si>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</si>
  <si>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</si>
  <si>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</si>
  <si>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</si>
  <si>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</si>
  <si>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</si>
  <si>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</si>
  <si>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</si>
  <si>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</si>
  <si>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</si>
  <si>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</si>
  <si>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</si>
  <si>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</si>
  <si>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</si>
  <si>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</si>
  <si>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</si>
  <si>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</si>
  <si>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</si>
  <si>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</si>
  <si>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</si>
  <si>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</si>
  <si>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</si>
  <si>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</si>
  <si>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</si>
  <si>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</si>
  <si>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</si>
  <si>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</si>
  <si>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</si>
  <si>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</si>
  <si>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</si>
  <si>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</si>
  <si>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</si>
  <si>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</si>
  <si>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</si>
  <si>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</si>
  <si>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</si>
  <si>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</si>
  <si>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</si>
  <si>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</si>
  <si>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</si>
  <si>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</si>
  <si>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</si>
  <si>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</si>
  <si>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</si>
  <si>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</si>
  <si>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</si>
  <si>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</si>
  <si>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</si>
  <si>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</si>
  <si>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</si>
  <si>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</si>
  <si>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</si>
  <si>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</si>
  <si>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</si>
  <si>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</si>
  <si>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</si>
  <si>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</si>
  <si>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</si>
  <si>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</si>
  <si>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</si>
  <si>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</si>
  <si>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</si>
  <si>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</si>
  <si>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</si>
  <si>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</si>
  <si>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</si>
  <si>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</si>
  <si>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</si>
  <si>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</si>
  <si>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</si>
  <si>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</si>
  <si>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</si>
  <si>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</si>
  <si>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</si>
  <si>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</si>
  <si>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</si>
  <si>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</si>
  <si>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</si>
  <si>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</si>
  <si>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</si>
  <si>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</si>
  <si>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</si>
  <si>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</si>
  <si>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</si>
  <si>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</si>
  <si>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</si>
  <si>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</si>
  <si>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</si>
  <si>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</si>
  <si>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</si>
  <si>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</si>
  <si>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</si>
  <si>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</si>
  <si>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</si>
  <si>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</si>
  <si>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</si>
  <si>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</si>
  <si>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</si>
  <si>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</si>
  <si>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</si>
  <si>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</si>
  <si>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</si>
  <si>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</si>
  <si>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</si>
  <si>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</si>
  <si>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</si>
  <si>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</si>
  <si>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</si>
  <si>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</si>
  <si>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</si>
  <si>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</si>
  <si>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</si>
  <si>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</si>
  <si>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</si>
  <si>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</si>
  <si>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</si>
  <si>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</si>
  <si>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</si>
  <si>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</si>
  <si>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</si>
  <si>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</si>
  <si>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</si>
  <si>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</si>
  <si>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</si>
  <si>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</si>
  <si>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</si>
  <si>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</si>
  <si>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</si>
  <si>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</si>
  <si>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</si>
  <si>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</si>
  <si>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</si>
  <si>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</si>
  <si>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</si>
  <si>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</si>
  <si>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</si>
  <si>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</si>
  <si>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</si>
  <si>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</si>
  <si>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</si>
  <si>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</si>
  <si>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</si>
  <si>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</si>
  <si>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</si>
  <si>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</si>
  <si>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</si>
  <si>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</si>
  <si>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</si>
  <si>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</si>
  <si>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</si>
  <si>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</si>
  <si>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</si>
  <si>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</si>
  <si>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</si>
  <si>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</si>
  <si>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</si>
  <si>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</si>
  <si>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</si>
  <si>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</si>
  <si>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</si>
  <si>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</si>
  <si>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</si>
  <si>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</si>
  <si>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</si>
  <si>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</si>
  <si>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</si>
  <si>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</si>
  <si>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</si>
  <si>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</si>
  <si>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</si>
  <si>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</si>
  <si>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</si>
  <si>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</si>
  <si>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</si>
  <si>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</si>
  <si>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</si>
  <si>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</si>
  <si>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</si>
  <si>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</si>
  <si>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</si>
  <si>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</si>
  <si>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</si>
  <si>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</si>
  <si>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</si>
  <si>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</si>
  <si>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</si>
  <si>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</si>
  <si>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</si>
  <si>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</si>
  <si>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</si>
  <si>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</si>
  <si>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</si>
  <si>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</si>
  <si>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</si>
  <si>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</si>
  <si>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</si>
  <si>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</si>
  <si>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</si>
  <si>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</si>
  <si>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</si>
  <si>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</si>
  <si>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</si>
  <si>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</si>
  <si>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</si>
  <si>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</si>
  <si>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</si>
  <si>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</si>
  <si>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</si>
  <si>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</si>
  <si>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</si>
  <si>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</si>
  <si>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</si>
  <si>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</si>
  <si>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</si>
  <si>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</si>
  <si>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</si>
  <si>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</si>
  <si>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</si>
  <si>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</si>
  <si>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</si>
  <si>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</si>
  <si>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</si>
  <si>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</si>
  <si>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</si>
  <si>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</si>
  <si>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</si>
  <si>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</si>
  <si>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</si>
  <si>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</si>
  <si>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</si>
  <si>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</si>
  <si>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</si>
  <si>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</si>
  <si>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</si>
  <si>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</si>
  <si>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</si>
  <si>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</si>
  <si>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</si>
  <si>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</si>
  <si>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</si>
  <si>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</si>
  <si>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</si>
  <si>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</si>
  <si>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</si>
  <si>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</si>
  <si>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</si>
  <si>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</si>
  <si>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</si>
  <si>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</si>
  <si>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</si>
  <si>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</si>
  <si>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</si>
  <si>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</si>
  <si>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</si>
  <si>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</si>
  <si>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</si>
  <si>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</si>
  <si>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</si>
  <si>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</si>
  <si>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</si>
  <si>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</si>
  <si>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</si>
  <si>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</si>
  <si>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</si>
  <si>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</si>
  <si>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</si>
  <si>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</si>
  <si>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</si>
  <si>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</si>
  <si>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</si>
  <si>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</si>
  <si>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</si>
  <si>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</si>
  <si>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</si>
  <si>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</si>
  <si>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</si>
  <si>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</si>
  <si>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</si>
  <si>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</si>
  <si>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</si>
  <si>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</si>
  <si>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</si>
  <si>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</si>
  <si>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</si>
  <si>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</si>
  <si>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</si>
  <si>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</si>
  <si>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</si>
  <si>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</si>
  <si>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</si>
  <si>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</si>
  <si>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</si>
  <si>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</si>
  <si>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</si>
  <si>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</si>
  <si>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</si>
  <si>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</si>
  <si>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</si>
  <si>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</si>
  <si>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</si>
  <si>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</si>
  <si>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</si>
  <si>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</si>
  <si>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</si>
  <si>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</si>
  <si>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</si>
  <si>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</si>
  <si>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</si>
  <si>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</si>
  <si>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</si>
  <si>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</si>
  <si>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</si>
  <si>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</si>
  <si>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</si>
  <si>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</si>
  <si>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</si>
  <si>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</si>
  <si>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</si>
  <si>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</si>
  <si>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</si>
  <si>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</si>
  <si>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</si>
  <si>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</si>
  <si>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</si>
  <si>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</si>
  <si>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</si>
  <si>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</si>
  <si>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</si>
  <si>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</si>
  <si>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</si>
  <si>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</si>
  <si>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</si>
  <si>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</si>
  <si>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</si>
  <si>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</si>
  <si>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</si>
  <si>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</si>
  <si>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</si>
  <si>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</si>
  <si>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</si>
  <si>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</si>
  <si>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</si>
  <si>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</si>
  <si>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</si>
  <si>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</si>
  <si>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</si>
  <si>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</si>
  <si>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</si>
  <si>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</si>
  <si>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</si>
  <si>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</si>
  <si>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</si>
  <si>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</si>
  <si>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</si>
  <si>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</si>
  <si>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</si>
  <si>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</si>
  <si>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</si>
  <si>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</si>
  <si>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</si>
  <si>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</si>
  <si>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</si>
  <si>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</si>
  <si>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</si>
  <si>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</si>
  <si>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</si>
  <si>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</si>
  <si>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</si>
  <si>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</si>
  <si>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</si>
  <si>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</si>
  <si>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</si>
  <si>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</si>
  <si>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</si>
  <si>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</si>
  <si>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</si>
  <si>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</si>
  <si>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</si>
  <si>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</si>
  <si>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</si>
  <si>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</si>
  <si>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</si>
  <si>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</si>
  <si>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</si>
  <si>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</si>
  <si>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</si>
  <si>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</si>
  <si>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</si>
  <si>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</si>
  <si>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</si>
  <si>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</si>
  <si>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</si>
  <si>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</si>
  <si>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</si>
  <si>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</si>
  <si>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</si>
  <si>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</si>
  <si>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</si>
  <si>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</si>
  <si>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</si>
  <si>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</si>
  <si>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</si>
  <si>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</si>
  <si>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</si>
  <si>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</si>
  <si>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</si>
  <si>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</si>
  <si>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</si>
  <si>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</si>
  <si>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</si>
  <si>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</si>
  <si>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</si>
  <si>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</si>
  <si>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</si>
  <si>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</si>
  <si>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</si>
  <si>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</si>
  <si>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</si>
  <si>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</si>
  <si>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</si>
  <si>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</si>
  <si>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</si>
  <si>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</si>
  <si>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</si>
  <si>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</si>
  <si>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</si>
  <si>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</si>
  <si>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</si>
  <si>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</si>
  <si>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</si>
  <si>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</si>
  <si>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</si>
  <si>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</si>
  <si>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</si>
  <si>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</si>
  <si>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</si>
  <si>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</si>
  <si>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</si>
  <si>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</si>
  <si>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</si>
  <si>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</si>
  <si>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</si>
  <si>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</si>
  <si>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</si>
  <si>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</si>
  <si>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</si>
  <si>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</si>
  <si>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</si>
  <si>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</si>
  <si>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</si>
  <si>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</si>
  <si>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</si>
  <si>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</si>
  <si>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</si>
  <si>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</si>
  <si>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</si>
  <si>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</si>
  <si>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</si>
  <si>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</si>
  <si>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</si>
  <si>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</si>
  <si>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</si>
  <si>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</si>
  <si>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</si>
  <si>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</si>
  <si>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</si>
  <si>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</si>
  <si>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</si>
  <si>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</si>
  <si>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</si>
  <si>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</si>
  <si>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</si>
  <si>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</si>
  <si>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</si>
  <si>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</si>
  <si>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</si>
  <si>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</si>
  <si>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</si>
  <si>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</si>
  <si>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</si>
  <si>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</si>
  <si>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</si>
  <si>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</si>
  <si>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</si>
  <si>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</si>
  <si>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</si>
  <si>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</si>
  <si>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</si>
  <si>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</si>
  <si>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</si>
  <si>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</si>
  <si>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</si>
  <si>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</si>
  <si>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</si>
  <si>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</si>
  <si>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</si>
  <si>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</si>
  <si>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</si>
  <si>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</si>
  <si>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</si>
  <si>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</si>
  <si>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</si>
  <si>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</si>
  <si>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</si>
  <si>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</si>
  <si>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</si>
  <si>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</si>
  <si>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</si>
  <si>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</si>
  <si>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</si>
  <si>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</si>
  <si>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</si>
  <si>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</si>
  <si>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</si>
  <si>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</si>
  <si>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</si>
  <si>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</si>
  <si>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</si>
  <si>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</si>
  <si>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</si>
  <si>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</si>
  <si>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</si>
  <si>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</si>
  <si>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</si>
  <si>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</si>
  <si>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</si>
  <si>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</si>
  <si>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</si>
  <si>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</si>
  <si>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</si>
  <si>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</si>
  <si>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</si>
  <si>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</si>
  <si>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</si>
  <si>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</si>
  <si>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</si>
  <si>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</si>
  <si>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</si>
  <si>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</si>
  <si>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</si>
  <si>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</si>
  <si>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</si>
  <si>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</si>
  <si>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</si>
  <si>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</si>
  <si>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</si>
  <si>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</si>
  <si>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</si>
  <si>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</si>
  <si>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</si>
  <si>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</si>
  <si>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</si>
  <si>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</si>
  <si>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</si>
  <si>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</si>
  <si>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</si>
  <si>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</si>
  <si>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</si>
  <si>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</si>
  <si>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</si>
  <si>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</si>
  <si>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</si>
  <si>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</si>
  <si>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</si>
  <si>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</si>
  <si>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</si>
  <si>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</si>
  <si>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</si>
  <si>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</si>
  <si>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</si>
  <si>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</si>
  <si>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</si>
  <si>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</si>
  <si>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</si>
  <si>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</si>
  <si>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</si>
  <si>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</si>
  <si>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</si>
  <si>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</si>
  <si>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</si>
  <si>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</si>
  <si>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</si>
  <si>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</si>
  <si>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</si>
  <si>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</si>
  <si>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</si>
  <si>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</si>
  <si>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</si>
  <si>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</si>
  <si>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</si>
  <si>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</si>
  <si>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</si>
  <si>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</si>
  <si>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</si>
  <si>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</si>
  <si>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</si>
  <si>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</si>
  <si>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</si>
  <si>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</si>
  <si>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</si>
  <si>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</si>
  <si>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</si>
  <si>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</si>
  <si>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</si>
  <si>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</si>
  <si>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</si>
  <si>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</si>
  <si>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</si>
  <si>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</si>
  <si>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</si>
  <si>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</si>
  <si>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</si>
  <si>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</si>
  <si>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</si>
  <si>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</si>
  <si>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</si>
  <si>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</si>
  <si>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</si>
  <si>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</si>
  <si>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</si>
  <si>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</si>
  <si>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</si>
  <si>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</si>
  <si>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</si>
  <si>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</si>
  <si>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</si>
  <si>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</si>
  <si>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</si>
  <si>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</si>
  <si>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</si>
  <si>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</si>
  <si>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</si>
  <si>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</si>
  <si>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</si>
  <si>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</si>
  <si>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</si>
  <si>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</si>
  <si>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</si>
  <si>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</si>
  <si>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</si>
  <si>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</si>
  <si>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</si>
  <si>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</si>
  <si>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</si>
  <si>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</si>
  <si>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</si>
  <si>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</si>
  <si>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</si>
  <si>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</si>
  <si>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</si>
  <si>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</si>
  <si>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</si>
  <si>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</si>
  <si>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</si>
  <si>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</si>
  <si>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</si>
  <si>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</si>
  <si>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</si>
  <si>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</si>
  <si>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</si>
  <si>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</si>
  <si>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</si>
  <si>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</si>
  <si>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</si>
  <si>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</si>
  <si>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</si>
  <si>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</si>
  <si>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</si>
  <si>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</si>
  <si>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</si>
  <si>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</si>
  <si>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</si>
  <si>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</si>
  <si>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</si>
  <si>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</si>
  <si>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</si>
  <si>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</si>
  <si>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</si>
  <si>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</si>
  <si>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</si>
  <si>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</si>
  <si>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</si>
  <si>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</si>
  <si>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</si>
  <si>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</si>
  <si>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</si>
  <si>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</si>
  <si>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</si>
  <si>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</si>
  <si>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</si>
  <si>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</si>
  <si>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</si>
  <si>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</si>
  <si>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</si>
  <si>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</si>
  <si>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</si>
  <si>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</si>
  <si>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</si>
  <si>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</si>
  <si>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</si>
  <si>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</si>
  <si>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</si>
  <si>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</si>
  <si>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</si>
  <si>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</si>
  <si>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</si>
  <si>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</si>
  <si>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</si>
  <si>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</si>
  <si>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</si>
  <si>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</si>
  <si>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</si>
  <si>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</si>
  <si>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</si>
  <si>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</si>
  <si>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</si>
  <si>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</si>
  <si>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</si>
  <si>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</si>
  <si>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</si>
  <si>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</si>
  <si>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</si>
  <si>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</si>
  <si>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</si>
  <si>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</si>
  <si>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</si>
  <si>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</si>
  <si>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</si>
  <si>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</si>
  <si>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</si>
  <si>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</si>
  <si>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</si>
  <si>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</si>
  <si>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</si>
  <si>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</si>
  <si>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</si>
  <si>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</si>
  <si>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</si>
  <si>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</si>
  <si>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</si>
  <si>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</si>
  <si>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</si>
  <si>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</si>
  <si>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</si>
  <si>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</si>
  <si>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</si>
  <si>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</si>
  <si>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</si>
  <si>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</si>
  <si>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</si>
  <si>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</si>
  <si>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</si>
  <si>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</si>
  <si>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</si>
  <si>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</si>
  <si>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</si>
  <si>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</si>
  <si>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</si>
  <si>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</si>
  <si>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</si>
  <si>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</si>
  <si>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</si>
  <si>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</si>
  <si>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</si>
  <si>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</si>
  <si>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</si>
  <si>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</si>
  <si>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</si>
  <si>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</si>
  <si>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</si>
  <si>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</si>
  <si>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</si>
  <si>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</si>
  <si>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</si>
  <si>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</si>
  <si>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</si>
  <si>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</si>
  <si>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</si>
  <si>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</si>
  <si>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</si>
  <si>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</si>
  <si>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</si>
  <si>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</si>
  <si>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</si>
  <si>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</si>
  <si>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</si>
  <si>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</si>
  <si>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</si>
  <si>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</si>
  <si>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</si>
  <si>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</si>
  <si>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</si>
  <si>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</si>
  <si>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</si>
  <si>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</si>
  <si>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</si>
  <si>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</si>
  <si>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</si>
  <si>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</si>
  <si>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</si>
  <si>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</si>
  <si>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</si>
  <si>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</si>
  <si>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</si>
  <si>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</si>
  <si>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</si>
  <si>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</si>
  <si>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</si>
  <si>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</si>
  <si>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</si>
  <si>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</si>
  <si>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</si>
  <si>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</si>
  <si>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</si>
  <si>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</si>
  <si>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</si>
  <si>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</si>
  <si>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</si>
  <si>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</si>
  <si>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</si>
  <si>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</si>
  <si>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</si>
  <si>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</si>
  <si>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</si>
  <si>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</si>
  <si>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</si>
  <si>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</si>
  <si>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</si>
  <si>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</si>
  <si>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</si>
  <si>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</si>
  <si>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</si>
  <si>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</si>
  <si>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</si>
  <si>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</si>
  <si>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</si>
  <si>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</si>
  <si>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</si>
  <si>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</si>
  <si>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</si>
  <si>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</si>
  <si>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</si>
  <si>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</si>
  <si>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</si>
  <si>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</si>
  <si>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</si>
  <si>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</si>
  <si>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</si>
  <si>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</si>
  <si>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</si>
  <si>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</si>
  <si>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</si>
  <si>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</si>
  <si>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</si>
  <si>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</si>
  <si>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</si>
  <si>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</si>
  <si>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</si>
  <si>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</si>
  <si>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</si>
  <si>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</si>
  <si>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</si>
  <si>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</si>
  <si>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</si>
  <si>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</si>
  <si>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</si>
  <si>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</si>
  <si>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</si>
  <si>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</si>
  <si>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</si>
  <si>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</si>
  <si>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</si>
  <si>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</si>
  <si>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</si>
  <si>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</si>
  <si>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</si>
  <si>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</si>
  <si>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</si>
  <si>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</si>
  <si>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</si>
  <si>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</si>
  <si>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</si>
  <si>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</si>
  <si>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</si>
  <si>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</si>
  <si>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</si>
  <si>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</si>
  <si>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</si>
  <si>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</si>
  <si>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</si>
  <si>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</si>
  <si>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</si>
  <si>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</si>
  <si>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</si>
  <si>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</si>
  <si>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</si>
  <si>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</si>
  <si>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</si>
  <si>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</si>
  <si>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</si>
  <si>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</si>
  <si>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</si>
  <si>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</si>
  <si>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</si>
  <si>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</si>
  <si>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</si>
  <si>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</si>
  <si>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</si>
  <si>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</si>
  <si>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</si>
  <si>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</si>
  <si>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</si>
  <si>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</si>
  <si>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</si>
  <si>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</si>
  <si>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</si>
  <si>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</si>
  <si>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</si>
  <si>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</si>
  <si>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</si>
  <si>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</si>
  <si>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</si>
  <si>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</si>
  <si>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</si>
  <si>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</si>
  <si>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</si>
  <si>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</si>
  <si>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</si>
  <si>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</si>
  <si>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</si>
  <si>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</si>
  <si>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</si>
  <si>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</si>
  <si>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</si>
  <si>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</si>
  <si>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</si>
  <si>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</si>
  <si>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</si>
  <si>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</si>
  <si>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</si>
  <si>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</si>
  <si>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</si>
  <si>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</si>
  <si>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</si>
  <si>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</si>
  <si>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</si>
  <si>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</si>
  <si>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</si>
  <si>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</si>
  <si>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</si>
  <si>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</si>
  <si>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</si>
  <si>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</si>
  <si>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</si>
  <si>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</si>
  <si>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</si>
  <si>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</si>
  <si>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</si>
  <si>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</si>
  <si>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</si>
  <si>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</si>
  <si>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</si>
  <si>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</si>
  <si>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</si>
  <si>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</si>
  <si>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</si>
  <si>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</si>
  <si>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</si>
  <si>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</si>
  <si>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</si>
  <si>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</si>
  <si>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</si>
  <si>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</si>
  <si>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</si>
  <si>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</si>
  <si>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</si>
  <si>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</si>
  <si>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</si>
  <si>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</si>
  <si>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</si>
  <si>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</si>
  <si>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</si>
  <si>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</si>
  <si>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</si>
  <si>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</si>
  <si>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</si>
  <si>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</si>
  <si>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</si>
  <si>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</si>
  <si>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</si>
  <si>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</si>
  <si>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</si>
  <si>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</si>
  <si>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</si>
  <si>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</si>
  <si>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</si>
  <si>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</si>
  <si>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</si>
  <si>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</si>
  <si>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</si>
  <si>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</si>
  <si>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</si>
  <si>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</si>
  <si>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</si>
  <si>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</si>
  <si>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</si>
  <si>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</si>
  <si>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</si>
  <si>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</si>
  <si>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</si>
  <si>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</si>
  <si>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</si>
  <si>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</si>
  <si>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</si>
  <si>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</si>
  <si>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</si>
  <si>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</si>
  <si>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</si>
  <si>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</si>
  <si>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</si>
  <si>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</si>
  <si>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</si>
  <si>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</si>
  <si>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</si>
  <si>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</si>
  <si>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</si>
  <si>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</si>
  <si>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</si>
  <si>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</si>
  <si>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</si>
  <si>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</si>
  <si>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</si>
  <si>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</si>
  <si>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</si>
  <si>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</si>
  <si>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</si>
  <si>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</si>
  <si>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</si>
  <si>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</si>
  <si>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</si>
  <si>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</si>
  <si>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</si>
  <si>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</si>
  <si>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</si>
  <si>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</si>
  <si>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</si>
  <si>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</si>
  <si>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</si>
  <si>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</si>
  <si>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</si>
  <si>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</si>
  <si>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</si>
  <si>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</si>
  <si>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</si>
  <si>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</si>
  <si>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</si>
  <si>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</si>
  <si>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</si>
  <si>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</si>
  <si>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</si>
  <si>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</si>
  <si>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</si>
  <si>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</si>
  <si>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</si>
  <si>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</si>
  <si>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</si>
  <si>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</si>
  <si>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</si>
  <si>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</si>
  <si>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</si>
  <si>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</si>
  <si>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</si>
  <si>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</si>
  <si>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</si>
  <si>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</si>
  <si>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</si>
  <si>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</si>
  <si>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</si>
  <si>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</si>
  <si>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</si>
  <si>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</si>
  <si>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</si>
  <si>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</si>
  <si>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</si>
  <si>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</si>
  <si>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</si>
  <si>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</si>
  <si>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</si>
  <si>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</si>
  <si>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</si>
  <si>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</si>
  <si>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</si>
  <si>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</si>
  <si>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</si>
  <si>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</si>
  <si>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</si>
  <si>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</si>
  <si>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</si>
  <si>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</si>
  <si>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</si>
  <si>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</si>
  <si>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</si>
  <si>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</si>
  <si>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</si>
  <si>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</si>
  <si>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</si>
  <si>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</si>
  <si>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</si>
  <si>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</si>
  <si>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</si>
  <si>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</si>
  <si>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</si>
  <si>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</si>
  <si>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</si>
  <si>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</si>
  <si>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</si>
  <si>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</si>
  <si>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</si>
  <si>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</si>
  <si>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</si>
  <si>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</si>
  <si>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</si>
  <si>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</si>
  <si>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</si>
  <si>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</si>
  <si>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</si>
  <si>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</si>
  <si>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</si>
  <si>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</si>
  <si>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</si>
  <si>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</si>
  <si>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</si>
  <si>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</si>
  <si>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</si>
  <si>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</si>
  <si>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</si>
  <si>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</si>
  <si>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</si>
  <si>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</si>
  <si>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</si>
  <si>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</si>
  <si>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</si>
  <si>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</si>
  <si>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</si>
  <si>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</si>
  <si>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</si>
  <si>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</si>
  <si>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</si>
  <si>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</si>
  <si>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</si>
  <si>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</si>
  <si>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</si>
  <si>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</si>
  <si>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</si>
  <si>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</si>
  <si>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</si>
  <si>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</si>
  <si>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</si>
  <si>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</si>
  <si>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</si>
  <si>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</si>
  <si>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</si>
  <si>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</si>
  <si>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</si>
  <si>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</si>
  <si>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</si>
  <si>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</si>
  <si>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</si>
  <si>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</si>
  <si>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</si>
  <si>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</si>
  <si>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</si>
  <si>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</si>
  <si>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</si>
  <si>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</si>
  <si>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</si>
  <si>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</si>
  <si>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</si>
  <si>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</si>
  <si>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</si>
  <si>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</si>
  <si>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</si>
  <si>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</si>
  <si>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</si>
  <si>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</si>
  <si>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</si>
  <si>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</si>
  <si>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</si>
  <si>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</si>
  <si>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</si>
  <si>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</si>
  <si>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</si>
  <si>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</si>
  <si>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</si>
  <si>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</si>
  <si>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</si>
  <si>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</si>
  <si>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</si>
  <si>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</si>
  <si>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</si>
  <si>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</si>
  <si>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</si>
  <si>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</si>
  <si>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</si>
  <si>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</si>
  <si>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</si>
  <si>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</si>
  <si>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</si>
  <si>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</si>
  <si>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</si>
  <si>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</si>
  <si>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</si>
  <si>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</si>
  <si>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</si>
  <si>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</si>
  <si>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</si>
  <si>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</si>
  <si>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</si>
  <si>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</si>
  <si>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</si>
  <si>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</si>
  <si>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</si>
  <si>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</si>
  <si>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</si>
  <si>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</si>
  <si>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</si>
  <si>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</si>
  <si>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</si>
  <si>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</si>
  <si>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</si>
  <si>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</si>
  <si>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</si>
  <si>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</si>
  <si>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</si>
  <si>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</si>
  <si>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</si>
  <si>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</si>
  <si>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</si>
  <si>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</si>
  <si>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</si>
  <si>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</si>
  <si>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</si>
  <si>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</si>
  <si>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</si>
  <si>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</si>
  <si>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</si>
  <si>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</si>
  <si>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</si>
  <si>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</si>
  <si>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</si>
  <si>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</si>
  <si>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</si>
  <si>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</si>
  <si>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</si>
  <si>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</si>
  <si>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</si>
  <si>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</si>
  <si>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</si>
  <si>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</si>
  <si>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</si>
  <si>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</si>
  <si>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</si>
  <si>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</si>
  <si>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</si>
  <si>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</si>
  <si>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</si>
  <si>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</si>
  <si>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</si>
  <si>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</si>
  <si>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</si>
  <si>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</si>
  <si>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</si>
  <si>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</si>
  <si>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</si>
  <si>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</si>
  <si>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</si>
  <si>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</si>
  <si>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</si>
  <si>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</si>
  <si>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</si>
  <si>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</si>
  <si>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</si>
  <si>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</si>
  <si>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</si>
  <si>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</si>
  <si>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</si>
  <si>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</si>
  <si>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</si>
  <si>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</si>
  <si>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</si>
  <si>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</si>
  <si>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</si>
  <si>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</si>
  <si>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</si>
  <si>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</si>
  <si>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</si>
  <si>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</si>
  <si>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</si>
  <si>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</si>
  <si>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</si>
  <si>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</si>
  <si>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</si>
  <si>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</si>
  <si>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</si>
  <si>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</si>
  <si>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</si>
  <si>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</si>
  <si>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</si>
  <si>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</si>
  <si>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</si>
  <si>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</si>
  <si>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</si>
  <si>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</si>
  <si>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</si>
  <si>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</si>
  <si>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</si>
  <si>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</si>
  <si>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</si>
  <si>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</si>
  <si>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</si>
  <si>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</si>
  <si>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</si>
  <si>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</si>
  <si>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</si>
  <si>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</si>
  <si>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</si>
  <si>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</si>
  <si>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</si>
  <si>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</si>
  <si>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</si>
  <si>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</si>
  <si>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</si>
  <si>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</si>
  <si>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</si>
  <si>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</si>
  <si>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</si>
  <si>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</si>
  <si>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</si>
  <si>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</si>
  <si>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</si>
  <si>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</si>
  <si>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</si>
  <si>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</si>
  <si>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</si>
  <si>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</si>
  <si>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</si>
  <si>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</si>
  <si>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</si>
  <si>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</si>
  <si>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</si>
  <si>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</si>
  <si>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</si>
  <si>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</si>
  <si>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</si>
  <si>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</si>
  <si>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</si>
  <si>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</si>
  <si>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</si>
  <si>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</si>
  <si>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</si>
  <si>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</si>
  <si>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</si>
  <si>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</si>
  <si>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</si>
  <si>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</si>
  <si>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</si>
  <si>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</si>
  <si>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</si>
  <si>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</si>
  <si>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</si>
  <si>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</si>
  <si>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</si>
  <si>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</si>
  <si>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</si>
  <si>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</si>
  <si>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</si>
  <si>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</si>
  <si>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</si>
  <si>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</si>
  <si>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</si>
  <si>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</si>
  <si>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</si>
  <si>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</si>
  <si>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</si>
  <si>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</si>
  <si>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</si>
  <si>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</si>
  <si>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</si>
  <si>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</si>
  <si>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</si>
  <si>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</si>
  <si>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</si>
  <si>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</si>
  <si>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</si>
  <si>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</si>
  <si>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</si>
  <si>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</si>
  <si>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</si>
  <si>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</si>
  <si>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</si>
  <si>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</si>
  <si>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</si>
  <si>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</si>
  <si>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</si>
  <si>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</si>
  <si>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</si>
  <si>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</si>
  <si>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</si>
  <si>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</si>
  <si>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</si>
  <si>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</si>
  <si>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</si>
  <si>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</si>
  <si>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</si>
  <si>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</si>
  <si>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</si>
  <si>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</si>
  <si>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</si>
  <si>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</si>
  <si>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</si>
  <si>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</si>
  <si>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</si>
  <si>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</si>
  <si>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</si>
  <si>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</si>
  <si>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</si>
  <si>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</si>
  <si>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</si>
  <si>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</si>
  <si>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</si>
  <si>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</si>
  <si>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</si>
  <si>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</si>
  <si>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</si>
  <si>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</si>
  <si>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</si>
  <si>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</si>
  <si>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</si>
  <si>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</si>
  <si>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</si>
  <si>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</si>
  <si>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</si>
  <si>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</si>
  <si>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</si>
  <si>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</si>
  <si>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</si>
  <si>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</si>
  <si>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</si>
  <si>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</si>
  <si>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</si>
  <si>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</si>
  <si>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</si>
  <si>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</si>
  <si>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</si>
  <si>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</si>
  <si>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</si>
  <si>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</si>
  <si>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</si>
  <si>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</si>
  <si>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</si>
  <si>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</si>
  <si>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</si>
  <si>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</si>
  <si>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</si>
  <si>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</si>
  <si>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</si>
  <si>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</si>
  <si>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</si>
  <si>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</si>
  <si>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</si>
  <si>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</si>
  <si>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</si>
  <si>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</si>
  <si>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</si>
  <si>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</si>
  <si>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</si>
  <si>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</si>
  <si>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</si>
  <si>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</si>
  <si>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</si>
  <si>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</si>
  <si>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</si>
  <si>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</si>
  <si>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</si>
  <si>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</si>
  <si>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</si>
  <si>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</si>
  <si>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</si>
  <si>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</si>
  <si>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</si>
  <si>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</si>
  <si>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</si>
  <si>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</si>
  <si>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</si>
  <si>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</si>
  <si>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</si>
  <si>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</si>
  <si>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</si>
  <si>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</si>
  <si>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</si>
  <si>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</si>
  <si>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</si>
  <si>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</si>
  <si>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</si>
  <si>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</si>
  <si>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</si>
  <si>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</si>
  <si>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</si>
  <si>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</si>
  <si>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</si>
  <si>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</si>
  <si>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</si>
  <si>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</si>
  <si>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</si>
  <si>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</si>
  <si>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</si>
  <si>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</si>
  <si>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</si>
  <si>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</si>
  <si>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</si>
  <si>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</si>
  <si>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</si>
  <si>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</si>
  <si>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</si>
  <si>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</si>
  <si>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</si>
  <si>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</si>
  <si>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</si>
  <si>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</si>
  <si>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</si>
  <si>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</si>
  <si>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</si>
  <si>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</si>
  <si>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</si>
  <si>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</si>
  <si>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</si>
  <si>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</si>
  <si>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</si>
  <si>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</si>
  <si>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</si>
  <si>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</si>
  <si>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</si>
  <si>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</si>
  <si>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</si>
  <si>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</si>
  <si>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</si>
  <si>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</si>
  <si>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</si>
  <si>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</si>
  <si>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</si>
  <si>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</si>
  <si>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</si>
  <si>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</si>
  <si>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</si>
  <si>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</si>
  <si>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</si>
  <si>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</si>
  <si>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</si>
  <si>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</si>
  <si>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</si>
  <si>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</si>
  <si>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</si>
  <si>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</si>
  <si>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</si>
  <si>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</si>
  <si>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</si>
  <si>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</si>
  <si>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</si>
  <si>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</si>
  <si>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</si>
  <si>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</si>
  <si>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</si>
  <si>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</si>
  <si>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</si>
  <si>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</si>
  <si>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</si>
  <si>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</si>
  <si>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</si>
  <si>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</si>
  <si>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</si>
  <si>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</si>
  <si>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</si>
  <si>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</si>
  <si>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</si>
  <si>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</si>
  <si>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</si>
  <si>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</si>
  <si>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</si>
  <si>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</si>
  <si>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</si>
  <si>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</si>
  <si>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</si>
  <si>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</si>
  <si>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</si>
  <si>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</si>
  <si>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</si>
  <si>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</si>
  <si>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</si>
  <si>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</si>
  <si>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</si>
  <si>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</si>
  <si>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</si>
  <si>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</si>
  <si>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</si>
  <si>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</si>
  <si>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</si>
  <si>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</si>
  <si>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</si>
  <si>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</si>
  <si>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</si>
  <si>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</si>
  <si>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</si>
  <si>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</si>
  <si>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</si>
  <si>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</si>
  <si>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</si>
  <si>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</si>
  <si>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</si>
  <si>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</si>
  <si>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</si>
  <si>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</si>
  <si>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</si>
  <si>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</si>
  <si>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</si>
  <si>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</si>
  <si>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</si>
  <si>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</si>
  <si>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</si>
  <si>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</si>
  <si>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</si>
  <si>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</si>
  <si>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</si>
  <si>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</si>
  <si>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</si>
  <si>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</si>
  <si>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</si>
  <si>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</si>
  <si>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</si>
  <si>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</si>
  <si>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</si>
  <si>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</si>
  <si>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</si>
  <si>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</si>
  <si>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</si>
  <si>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</si>
  <si>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</si>
  <si>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</si>
  <si>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</si>
  <si>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</si>
  <si>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</si>
  <si>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</si>
  <si>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</si>
  <si>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</si>
  <si>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</si>
  <si>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</si>
  <si>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</si>
  <si>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</si>
  <si>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</si>
  <si>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</si>
  <si>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</si>
  <si>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</si>
  <si>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</si>
  <si>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</si>
  <si>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</si>
  <si>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</si>
  <si>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</si>
  <si>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</si>
  <si>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</si>
  <si>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</si>
  <si>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</si>
  <si>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</si>
  <si>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</si>
  <si>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</si>
  <si>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</si>
  <si>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</si>
  <si>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</si>
  <si>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</si>
  <si>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</si>
  <si>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</si>
  <si>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</si>
  <si>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</si>
  <si>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</si>
  <si>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</si>
  <si>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</si>
  <si>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</si>
  <si>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</si>
  <si>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</si>
  <si>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</si>
  <si>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</si>
  <si>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</si>
  <si>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</si>
  <si>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</si>
  <si>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</si>
  <si>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</si>
  <si>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</si>
  <si>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</si>
  <si>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</si>
  <si>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</si>
  <si>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</si>
  <si>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</si>
  <si>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</si>
  <si>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</si>
  <si>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</si>
  <si>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</si>
  <si>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</si>
  <si>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</si>
  <si>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</si>
  <si>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</si>
  <si>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</si>
  <si>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</si>
  <si>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</si>
  <si>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</si>
  <si>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</si>
  <si>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</si>
  <si>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</si>
  <si>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</si>
  <si>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</si>
  <si>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</si>
  <si>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</si>
  <si>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</si>
  <si>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</si>
  <si>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</si>
  <si>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</si>
  <si>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</si>
  <si>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</si>
  <si>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</si>
  <si>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</si>
  <si>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</si>
  <si>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</si>
  <si>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</si>
  <si>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</si>
  <si>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</si>
  <si>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</si>
  <si>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</si>
  <si>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</si>
  <si>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</si>
  <si>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</si>
  <si>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</si>
  <si>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</si>
  <si>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</si>
  <si>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</si>
  <si>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</si>
  <si>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</si>
  <si>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</si>
  <si>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</si>
  <si>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</si>
  <si>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</si>
  <si>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</si>
  <si>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</si>
  <si>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</si>
  <si>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</si>
  <si>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</si>
  <si>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</si>
  <si>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</si>
  <si>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</si>
  <si>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</si>
  <si>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</si>
  <si>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</si>
  <si>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</si>
  <si>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</si>
  <si>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</si>
  <si>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</si>
  <si>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</si>
  <si>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</si>
  <si>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</si>
  <si>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</si>
  <si>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</si>
  <si>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</si>
  <si>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</si>
  <si>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</si>
  <si>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</si>
  <si>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</si>
  <si>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</si>
  <si>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</si>
  <si>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</si>
  <si>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</si>
  <si>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</si>
  <si>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</si>
  <si>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</si>
  <si>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</si>
  <si>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</si>
  <si>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</si>
  <si>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</si>
  <si>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</si>
  <si>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</si>
  <si>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</si>
  <si>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</si>
  <si>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</si>
  <si>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</si>
  <si>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</si>
  <si>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</si>
  <si>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</si>
  <si>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</si>
  <si>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</si>
  <si>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</si>
  <si>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</si>
  <si>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</si>
  <si>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</si>
  <si>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</si>
  <si>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</si>
  <si>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</si>
  <si>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</si>
  <si>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</si>
  <si>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</si>
  <si>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</si>
  <si>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</si>
  <si>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</si>
  <si>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</si>
  <si>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</si>
  <si>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</si>
  <si>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</si>
  <si>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</si>
  <si>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</si>
  <si>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</si>
  <si>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</si>
  <si>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</si>
  <si>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</si>
  <si>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</si>
  <si>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</si>
  <si>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</si>
  <si>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</si>
  <si>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</si>
  <si>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</si>
  <si>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</si>
  <si>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</si>
  <si>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</si>
  <si>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</si>
  <si>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</si>
  <si>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</si>
  <si>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</si>
  <si>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</si>
  <si>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</si>
  <si>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</si>
  <si>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</si>
  <si>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</si>
  <si>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</si>
  <si>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</si>
  <si>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</si>
  <si>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</si>
  <si>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</si>
  <si>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</si>
  <si>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</si>
  <si>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</si>
  <si>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</si>
  <si>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</si>
  <si>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</si>
  <si>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</si>
  <si>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</si>
  <si>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</si>
  <si>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</si>
  <si>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</si>
  <si>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</si>
  <si>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</si>
  <si>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</si>
  <si>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</si>
  <si>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</si>
  <si>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</si>
  <si>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</si>
  <si>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</si>
  <si>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</si>
  <si>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</si>
  <si>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</si>
  <si>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</si>
  <si>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</si>
  <si>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</si>
  <si>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</si>
  <si>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</si>
  <si>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</si>
  <si>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</si>
  <si>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</si>
  <si>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</si>
  <si>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</si>
  <si>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</si>
  <si>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</si>
  <si>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</si>
  <si>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</si>
  <si>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</si>
  <si>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</si>
  <si>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</si>
  <si>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</si>
  <si>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</si>
  <si>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</si>
  <si>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</si>
  <si>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</si>
  <si>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</si>
  <si>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</si>
  <si>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</si>
  <si>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</si>
  <si>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</si>
  <si>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</si>
  <si>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</si>
  <si>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</si>
  <si>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</si>
  <si>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</si>
  <si>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</si>
  <si>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</si>
  <si>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</si>
  <si>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</si>
  <si>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</si>
  <si>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</si>
  <si>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</si>
  <si>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</si>
  <si>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</si>
  <si>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</si>
  <si>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</si>
  <si>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</si>
  <si>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</si>
  <si>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</si>
  <si>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</si>
  <si>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</si>
  <si>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</si>
  <si>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</si>
  <si>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</si>
  <si>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</si>
  <si>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</si>
  <si>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</si>
  <si>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</si>
  <si>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</si>
  <si>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</si>
  <si>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</si>
  <si>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</si>
  <si>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</si>
  <si>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</si>
  <si>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</si>
  <si>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</si>
  <si>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</si>
  <si>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</si>
  <si>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</si>
  <si>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</si>
  <si>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</si>
  <si>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</si>
  <si>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</si>
  <si>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</si>
  <si>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</si>
  <si>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</si>
  <si>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</si>
  <si>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</si>
  <si>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</si>
  <si>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</si>
  <si>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</si>
  <si>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</si>
  <si>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</si>
  <si>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</si>
  <si>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</si>
  <si>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</si>
  <si>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</si>
  <si>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</si>
  <si>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</si>
  <si>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</si>
  <si>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</si>
  <si>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</si>
  <si>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</si>
  <si>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</si>
  <si>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</si>
  <si>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</si>
  <si>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</si>
  <si>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</si>
  <si>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</si>
  <si>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</si>
  <si>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</si>
  <si>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</si>
  <si>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</si>
  <si>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</si>
  <si>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</si>
  <si>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</si>
  <si>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</si>
  <si>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</si>
  <si>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</si>
  <si>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</si>
  <si>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</si>
  <si>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</si>
  <si>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</si>
  <si>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</si>
  <si>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</si>
  <si>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</si>
  <si>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</si>
  <si>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</si>
  <si>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</si>
  <si>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</si>
  <si>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</si>
  <si>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</si>
  <si>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</si>
  <si>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</si>
  <si>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</si>
  <si>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</si>
  <si>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</si>
  <si>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</si>
  <si>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</si>
  <si>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</si>
  <si>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</si>
  <si>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</si>
  <si>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</si>
  <si>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</si>
  <si>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</si>
  <si>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</si>
  <si>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</si>
  <si>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</si>
  <si>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</si>
  <si>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</si>
  <si>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</si>
  <si>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</si>
  <si>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</si>
  <si>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</si>
  <si>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</si>
  <si>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</si>
  <si>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</si>
  <si>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</si>
  <si>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</si>
  <si>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</si>
  <si>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</si>
  <si>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</si>
  <si>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</si>
  <si>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</si>
  <si>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</si>
  <si>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</si>
  <si>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</si>
  <si>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</si>
  <si>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</si>
  <si>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</si>
  <si>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</si>
  <si>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</si>
  <si>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</si>
  <si>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</si>
  <si>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</si>
  <si>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</si>
  <si>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</si>
  <si>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</si>
  <si>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</si>
  <si>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</si>
  <si>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</si>
  <si>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</si>
  <si>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</si>
  <si>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</si>
  <si>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</si>
  <si>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</si>
  <si>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</si>
  <si>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</si>
  <si>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</si>
  <si>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</si>
  <si>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</si>
  <si>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</si>
  <si>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</si>
  <si>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</si>
  <si>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</si>
  <si>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</si>
  <si>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</si>
  <si>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</si>
  <si>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</si>
  <si>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</si>
  <si>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</si>
  <si>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</si>
  <si>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</si>
  <si>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</si>
  <si>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</si>
  <si>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</si>
  <si>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</si>
  <si>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</si>
  <si>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</si>
  <si>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</si>
  <si>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</si>
  <si>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</si>
  <si>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</si>
  <si>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</si>
  <si>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</si>
  <si>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</si>
  <si>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</si>
  <si>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</si>
  <si>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</si>
  <si>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</si>
  <si>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</si>
  <si>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</si>
  <si>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</si>
  <si>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</si>
  <si>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</si>
  <si>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</si>
  <si>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</si>
  <si>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</si>
  <si>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</si>
  <si>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</si>
  <si>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</si>
  <si>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</si>
  <si>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</si>
  <si>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</si>
  <si>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</si>
  <si>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</si>
  <si>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</si>
  <si>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</si>
  <si>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</si>
  <si>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</si>
  <si>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</si>
  <si>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</si>
  <si>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</si>
  <si>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</si>
  <si>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</si>
  <si>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</si>
  <si>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</si>
  <si>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</si>
  <si>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</si>
  <si>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</si>
  <si>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</si>
  <si>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</si>
  <si>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</si>
  <si>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</si>
  <si>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</si>
  <si>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</si>
  <si>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</si>
  <si>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</si>
  <si>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</si>
  <si>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</si>
  <si>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</si>
  <si>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</si>
  <si>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</si>
  <si>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</si>
  <si>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</si>
  <si>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</si>
  <si>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</si>
  <si>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</si>
  <si>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</si>
  <si>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</si>
  <si>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</si>
  <si>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</si>
  <si>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</si>
  <si>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</si>
  <si>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</si>
  <si>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</si>
  <si>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</si>
  <si>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</si>
  <si>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</si>
  <si>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</si>
  <si>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</si>
  <si>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</si>
  <si>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</si>
  <si>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</si>
  <si>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</si>
  <si>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</si>
  <si>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</si>
  <si>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</si>
  <si>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</si>
  <si>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</si>
  <si>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</si>
  <si>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</si>
  <si>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</si>
  <si>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</si>
  <si>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</si>
  <si>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</si>
  <si>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</si>
  <si>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</si>
  <si>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</si>
  <si>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</si>
  <si>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</si>
  <si>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</si>
  <si>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</si>
  <si>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</si>
  <si>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</si>
  <si>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</si>
  <si>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</si>
  <si>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</si>
  <si>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</si>
  <si>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</si>
  <si>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</si>
  <si>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</si>
  <si>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</si>
  <si>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</si>
  <si>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</si>
  <si>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</si>
  <si>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</si>
  <si>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</si>
  <si>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</si>
  <si>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</si>
  <si>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</si>
  <si>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</si>
  <si>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</si>
  <si>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</si>
  <si>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</si>
  <si>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</si>
  <si>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</si>
  <si>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</si>
  <si>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</si>
  <si>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</si>
  <si>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</si>
  <si>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</si>
  <si>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</si>
  <si>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</si>
  <si>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</si>
  <si>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</si>
  <si>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</si>
  <si>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</si>
  <si>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</si>
  <si>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</si>
  <si>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</si>
  <si>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</si>
  <si>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</si>
  <si>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</si>
  <si>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</si>
  <si>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</si>
  <si>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</si>
  <si>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</si>
  <si>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</si>
  <si>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</si>
  <si>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</si>
  <si>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</si>
  <si>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</si>
  <si>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</si>
  <si>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</si>
  <si>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</si>
  <si>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</si>
  <si>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</si>
  <si>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</si>
  <si>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</si>
  <si>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</si>
  <si>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</si>
  <si>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</si>
  <si>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</si>
  <si>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</si>
  <si>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</si>
  <si>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</si>
  <si>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</si>
  <si>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</si>
  <si>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</si>
  <si>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</si>
  <si>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</si>
  <si>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</si>
  <si>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</si>
  <si>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</si>
  <si>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</si>
  <si>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</si>
  <si>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</si>
  <si>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</si>
  <si>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</si>
  <si>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</si>
  <si>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</si>
  <si>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</si>
  <si>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</si>
  <si>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</si>
  <si>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</si>
  <si>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</si>
  <si>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</si>
  <si>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</si>
  <si>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</si>
  <si>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</si>
  <si>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</si>
  <si>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</si>
  <si>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</si>
  <si>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</si>
  <si>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</si>
  <si>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</si>
  <si>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</si>
  <si>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</si>
  <si>
    <t>eb34b7b8af8e9044</t>
  </si>
  <si>
    <t>15_10_2026_DV_Noct.gpx</t>
  </si>
  <si>
    <t>eb34b7b8af8e904464913c097384766186baa0e85b40d49ef5e2528081c3d7f8</t>
  </si>
  <si>
    <t>15/10/2026 17:08:22</t>
  </si>
  <si>
    <t>16/10/2026 00:09:48</t>
  </si>
  <si>
    <t>Inicio GPS anterior al horario: 00:51:38 antes de las 18:00.; Fin GPS dentro de la tolerancia del horario programado.; 1 permanencia(s) GPS detectada(s); requiere contexto.</t>
  </si>
  <si>
    <t>6.231068, -75.601835</t>
  </si>
  <si>
    <t>6.272533, -75.601931</t>
  </si>
  <si>
    <t>167151d2247dc5e4</t>
  </si>
  <si>
    <t>15_10_2026_JA_Noct.gpx</t>
  </si>
  <si>
    <t>167151d2247dc5e442e8bf88091f05a51cec8b09cf58456b6c0ce3df1d8d05e8</t>
  </si>
  <si>
    <t>15/10/2026 16:37:19</t>
  </si>
  <si>
    <t>15/10/2026 21:04:52</t>
  </si>
  <si>
    <t>Inicio GPS anterior al horario: 01:22:41 antes de las 18:00.; Fin GPS anticipado: 02:55:08 antes de las 00:00.</t>
  </si>
  <si>
    <t>6.225831, -75.599080</t>
  </si>
  <si>
    <t>6.236915, -75.558754</t>
  </si>
  <si>
    <t>15/10/2026 23:52:53</t>
  </si>
  <si>
    <t>6.259223, -75.620935</t>
  </si>
  <si>
    <t>89ca1c12a53072a4</t>
  </si>
  <si>
    <t>15_10_2026_LA_Noct.gpx</t>
  </si>
  <si>
    <t>89ca1c12a53072a4adb61143c9654995ac9b86a84cfd8b843f79e1962da0d318</t>
  </si>
  <si>
    <t>15/10/2026 17:07:44</t>
  </si>
  <si>
    <t>16/10/2026 00:03:50</t>
  </si>
  <si>
    <t>Inicio GPS anterior al horario: 00:52:15 antes de las 18:00.; Fin GPS dentro de la tolerancia del horario programado.; 2 hueco(s) GPS &gt;= 10 min.; 1 permanencia(s) GPS detectada(s); requiere contexto.</t>
  </si>
  <si>
    <t>6.226657, -75.599265</t>
  </si>
  <si>
    <t>6.268452, -75.599155</t>
  </si>
  <si>
    <t>084d33977dc47ca5</t>
  </si>
  <si>
    <t>15_10_2026_SJ_Noct.gpx</t>
  </si>
  <si>
    <t>084d33977dc47ca5c2950c7e49f75adb3afde090f824ed835864cb98262222c6</t>
  </si>
  <si>
    <t>15/10/2026 18:26:04</t>
  </si>
  <si>
    <t>15/10/2026 23:47:09</t>
  </si>
  <si>
    <t>Inicio GPS tardío: 00:26:04 después de las 18:00.; Fin GPS dentro de la tolerancia del horario programado.</t>
  </si>
  <si>
    <t>6.222780, -75.598580</t>
  </si>
  <si>
    <t>6.305086, -75.581832</t>
  </si>
  <si>
    <t>f855d1ec6c717787</t>
  </si>
  <si>
    <t>15_10_2026_JO_Noct.gpx</t>
  </si>
  <si>
    <t>f855d1ec6c7177870098c1a2eafb03d551db5067eca67f11d9705d793461248c</t>
  </si>
  <si>
    <t>15/10/2026 18:06:00</t>
  </si>
  <si>
    <t>6.238250, -75.602973</t>
  </si>
  <si>
    <t>63a08f884acccff8</t>
  </si>
  <si>
    <t>16_10_2026_AR_Diur.gpx</t>
  </si>
  <si>
    <t>63a08f884acccff82dc1cf38a3f5cbfd64d78f5f9dc47a4045f5d0b37b98662c</t>
  </si>
  <si>
    <t>16/10/2026</t>
  </si>
  <si>
    <t>16/10/2026 08:38:18</t>
  </si>
  <si>
    <t>16/10/2026 16:13:17</t>
  </si>
  <si>
    <t>6.225667, -75.599477</t>
  </si>
  <si>
    <t>6.228534, -75.577227</t>
  </si>
  <si>
    <t>2a96fa77753f7397</t>
  </si>
  <si>
    <t>16_10_2026_HC_Diur.gpx</t>
  </si>
  <si>
    <t>2a96fa77753f7397ac62e100b34fd859f1048c407d064988f8b5739d73385859</t>
  </si>
  <si>
    <t>16/10/2026 08:28:02</t>
  </si>
  <si>
    <t>16/10/2026 13:47:10</t>
  </si>
  <si>
    <t>Inicio GPS dentro de la tolerancia del horario programado.; Fin GPS anticipado: 02:12:50 antes de las 16:00.; 2 hueco(s) GPS &gt;= 10 min.</t>
  </si>
  <si>
    <t>6.225815, -75.599409</t>
  </si>
  <si>
    <t>6.290298, -75.558482</t>
  </si>
  <si>
    <t>6f5e4ab8829a2de0</t>
  </si>
  <si>
    <t>16_10_2026_JHP_Diur.gpx</t>
  </si>
  <si>
    <t>6f5e4ab8829a2de012b8871a4da8b122c39fae37e26edfc560afb3749c5b9be2</t>
  </si>
  <si>
    <t>16/10/2026 08:05:40</t>
  </si>
  <si>
    <t>16/10/2026 15:54:01</t>
  </si>
  <si>
    <t>Inicio GPS anterior al horario: 00:24:20 antes de las 08:30.; Fin GPS dentro de la tolerancia del horario programado.</t>
  </si>
  <si>
    <t>6.272756, -75.574512</t>
  </si>
  <si>
    <t>6.272789, -75.574416</t>
  </si>
  <si>
    <t>177a38854fe516fc</t>
  </si>
  <si>
    <t>16_10_2026_JP_Diur.gpx</t>
  </si>
  <si>
    <t>177a38854fe516fcf5f13d5ef86dd3fa1afa46189dc4525c0ccbb4dcac5baa8b</t>
  </si>
  <si>
    <t>16/10/2026 07:28:54</t>
  </si>
  <si>
    <t>16/10/2026 14:39:40</t>
  </si>
  <si>
    <t>Inicio GPS anterior al horario: 01:01:06 antes de las 08:30.; Fin GPS anticipado: 01:20:20 antes de las 16:00.</t>
  </si>
  <si>
    <t>6.253973, -75.588213</t>
  </si>
  <si>
    <t>6.251860, -75.551798</t>
  </si>
  <si>
    <t>5af2585f97579082</t>
  </si>
  <si>
    <t>16_10_2026_JZ_Diur.gpx</t>
  </si>
  <si>
    <t>5af2585f975790826052d08a4d4417429b51098e86e8f45b84dbd5721dd94261</t>
  </si>
  <si>
    <t>16/10/2026 08:17:52</t>
  </si>
  <si>
    <t>16/10/2026 15:58:25</t>
  </si>
  <si>
    <t>6.226635, -75.599202</t>
  </si>
  <si>
    <t>6.248627, -75.565271</t>
  </si>
  <si>
    <t>c4058691c0592d43</t>
  </si>
  <si>
    <t>17_10_2026_AR_Diur.gpx</t>
  </si>
  <si>
    <t>c4058691c0592d43d96214182456c8c9c41b88acb7745edcc49ada941f18453b</t>
  </si>
  <si>
    <t>17/10/2026</t>
  </si>
  <si>
    <t>17/10/2026 08:41:07</t>
  </si>
  <si>
    <t>17/10/2026 15:47:11</t>
  </si>
  <si>
    <t>6.247571, -75.614759</t>
  </si>
  <si>
    <t>6.246129, -75.609533</t>
  </si>
  <si>
    <t>22f6e4de52031af7</t>
  </si>
  <si>
    <t>16_10_2026_YL_Diur.gpx</t>
  </si>
  <si>
    <t>22f6e4de52031af7b8fb1e0615805d8b09d771dd35cda74617771c58e7bbcfd0</t>
  </si>
  <si>
    <t>16/10/2026 09:08:57</t>
  </si>
  <si>
    <t>16/10/2026 16:33:50</t>
  </si>
  <si>
    <t>Inicio GPS tardío: 00:38:57 después de las 08:30.; Fin GPS posterior: 00:33:50 después de las 16:00.; 1 hueco(s) GPS &gt;= 10 min.; 1 permanencia(s) GPS detectada(s); requiere contexto.</t>
  </si>
  <si>
    <t>6.225578, -75.599353</t>
  </si>
  <si>
    <t>6.258547, -75.616319</t>
  </si>
  <si>
    <t>7c074dbd9e384ac2</t>
  </si>
  <si>
    <t>16_10_2026_DR_Noct.gpx</t>
  </si>
  <si>
    <t>7c074dbd9e384ac2704dcdb53850e149f544807397a5646b4de4a20a68665fd1</t>
  </si>
  <si>
    <t>16/10/2026 18:33:45</t>
  </si>
  <si>
    <t>16/10/2026 23:21:03</t>
  </si>
  <si>
    <t>Inicio GPS tardío: 00:33:45 después de las 18:00.; Fin GPS anticipado: 00:38:57 antes de las 00:00.</t>
  </si>
  <si>
    <t>6.253186, -75.609389</t>
  </si>
  <si>
    <t>6.245612, -75.616992</t>
  </si>
  <si>
    <t>6f92dbbc23f7c69c</t>
  </si>
  <si>
    <t>16_10_2026_DV_Noct.gpx</t>
  </si>
  <si>
    <t>6f92dbbc23f7c69c6755e4b69b42369fe402dcf27036a58c3a5aa72586329d8a</t>
  </si>
  <si>
    <t>16/10/2026 17:45:31</t>
  </si>
  <si>
    <t>17/10/2026 00:09:12</t>
  </si>
  <si>
    <t>6.272485, -75.602200</t>
  </si>
  <si>
    <t>6.273327, -75.602161</t>
  </si>
  <si>
    <t>21f0c25e11476e13</t>
  </si>
  <si>
    <t>16_10_2026_IQ_Noct.gpx</t>
  </si>
  <si>
    <t>21f0c25e11476e13ffdb71147d0dffbd71108a40e47be43f503225d0fc174850</t>
  </si>
  <si>
    <t>16/10/2026 16:12:39</t>
  </si>
  <si>
    <t>16/10/2026 23:53:36</t>
  </si>
  <si>
    <t>Inicio GPS anterior al horario: 01:47:21 antes de las 18:00.; Fin GPS dentro de la tolerancia del horario programado.; 3 hueco(s) GPS &gt;= 10 min.</t>
  </si>
  <si>
    <t>6.274655, -75.540585</t>
  </si>
  <si>
    <t>6.252734, -75.556586</t>
  </si>
  <si>
    <t>438543b52fd9adbe</t>
  </si>
  <si>
    <t>16_10_2026_JA_Noct.gpx</t>
  </si>
  <si>
    <t>438543b52fd9adbe1580bd49cb5fe4a808fc432af83bd0c976f25ebccbfb161a</t>
  </si>
  <si>
    <t>16/10/2026 17:55:44</t>
  </si>
  <si>
    <t>16/10/2026 22:56:50</t>
  </si>
  <si>
    <t>Inicio GPS dentro de la tolerancia del horario programado.; Fin GPS anticipado: 01:03:10 antes de las 00:00.; 2 hueco(s) GPS &gt;= 10 min.; 1 permanencia(s) GPS detectada(s); requiere contexto.</t>
  </si>
  <si>
    <t>6.238265, -75.560160</t>
  </si>
  <si>
    <t>6.237090, -75.558795</t>
  </si>
  <si>
    <t>3a7a54da018aa3d8</t>
  </si>
  <si>
    <t>16_10_2026_JO_Noct.gpx</t>
  </si>
  <si>
    <t>3a7a54da018aa3d89116d4fe2e48e4fcd307d0cd9499396df427e651a6839750</t>
  </si>
  <si>
    <t>16/10/2026 18:13:38</t>
  </si>
  <si>
    <t>16/10/2026 23:53:06</t>
  </si>
  <si>
    <t>6.246878, -75.554066</t>
  </si>
  <si>
    <t>6.255427, -75.620604</t>
  </si>
  <si>
    <t>eb33a0ccdae538c5</t>
  </si>
  <si>
    <t>16_10_2026_LA_Noct.gpx</t>
  </si>
  <si>
    <t>eb33a0ccdae538c572e4bb01770f3dfc4d3e72d8f0428a65a3305a5df572e66d</t>
  </si>
  <si>
    <t>16/10/2026 17:49:23</t>
  </si>
  <si>
    <t>17/10/2026 00:23:46</t>
  </si>
  <si>
    <t>Inicio GPS dentro de la tolerancia del horario programado.; Fin GPS posterior: 00:23:47 después de las 00:00.; 1 hueco(s) GPS &gt;= 10 min.; 1 permanencia(s) GPS detectada(s); requiere contexto.</t>
  </si>
  <si>
    <t>6.267497, -75.598057</t>
  </si>
  <si>
    <t>6.279607, -75.570877</t>
  </si>
  <si>
    <t>020ac8ab1766c678</t>
  </si>
  <si>
    <t>16_10_2026_SJ_Noct.gpx</t>
  </si>
  <si>
    <t>020ac8ab1766c678a13dad4711a2861157e196dea630c0b76b610e97b90dd14e</t>
  </si>
  <si>
    <t>16/10/2026 18:09:24</t>
  </si>
  <si>
    <t>17/10/2026 00:18:04</t>
  </si>
  <si>
    <t>Inicio GPS dentro de la tolerancia del horario programado.; Fin GPS posterior: 00:18:04 después de las 00:00.</t>
  </si>
  <si>
    <t>6.306048, -75.581989</t>
  </si>
  <si>
    <t>6.306526, -75.581994</t>
  </si>
  <si>
    <t>5956d5b459e20741</t>
  </si>
  <si>
    <t>17_10_2026_JP_Noct.gpx</t>
  </si>
  <si>
    <t>5956d5b459e207417071618d368df2958d1d67c26020166a18cc9938ac7f6d66</t>
  </si>
  <si>
    <t>17/10/2026 18:06:54</t>
  </si>
  <si>
    <t>17/10/2026 23:28:39</t>
  </si>
  <si>
    <t>Inicio GPS dentro de la tolerancia del horario programado.; Fin GPS anticipado: 00:31:21 antes de las 00:00.; Sábado nocturno: verificar técnico asignado.</t>
  </si>
  <si>
    <t>6.251703, -75.551667</t>
  </si>
  <si>
    <t>6.310818, -75.566105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</si>
</sst>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3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2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7">
      <pivotArea outline="0" collapsedLevelsAreSubtotals="1" fieldPosition="0"/>
    </format>
    <format dxfId="16">
      <pivotArea field="6" type="button" dataOnly="0" labelOnly="1" outline="0" axis="axisRow" fieldPosition="0"/>
    </format>
    <format dxfId="1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4">
      <pivotArea dataOnly="0" labelOnly="1" grandRow="1" outline="0" fieldPosition="0"/>
    </format>
    <format dxfId="13">
      <pivotArea dataOnly="0" labelOnly="1" fieldPosition="0">
        <references count="1">
          <reference field="17" count="0"/>
        </references>
      </pivotArea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17" count="0"/>
        </references>
      </pivotArea>
    </format>
    <format dxfId="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grandCol="1" outline="0" fieldPosition="0"/>
    </format>
    <format dxfId="23">
      <pivotArea outline="0" collapsedLevelsAreSubtotals="1" fieldPosition="0"/>
    </format>
    <format dxfId="22">
      <pivotArea field="6" type="button" dataOnly="0" labelOnly="1" outline="0" axis="axisRow" fieldPosition="0"/>
    </format>
    <format dxfId="2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0">
      <pivotArea dataOnly="0" labelOnly="1" grandRow="1" outline="0" fieldPosition="0"/>
    </format>
    <format dxfId="1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2" totalsRowShown="0" headerRowDxfId="72" dataDxfId="71">
  <autoFilter ref="A1:AF1048562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67"/>
  <sheetViews>
    <sheetView tabSelected="1" zoomScale="80" zoomScaleNormal="80" workbookViewId="0">
      <pane ySplit="1" topLeftCell="A448" activePane="bottomLeft" state="frozen"/>
      <selection pane="bottomLeft" activeCell="AN470" sqref="AN470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53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  <row r="448" spans="1:40" ht="15" x14ac:dyDescent="0.25">
      <c r="A448" s="9" t="s">
        <v>3697</v>
      </c>
      <c r="B448" s="9" t="s">
        <v>3698</v>
      </c>
      <c r="C448" s="9" t="s">
        <v>3699</v>
      </c>
      <c r="D448" s="9" t="s">
        <v>3629</v>
      </c>
      <c r="E448" s="9" t="s">
        <v>2619</v>
      </c>
      <c r="F448" s="9" t="s">
        <v>315</v>
      </c>
      <c r="G448" s="9" t="s">
        <v>124</v>
      </c>
      <c r="H448" s="9" t="s">
        <v>125</v>
      </c>
      <c r="I448" s="9" t="s">
        <v>115</v>
      </c>
      <c r="J448" s="9">
        <v>4583</v>
      </c>
      <c r="K448" s="9" t="s">
        <v>3700</v>
      </c>
      <c r="L448" s="9" t="s">
        <v>117</v>
      </c>
      <c r="M448" s="10">
        <v>3.5856481481481482E-2</v>
      </c>
      <c r="N448" s="9" t="s">
        <v>127</v>
      </c>
      <c r="O448" s="9" t="s">
        <v>3701</v>
      </c>
      <c r="P448" s="9" t="s">
        <v>119</v>
      </c>
      <c r="Q448" s="10">
        <v>6.8055555555555551E-3</v>
      </c>
      <c r="R448" s="9" t="s">
        <v>46</v>
      </c>
      <c r="S448" s="10">
        <v>0.29266203703703703</v>
      </c>
      <c r="T448" s="9">
        <v>57.735999999999997</v>
      </c>
      <c r="U448" s="9">
        <v>11.68</v>
      </c>
      <c r="V448" s="10">
        <v>0.20599537037037041</v>
      </c>
      <c r="W448" s="10">
        <v>7.8113425925925919E-2</v>
      </c>
      <c r="X448" s="10">
        <v>8.9004629629629625E-3</v>
      </c>
      <c r="Y448" s="9">
        <v>1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 t="s">
        <v>139</v>
      </c>
      <c r="AF448" s="9" t="s">
        <v>3702</v>
      </c>
      <c r="AG448" s="9" t="s">
        <v>3703</v>
      </c>
      <c r="AH448" s="9">
        <v>6.2310679999999996</v>
      </c>
      <c r="AI448" s="9">
        <v>-75.601834999999994</v>
      </c>
      <c r="AJ448" s="9" t="s">
        <v>3704</v>
      </c>
      <c r="AK448" s="9">
        <v>6.2725330000000001</v>
      </c>
      <c r="AL448" s="9">
        <v>-75.601930999999993</v>
      </c>
      <c r="AM448" s="26">
        <f t="shared" si="7"/>
        <v>0</v>
      </c>
    </row>
    <row r="449" spans="1:39" ht="15" x14ac:dyDescent="0.25">
      <c r="A449" s="9" t="s">
        <v>3705</v>
      </c>
      <c r="B449" s="9" t="s">
        <v>3706</v>
      </c>
      <c r="C449" s="9" t="s">
        <v>3707</v>
      </c>
      <c r="D449" s="9" t="s">
        <v>3629</v>
      </c>
      <c r="E449" s="9" t="s">
        <v>2619</v>
      </c>
      <c r="F449" s="9" t="s">
        <v>315</v>
      </c>
      <c r="G449" s="9" t="s">
        <v>72</v>
      </c>
      <c r="H449" s="9" t="s">
        <v>73</v>
      </c>
      <c r="I449" s="9" t="s">
        <v>115</v>
      </c>
      <c r="J449" s="9">
        <v>2268</v>
      </c>
      <c r="K449" s="9" t="s">
        <v>3708</v>
      </c>
      <c r="L449" s="9" t="s">
        <v>117</v>
      </c>
      <c r="M449" s="10">
        <v>5.7418981481481481E-2</v>
      </c>
      <c r="N449" s="9" t="s">
        <v>127</v>
      </c>
      <c r="O449" s="9" t="s">
        <v>3709</v>
      </c>
      <c r="P449" s="9" t="s">
        <v>119</v>
      </c>
      <c r="Q449" s="10">
        <v>0.12162037037037041</v>
      </c>
      <c r="R449" s="9" t="s">
        <v>56</v>
      </c>
      <c r="S449" s="10">
        <v>0.18579861111111109</v>
      </c>
      <c r="T449" s="9">
        <v>31.108000000000001</v>
      </c>
      <c r="U449" s="9">
        <v>9.2899999999999991</v>
      </c>
      <c r="V449" s="10">
        <v>0.13958333333333331</v>
      </c>
      <c r="W449" s="10">
        <v>9.7025462962962966E-2</v>
      </c>
      <c r="X449" s="10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 t="s">
        <v>139</v>
      </c>
      <c r="AF449" s="9" t="s">
        <v>3710</v>
      </c>
      <c r="AG449" s="9" t="s">
        <v>3711</v>
      </c>
      <c r="AH449" s="9">
        <v>6.2258310000000003</v>
      </c>
      <c r="AI449" s="9">
        <v>-75.599080000000001</v>
      </c>
      <c r="AJ449" s="9" t="s">
        <v>3712</v>
      </c>
      <c r="AK449" s="9">
        <v>6.2369149999999998</v>
      </c>
      <c r="AL449" s="9">
        <v>-75.558753999999993</v>
      </c>
      <c r="AM449" s="27">
        <f t="shared" si="7"/>
        <v>0.12162037037037041</v>
      </c>
    </row>
    <row r="450" spans="1:39" ht="15" x14ac:dyDescent="0.25">
      <c r="A450" s="9" t="s">
        <v>3715</v>
      </c>
      <c r="B450" s="9" t="s">
        <v>3716</v>
      </c>
      <c r="C450" s="9" t="s">
        <v>3717</v>
      </c>
      <c r="D450" s="9" t="s">
        <v>3629</v>
      </c>
      <c r="E450" s="9" t="s">
        <v>2619</v>
      </c>
      <c r="F450" s="9" t="s">
        <v>315</v>
      </c>
      <c r="G450" s="9" t="s">
        <v>160</v>
      </c>
      <c r="H450" s="9" t="s">
        <v>161</v>
      </c>
      <c r="I450" s="9" t="s">
        <v>115</v>
      </c>
      <c r="J450" s="9">
        <v>10573</v>
      </c>
      <c r="K450" s="9" t="s">
        <v>3718</v>
      </c>
      <c r="L450" s="9" t="s">
        <v>117</v>
      </c>
      <c r="M450" s="10">
        <v>3.6288692129629631E-2</v>
      </c>
      <c r="N450" s="9" t="s">
        <v>127</v>
      </c>
      <c r="O450" s="9" t="s">
        <v>3719</v>
      </c>
      <c r="P450" s="9" t="s">
        <v>119</v>
      </c>
      <c r="Q450" s="10">
        <v>2.6696643518518519E-3</v>
      </c>
      <c r="R450" s="9" t="s">
        <v>46</v>
      </c>
      <c r="S450" s="10">
        <v>0.28895835648148149</v>
      </c>
      <c r="T450" s="9">
        <v>53.040999999999997</v>
      </c>
      <c r="U450" s="9">
        <v>12.73</v>
      </c>
      <c r="V450" s="10">
        <v>0.1736332986111111</v>
      </c>
      <c r="W450" s="10">
        <v>0.12728898148148149</v>
      </c>
      <c r="X450" s="10">
        <v>4.0856597222222223E-3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2</v>
      </c>
      <c r="AE450" s="9" t="s">
        <v>139</v>
      </c>
      <c r="AF450" s="9" t="s">
        <v>3720</v>
      </c>
      <c r="AG450" s="9" t="s">
        <v>3721</v>
      </c>
      <c r="AH450" s="9">
        <v>6.2266570000000003</v>
      </c>
      <c r="AI450" s="9">
        <v>-75.599265000000003</v>
      </c>
      <c r="AJ450" s="9" t="s">
        <v>3722</v>
      </c>
      <c r="AK450" s="9">
        <v>6.2684519999999999</v>
      </c>
      <c r="AL450" s="9">
        <v>-75.599154999999996</v>
      </c>
      <c r="AM450" s="26">
        <f t="shared" si="7"/>
        <v>0</v>
      </c>
    </row>
    <row r="451" spans="1:39" ht="15" x14ac:dyDescent="0.25">
      <c r="A451" s="9" t="s">
        <v>3723</v>
      </c>
      <c r="B451" s="9" t="s">
        <v>3724</v>
      </c>
      <c r="C451" s="9" t="s">
        <v>3725</v>
      </c>
      <c r="D451" s="9" t="s">
        <v>3629</v>
      </c>
      <c r="E451" s="9" t="s">
        <v>2619</v>
      </c>
      <c r="F451" s="9" t="s">
        <v>315</v>
      </c>
      <c r="G451" s="9" t="s">
        <v>97</v>
      </c>
      <c r="H451" s="9" t="s">
        <v>98</v>
      </c>
      <c r="I451" s="9" t="s">
        <v>115</v>
      </c>
      <c r="J451" s="9">
        <v>1713</v>
      </c>
      <c r="K451" s="9" t="s">
        <v>3726</v>
      </c>
      <c r="L451" s="9" t="s">
        <v>117</v>
      </c>
      <c r="M451" s="10">
        <v>1.8101851851851852E-2</v>
      </c>
      <c r="N451" s="9" t="s">
        <v>43</v>
      </c>
      <c r="O451" s="9" t="s">
        <v>3727</v>
      </c>
      <c r="P451" s="9" t="s">
        <v>119</v>
      </c>
      <c r="Q451" s="10">
        <v>8.9236111111111113E-3</v>
      </c>
      <c r="R451" s="9" t="s">
        <v>46</v>
      </c>
      <c r="S451" s="10">
        <v>0.22297453703703701</v>
      </c>
      <c r="T451" s="9">
        <v>25.247</v>
      </c>
      <c r="U451" s="9">
        <v>7.48</v>
      </c>
      <c r="V451" s="10">
        <v>0.14072916666666671</v>
      </c>
      <c r="W451" s="10">
        <v>9.9722222222222226E-2</v>
      </c>
      <c r="X451" s="10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 t="s">
        <v>47</v>
      </c>
      <c r="AF451" s="9" t="s">
        <v>3728</v>
      </c>
      <c r="AG451" s="9" t="s">
        <v>3729</v>
      </c>
      <c r="AH451" s="9">
        <v>6.2227800000000002</v>
      </c>
      <c r="AI451" s="9">
        <v>-75.598579999999998</v>
      </c>
      <c r="AJ451" s="9" t="s">
        <v>3730</v>
      </c>
      <c r="AK451" s="9">
        <v>6.3050860000000002</v>
      </c>
      <c r="AL451" s="9">
        <v>-75.581832000000006</v>
      </c>
      <c r="AM451" s="26">
        <f t="shared" si="7"/>
        <v>1.8101851851851852E-2</v>
      </c>
    </row>
    <row r="452" spans="1:39" ht="15" x14ac:dyDescent="0.25">
      <c r="A452" s="9" t="s">
        <v>3731</v>
      </c>
      <c r="B452" s="9" t="s">
        <v>3732</v>
      </c>
      <c r="C452" s="9" t="s">
        <v>3733</v>
      </c>
      <c r="D452" s="9" t="s">
        <v>3629</v>
      </c>
      <c r="E452" s="9" t="s">
        <v>2619</v>
      </c>
      <c r="F452" s="9" t="s">
        <v>315</v>
      </c>
      <c r="G452" s="9" t="s">
        <v>80</v>
      </c>
      <c r="H452" s="9" t="s">
        <v>81</v>
      </c>
      <c r="I452" s="9" t="s">
        <v>115</v>
      </c>
      <c r="J452" s="9">
        <v>6057</v>
      </c>
      <c r="K452" s="9" t="s">
        <v>3734</v>
      </c>
      <c r="L452" s="9" t="s">
        <v>117</v>
      </c>
      <c r="M452" s="10">
        <v>4.1765972222222222E-3</v>
      </c>
      <c r="N452" s="9" t="s">
        <v>65</v>
      </c>
      <c r="O452" s="9" t="s">
        <v>3713</v>
      </c>
      <c r="P452" s="9" t="s">
        <v>119</v>
      </c>
      <c r="Q452" s="10">
        <v>4.9383217592592586E-3</v>
      </c>
      <c r="R452" s="9" t="s">
        <v>46</v>
      </c>
      <c r="S452" s="10">
        <v>0.24088508101851849</v>
      </c>
      <c r="T452" s="9">
        <v>44.335000000000001</v>
      </c>
      <c r="U452" s="9">
        <v>19.84</v>
      </c>
      <c r="V452" s="10">
        <v>9.3103379629629904E-2</v>
      </c>
      <c r="W452" s="10">
        <v>3.9449340277777772E-2</v>
      </c>
      <c r="X452" s="10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11</v>
      </c>
      <c r="AE452" s="9" t="s">
        <v>84</v>
      </c>
      <c r="AF452" s="9" t="s">
        <v>190</v>
      </c>
      <c r="AG452" s="9" t="s">
        <v>3735</v>
      </c>
      <c r="AH452" s="9">
        <v>6.2382499999999999</v>
      </c>
      <c r="AI452" s="9">
        <v>-75.602973000000006</v>
      </c>
      <c r="AJ452" s="9" t="s">
        <v>3714</v>
      </c>
      <c r="AK452" s="9">
        <v>6.2592230000000004</v>
      </c>
      <c r="AL452" s="9">
        <v>-75.620935000000003</v>
      </c>
      <c r="AM452" s="26">
        <f t="shared" si="7"/>
        <v>0</v>
      </c>
    </row>
    <row r="453" spans="1:39" ht="15" x14ac:dyDescent="0.25">
      <c r="A453" s="9" t="s">
        <v>3736</v>
      </c>
      <c r="B453" s="9" t="s">
        <v>3737</v>
      </c>
      <c r="C453" s="9" t="s">
        <v>3738</v>
      </c>
      <c r="D453" s="9" t="s">
        <v>3739</v>
      </c>
      <c r="E453" s="9" t="s">
        <v>2619</v>
      </c>
      <c r="F453" s="9" t="s">
        <v>406</v>
      </c>
      <c r="G453" s="9" t="s">
        <v>52</v>
      </c>
      <c r="H453" s="9" t="s">
        <v>53</v>
      </c>
      <c r="I453" s="9" t="s">
        <v>40</v>
      </c>
      <c r="J453" s="9">
        <v>2879</v>
      </c>
      <c r="K453" s="9" t="s">
        <v>3740</v>
      </c>
      <c r="L453" s="9" t="s">
        <v>42</v>
      </c>
      <c r="M453" s="10">
        <v>5.7638888888888887E-3</v>
      </c>
      <c r="N453" s="9" t="s">
        <v>65</v>
      </c>
      <c r="O453" s="9" t="s">
        <v>3741</v>
      </c>
      <c r="P453" s="9" t="s">
        <v>413</v>
      </c>
      <c r="Q453" s="10">
        <v>9.2245370370370363E-3</v>
      </c>
      <c r="R453" s="9" t="s">
        <v>46</v>
      </c>
      <c r="S453" s="10">
        <v>0.31596064814814823</v>
      </c>
      <c r="T453" s="9">
        <v>37.860999999999997</v>
      </c>
      <c r="U453" s="9">
        <v>5.88</v>
      </c>
      <c r="V453" s="10">
        <v>0.26834490740740741</v>
      </c>
      <c r="W453" s="10">
        <v>0.21083333333333329</v>
      </c>
      <c r="X453" s="10">
        <v>0</v>
      </c>
      <c r="Y453" s="9">
        <v>0</v>
      </c>
      <c r="Z453" s="9">
        <v>0</v>
      </c>
      <c r="AA453" s="9">
        <v>0</v>
      </c>
      <c r="AB453" s="9">
        <v>0</v>
      </c>
      <c r="AC453" s="9">
        <v>0</v>
      </c>
      <c r="AD453" s="9">
        <v>2</v>
      </c>
      <c r="AE453" s="9" t="s">
        <v>84</v>
      </c>
      <c r="AF453" s="9" t="s">
        <v>1384</v>
      </c>
      <c r="AG453" s="9" t="s">
        <v>3742</v>
      </c>
      <c r="AH453" s="9">
        <v>6.2256669999999996</v>
      </c>
      <c r="AI453" s="9">
        <v>-75.599476999999993</v>
      </c>
      <c r="AJ453" s="9" t="s">
        <v>3743</v>
      </c>
      <c r="AK453" s="9">
        <v>6.2285339999999998</v>
      </c>
      <c r="AL453" s="9">
        <v>-75.577226999999993</v>
      </c>
      <c r="AM453" s="27">
        <f t="shared" si="7"/>
        <v>0</v>
      </c>
    </row>
    <row r="454" spans="1:39" ht="15" x14ac:dyDescent="0.25">
      <c r="A454" s="9" t="s">
        <v>3744</v>
      </c>
      <c r="B454" s="9" t="s">
        <v>3745</v>
      </c>
      <c r="C454" s="9" t="s">
        <v>3746</v>
      </c>
      <c r="D454" s="9" t="s">
        <v>3739</v>
      </c>
      <c r="E454" s="9" t="s">
        <v>2619</v>
      </c>
      <c r="F454" s="9" t="s">
        <v>406</v>
      </c>
      <c r="G454" s="9" t="s">
        <v>62</v>
      </c>
      <c r="H454" s="9" t="s">
        <v>63</v>
      </c>
      <c r="I454" s="9" t="s">
        <v>40</v>
      </c>
      <c r="J454" s="9">
        <v>3657</v>
      </c>
      <c r="K454" s="9" t="s">
        <v>3747</v>
      </c>
      <c r="L454" s="9" t="s">
        <v>42</v>
      </c>
      <c r="M454" s="10">
        <v>1.3657407407407409E-3</v>
      </c>
      <c r="N454" s="9" t="s">
        <v>65</v>
      </c>
      <c r="O454" s="9" t="s">
        <v>3748</v>
      </c>
      <c r="P454" s="9" t="s">
        <v>413</v>
      </c>
      <c r="Q454" s="10">
        <v>9.2245370370370366E-2</v>
      </c>
      <c r="R454" s="9" t="s">
        <v>56</v>
      </c>
      <c r="S454" s="10">
        <v>0.22162037037037041</v>
      </c>
      <c r="T454" s="9">
        <v>61.594999999999999</v>
      </c>
      <c r="U454" s="9">
        <v>14.46</v>
      </c>
      <c r="V454" s="10">
        <v>0.17753472222222219</v>
      </c>
      <c r="W454" s="10">
        <v>0.1110648148148148</v>
      </c>
      <c r="X454" s="10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2</v>
      </c>
      <c r="AE454" s="9" t="s">
        <v>67</v>
      </c>
      <c r="AF454" s="9" t="s">
        <v>3749</v>
      </c>
      <c r="AG454" s="9" t="s">
        <v>3750</v>
      </c>
      <c r="AH454" s="9">
        <v>6.2258149999999999</v>
      </c>
      <c r="AI454" s="9">
        <v>-75.599408999999994</v>
      </c>
      <c r="AJ454" s="9" t="s">
        <v>3751</v>
      </c>
      <c r="AK454" s="9">
        <v>6.2902979999999999</v>
      </c>
      <c r="AL454" s="9">
        <v>-75.558481999999998</v>
      </c>
      <c r="AM454" s="26">
        <f t="shared" ref="AM454:AM467" si="8">IF(N454="INICIO TARDÍO",M454,0)+IF(R454="TERMINÓ ANTES",Q454,0)</f>
        <v>9.2245370370370366E-2</v>
      </c>
    </row>
    <row r="455" spans="1:39" ht="15" x14ac:dyDescent="0.25">
      <c r="A455" s="9" t="s">
        <v>3752</v>
      </c>
      <c r="B455" s="9" t="s">
        <v>3753</v>
      </c>
      <c r="C455" s="9" t="s">
        <v>3754</v>
      </c>
      <c r="D455" s="9" t="s">
        <v>3739</v>
      </c>
      <c r="E455" s="9" t="s">
        <v>2619</v>
      </c>
      <c r="F455" s="9" t="s">
        <v>406</v>
      </c>
      <c r="G455" s="9" t="s">
        <v>144</v>
      </c>
      <c r="H455" s="9" t="s">
        <v>145</v>
      </c>
      <c r="I455" s="9" t="s">
        <v>40</v>
      </c>
      <c r="J455" s="9">
        <v>8202</v>
      </c>
      <c r="K455" s="9" t="s">
        <v>3755</v>
      </c>
      <c r="L455" s="9" t="s">
        <v>42</v>
      </c>
      <c r="M455" s="10">
        <v>1.6898148148148152E-2</v>
      </c>
      <c r="N455" s="9" t="s">
        <v>127</v>
      </c>
      <c r="O455" s="9" t="s">
        <v>3756</v>
      </c>
      <c r="P455" s="9" t="s">
        <v>413</v>
      </c>
      <c r="Q455" s="10">
        <v>4.1550925925925922E-3</v>
      </c>
      <c r="R455" s="9" t="s">
        <v>46</v>
      </c>
      <c r="S455" s="10">
        <v>0.32524305555555549</v>
      </c>
      <c r="T455" s="9">
        <v>110.121</v>
      </c>
      <c r="U455" s="9">
        <v>17.78</v>
      </c>
      <c r="V455" s="10">
        <v>0.25802083333333331</v>
      </c>
      <c r="W455" s="10">
        <v>6.1759259259259257E-2</v>
      </c>
      <c r="X455" s="10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 t="s">
        <v>139</v>
      </c>
      <c r="AF455" s="9" t="s">
        <v>3757</v>
      </c>
      <c r="AG455" s="9" t="s">
        <v>3758</v>
      </c>
      <c r="AH455" s="9">
        <v>6.2727560000000002</v>
      </c>
      <c r="AI455" s="9">
        <v>-75.574511999999999</v>
      </c>
      <c r="AJ455" s="9" t="s">
        <v>3759</v>
      </c>
      <c r="AK455" s="9">
        <v>6.2727890000000004</v>
      </c>
      <c r="AL455" s="9">
        <v>-75.574415999999999</v>
      </c>
      <c r="AM455" s="26">
        <f t="shared" si="8"/>
        <v>0</v>
      </c>
    </row>
    <row r="456" spans="1:39" ht="15" x14ac:dyDescent="0.25">
      <c r="A456" s="9" t="s">
        <v>3760</v>
      </c>
      <c r="B456" s="9" t="s">
        <v>3761</v>
      </c>
      <c r="C456" s="9" t="s">
        <v>3762</v>
      </c>
      <c r="D456" s="9" t="s">
        <v>3739</v>
      </c>
      <c r="E456" s="9" t="s">
        <v>2619</v>
      </c>
      <c r="F456" s="9" t="s">
        <v>406</v>
      </c>
      <c r="G456" s="9" t="s">
        <v>152</v>
      </c>
      <c r="H456" s="9" t="s">
        <v>153</v>
      </c>
      <c r="I456" s="9" t="s">
        <v>40</v>
      </c>
      <c r="J456" s="9">
        <v>2372</v>
      </c>
      <c r="K456" s="9" t="s">
        <v>3763</v>
      </c>
      <c r="L456" s="9" t="s">
        <v>42</v>
      </c>
      <c r="M456" s="10">
        <v>4.2430555555555548E-2</v>
      </c>
      <c r="N456" s="9" t="s">
        <v>127</v>
      </c>
      <c r="O456" s="9" t="s">
        <v>3764</v>
      </c>
      <c r="P456" s="9" t="s">
        <v>413</v>
      </c>
      <c r="Q456" s="10">
        <v>5.5787037037037038E-2</v>
      </c>
      <c r="R456" s="9" t="s">
        <v>56</v>
      </c>
      <c r="S456" s="10">
        <v>0.2991435185185185</v>
      </c>
      <c r="T456" s="9">
        <v>28.603000000000002</v>
      </c>
      <c r="U456" s="9">
        <v>5.0199999999999996</v>
      </c>
      <c r="V456" s="10">
        <v>0.23751157407407411</v>
      </c>
      <c r="W456" s="10">
        <v>0.1792361111111111</v>
      </c>
      <c r="X456" s="10">
        <v>0</v>
      </c>
      <c r="Y456" s="9">
        <v>0</v>
      </c>
      <c r="Z456" s="9">
        <v>0</v>
      </c>
      <c r="AA456" s="9">
        <v>0</v>
      </c>
      <c r="AB456" s="9">
        <v>0</v>
      </c>
      <c r="AC456" s="9">
        <v>0</v>
      </c>
      <c r="AD456" s="9">
        <v>0</v>
      </c>
      <c r="AE456" s="9" t="s">
        <v>139</v>
      </c>
      <c r="AF456" s="9" t="s">
        <v>3765</v>
      </c>
      <c r="AG456" s="9" t="s">
        <v>3766</v>
      </c>
      <c r="AH456" s="9">
        <v>6.2539730000000002</v>
      </c>
      <c r="AI456" s="9">
        <v>-75.588212999999996</v>
      </c>
      <c r="AJ456" s="9" t="s">
        <v>3767</v>
      </c>
      <c r="AK456" s="9">
        <v>6.2518599999999998</v>
      </c>
      <c r="AL456" s="9">
        <v>-75.551798000000005</v>
      </c>
      <c r="AM456" s="26">
        <f t="shared" si="8"/>
        <v>5.5787037037037038E-2</v>
      </c>
    </row>
    <row r="457" spans="1:39" ht="15" x14ac:dyDescent="0.25">
      <c r="A457" s="9" t="s">
        <v>3768</v>
      </c>
      <c r="B457" s="9" t="s">
        <v>3769</v>
      </c>
      <c r="C457" s="9" t="s">
        <v>3770</v>
      </c>
      <c r="D457" s="9" t="s">
        <v>3739</v>
      </c>
      <c r="E457" s="9" t="s">
        <v>2619</v>
      </c>
      <c r="F457" s="9" t="s">
        <v>406</v>
      </c>
      <c r="G457" s="9" t="s">
        <v>89</v>
      </c>
      <c r="H457" s="9" t="s">
        <v>90</v>
      </c>
      <c r="I457" s="9" t="s">
        <v>40</v>
      </c>
      <c r="J457" s="9">
        <v>3150</v>
      </c>
      <c r="K457" s="9" t="s">
        <v>3771</v>
      </c>
      <c r="L457" s="9" t="s">
        <v>42</v>
      </c>
      <c r="M457" s="10">
        <v>8.4259259259259253E-3</v>
      </c>
      <c r="N457" s="9" t="s">
        <v>65</v>
      </c>
      <c r="O457" s="9" t="s">
        <v>3772</v>
      </c>
      <c r="P457" s="9" t="s">
        <v>413</v>
      </c>
      <c r="Q457" s="10">
        <v>1.0995370370370371E-3</v>
      </c>
      <c r="R457" s="9" t="s">
        <v>46</v>
      </c>
      <c r="S457" s="10">
        <v>0.31982638888888892</v>
      </c>
      <c r="T457" s="9">
        <v>39.674999999999997</v>
      </c>
      <c r="U457" s="9">
        <v>7.7</v>
      </c>
      <c r="V457" s="10">
        <v>0.21479166666666669</v>
      </c>
      <c r="W457" s="10">
        <v>0.1312615740740741</v>
      </c>
      <c r="X457" s="10">
        <v>0</v>
      </c>
      <c r="Y457" s="9">
        <v>0</v>
      </c>
      <c r="Z457" s="9">
        <v>0</v>
      </c>
      <c r="AA457" s="9">
        <v>0</v>
      </c>
      <c r="AB457" s="9">
        <v>0</v>
      </c>
      <c r="AC457" s="9">
        <v>0</v>
      </c>
      <c r="AD457" s="9">
        <v>0</v>
      </c>
      <c r="AE457" s="9" t="s">
        <v>84</v>
      </c>
      <c r="AF457" s="9" t="s">
        <v>352</v>
      </c>
      <c r="AG457" s="9" t="s">
        <v>3773</v>
      </c>
      <c r="AH457" s="9">
        <v>6.2266349999999999</v>
      </c>
      <c r="AI457" s="9">
        <v>-75.599202000000005</v>
      </c>
      <c r="AJ457" s="9" t="s">
        <v>3774</v>
      </c>
      <c r="AK457" s="9">
        <v>6.2486269999999999</v>
      </c>
      <c r="AL457" s="9">
        <v>-75.565270999999996</v>
      </c>
      <c r="AM457" s="27">
        <f t="shared" si="8"/>
        <v>0</v>
      </c>
    </row>
    <row r="458" spans="1:39" ht="15" x14ac:dyDescent="0.25">
      <c r="A458" s="9" t="s">
        <v>3775</v>
      </c>
      <c r="B458" s="9" t="s">
        <v>3776</v>
      </c>
      <c r="C458" s="9" t="s">
        <v>3777</v>
      </c>
      <c r="D458" s="9" t="s">
        <v>3778</v>
      </c>
      <c r="E458" s="9" t="s">
        <v>2619</v>
      </c>
      <c r="F458" s="9" t="s">
        <v>455</v>
      </c>
      <c r="G458" s="9" t="s">
        <v>52</v>
      </c>
      <c r="H458" s="9" t="s">
        <v>53</v>
      </c>
      <c r="I458" s="9" t="s">
        <v>40</v>
      </c>
      <c r="J458" s="9">
        <v>2845</v>
      </c>
      <c r="K458" s="9" t="s">
        <v>3779</v>
      </c>
      <c r="L458" s="9" t="s">
        <v>42</v>
      </c>
      <c r="M458" s="10">
        <v>7.7199074074074071E-3</v>
      </c>
      <c r="N458" s="9" t="s">
        <v>65</v>
      </c>
      <c r="O458" s="9" t="s">
        <v>3780</v>
      </c>
      <c r="P458" s="9" t="s">
        <v>413</v>
      </c>
      <c r="Q458" s="10">
        <v>8.9004629629629625E-3</v>
      </c>
      <c r="R458" s="9" t="s">
        <v>46</v>
      </c>
      <c r="S458" s="10">
        <v>0.2958796296296296</v>
      </c>
      <c r="T458" s="9">
        <v>37.237000000000002</v>
      </c>
      <c r="U458" s="9">
        <v>7.14</v>
      </c>
      <c r="V458" s="10">
        <v>0.21743055555555549</v>
      </c>
      <c r="W458" s="10">
        <v>0.1638310185185185</v>
      </c>
      <c r="X458" s="10">
        <v>0</v>
      </c>
      <c r="Y458" s="9">
        <v>0</v>
      </c>
      <c r="Z458" s="9">
        <v>0</v>
      </c>
      <c r="AA458" s="9">
        <v>0</v>
      </c>
      <c r="AB458" s="9">
        <v>0</v>
      </c>
      <c r="AC458" s="9">
        <v>0</v>
      </c>
      <c r="AD458" s="9">
        <v>1</v>
      </c>
      <c r="AE458" s="9" t="s">
        <v>84</v>
      </c>
      <c r="AF458" s="9" t="s">
        <v>324</v>
      </c>
      <c r="AG458" s="9" t="s">
        <v>3781</v>
      </c>
      <c r="AH458" s="9">
        <v>6.2475709999999998</v>
      </c>
      <c r="AI458" s="9">
        <v>-75.614759000000006</v>
      </c>
      <c r="AJ458" s="9" t="s">
        <v>3782</v>
      </c>
      <c r="AK458" s="9">
        <v>6.2461289999999998</v>
      </c>
      <c r="AL458" s="9">
        <v>-75.609532999999999</v>
      </c>
      <c r="AM458" s="26">
        <f t="shared" si="8"/>
        <v>0</v>
      </c>
    </row>
    <row r="459" spans="1:39" ht="15" x14ac:dyDescent="0.25">
      <c r="A459" s="9" t="s">
        <v>3783</v>
      </c>
      <c r="B459" s="9" t="s">
        <v>3784</v>
      </c>
      <c r="C459" s="9" t="s">
        <v>3785</v>
      </c>
      <c r="D459" s="9" t="s">
        <v>3739</v>
      </c>
      <c r="E459" s="9" t="s">
        <v>2619</v>
      </c>
      <c r="F459" s="9" t="s">
        <v>406</v>
      </c>
      <c r="G459" s="9" t="s">
        <v>105</v>
      </c>
      <c r="H459" s="9" t="s">
        <v>106</v>
      </c>
      <c r="I459" s="9" t="s">
        <v>40</v>
      </c>
      <c r="J459" s="9">
        <v>1913</v>
      </c>
      <c r="K459" s="9" t="s">
        <v>3786</v>
      </c>
      <c r="L459" s="9" t="s">
        <v>42</v>
      </c>
      <c r="M459" s="10">
        <v>2.704861111111111E-2</v>
      </c>
      <c r="N459" s="9" t="s">
        <v>43</v>
      </c>
      <c r="O459" s="9" t="s">
        <v>3787</v>
      </c>
      <c r="P459" s="9" t="s">
        <v>413</v>
      </c>
      <c r="Q459" s="10">
        <v>2.3495370370370371E-2</v>
      </c>
      <c r="R459" s="9" t="s">
        <v>129</v>
      </c>
      <c r="S459" s="10">
        <v>0.30894675925925918</v>
      </c>
      <c r="T459" s="9">
        <v>26.805</v>
      </c>
      <c r="U459" s="9">
        <v>4.25</v>
      </c>
      <c r="V459" s="10">
        <v>0.26273148148148151</v>
      </c>
      <c r="W459" s="10">
        <v>0.2278472222222222</v>
      </c>
      <c r="X459" s="10">
        <v>3.2233796296296302E-2</v>
      </c>
      <c r="Y459" s="9">
        <v>1</v>
      </c>
      <c r="Z459" s="9">
        <v>1</v>
      </c>
      <c r="AA459" s="9">
        <v>1</v>
      </c>
      <c r="AB459" s="9">
        <v>1</v>
      </c>
      <c r="AC459" s="9">
        <v>0</v>
      </c>
      <c r="AD459" s="9">
        <v>1</v>
      </c>
      <c r="AE459" s="9" t="s">
        <v>130</v>
      </c>
      <c r="AF459" s="9" t="s">
        <v>3788</v>
      </c>
      <c r="AG459" s="9" t="s">
        <v>3789</v>
      </c>
      <c r="AH459" s="9">
        <v>6.2255779999999996</v>
      </c>
      <c r="AI459" s="9">
        <v>-75.599352999999994</v>
      </c>
      <c r="AJ459" s="9" t="s">
        <v>3790</v>
      </c>
      <c r="AK459" s="9">
        <v>6.2585470000000001</v>
      </c>
      <c r="AL459" s="9">
        <v>-75.616319000000004</v>
      </c>
      <c r="AM459" s="26">
        <f t="shared" si="8"/>
        <v>2.704861111111111E-2</v>
      </c>
    </row>
    <row r="460" spans="1:39" ht="15" x14ac:dyDescent="0.25">
      <c r="A460" s="9" t="s">
        <v>3791</v>
      </c>
      <c r="B460" s="9" t="s">
        <v>3792</v>
      </c>
      <c r="C460" s="9" t="s">
        <v>3793</v>
      </c>
      <c r="D460" s="9" t="s">
        <v>3739</v>
      </c>
      <c r="E460" s="9" t="s">
        <v>2619</v>
      </c>
      <c r="F460" s="9" t="s">
        <v>406</v>
      </c>
      <c r="G460" s="9" t="s">
        <v>113</v>
      </c>
      <c r="H460" s="9" t="s">
        <v>114</v>
      </c>
      <c r="I460" s="9" t="s">
        <v>115</v>
      </c>
      <c r="J460" s="9">
        <v>1921</v>
      </c>
      <c r="K460" s="9" t="s">
        <v>3794</v>
      </c>
      <c r="L460" s="9" t="s">
        <v>117</v>
      </c>
      <c r="M460" s="10">
        <v>2.34375E-2</v>
      </c>
      <c r="N460" s="9" t="s">
        <v>43</v>
      </c>
      <c r="O460" s="9" t="s">
        <v>3795</v>
      </c>
      <c r="P460" s="9" t="s">
        <v>119</v>
      </c>
      <c r="Q460" s="10">
        <v>2.704861111111111E-2</v>
      </c>
      <c r="R460" s="9" t="s">
        <v>56</v>
      </c>
      <c r="S460" s="10">
        <v>0.19951388888888891</v>
      </c>
      <c r="T460" s="9">
        <v>26.501999999999999</v>
      </c>
      <c r="U460" s="9">
        <v>9.1199999999999992</v>
      </c>
      <c r="V460" s="10">
        <v>0.1211111111111111</v>
      </c>
      <c r="W460" s="10">
        <v>7.9814814814814811E-2</v>
      </c>
      <c r="X460" s="10">
        <v>0</v>
      </c>
      <c r="Y460" s="9">
        <v>0</v>
      </c>
      <c r="Z460" s="9">
        <v>0</v>
      </c>
      <c r="AA460" s="9">
        <v>0</v>
      </c>
      <c r="AB460" s="9">
        <v>0</v>
      </c>
      <c r="AC460" s="9">
        <v>0</v>
      </c>
      <c r="AD460" s="9">
        <v>0</v>
      </c>
      <c r="AE460" s="9" t="s">
        <v>57</v>
      </c>
      <c r="AF460" s="9" t="s">
        <v>3796</v>
      </c>
      <c r="AG460" s="9" t="s">
        <v>3797</v>
      </c>
      <c r="AH460" s="9">
        <v>6.2531860000000004</v>
      </c>
      <c r="AI460" s="9">
        <v>-75.609388999999993</v>
      </c>
      <c r="AJ460" s="9" t="s">
        <v>3798</v>
      </c>
      <c r="AK460" s="9">
        <v>6.2456120000000004</v>
      </c>
      <c r="AL460" s="9">
        <v>-75.616991999999996</v>
      </c>
      <c r="AM460" s="26">
        <f t="shared" si="8"/>
        <v>5.0486111111111107E-2</v>
      </c>
    </row>
    <row r="461" spans="1:39" ht="15" x14ac:dyDescent="0.25">
      <c r="A461" s="9" t="s">
        <v>3799</v>
      </c>
      <c r="B461" s="9" t="s">
        <v>3800</v>
      </c>
      <c r="C461" s="9" t="s">
        <v>3801</v>
      </c>
      <c r="D461" s="9" t="s">
        <v>3739</v>
      </c>
      <c r="E461" s="9" t="s">
        <v>2619</v>
      </c>
      <c r="F461" s="9" t="s">
        <v>406</v>
      </c>
      <c r="G461" s="9" t="s">
        <v>124</v>
      </c>
      <c r="H461" s="9" t="s">
        <v>125</v>
      </c>
      <c r="I461" s="9" t="s">
        <v>115</v>
      </c>
      <c r="J461" s="9">
        <v>4145</v>
      </c>
      <c r="K461" s="9" t="s">
        <v>3802</v>
      </c>
      <c r="L461" s="9" t="s">
        <v>117</v>
      </c>
      <c r="M461" s="10">
        <v>1.005787037037037E-2</v>
      </c>
      <c r="N461" s="9" t="s">
        <v>65</v>
      </c>
      <c r="O461" s="9" t="s">
        <v>3803</v>
      </c>
      <c r="P461" s="9" t="s">
        <v>119</v>
      </c>
      <c r="Q461" s="10">
        <v>6.3888888888888893E-3</v>
      </c>
      <c r="R461" s="9" t="s">
        <v>46</v>
      </c>
      <c r="S461" s="10">
        <v>0.26644675925925931</v>
      </c>
      <c r="T461" s="9">
        <v>52.917999999999999</v>
      </c>
      <c r="U461" s="9">
        <v>12.21</v>
      </c>
      <c r="V461" s="10">
        <v>0.18057870370370371</v>
      </c>
      <c r="W461" s="10">
        <v>6.8483796296296293E-2</v>
      </c>
      <c r="X461" s="10">
        <v>9.9074074074074082E-3</v>
      </c>
      <c r="Y461" s="9">
        <v>1</v>
      </c>
      <c r="Z461" s="9">
        <v>0</v>
      </c>
      <c r="AA461" s="9">
        <v>0</v>
      </c>
      <c r="AB461" s="9">
        <v>0</v>
      </c>
      <c r="AC461" s="9">
        <v>0</v>
      </c>
      <c r="AD461" s="9">
        <v>0</v>
      </c>
      <c r="AE461" s="9" t="s">
        <v>84</v>
      </c>
      <c r="AF461" s="9" t="s">
        <v>3016</v>
      </c>
      <c r="AG461" s="9" t="s">
        <v>3804</v>
      </c>
      <c r="AH461" s="9">
        <v>6.2724849999999996</v>
      </c>
      <c r="AI461" s="9">
        <v>-75.602199999999996</v>
      </c>
      <c r="AJ461" s="9" t="s">
        <v>3805</v>
      </c>
      <c r="AK461" s="9">
        <v>6.2733270000000001</v>
      </c>
      <c r="AL461" s="9">
        <v>-75.602160999999995</v>
      </c>
      <c r="AM461" s="26">
        <f t="shared" si="8"/>
        <v>0</v>
      </c>
    </row>
    <row r="462" spans="1:39" ht="15" x14ac:dyDescent="0.25">
      <c r="A462" s="9" t="s">
        <v>3806</v>
      </c>
      <c r="B462" s="9" t="s">
        <v>3807</v>
      </c>
      <c r="C462" s="9" t="s">
        <v>3808</v>
      </c>
      <c r="D462" s="9" t="s">
        <v>3739</v>
      </c>
      <c r="E462" s="9" t="s">
        <v>2619</v>
      </c>
      <c r="F462" s="9" t="s">
        <v>406</v>
      </c>
      <c r="G462" s="9" t="s">
        <v>135</v>
      </c>
      <c r="H462" s="9" t="s">
        <v>136</v>
      </c>
      <c r="I462" s="9" t="s">
        <v>115</v>
      </c>
      <c r="J462" s="9">
        <v>3996</v>
      </c>
      <c r="K462" s="9" t="s">
        <v>3809</v>
      </c>
      <c r="L462" s="9" t="s">
        <v>117</v>
      </c>
      <c r="M462" s="10">
        <v>7.4548611111111107E-2</v>
      </c>
      <c r="N462" s="9" t="s">
        <v>127</v>
      </c>
      <c r="O462" s="9" t="s">
        <v>3810</v>
      </c>
      <c r="P462" s="9" t="s">
        <v>119</v>
      </c>
      <c r="Q462" s="10">
        <v>4.4444444444444436E-3</v>
      </c>
      <c r="R462" s="9" t="s">
        <v>46</v>
      </c>
      <c r="S462" s="10">
        <v>0.32010416666666669</v>
      </c>
      <c r="T462" s="9">
        <v>57.21</v>
      </c>
      <c r="U462" s="9">
        <v>20.12</v>
      </c>
      <c r="V462" s="10">
        <v>0.1184722222222222</v>
      </c>
      <c r="W462" s="10">
        <v>4.8379629629629627E-2</v>
      </c>
      <c r="X462" s="10">
        <v>0</v>
      </c>
      <c r="Y462" s="9">
        <v>0</v>
      </c>
      <c r="Z462" s="9">
        <v>0</v>
      </c>
      <c r="AA462" s="9">
        <v>0</v>
      </c>
      <c r="AB462" s="9">
        <v>0</v>
      </c>
      <c r="AC462" s="9">
        <v>0</v>
      </c>
      <c r="AD462" s="9">
        <v>3</v>
      </c>
      <c r="AE462" s="9" t="s">
        <v>139</v>
      </c>
      <c r="AF462" s="9" t="s">
        <v>3811</v>
      </c>
      <c r="AG462" s="9" t="s">
        <v>3812</v>
      </c>
      <c r="AH462" s="9">
        <v>6.2746550000000001</v>
      </c>
      <c r="AI462" s="9">
        <v>-75.540584999999993</v>
      </c>
      <c r="AJ462" s="9" t="s">
        <v>3813</v>
      </c>
      <c r="AK462" s="9">
        <v>6.2527340000000002</v>
      </c>
      <c r="AL462" s="9">
        <v>-75.556585999999996</v>
      </c>
      <c r="AM462" s="26">
        <f t="shared" si="8"/>
        <v>0</v>
      </c>
    </row>
    <row r="463" spans="1:39" ht="15" x14ac:dyDescent="0.25">
      <c r="A463" s="9" t="s">
        <v>3814</v>
      </c>
      <c r="B463" s="9" t="s">
        <v>3815</v>
      </c>
      <c r="C463" s="9" t="s">
        <v>3816</v>
      </c>
      <c r="D463" s="9" t="s">
        <v>3739</v>
      </c>
      <c r="E463" s="9" t="s">
        <v>2619</v>
      </c>
      <c r="F463" s="9" t="s">
        <v>406</v>
      </c>
      <c r="G463" s="9" t="s">
        <v>72</v>
      </c>
      <c r="H463" s="9" t="s">
        <v>73</v>
      </c>
      <c r="I463" s="9" t="s">
        <v>115</v>
      </c>
      <c r="J463" s="9">
        <v>1461</v>
      </c>
      <c r="K463" s="9" t="s">
        <v>3817</v>
      </c>
      <c r="L463" s="9" t="s">
        <v>117</v>
      </c>
      <c r="M463" s="10">
        <v>2.9629629629629628E-3</v>
      </c>
      <c r="N463" s="9" t="s">
        <v>65</v>
      </c>
      <c r="O463" s="9" t="s">
        <v>3818</v>
      </c>
      <c r="P463" s="9" t="s">
        <v>119</v>
      </c>
      <c r="Q463" s="10">
        <v>4.386574074074074E-2</v>
      </c>
      <c r="R463" s="9" t="s">
        <v>56</v>
      </c>
      <c r="S463" s="10">
        <v>0.20909722222222221</v>
      </c>
      <c r="T463" s="9">
        <v>22.146999999999998</v>
      </c>
      <c r="U463" s="9">
        <v>6.21</v>
      </c>
      <c r="V463" s="10">
        <v>0.14871527777777779</v>
      </c>
      <c r="W463" s="10">
        <v>0.1218402777777778</v>
      </c>
      <c r="X463" s="10">
        <v>1.6168981481481479E-2</v>
      </c>
      <c r="Y463" s="9">
        <v>1</v>
      </c>
      <c r="Z463" s="9">
        <v>1</v>
      </c>
      <c r="AA463" s="9">
        <v>0</v>
      </c>
      <c r="AB463" s="9">
        <v>0</v>
      </c>
      <c r="AC463" s="9">
        <v>0</v>
      </c>
      <c r="AD463" s="9">
        <v>2</v>
      </c>
      <c r="AE463" s="9" t="s">
        <v>67</v>
      </c>
      <c r="AF463" s="9" t="s">
        <v>3819</v>
      </c>
      <c r="AG463" s="9" t="s">
        <v>3820</v>
      </c>
      <c r="AH463" s="9">
        <v>6.2382650000000002</v>
      </c>
      <c r="AI463" s="9">
        <v>-75.560159999999996</v>
      </c>
      <c r="AJ463" s="9" t="s">
        <v>3821</v>
      </c>
      <c r="AK463" s="9">
        <v>6.2370900000000002</v>
      </c>
      <c r="AL463" s="9">
        <v>-75.558795000000003</v>
      </c>
      <c r="AM463" s="26">
        <f t="shared" si="8"/>
        <v>4.386574074074074E-2</v>
      </c>
    </row>
    <row r="464" spans="1:39" ht="15" x14ac:dyDescent="0.25">
      <c r="A464" s="9" t="s">
        <v>3822</v>
      </c>
      <c r="B464" s="9" t="s">
        <v>3823</v>
      </c>
      <c r="C464" s="9" t="s">
        <v>3824</v>
      </c>
      <c r="D464" s="9" t="s">
        <v>3739</v>
      </c>
      <c r="E464" s="9" t="s">
        <v>2619</v>
      </c>
      <c r="F464" s="9" t="s">
        <v>406</v>
      </c>
      <c r="G464" s="9" t="s">
        <v>80</v>
      </c>
      <c r="H464" s="9" t="s">
        <v>81</v>
      </c>
      <c r="I464" s="9" t="s">
        <v>115</v>
      </c>
      <c r="J464" s="9">
        <v>4420</v>
      </c>
      <c r="K464" s="9" t="s">
        <v>3825</v>
      </c>
      <c r="L464" s="9" t="s">
        <v>117</v>
      </c>
      <c r="M464" s="10">
        <v>9.4690625E-3</v>
      </c>
      <c r="N464" s="9" t="s">
        <v>65</v>
      </c>
      <c r="O464" s="9" t="s">
        <v>3826</v>
      </c>
      <c r="P464" s="9" t="s">
        <v>119</v>
      </c>
      <c r="Q464" s="10">
        <v>4.7883680555555553E-3</v>
      </c>
      <c r="R464" s="9" t="s">
        <v>46</v>
      </c>
      <c r="S464" s="10">
        <v>0.23574256944444441</v>
      </c>
      <c r="T464" s="9">
        <v>30.524000000000001</v>
      </c>
      <c r="U464" s="9">
        <v>18.13</v>
      </c>
      <c r="V464" s="10">
        <v>7.0145706018518647E-2</v>
      </c>
      <c r="W464" s="10">
        <v>2.9791041666666671E-2</v>
      </c>
      <c r="X464" s="10">
        <v>0</v>
      </c>
      <c r="Y464" s="9">
        <v>0</v>
      </c>
      <c r="Z464" s="9">
        <v>0</v>
      </c>
      <c r="AA464" s="9">
        <v>0</v>
      </c>
      <c r="AB464" s="9">
        <v>0</v>
      </c>
      <c r="AC464" s="9">
        <v>0</v>
      </c>
      <c r="AD464" s="9">
        <v>9</v>
      </c>
      <c r="AE464" s="9" t="s">
        <v>84</v>
      </c>
      <c r="AF464" s="9" t="s">
        <v>3008</v>
      </c>
      <c r="AG464" s="9" t="s">
        <v>3827</v>
      </c>
      <c r="AH464" s="9">
        <v>6.2468779999999997</v>
      </c>
      <c r="AI464" s="9">
        <v>-75.554066000000006</v>
      </c>
      <c r="AJ464" s="9" t="s">
        <v>3828</v>
      </c>
      <c r="AK464" s="9">
        <v>6.2554270000000001</v>
      </c>
      <c r="AL464" s="9">
        <v>-75.620604</v>
      </c>
      <c r="AM464" s="26">
        <f t="shared" si="8"/>
        <v>0</v>
      </c>
    </row>
    <row r="465" spans="1:39" ht="15" x14ac:dyDescent="0.25">
      <c r="A465" s="9" t="s">
        <v>3829</v>
      </c>
      <c r="B465" s="9" t="s">
        <v>3830</v>
      </c>
      <c r="C465" s="9" t="s">
        <v>3831</v>
      </c>
      <c r="D465" s="9" t="s">
        <v>3739</v>
      </c>
      <c r="E465" s="9" t="s">
        <v>2619</v>
      </c>
      <c r="F465" s="9" t="s">
        <v>406</v>
      </c>
      <c r="G465" s="9" t="s">
        <v>160</v>
      </c>
      <c r="H465" s="9" t="s">
        <v>161</v>
      </c>
      <c r="I465" s="9" t="s">
        <v>115</v>
      </c>
      <c r="J465" s="9">
        <v>9998</v>
      </c>
      <c r="K465" s="9" t="s">
        <v>3832</v>
      </c>
      <c r="L465" s="9" t="s">
        <v>117</v>
      </c>
      <c r="M465" s="10">
        <v>7.3650694444444441E-3</v>
      </c>
      <c r="N465" s="9" t="s">
        <v>65</v>
      </c>
      <c r="O465" s="9" t="s">
        <v>3833</v>
      </c>
      <c r="P465" s="9" t="s">
        <v>119</v>
      </c>
      <c r="Q465" s="10">
        <v>1.651223379629629E-2</v>
      </c>
      <c r="R465" s="9" t="s">
        <v>129</v>
      </c>
      <c r="S465" s="10">
        <v>0.27387730324074072</v>
      </c>
      <c r="T465" s="9">
        <v>57.17</v>
      </c>
      <c r="U465" s="9">
        <v>12.85</v>
      </c>
      <c r="V465" s="10">
        <v>0.18532579861111109</v>
      </c>
      <c r="W465" s="10">
        <v>0.12942263888888891</v>
      </c>
      <c r="X465" s="10">
        <v>1.2048587962962961E-2</v>
      </c>
      <c r="Y465" s="9">
        <v>1</v>
      </c>
      <c r="Z465" s="9">
        <v>1</v>
      </c>
      <c r="AA465" s="9">
        <v>0</v>
      </c>
      <c r="AB465" s="9">
        <v>0</v>
      </c>
      <c r="AC465" s="9">
        <v>0</v>
      </c>
      <c r="AD465" s="9">
        <v>1</v>
      </c>
      <c r="AE465" s="9" t="s">
        <v>130</v>
      </c>
      <c r="AF465" s="9" t="s">
        <v>3834</v>
      </c>
      <c r="AG465" s="9" t="s">
        <v>3835</v>
      </c>
      <c r="AH465" s="9">
        <v>6.2674969999999997</v>
      </c>
      <c r="AI465" s="9">
        <v>-75.598056999999997</v>
      </c>
      <c r="AJ465" s="9" t="s">
        <v>3836</v>
      </c>
      <c r="AK465" s="9">
        <v>6.2796070000000004</v>
      </c>
      <c r="AL465" s="9">
        <v>-75.570876999999996</v>
      </c>
      <c r="AM465" s="26">
        <f t="shared" si="8"/>
        <v>0</v>
      </c>
    </row>
    <row r="466" spans="1:39" ht="15" x14ac:dyDescent="0.25">
      <c r="A466" s="9" t="s">
        <v>3837</v>
      </c>
      <c r="B466" s="9" t="s">
        <v>3838</v>
      </c>
      <c r="C466" s="9" t="s">
        <v>3839</v>
      </c>
      <c r="D466" s="9" t="s">
        <v>3739</v>
      </c>
      <c r="E466" s="9" t="s">
        <v>2619</v>
      </c>
      <c r="F466" s="9" t="s">
        <v>406</v>
      </c>
      <c r="G466" s="9" t="s">
        <v>97</v>
      </c>
      <c r="H466" s="9" t="s">
        <v>98</v>
      </c>
      <c r="I466" s="9" t="s">
        <v>115</v>
      </c>
      <c r="J466" s="9">
        <v>1850</v>
      </c>
      <c r="K466" s="9" t="s">
        <v>3840</v>
      </c>
      <c r="L466" s="9" t="s">
        <v>117</v>
      </c>
      <c r="M466" s="10">
        <v>6.5277777777777782E-3</v>
      </c>
      <c r="N466" s="9" t="s">
        <v>65</v>
      </c>
      <c r="O466" s="9" t="s">
        <v>3841</v>
      </c>
      <c r="P466" s="9" t="s">
        <v>119</v>
      </c>
      <c r="Q466" s="10">
        <v>1.25462962962963E-2</v>
      </c>
      <c r="R466" s="9" t="s">
        <v>129</v>
      </c>
      <c r="S466" s="10">
        <v>0.25601851851851848</v>
      </c>
      <c r="T466" s="9">
        <v>23.943999999999999</v>
      </c>
      <c r="U466" s="9">
        <v>5.92</v>
      </c>
      <c r="V466" s="10">
        <v>0.1686458333333333</v>
      </c>
      <c r="W466" s="10">
        <v>0.1337962962962963</v>
      </c>
      <c r="X466" s="10">
        <v>0</v>
      </c>
      <c r="Y466" s="9">
        <v>0</v>
      </c>
      <c r="Z466" s="9">
        <v>0</v>
      </c>
      <c r="AA466" s="9">
        <v>0</v>
      </c>
      <c r="AB466" s="9">
        <v>0</v>
      </c>
      <c r="AC466" s="9">
        <v>0</v>
      </c>
      <c r="AD466" s="9">
        <v>0</v>
      </c>
      <c r="AE466" s="9" t="s">
        <v>130</v>
      </c>
      <c r="AF466" s="9" t="s">
        <v>3842</v>
      </c>
      <c r="AG466" s="9" t="s">
        <v>3843</v>
      </c>
      <c r="AH466" s="9">
        <v>6.3060479999999997</v>
      </c>
      <c r="AI466" s="9">
        <v>-75.581988999999993</v>
      </c>
      <c r="AJ466" s="9" t="s">
        <v>3844</v>
      </c>
      <c r="AK466" s="9">
        <v>6.3065259999999999</v>
      </c>
      <c r="AL466" s="9">
        <v>-75.581993999999995</v>
      </c>
      <c r="AM466" s="26">
        <f t="shared" si="8"/>
        <v>0</v>
      </c>
    </row>
    <row r="467" spans="1:39" ht="15" x14ac:dyDescent="0.25">
      <c r="A467" s="9" t="s">
        <v>3845</v>
      </c>
      <c r="B467" s="9" t="s">
        <v>3846</v>
      </c>
      <c r="C467" s="9" t="s">
        <v>3847</v>
      </c>
      <c r="D467" s="9" t="s">
        <v>3778</v>
      </c>
      <c r="E467" s="9" t="s">
        <v>2619</v>
      </c>
      <c r="F467" s="9" t="s">
        <v>455</v>
      </c>
      <c r="G467" s="9" t="s">
        <v>152</v>
      </c>
      <c r="H467" s="9" t="s">
        <v>153</v>
      </c>
      <c r="I467" s="9" t="s">
        <v>115</v>
      </c>
      <c r="J467" s="9">
        <v>2462</v>
      </c>
      <c r="K467" s="9" t="s">
        <v>3848</v>
      </c>
      <c r="L467" s="9" t="s">
        <v>117</v>
      </c>
      <c r="M467" s="10">
        <v>4.7916666666666663E-3</v>
      </c>
      <c r="N467" s="9" t="s">
        <v>65</v>
      </c>
      <c r="O467" s="9" t="s">
        <v>3849</v>
      </c>
      <c r="P467" s="9" t="s">
        <v>119</v>
      </c>
      <c r="Q467" s="10">
        <v>2.177083333333333E-2</v>
      </c>
      <c r="R467" s="9" t="s">
        <v>56</v>
      </c>
      <c r="S467" s="10">
        <v>0.22343750000000001</v>
      </c>
      <c r="T467" s="9">
        <v>30.571000000000002</v>
      </c>
      <c r="U467" s="9">
        <v>7.48</v>
      </c>
      <c r="V467" s="10">
        <v>0.17021990740740739</v>
      </c>
      <c r="W467" s="10">
        <v>0.10240740740740741</v>
      </c>
      <c r="X467" s="10">
        <v>0</v>
      </c>
      <c r="Y467" s="9">
        <v>0</v>
      </c>
      <c r="Z467" s="9">
        <v>0</v>
      </c>
      <c r="AA467" s="9">
        <v>0</v>
      </c>
      <c r="AB467" s="9">
        <v>0</v>
      </c>
      <c r="AC467" s="9">
        <v>0</v>
      </c>
      <c r="AD467" s="9">
        <v>0</v>
      </c>
      <c r="AE467" s="9" t="s">
        <v>67</v>
      </c>
      <c r="AF467" s="9" t="s">
        <v>3850</v>
      </c>
      <c r="AG467" s="9" t="s">
        <v>3851</v>
      </c>
      <c r="AH467" s="9">
        <v>6.251703</v>
      </c>
      <c r="AI467" s="9">
        <v>-75.551666999999995</v>
      </c>
      <c r="AJ467" s="9" t="s">
        <v>3852</v>
      </c>
      <c r="AK467" s="9">
        <v>6.3108180000000003</v>
      </c>
      <c r="AL467" s="9">
        <v>-75.566104999999993</v>
      </c>
      <c r="AM467" s="26">
        <f t="shared" si="8"/>
        <v>2.177083333333333E-2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2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2026-10-19T19:50:09Z</dcterms:modified>
</cp:coreProperties>
</file>