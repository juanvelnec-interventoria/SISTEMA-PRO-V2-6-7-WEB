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CCD02720-677C-46CA-96A4-A4D3B092AC45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12" r:id="rId8"/>
    <pivotCache cacheId="1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14" i="2" l="1"/>
  <c r="AM515" i="2"/>
  <c r="AM516" i="2"/>
  <c r="AM517" i="2"/>
  <c r="AM518" i="2"/>
  <c r="AM519" i="2"/>
  <c r="AM520" i="2"/>
  <c r="AM507" i="2"/>
  <c r="AM508" i="2"/>
  <c r="AM509" i="2"/>
  <c r="AM510" i="2"/>
  <c r="AM511" i="2"/>
  <c r="AM512" i="2"/>
  <c r="AM513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486" i="2"/>
  <c r="AM487" i="2"/>
  <c r="AM488" i="2"/>
  <c r="AM489" i="2"/>
  <c r="AM490" i="2"/>
  <c r="AM491" i="2"/>
  <c r="AM492" i="2"/>
  <c r="AM493" i="2"/>
  <c r="AM494" i="2"/>
  <c r="AM482" i="2"/>
  <c r="AM483" i="2"/>
  <c r="AM484" i="2"/>
  <c r="AM485" i="2"/>
  <c r="AM473" i="2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<sst xmlns="http://schemas.openxmlformats.org/spreadsheetml/2006/main" count="10857" uniqueCount="4271">
  <si>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</si>
  <si>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</si>
  <si>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</si>
  <si>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</si>
  <si>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</si>
  <si>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</si>
  <si>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</si>
  <si>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</si>
  <si>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</si>
  <si>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</si>
  <si>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</si>
  <si>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</si>
  <si>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</si>
  <si>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</si>
  <si>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</si>
  <si>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</si>
  <si>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</si>
  <si>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</si>
  <si>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</si>
  <si>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</si>
  <si>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</si>
  <si>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</si>
  <si>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</si>
  <si>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</si>
  <si>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</si>
  <si>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</si>
  <si>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</si>
  <si>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</si>
  <si>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</si>
  <si>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</si>
  <si>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</si>
  <si>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</si>
  <si>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</si>
  <si>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</si>
  <si>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</si>
  <si>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</si>
  <si>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</si>
  <si>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</si>
  <si>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</si>
  <si>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</si>
  <si>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</si>
  <si>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</si>
  <si>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</si>
  <si>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</si>
  <si>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</si>
  <si>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</si>
  <si>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</si>
  <si>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</si>
  <si>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</si>
  <si>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</si>
  <si>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</si>
  <si>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</si>
  <si>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</si>
  <si>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</si>
  <si>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</si>
  <si>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</si>
  <si>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</si>
  <si>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</si>
  <si>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</si>
  <si>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</si>
  <si>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</si>
  <si>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</si>
  <si>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</si>
  <si>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</si>
  <si>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</si>
  <si>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</si>
  <si>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</si>
  <si>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</si>
  <si>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</si>
  <si>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</si>
  <si>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</si>
  <si>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</si>
  <si>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</si>
  <si>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</si>
  <si>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</si>
  <si>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</si>
  <si>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</si>
  <si>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</si>
  <si>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</si>
  <si>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</si>
  <si>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</si>
  <si>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</si>
  <si>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</si>
  <si>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</si>
  <si>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</si>
  <si>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</si>
  <si>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</si>
  <si>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</si>
  <si>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</si>
  <si>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</si>
  <si>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</si>
  <si>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</si>
  <si>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</si>
  <si>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</si>
  <si>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</si>
  <si>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</si>
  <si>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</si>
  <si>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</si>
  <si>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</si>
  <si>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</si>
  <si>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</si>
  <si>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</si>
  <si>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</si>
  <si>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</si>
  <si>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</si>
  <si>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</si>
  <si>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</si>
  <si>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</si>
  <si>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</si>
  <si>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</si>
  <si>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</si>
  <si>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</si>
  <si>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</si>
  <si>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</si>
  <si>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</si>
  <si>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</si>
  <si>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</si>
  <si>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</si>
  <si>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</si>
  <si>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</si>
  <si>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</si>
  <si>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</si>
  <si>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</si>
  <si>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</si>
  <si>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</si>
  <si>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</si>
  <si>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</si>
  <si>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</si>
  <si>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</si>
  <si>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</si>
  <si>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</si>
  <si>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</si>
  <si>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</si>
  <si>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</si>
  <si>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</si>
  <si>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</si>
  <si>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</si>
  <si>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</si>
  <si>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</si>
  <si>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</si>
  <si>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</si>
  <si>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</si>
  <si>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</si>
  <si>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</si>
  <si>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</si>
  <si>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</si>
  <si>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</si>
  <si>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</si>
  <si>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</si>
  <si>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</si>
  <si>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</si>
  <si>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</si>
  <si>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</si>
  <si>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</si>
  <si>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</si>
  <si>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</si>
  <si>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</si>
  <si>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</si>
  <si>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</si>
  <si>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</si>
  <si>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</si>
  <si>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</si>
  <si>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</si>
  <si>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</si>
  <si>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</si>
  <si>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</si>
  <si>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</si>
  <si>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</si>
  <si>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</si>
  <si>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</si>
  <si>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</si>
  <si>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</si>
  <si>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</si>
  <si>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</si>
  <si>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</si>
  <si>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</si>
  <si>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</si>
  <si>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</si>
  <si>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</si>
  <si>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</si>
  <si>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</si>
  <si>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</si>
  <si>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</si>
  <si>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</si>
  <si>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</si>
  <si>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</si>
  <si>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</si>
  <si>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</si>
  <si>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</si>
  <si>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</si>
  <si>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</si>
  <si>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</si>
  <si>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</si>
  <si>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</si>
  <si>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</si>
  <si>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</si>
  <si>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</si>
  <si>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</si>
  <si>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</si>
  <si>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</si>
  <si>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</si>
  <si>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</si>
  <si>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</si>
  <si>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</si>
  <si>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</si>
  <si>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</si>
  <si>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</si>
  <si>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</si>
  <si>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</si>
  <si>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</si>
  <si>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</si>
  <si>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</si>
  <si>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</si>
  <si>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</si>
  <si>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</si>
  <si>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</si>
  <si>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</si>
  <si>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</si>
  <si>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</si>
  <si>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</si>
  <si>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</si>
  <si>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</si>
  <si>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</si>
  <si>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</si>
  <si>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</si>
  <si>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</si>
  <si>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</si>
  <si>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</si>
  <si>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</si>
  <si>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</si>
  <si>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</si>
  <si>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</si>
  <si>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</si>
  <si>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</si>
  <si>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</si>
  <si>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</si>
  <si>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</si>
  <si>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</si>
  <si>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</si>
  <si>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</si>
  <si>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</si>
  <si>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</si>
  <si>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</si>
  <si>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</si>
  <si>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</si>
  <si>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</si>
  <si>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</si>
  <si>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</si>
  <si>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</si>
  <si>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</si>
  <si>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</si>
  <si>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</si>
  <si>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</si>
  <si>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</si>
  <si>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</si>
  <si>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</si>
  <si>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</si>
  <si>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</si>
  <si>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</si>
  <si>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</si>
  <si>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</si>
  <si>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</si>
  <si>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</si>
  <si>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</si>
  <si>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</si>
  <si>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</si>
  <si>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</si>
  <si>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</si>
  <si>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</si>
  <si>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</si>
  <si>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</si>
  <si>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</si>
  <si>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</si>
  <si>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</si>
  <si>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</si>
  <si>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</si>
  <si>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</si>
  <si>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</si>
  <si>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</si>
  <si>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</si>
  <si>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</si>
  <si>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</si>
  <si>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</si>
  <si>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</si>
  <si>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</si>
  <si>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</si>
  <si>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</si>
  <si>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</si>
  <si>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</si>
  <si>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</si>
  <si>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</si>
  <si>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</si>
  <si>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</si>
  <si>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</si>
  <si>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</si>
  <si>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</si>
  <si>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</si>
  <si>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</si>
  <si>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</si>
  <si>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</si>
  <si>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</si>
  <si>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</si>
  <si>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</si>
  <si>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</si>
  <si>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</si>
  <si>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</si>
  <si>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</si>
  <si>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</si>
  <si>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</si>
  <si>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</si>
  <si>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</si>
  <si>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</si>
  <si>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</si>
  <si>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</si>
  <si>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</si>
  <si>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</si>
  <si>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</si>
  <si>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</si>
  <si>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</si>
  <si>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</si>
  <si>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</si>
  <si>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</si>
  <si>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</si>
  <si>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</si>
  <si>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</si>
  <si>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</si>
  <si>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</si>
  <si>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</si>
  <si>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</si>
  <si>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</si>
  <si>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</si>
  <si>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</si>
  <si>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</si>
  <si>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</si>
  <si>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</si>
  <si>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</si>
  <si>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</si>
  <si>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</si>
  <si>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</si>
  <si>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</si>
  <si>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</si>
  <si>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</si>
  <si>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</si>
  <si>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</si>
  <si>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</si>
  <si>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</si>
  <si>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</si>
  <si>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</si>
  <si>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</si>
  <si>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</si>
  <si>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</si>
  <si>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</si>
  <si>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</si>
  <si>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</si>
  <si>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</si>
  <si>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</si>
  <si>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</si>
  <si>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</si>
  <si>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</si>
  <si>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</si>
  <si>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</si>
  <si>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</si>
  <si>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</si>
  <si>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</si>
  <si>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</si>
  <si>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</si>
  <si>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</si>
  <si>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</si>
  <si>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</si>
  <si>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</si>
  <si>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</si>
  <si>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</si>
  <si>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</si>
  <si>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</si>
  <si>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</si>
  <si>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</si>
  <si>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</si>
  <si>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</si>
  <si>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</si>
  <si>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</si>
  <si>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</si>
  <si>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</si>
  <si>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</si>
  <si>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</si>
  <si>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</si>
  <si>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</si>
  <si>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</si>
  <si>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</si>
  <si>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</si>
  <si>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</si>
  <si>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</si>
  <si>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</si>
  <si>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</si>
  <si>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</si>
  <si>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</si>
  <si>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</si>
  <si>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</si>
  <si>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</si>
  <si>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</si>
  <si>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</si>
  <si>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</si>
  <si>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</si>
  <si>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</si>
  <si>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</si>
  <si>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</si>
  <si>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</si>
  <si>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</si>
  <si>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</si>
  <si>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</si>
  <si>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</si>
  <si>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</si>
  <si>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</si>
  <si>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</si>
  <si>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</si>
  <si>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</si>
  <si>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</si>
  <si>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</si>
  <si>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</si>
  <si>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</si>
  <si>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</si>
  <si>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</si>
  <si>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</si>
  <si>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</si>
  <si>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</si>
  <si>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</si>
  <si>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</si>
  <si>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</si>
  <si>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</si>
  <si>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</si>
  <si>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</si>
  <si>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</si>
  <si>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</si>
  <si>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</si>
  <si>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</si>
  <si>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</si>
  <si>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</si>
  <si>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</si>
  <si>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</si>
  <si>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</si>
  <si>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</si>
  <si>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</si>
  <si>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</si>
  <si>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</si>
  <si>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</si>
  <si>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</si>
  <si>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</si>
  <si>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</si>
  <si>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</si>
  <si>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</si>
  <si>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</si>
  <si>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</si>
  <si>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</si>
  <si>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</si>
  <si>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</si>
  <si>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</si>
  <si>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</si>
  <si>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</si>
  <si>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</si>
  <si>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</si>
  <si>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</si>
  <si>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</si>
  <si>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</si>
  <si>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</si>
  <si>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</si>
  <si>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</si>
  <si>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</si>
  <si>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</si>
  <si>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</si>
  <si>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</si>
  <si>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</si>
  <si>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</si>
  <si>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</si>
  <si>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</si>
  <si>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</si>
  <si>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</si>
  <si>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</si>
  <si>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</si>
  <si>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</si>
  <si>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</si>
  <si>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</si>
  <si>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</si>
  <si>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</si>
  <si>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</si>
  <si>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</si>
  <si>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</si>
  <si>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</si>
  <si>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</si>
  <si>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</si>
  <si>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</si>
  <si>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</si>
  <si>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</si>
  <si>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</si>
  <si>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</si>
  <si>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</si>
  <si>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</si>
  <si>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</si>
  <si>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</si>
  <si>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</si>
  <si>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</si>
  <si>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</si>
  <si>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</si>
  <si>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</si>
  <si>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</si>
  <si>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</si>
  <si>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</si>
  <si>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</si>
  <si>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</si>
  <si>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</si>
  <si>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</si>
  <si>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</si>
  <si>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</si>
  <si>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</si>
  <si>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</si>
  <si>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</si>
  <si>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</si>
  <si>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</si>
  <si>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</si>
  <si>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</si>
  <si>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</si>
  <si>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</si>
  <si>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</si>
  <si>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</si>
  <si>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</si>
  <si>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</si>
  <si>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</si>
  <si>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</si>
  <si>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</si>
  <si>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</si>
  <si>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</si>
  <si>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</si>
  <si>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</si>
  <si>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</si>
  <si>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</si>
  <si>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</si>
  <si>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</si>
  <si>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</si>
  <si>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</si>
  <si>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</si>
  <si>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</si>
  <si>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</si>
  <si>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</si>
  <si>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</si>
  <si>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</si>
  <si>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</si>
  <si>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</si>
  <si>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</si>
  <si>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</si>
  <si>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</si>
  <si>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</si>
  <si>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</si>
  <si>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</si>
  <si>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</si>
  <si>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</si>
  <si>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</si>
  <si>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</si>
  <si>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</si>
  <si>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</si>
  <si>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</si>
  <si>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</si>
  <si>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</si>
  <si>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</si>
  <si>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</si>
  <si>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</si>
  <si>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</si>
  <si>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</si>
  <si>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</si>
  <si>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</si>
  <si>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</si>
  <si>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</si>
  <si>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</si>
  <si>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</si>
  <si>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</si>
  <si>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</si>
  <si>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</si>
  <si>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</si>
  <si>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</si>
  <si>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</si>
  <si>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</si>
  <si>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</si>
  <si>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</si>
  <si>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</si>
  <si>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</si>
  <si>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</si>
  <si>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</si>
  <si>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</si>
  <si>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</si>
  <si>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</si>
  <si>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</si>
  <si>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</si>
  <si>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</si>
  <si>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</si>
  <si>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</si>
  <si>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</si>
  <si>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</si>
  <si>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</si>
  <si>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</si>
  <si>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</si>
  <si>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</si>
  <si>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</si>
  <si>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</si>
  <si>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</si>
  <si>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</si>
  <si>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</si>
  <si>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</si>
  <si>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</si>
  <si>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</si>
  <si>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</si>
  <si>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</si>
  <si>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</si>
  <si>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</si>
  <si>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</si>
  <si>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</si>
  <si>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</si>
  <si>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</si>
  <si>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</si>
  <si>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</si>
  <si>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</si>
  <si>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</si>
  <si>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</si>
  <si>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</si>
  <si>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</si>
  <si>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</si>
  <si>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</si>
  <si>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</si>
  <si>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</si>
  <si>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</si>
  <si>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</si>
  <si>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</si>
  <si>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</si>
  <si>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</si>
  <si>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</si>
  <si>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</si>
  <si>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</si>
  <si>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</si>
  <si>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</si>
  <si>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</si>
  <si>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</si>
  <si>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</si>
  <si>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</si>
  <si>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</si>
  <si>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</si>
  <si>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</si>
  <si>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</si>
  <si>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</si>
  <si>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</si>
  <si>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</si>
  <si>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</si>
  <si>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</si>
  <si>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</si>
  <si>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</si>
  <si>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</si>
  <si>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</si>
  <si>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</si>
  <si>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</si>
  <si>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</si>
  <si>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</si>
  <si>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</si>
  <si>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</si>
  <si>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</si>
  <si>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</si>
  <si>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</si>
  <si>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</si>
  <si>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</si>
  <si>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</si>
  <si>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</si>
  <si>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</si>
  <si>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</si>
  <si>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</si>
  <si>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</si>
  <si>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</si>
  <si>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</si>
  <si>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</si>
  <si>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</si>
  <si>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</si>
  <si>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</si>
  <si>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</si>
  <si>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</si>
  <si>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</si>
  <si>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</si>
  <si>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</si>
  <si>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</si>
  <si>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</si>
  <si>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</si>
  <si>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</si>
  <si>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</si>
  <si>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</si>
  <si>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</si>
  <si>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</si>
  <si>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</si>
  <si>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</si>
  <si>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</si>
  <si>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</si>
  <si>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</si>
  <si>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</si>
  <si>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</si>
  <si>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</si>
  <si>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</si>
  <si>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</si>
  <si>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</si>
  <si>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</si>
  <si>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</si>
  <si>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</si>
  <si>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</si>
  <si>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</si>
  <si>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</si>
  <si>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</si>
  <si>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</si>
  <si>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</si>
  <si>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</si>
  <si>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</si>
  <si>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</si>
  <si>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</si>
  <si>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</si>
  <si>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</si>
  <si>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</si>
  <si>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</si>
  <si>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</si>
  <si>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</si>
  <si>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</si>
  <si>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</si>
  <si>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</si>
  <si>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</si>
  <si>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</si>
  <si>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</si>
  <si>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</si>
  <si>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</si>
  <si>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</si>
  <si>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</si>
  <si>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</si>
  <si>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</si>
  <si>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</si>
  <si>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</si>
  <si>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</si>
  <si>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</si>
  <si>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</si>
  <si>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</si>
  <si>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</si>
  <si>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</si>
  <si>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</si>
  <si>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</si>
  <si>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</si>
  <si>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</si>
  <si>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</si>
  <si>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</si>
  <si>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</si>
  <si>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</si>
  <si>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</si>
  <si>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</si>
  <si>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</si>
  <si>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</si>
  <si>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</si>
  <si>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</si>
  <si>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</si>
  <si>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</si>
  <si>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</si>
  <si>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</si>
  <si>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</si>
  <si>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</si>
  <si>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</si>
  <si>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</si>
  <si>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</si>
  <si>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</si>
  <si>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</si>
  <si>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</si>
  <si>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</si>
  <si>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</si>
  <si>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</si>
  <si>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</si>
  <si>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</si>
  <si>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</si>
  <si>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</si>
  <si>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</si>
  <si>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</si>
  <si>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</si>
  <si>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</si>
  <si>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</si>
  <si>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</si>
  <si>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</si>
  <si>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</si>
  <si>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</si>
  <si>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</si>
  <si>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</si>
  <si>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</si>
  <si>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</si>
  <si>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</si>
  <si>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</si>
  <si>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</si>
  <si>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</si>
  <si>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</si>
  <si>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</si>
  <si>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</si>
  <si>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</si>
  <si>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</si>
  <si>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</si>
  <si>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</si>
  <si>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</si>
  <si>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</si>
  <si>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</si>
  <si>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</si>
  <si>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</si>
  <si>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</si>
  <si>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</si>
  <si>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</si>
  <si>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</si>
  <si>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</si>
  <si>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</si>
  <si>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</si>
  <si>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</si>
  <si>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</si>
  <si>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</si>
  <si>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</si>
  <si>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</si>
  <si>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</si>
  <si>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</si>
  <si>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</si>
  <si>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</si>
  <si>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</si>
  <si>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</si>
  <si>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</si>
  <si>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</si>
  <si>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</si>
  <si>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</si>
  <si>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</si>
  <si>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</si>
  <si>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</si>
  <si>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</si>
  <si>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</si>
  <si>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</si>
  <si>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</si>
  <si>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</si>
  <si>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</si>
  <si>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</si>
  <si>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</si>
  <si>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</si>
  <si>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</si>
  <si>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</si>
  <si>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</si>
  <si>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</si>
  <si>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</si>
  <si>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</si>
  <si>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</si>
  <si>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</si>
  <si>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</si>
  <si>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</si>
  <si>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</si>
  <si>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</si>
  <si>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</si>
  <si>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</si>
  <si>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</si>
  <si>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</si>
  <si>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</si>
  <si>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</si>
  <si>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</si>
  <si>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</si>
  <si>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</si>
  <si>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</si>
  <si>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</si>
  <si>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</si>
  <si>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</si>
  <si>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</si>
  <si>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</si>
  <si>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</si>
  <si>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</si>
  <si>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</si>
  <si>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</si>
  <si>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</si>
  <si>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</si>
  <si>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</si>
  <si>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</si>
  <si>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</si>
  <si>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</si>
  <si>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</si>
  <si>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</si>
  <si>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</si>
  <si>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</si>
  <si>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</si>
  <si>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</si>
  <si>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</si>
  <si>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</si>
  <si>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</si>
  <si>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</si>
  <si>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</si>
  <si>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</si>
  <si>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</si>
  <si>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</si>
  <si>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</si>
  <si>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</si>
  <si>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</si>
  <si>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</si>
  <si>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</si>
  <si>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</si>
  <si>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</si>
  <si>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</si>
  <si>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</si>
  <si>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</si>
  <si>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</si>
  <si>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</si>
  <si>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</si>
  <si>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</si>
  <si>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</si>
  <si>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</si>
  <si>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</si>
  <si>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</si>
  <si>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</si>
  <si>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</si>
  <si>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</si>
  <si>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</si>
  <si>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</si>
  <si>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</si>
  <si>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</si>
  <si>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</si>
  <si>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</si>
  <si>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</si>
  <si>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</si>
  <si>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</si>
  <si>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</si>
  <si>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</si>
  <si>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</si>
  <si>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</si>
  <si>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</si>
  <si>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</si>
  <si>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</si>
  <si>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</si>
  <si>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</si>
  <si>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</si>
  <si>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</si>
  <si>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</si>
  <si>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</si>
  <si>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</si>
  <si>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</si>
  <si>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</si>
  <si>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</si>
  <si>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</si>
  <si>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</si>
  <si>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</si>
  <si>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</si>
  <si>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</si>
  <si>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</si>
  <si>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</si>
  <si>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</si>
  <si>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</si>
  <si>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</si>
  <si>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</si>
  <si>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</si>
  <si>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</si>
  <si>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</si>
  <si>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</si>
  <si>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</si>
  <si>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</si>
  <si>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</si>
  <si>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</si>
  <si>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</si>
  <si>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</si>
  <si>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</si>
  <si>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</si>
  <si>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</si>
  <si>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</si>
  <si>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</si>
  <si>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</si>
  <si>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</si>
  <si>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</si>
  <si>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</si>
  <si>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</si>
  <si>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</si>
  <si>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</si>
  <si>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</si>
  <si>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</si>
  <si>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</si>
  <si>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</si>
  <si>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</si>
  <si>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</si>
  <si>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</si>
  <si>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</si>
  <si>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</si>
  <si>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</si>
  <si>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</si>
  <si>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</si>
  <si>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</si>
  <si>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</si>
  <si>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</si>
  <si>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</si>
  <si>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</si>
  <si>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</si>
  <si>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</si>
  <si>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</si>
  <si>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</si>
  <si>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</si>
  <si>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</si>
  <si>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</si>
  <si>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</si>
  <si>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</si>
  <si>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</si>
  <si>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</si>
  <si>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</si>
  <si>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</si>
  <si>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</si>
  <si>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</si>
  <si>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</si>
  <si>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</si>
  <si>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</si>
  <si>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</si>
  <si>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</si>
  <si>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</si>
  <si>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</si>
  <si>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</si>
  <si>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</si>
  <si>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</si>
  <si>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</si>
  <si>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</si>
  <si>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</si>
  <si>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</si>
  <si>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</si>
  <si>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</si>
  <si>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</si>
  <si>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</si>
  <si>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</si>
  <si>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</si>
  <si>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</si>
  <si>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</si>
  <si>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</si>
  <si>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</si>
  <si>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</si>
  <si>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</si>
  <si>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</si>
  <si>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</si>
  <si>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</si>
  <si>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</si>
  <si>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</si>
  <si>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</si>
  <si>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</si>
  <si>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</si>
  <si>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</si>
  <si>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</si>
  <si>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</si>
  <si>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</si>
  <si>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</si>
  <si>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</si>
  <si>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</si>
  <si>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</si>
  <si>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</si>
  <si>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</si>
  <si>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</si>
  <si>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</si>
  <si>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</si>
  <si>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</si>
  <si>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</si>
  <si>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</si>
  <si>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</si>
  <si>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</si>
  <si>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</si>
  <si>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</si>
  <si>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</si>
  <si>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</si>
  <si>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</si>
  <si>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</si>
  <si>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</si>
  <si>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</si>
  <si>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</si>
  <si>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</si>
  <si>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</si>
  <si>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</si>
  <si>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</si>
  <si>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</si>
  <si>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</si>
  <si>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</si>
  <si>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</si>
  <si>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</si>
  <si>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</si>
  <si>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</si>
  <si>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</si>
  <si>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</si>
  <si>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</si>
  <si>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</si>
  <si>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</si>
  <si>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</si>
  <si>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</si>
  <si>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</si>
  <si>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</si>
  <si>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</si>
  <si>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</si>
  <si>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</si>
  <si>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</si>
  <si>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</si>
  <si>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</si>
  <si>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</si>
  <si>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</si>
  <si>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</si>
  <si>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</si>
  <si>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</si>
  <si>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</si>
  <si>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</si>
  <si>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</si>
  <si>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</si>
  <si>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</si>
  <si>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</si>
  <si>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</si>
  <si>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</si>
  <si>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</si>
  <si>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</si>
  <si>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</si>
  <si>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</si>
  <si>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</si>
  <si>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</si>
  <si>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</si>
  <si>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</si>
  <si>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</si>
  <si>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</si>
  <si>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</si>
  <si>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</si>
  <si>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</si>
  <si>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</si>
  <si>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</si>
  <si>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</si>
  <si>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</si>
  <si>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</si>
  <si>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</si>
  <si>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</si>
  <si>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</si>
  <si>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</si>
  <si>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</si>
  <si>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</si>
  <si>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</si>
  <si>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</si>
  <si>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</si>
  <si>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</si>
  <si>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</si>
  <si>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</si>
  <si>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</si>
  <si>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</si>
  <si>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</si>
  <si>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</si>
  <si>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</si>
  <si>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</si>
  <si>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</si>
  <si>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</si>
  <si>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</si>
  <si>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</si>
  <si>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</si>
  <si>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</si>
  <si>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</si>
  <si>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</si>
  <si>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</si>
  <si>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</si>
  <si>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</si>
  <si>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</si>
  <si>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</si>
  <si>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</si>
  <si>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</si>
  <si>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</si>
  <si>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</si>
  <si>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</si>
  <si>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</si>
  <si>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</si>
  <si>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</si>
  <si>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</si>
  <si>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</si>
  <si>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</si>
  <si>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</si>
  <si>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</si>
  <si>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</si>
  <si>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</si>
  <si>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</si>
  <si>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</si>
  <si>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</si>
  <si>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</si>
  <si>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</si>
  <si>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</si>
  <si>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</si>
  <si>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</si>
  <si>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</si>
  <si>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</si>
  <si>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</si>
  <si>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</si>
  <si>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</si>
  <si>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</si>
  <si>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</si>
  <si>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</si>
  <si>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</si>
  <si>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</si>
  <si>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</si>
  <si>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</si>
  <si>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</si>
  <si>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</si>
  <si>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</si>
  <si>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</si>
  <si>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</si>
  <si>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</si>
  <si>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</si>
  <si>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</si>
  <si>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</si>
  <si>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</si>
  <si>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</si>
  <si>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</si>
  <si>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</si>
  <si>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</si>
  <si>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</si>
  <si>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</si>
  <si>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</si>
  <si>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</si>
  <si>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</si>
  <si>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</si>
  <si>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</si>
  <si>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</si>
  <si>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</si>
  <si>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</si>
  <si>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</si>
  <si>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</si>
  <si>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</si>
  <si>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</si>
  <si>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</si>
  <si>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</si>
  <si>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</si>
  <si>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</si>
  <si>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</si>
  <si>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</si>
  <si>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</si>
  <si>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</si>
  <si>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</si>
  <si>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</si>
  <si>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</si>
  <si>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</si>
  <si>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</si>
  <si>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</si>
  <si>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</si>
  <si>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</si>
  <si>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</si>
  <si>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</si>
  <si>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</si>
  <si>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</si>
  <si>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</si>
  <si>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</si>
  <si>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</si>
  <si>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</si>
  <si>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</si>
  <si>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</si>
  <si>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</si>
  <si>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</si>
  <si>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</si>
  <si>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</si>
  <si>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</si>
  <si>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</si>
  <si>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</si>
  <si>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</si>
  <si>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</si>
  <si>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</si>
  <si>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</si>
  <si>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</si>
  <si>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</si>
  <si>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</si>
  <si>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</si>
  <si>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</si>
  <si>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</si>
  <si>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</si>
  <si>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</si>
  <si>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</si>
  <si>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</si>
  <si>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</si>
  <si>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</si>
  <si>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</si>
  <si>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</si>
  <si>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</si>
  <si>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</si>
  <si>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</si>
  <si>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</si>
  <si>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</si>
  <si>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</si>
  <si>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</si>
  <si>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</si>
  <si>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</si>
  <si>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</si>
  <si>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</si>
  <si>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</si>
  <si>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</si>
  <si>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</si>
  <si>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</si>
  <si>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</si>
  <si>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</si>
  <si>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</si>
  <si>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</si>
  <si>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</si>
  <si>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</si>
  <si>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</si>
  <si>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</si>
  <si>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</si>
  <si>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</si>
  <si>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</si>
  <si>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</si>
  <si>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</si>
  <si>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</si>
  <si>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</si>
  <si>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</si>
  <si>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</si>
  <si>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</si>
  <si>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</si>
  <si>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</si>
  <si>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</si>
  <si>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</si>
  <si>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</si>
  <si>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</si>
  <si>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</si>
  <si>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</si>
  <si>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</si>
  <si>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</si>
  <si>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</si>
  <si>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</si>
  <si>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</si>
  <si>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</si>
  <si>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</si>
  <si>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</si>
  <si>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</si>
  <si>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</si>
  <si>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</si>
  <si>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</si>
  <si>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</si>
  <si>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</si>
  <si>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</si>
  <si>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</si>
  <si>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</si>
  <si>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</si>
  <si>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</si>
  <si>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</si>
  <si>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</si>
  <si>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</si>
  <si>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</si>
  <si>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</si>
  <si>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</si>
  <si>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</si>
  <si>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</si>
  <si>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</si>
  <si>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</si>
  <si>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</si>
  <si>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</si>
  <si>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</si>
  <si>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</si>
  <si>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</si>
  <si>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</si>
  <si>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</si>
  <si>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</si>
  <si>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</si>
  <si>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</si>
  <si>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</si>
  <si>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</si>
  <si>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</si>
  <si>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</si>
  <si>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</si>
  <si>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</si>
  <si>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</si>
  <si>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</si>
  <si>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</si>
  <si>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</si>
  <si>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</si>
  <si>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</si>
  <si>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</si>
  <si>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</si>
  <si>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</si>
  <si>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</si>
  <si>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</si>
  <si>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</si>
  <si>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</si>
  <si>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</si>
  <si>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</si>
  <si>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</si>
  <si>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</si>
  <si>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</si>
  <si>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</si>
  <si>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</si>
  <si>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</si>
  <si>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</si>
  <si>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</si>
  <si>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</si>
  <si>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</si>
  <si>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</si>
  <si>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</si>
  <si>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</si>
  <si>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</si>
  <si>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</si>
  <si>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</si>
  <si>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</si>
  <si>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</si>
  <si>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</si>
  <si>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</si>
  <si>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</si>
  <si>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</si>
  <si>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</si>
  <si>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</si>
  <si>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</si>
  <si>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</si>
  <si>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</si>
  <si>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</si>
  <si>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</si>
  <si>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</si>
  <si>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</si>
  <si>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</si>
  <si>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</si>
  <si>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</si>
  <si>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</si>
  <si>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</si>
  <si>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</si>
  <si>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</si>
  <si>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</si>
  <si>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</si>
  <si>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</si>
  <si>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</si>
  <si>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</si>
  <si>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</si>
  <si>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</si>
  <si>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</si>
  <si>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</si>
  <si>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</si>
  <si>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</si>
  <si>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</si>
  <si>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</si>
  <si>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</si>
  <si>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</si>
  <si>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</si>
  <si>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</si>
  <si>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</si>
  <si>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</si>
  <si>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</si>
  <si>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</si>
  <si>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</si>
  <si>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</si>
  <si>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</si>
  <si>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</si>
  <si>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</si>
  <si>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</si>
  <si>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</si>
  <si>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</si>
  <si>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</si>
  <si>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</si>
  <si>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</si>
  <si>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</si>
  <si>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</si>
  <si>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</si>
  <si>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</si>
  <si>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</si>
  <si>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</si>
  <si>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</si>
  <si>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</si>
  <si>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</si>
  <si>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</si>
  <si>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</si>
  <si>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</si>
  <si>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</si>
  <si>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</si>
  <si>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</si>
  <si>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</si>
  <si>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</si>
  <si>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</si>
  <si>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</si>
  <si>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</si>
  <si>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</si>
  <si>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</si>
  <si>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</si>
  <si>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</si>
  <si>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</si>
  <si>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</si>
  <si>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</si>
  <si>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</si>
  <si>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</si>
  <si>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</si>
  <si>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</si>
  <si>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</si>
  <si>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</si>
  <si>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</si>
  <si>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</si>
  <si>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</si>
  <si>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</si>
  <si>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</si>
  <si>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</si>
  <si>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</si>
  <si>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</si>
  <si>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</si>
  <si>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</si>
  <si>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</si>
  <si>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</si>
  <si>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</si>
  <si>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</si>
  <si>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</si>
  <si>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</si>
  <si>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</si>
  <si>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</si>
  <si>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</si>
  <si>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</si>
  <si>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</si>
  <si>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</si>
  <si>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</si>
  <si>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</si>
  <si>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</si>
  <si>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</si>
  <si>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</si>
  <si>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</si>
  <si>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</si>
  <si>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</si>
  <si>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</si>
  <si>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</si>
  <si>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</si>
  <si>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</si>
  <si>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</si>
  <si>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</si>
  <si>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</si>
  <si>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</si>
  <si>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</si>
  <si>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</si>
  <si>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</si>
  <si>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</si>
  <si>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</si>
  <si>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</si>
  <si>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</si>
  <si>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</si>
  <si>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</si>
  <si>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</si>
  <si>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</si>
  <si>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</si>
  <si>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</si>
  <si>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</si>
  <si>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</si>
  <si>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</si>
  <si>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</si>
  <si>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</si>
  <si>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</si>
  <si>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</si>
  <si>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</si>
  <si>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</si>
  <si>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</si>
  <si>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</si>
  <si>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</si>
  <si>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</si>
  <si>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</si>
  <si>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</si>
  <si>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</si>
  <si>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</si>
  <si>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</si>
  <si>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</si>
  <si>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</si>
  <si>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</si>
  <si>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</si>
  <si>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</si>
  <si>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</si>
  <si>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</si>
  <si>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</si>
  <si>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</si>
  <si>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</si>
  <si>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</si>
  <si>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</si>
  <si>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</si>
  <si>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</si>
  <si>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</si>
  <si>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</si>
  <si>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</si>
  <si>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</si>
  <si>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</si>
  <si>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</si>
  <si>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</si>
  <si>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</si>
  <si>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</si>
  <si>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</si>
  <si>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</si>
  <si>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</si>
  <si>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</si>
  <si>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</si>
  <si>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</si>
  <si>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</si>
  <si>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</si>
  <si>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</si>
  <si>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</si>
  <si>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</si>
  <si>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</si>
  <si>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</si>
  <si>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</si>
  <si>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</si>
  <si>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</si>
  <si>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</si>
  <si>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</si>
  <si>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</si>
  <si>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</si>
  <si>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</si>
  <si>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</si>
  <si>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</si>
  <si>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</si>
  <si>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</si>
  <si>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</si>
  <si>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</si>
  <si>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</si>
  <si>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</si>
  <si>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</si>
  <si>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</si>
  <si>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</si>
  <si>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</si>
  <si>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</si>
  <si>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</si>
  <si>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</si>
  <si>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</si>
  <si>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</si>
  <si>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</si>
  <si>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</si>
  <si>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</si>
  <si>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</si>
  <si>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</si>
  <si>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</si>
  <si>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</si>
  <si>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</si>
  <si>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</si>
  <si>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</si>
  <si>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</si>
  <si>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</si>
  <si>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</si>
  <si>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</si>
  <si>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</si>
  <si>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</si>
  <si>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</si>
  <si>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</si>
  <si>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</si>
  <si>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</si>
  <si>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</si>
  <si>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</si>
  <si>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</si>
  <si>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</si>
  <si>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</si>
  <si>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</si>
  <si>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</si>
  <si>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</si>
  <si>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</si>
  <si>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</si>
  <si>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</si>
  <si>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</si>
  <si>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</si>
  <si>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</si>
  <si>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</si>
  <si>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</si>
  <si>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</si>
  <si>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</si>
  <si>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</si>
  <si>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</si>
  <si>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</si>
  <si>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</si>
  <si>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</si>
  <si>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</si>
  <si>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</si>
  <si>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</si>
  <si>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</si>
  <si>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</si>
  <si>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</si>
  <si>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</si>
  <si>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</si>
  <si>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</si>
  <si>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</si>
  <si>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</si>
  <si>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</si>
  <si>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</si>
  <si>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</si>
  <si>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</si>
  <si>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</si>
  <si>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</si>
  <si>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</si>
  <si>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</si>
  <si>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</si>
  <si>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</si>
  <si>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</si>
  <si>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</si>
  <si>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</si>
  <si>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</si>
  <si>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</si>
  <si>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</si>
  <si>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</si>
  <si>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</si>
  <si>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</si>
  <si>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</si>
  <si>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</si>
  <si>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</si>
  <si>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</si>
  <si>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</si>
  <si>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</si>
  <si>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</si>
  <si>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</si>
  <si>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</si>
  <si>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</si>
  <si>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</si>
  <si>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</si>
  <si>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</si>
  <si>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</si>
  <si>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</si>
  <si>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</si>
  <si>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</si>
  <si>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</si>
  <si>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</si>
  <si>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</si>
  <si>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</si>
  <si>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</si>
  <si>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</si>
  <si>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</si>
  <si>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</si>
  <si>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</si>
  <si>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</si>
  <si>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</si>
  <si>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</si>
  <si>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</si>
  <si>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</si>
  <si>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</si>
  <si>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</si>
  <si>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</si>
  <si>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</si>
  <si>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</si>
  <si>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</si>
  <si>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</si>
  <si>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</si>
  <si>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</si>
  <si>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</si>
  <si>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</si>
  <si>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</si>
  <si>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</si>
  <si>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</si>
  <si>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</si>
  <si>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</si>
  <si>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</si>
  <si>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</si>
  <si>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</si>
  <si>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</si>
  <si>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</si>
  <si>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</si>
  <si>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</si>
  <si>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</si>
  <si>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</si>
  <si>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</si>
  <si>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</si>
  <si>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</si>
  <si>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</si>
  <si>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</si>
  <si>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</si>
  <si>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</si>
  <si>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</si>
  <si>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</si>
  <si>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</si>
  <si>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</si>
  <si>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</si>
  <si>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</si>
  <si>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</si>
  <si>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</si>
  <si>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</si>
  <si>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</si>
  <si>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</si>
  <si>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</si>
  <si>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</si>
  <si>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</si>
  <si>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</si>
  <si>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</si>
  <si>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</si>
  <si>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</si>
  <si>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</si>
  <si>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</si>
  <si>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</si>
  <si>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</si>
  <si>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</si>
  <si>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</si>
  <si>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</si>
  <si>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</si>
  <si>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</si>
  <si>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</si>
  <si>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</si>
  <si>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</si>
  <si>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</si>
  <si>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</si>
  <si>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</si>
  <si>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</si>
  <si>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</si>
  <si>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</si>
  <si>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</si>
  <si>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</si>
  <si>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</si>
  <si>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</si>
  <si>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</si>
  <si>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</si>
  <si>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</si>
  <si>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</si>
  <si>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</si>
  <si>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</si>
  <si>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</si>
  <si>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</si>
  <si>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</si>
  <si>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</si>
  <si>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</si>
  <si>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</si>
  <si>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</si>
  <si>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</si>
  <si>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</si>
  <si>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</si>
  <si>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</si>
  <si>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</si>
  <si>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</si>
  <si>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</si>
  <si>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</si>
  <si>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</si>
  <si>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</si>
  <si>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</si>
  <si>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</si>
  <si>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</si>
  <si>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</si>
  <si>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</si>
  <si>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</si>
  <si>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</si>
  <si>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</si>
  <si>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</si>
  <si>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</si>
  <si>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</si>
  <si>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</si>
  <si>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</si>
  <si>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</si>
  <si>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</si>
  <si>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</si>
  <si>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</si>
  <si>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</si>
  <si>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</si>
  <si>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</si>
  <si>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</si>
  <si>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</si>
  <si>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</si>
  <si>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</si>
  <si>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</si>
  <si>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</si>
  <si>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</si>
  <si>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</si>
  <si>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</si>
  <si>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</si>
  <si>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</si>
  <si>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</si>
  <si>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</si>
  <si>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</si>
  <si>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</si>
  <si>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</si>
  <si>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</si>
  <si>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</si>
  <si>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</si>
  <si>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</si>
  <si>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</si>
  <si>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</si>
  <si>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</si>
  <si>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</si>
  <si>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</si>
  <si>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</si>
  <si>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</si>
  <si>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</si>
  <si>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</si>
  <si>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</si>
  <si>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</si>
  <si>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</si>
  <si>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</si>
  <si>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</si>
  <si>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</si>
  <si>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</si>
  <si>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</si>
  <si>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</si>
  <si>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</si>
  <si>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</si>
  <si>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</si>
  <si>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</si>
  <si>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</si>
  <si>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</si>
  <si>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</si>
  <si>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</si>
  <si>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</si>
  <si>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</si>
  <si>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</si>
  <si>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</si>
  <si>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</si>
  <si>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</si>
  <si>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</si>
  <si>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</si>
  <si>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</si>
  <si>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</si>
  <si>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</si>
  <si>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</si>
  <si>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</si>
  <si>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</si>
  <si>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</si>
  <si>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</si>
  <si>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</si>
  <si>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</si>
  <si>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</si>
  <si>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</si>
  <si>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</si>
  <si>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</si>
  <si>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</si>
  <si>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</si>
  <si>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</si>
  <si>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</si>
  <si>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</si>
  <si>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</si>
  <si>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</si>
  <si>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</si>
  <si>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</si>
  <si>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</si>
  <si>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</si>
  <si>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</si>
  <si>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</si>
  <si>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</si>
  <si>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</si>
  <si>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</si>
  <si>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</si>
  <si>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</si>
  <si>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</si>
  <si>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</si>
  <si>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</si>
  <si>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</si>
  <si>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</si>
  <si>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</si>
  <si>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</si>
  <si>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</si>
  <si>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</si>
  <si>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</si>
  <si>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</si>
  <si>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</si>
  <si>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</si>
  <si>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</si>
  <si>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</si>
  <si>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</si>
  <si>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</si>
  <si>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</si>
  <si>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</si>
  <si>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</si>
  <si>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</si>
  <si>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</si>
  <si>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</si>
  <si>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</si>
  <si>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</si>
  <si>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</si>
  <si>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</si>
  <si>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</si>
  <si>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</si>
  <si>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</si>
  <si>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</si>
  <si>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</si>
  <si>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</si>
  <si>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</si>
  <si>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</si>
  <si>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</si>
  <si>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</si>
  <si>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</si>
  <si>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</si>
  <si>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</si>
  <si>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</si>
  <si>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</si>
  <si>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</si>
  <si>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</si>
  <si>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</si>
  <si>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</si>
  <si>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</si>
  <si>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</si>
  <si>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</si>
  <si>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</si>
  <si>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</si>
  <si>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</si>
  <si>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</si>
  <si>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</si>
  <si>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</si>
  <si>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</si>
  <si>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</si>
  <si>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</si>
  <si>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</si>
  <si>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</si>
  <si>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</si>
  <si>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</si>
  <si>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</si>
  <si>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</si>
  <si>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</si>
  <si>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</si>
  <si>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</si>
  <si>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</si>
  <si>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</si>
  <si>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</si>
  <si>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</si>
  <si>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</si>
  <si>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</si>
  <si>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</si>
  <si>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</si>
  <si>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</si>
  <si>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</si>
  <si>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</si>
  <si>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</si>
  <si>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</si>
  <si>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</si>
  <si>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</si>
  <si>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</si>
  <si>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</si>
  <si>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</si>
  <si>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</si>
  <si>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</si>
  <si>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</si>
  <si>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</si>
  <si>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</si>
  <si>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</si>
  <si>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</si>
  <si>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</si>
  <si>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</si>
  <si>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</si>
  <si>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</si>
  <si>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</si>
  <si>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</si>
  <si>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</si>
  <si>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</si>
  <si>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</si>
  <si>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</si>
  <si>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</si>
  <si>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</si>
  <si>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</si>
  <si>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</si>
  <si>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</si>
  <si>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</si>
  <si>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</si>
  <si>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</si>
  <si>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</si>
  <si>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</si>
  <si>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</si>
  <si>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</si>
  <si>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</si>
  <si>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</si>
  <si>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</si>
  <si>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</si>
  <si>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</si>
  <si>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</si>
  <si>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</si>
  <si>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</si>
  <si>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</si>
  <si>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</si>
  <si>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</si>
  <si>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</si>
  <si>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</si>
  <si>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</si>
  <si>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</si>
  <si>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</si>
  <si>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</si>
  <si>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</si>
  <si>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</si>
  <si>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</si>
  <si>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</si>
  <si>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</si>
  <si>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</si>
  <si>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</si>
  <si>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</si>
  <si>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</si>
  <si>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</si>
  <si>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</si>
  <si>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</si>
  <si>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</si>
  <si>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</si>
  <si>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</si>
  <si>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</si>
  <si>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</si>
  <si>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</si>
  <si>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</si>
  <si>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</si>
  <si>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</si>
  <si>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</si>
  <si>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</si>
  <si>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</si>
  <si>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</si>
  <si>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</si>
  <si>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</si>
  <si>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</si>
  <si>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</si>
  <si>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</si>
  <si>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</si>
  <si>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</si>
  <si>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</si>
  <si>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</si>
  <si>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</si>
  <si>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</si>
  <si>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</si>
  <si>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</si>
  <si>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</si>
  <si>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</si>
  <si>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</si>
  <si>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</si>
  <si>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</si>
  <si>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</si>
  <si>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</si>
  <si>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</si>
  <si>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</si>
  <si>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</si>
  <si>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</si>
  <si>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</si>
  <si>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</si>
  <si>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</si>
  <si>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</si>
  <si>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</si>
  <si>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</si>
  <si>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</si>
  <si>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</si>
  <si>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</si>
  <si>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</si>
  <si>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</si>
  <si>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</si>
  <si>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</si>
  <si>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</si>
  <si>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</si>
  <si>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</si>
  <si>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</si>
  <si>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</si>
  <si>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</si>
  <si>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</si>
  <si>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</si>
  <si>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</si>
  <si>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</si>
  <si>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</si>
  <si>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</si>
  <si>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</si>
  <si>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</si>
  <si>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</si>
  <si>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</si>
  <si>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</si>
  <si>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</si>
  <si>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</si>
  <si>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</si>
  <si>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</si>
  <si>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</si>
  <si>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</si>
  <si>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</si>
  <si>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</si>
  <si>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</si>
  <si>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</si>
  <si>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</si>
  <si>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</si>
  <si>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</si>
  <si>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</si>
  <si>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</si>
  <si>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</si>
  <si>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</si>
  <si>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</si>
  <si>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</si>
  <si>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</si>
  <si>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</si>
  <si>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</si>
  <si>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</si>
  <si>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</si>
  <si>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</si>
  <si>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</si>
  <si>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</si>
  <si>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</si>
  <si>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</si>
  <si>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</si>
  <si>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</si>
  <si>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</si>
  <si>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</si>
  <si>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</si>
  <si>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</si>
  <si>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</si>
  <si>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</si>
  <si>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</si>
  <si>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</si>
  <si>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</si>
  <si>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</si>
  <si>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</si>
  <si>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</si>
  <si>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</si>
  <si>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</si>
  <si>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</si>
  <si>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</si>
  <si>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</si>
  <si>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</si>
  <si>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</si>
  <si>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</si>
  <si>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</si>
  <si>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</si>
  <si>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</si>
  <si>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</si>
  <si>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</si>
  <si>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</si>
  <si>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</si>
  <si>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</si>
  <si>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</si>
  <si>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</si>
  <si>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</si>
  <si>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</si>
  <si>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</si>
  <si>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</si>
  <si>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</si>
  <si>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</si>
  <si>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</si>
  <si>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</si>
  <si>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</si>
  <si>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</si>
  <si>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</si>
  <si>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</si>
  <si>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</si>
  <si>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</si>
  <si>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</si>
  <si>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</si>
  <si>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</si>
  <si>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</si>
  <si>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</si>
  <si>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</si>
  <si>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</si>
  <si>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</si>
  <si>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</si>
  <si>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</si>
  <si>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</si>
  <si>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</si>
  <si>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</si>
  <si>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</si>
  <si>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</si>
  <si>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</si>
  <si>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</si>
  <si>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</si>
  <si>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</si>
  <si>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</si>
  <si>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</si>
  <si>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</si>
  <si>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</si>
  <si>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</si>
  <si>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</si>
  <si>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</si>
  <si>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</si>
  <si>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</si>
  <si>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</si>
  <si>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</si>
  <si>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</si>
  <si>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</si>
  <si>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</si>
  <si>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</si>
  <si>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</si>
  <si>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</si>
  <si>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</si>
  <si>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</si>
  <si>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</si>
  <si>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</si>
  <si>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</si>
  <si>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</si>
  <si>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</si>
  <si>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</si>
  <si>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</si>
  <si>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</si>
  <si>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</si>
  <si>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</si>
  <si>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</si>
  <si>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</si>
  <si>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</si>
  <si>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</si>
  <si>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</si>
  <si>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</si>
  <si>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</si>
  <si>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</si>
  <si>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</si>
  <si>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</si>
  <si>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</si>
  <si>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</si>
  <si>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</si>
  <si>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</si>
  <si>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</si>
  <si>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</si>
  <si>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</si>
  <si>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</si>
  <si>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</si>
  <si>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</si>
  <si>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</si>
  <si>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</si>
  <si>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</si>
  <si>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</si>
  <si>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</si>
  <si>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</si>
  <si>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</si>
  <si>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</si>
  <si>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</si>
  <si>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</si>
  <si>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</si>
  <si>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</si>
  <si>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</si>
  <si>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</si>
  <si>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</si>
  <si>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</si>
  <si>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</si>
  <si>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</si>
  <si>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</si>
  <si>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</si>
  <si>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</si>
  <si>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</si>
  <si>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</si>
  <si>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</si>
  <si>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</si>
  <si>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</si>
  <si>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</si>
  <si>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</si>
  <si>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</si>
  <si>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</si>
  <si>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</si>
  <si>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</si>
  <si>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</si>
  <si>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</si>
  <si>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</si>
  <si>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</si>
  <si>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</si>
  <si>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</si>
  <si>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</si>
  <si>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</si>
  <si>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</si>
  <si>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</si>
  <si>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</si>
  <si>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</si>
  <si>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</si>
  <si>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</si>
  <si>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</si>
  <si>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</si>
  <si>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</si>
  <si>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</si>
  <si>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</si>
  <si>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</si>
  <si>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</si>
  <si>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</si>
  <si>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</si>
  <si>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</si>
  <si>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</si>
  <si>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</si>
  <si>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</si>
  <si>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</si>
  <si>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</si>
  <si>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</si>
  <si>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</si>
  <si>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</si>
  <si>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</si>
  <si>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</si>
  <si>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</si>
  <si>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</si>
  <si>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</si>
  <si>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</si>
  <si>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</si>
  <si>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</si>
  <si>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</si>
  <si>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</si>
  <si>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</si>
  <si>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</si>
  <si>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</si>
  <si>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</si>
  <si>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</si>
  <si>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</si>
  <si>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</si>
  <si>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</si>
  <si>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</si>
  <si>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</si>
  <si>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</si>
  <si>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</si>
  <si>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</si>
  <si>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</si>
  <si>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</si>
  <si>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</si>
  <si>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</si>
  <si>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</si>
  <si>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</si>
  <si>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</si>
  <si>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</si>
  <si>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</si>
  <si>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</si>
  <si>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</si>
  <si>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</si>
  <si>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</si>
  <si>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</si>
  <si>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</si>
  <si>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</si>
  <si>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</si>
  <si>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</si>
  <si>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</si>
  <si>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</si>
  <si>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</si>
  <si>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</si>
  <si>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</si>
  <si>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</si>
  <si>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</si>
  <si>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</si>
  <si>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</si>
  <si>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</si>
  <si>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</si>
  <si>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</si>
  <si>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</si>
  <si>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</si>
  <si>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</si>
  <si>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</si>
  <si>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</si>
  <si>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</si>
  <si>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</si>
  <si>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</si>
  <si>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</si>
  <si>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</si>
  <si>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</si>
  <si>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</si>
  <si>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</si>
  <si>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</si>
  <si>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</si>
  <si>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</si>
  <si>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</si>
  <si>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</si>
  <si>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</si>
  <si>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</si>
  <si>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</si>
  <si>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</si>
  <si>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</si>
  <si>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</si>
  <si>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</si>
  <si>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</si>
  <si>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</si>
  <si>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</si>
  <si>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</si>
  <si>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</si>
  <si>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</si>
  <si>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</si>
  <si>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</si>
  <si>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</si>
  <si>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</si>
  <si>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</si>
  <si>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</si>
  <si>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</si>
  <si>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</si>
  <si>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</si>
  <si>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</si>
  <si>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</si>
  <si>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</si>
  <si>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</si>
  <si>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</si>
  <si>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</si>
  <si>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</si>
  <si>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</si>
  <si>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</si>
  <si>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</si>
  <si>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</si>
  <si>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</si>
  <si>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</si>
  <si>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</si>
  <si>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</si>
  <si>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</si>
  <si>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</si>
  <si>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</si>
  <si>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</si>
  <si>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</si>
  <si>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</si>
  <si>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</si>
  <si>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</si>
  <si>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</si>
  <si>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</si>
  <si>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</si>
  <si>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</si>
  <si>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</si>
  <si>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</si>
  <si>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</si>
  <si>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</si>
  <si>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</si>
  <si>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</si>
  <si>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</si>
  <si>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</si>
  <si>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</si>
  <si>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</si>
  <si>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</si>
  <si>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</si>
  <si>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</si>
  <si>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</si>
  <si>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</si>
  <si>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</si>
  <si>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</si>
  <si>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</si>
  <si>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</si>
  <si>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</si>
  <si>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</si>
  <si>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</si>
  <si>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</si>
  <si>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</si>
  <si>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</si>
  <si>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</si>
  <si>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</si>
  <si>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</si>
  <si>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</si>
  <si>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</si>
  <si>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</si>
  <si>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</si>
  <si>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</si>
  <si>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</si>
  <si>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</si>
  <si>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</si>
  <si>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</si>
  <si>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</si>
  <si>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</si>
  <si>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</si>
  <si>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</si>
  <si>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</si>
  <si>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</si>
  <si>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</si>
  <si>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</si>
  <si>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</si>
  <si>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</si>
  <si>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</si>
  <si>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</si>
  <si>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</si>
  <si>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</si>
  <si>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</si>
  <si>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</si>
  <si>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</si>
  <si>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</si>
  <si>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</si>
  <si>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</si>
  <si>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</si>
  <si>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</si>
  <si>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</si>
  <si>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</si>
  <si>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</si>
  <si>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</si>
  <si>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</si>
  <si>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</si>
  <si>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</si>
  <si>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</si>
  <si>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</si>
  <si>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</si>
  <si>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</si>
  <si>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</si>
  <si>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</si>
  <si>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</si>
  <si>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</si>
  <si>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</si>
  <si>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</si>
  <si>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</si>
  <si>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</si>
  <si>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</si>
  <si>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</si>
  <si>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</si>
  <si>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</si>
  <si>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</si>
  <si>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</si>
  <si>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</si>
  <si>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</si>
  <si>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</si>
  <si>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</si>
  <si>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</si>
  <si>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</si>
  <si>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</si>
  <si>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</si>
  <si>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</si>
  <si>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</si>
  <si>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</si>
  <si>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</si>
  <si>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</si>
  <si>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</si>
  <si>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</si>
  <si>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</si>
  <si>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</si>
  <si>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</si>
  <si>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</si>
  <si>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</si>
  <si>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</si>
  <si>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</si>
  <si>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</si>
  <si>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</si>
  <si>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</si>
  <si>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</si>
  <si>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</si>
  <si>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</si>
  <si>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</si>
  <si>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</si>
  <si>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</si>
  <si>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</si>
  <si>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</si>
  <si>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</si>
  <si>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</si>
  <si>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</si>
  <si>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</si>
  <si>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</si>
  <si>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</si>
  <si>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</si>
  <si>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</si>
  <si>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</si>
  <si>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</si>
  <si>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</si>
  <si>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</si>
  <si>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</si>
  <si>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</si>
  <si>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</si>
  <si>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</si>
  <si>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</si>
  <si>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</si>
  <si>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</si>
  <si>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</si>
  <si>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</si>
  <si>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</si>
  <si>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</si>
  <si>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</si>
  <si>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</si>
  <si>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</si>
  <si>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</si>
  <si>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</si>
  <si>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</si>
  <si>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</si>
  <si>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</si>
  <si>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</si>
  <si>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</si>
  <si>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</si>
  <si>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</si>
  <si>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</si>
  <si>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</si>
  <si>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</si>
  <si>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</si>
  <si>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</si>
  <si>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</si>
  <si>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</si>
  <si>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</si>
  <si>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</si>
  <si>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</si>
  <si>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</si>
  <si>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</si>
  <si>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</si>
  <si>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</si>
  <si>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</si>
  <si>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</si>
  <si>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</si>
  <si>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</si>
  <si>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</si>
  <si>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</si>
  <si>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</si>
  <si>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</si>
  <si>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</si>
  <si>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</si>
  <si>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</si>
  <si>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</si>
  <si>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</si>
  <si>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</si>
  <si>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</si>
  <si>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</si>
  <si>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</si>
  <si>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</si>
  <si>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</si>
  <si>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</si>
  <si>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</si>
  <si>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</si>
  <si>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</si>
  <si>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</si>
  <si>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</si>
  <si>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</si>
  <si>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</si>
  <si>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</si>
  <si>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</si>
  <si>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</si>
  <si>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</si>
  <si>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</si>
  <si>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</si>
  <si>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</si>
  <si>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</si>
  <si>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</si>
  <si>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</si>
  <si>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</si>
  <si>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</si>
  <si>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</si>
  <si>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</si>
  <si>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</si>
  <si>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</si>
  <si>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</si>
  <si>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</si>
  <si>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</si>
  <si>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</si>
  <si>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</si>
  <si>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</si>
  <si>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</si>
  <si>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</si>
  <si>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</si>
  <si>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</si>
  <si>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</si>
  <si>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</si>
  <si>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</si>
  <si>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</si>
  <si>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</si>
  <si>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</si>
  <si>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</si>
  <si>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</si>
  <si>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</si>
  <si>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</si>
  <si>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</si>
  <si>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</si>
  <si>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</si>
  <si>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</si>
  <si>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</si>
  <si>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</si>
  <si>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</si>
  <si>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</si>
  <si>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</si>
  <si>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</si>
  <si>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</si>
  <si>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</si>
  <si>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</si>
  <si>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</si>
  <si>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</si>
  <si>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</si>
  <si>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</si>
  <si>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</si>
  <si>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</si>
  <si>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</si>
  <si>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</si>
  <si>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</si>
  <si>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</si>
  <si>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</si>
  <si>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</si>
  <si>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</si>
  <si>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</si>
  <si>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</si>
  <si>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</si>
  <si>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</si>
  <si>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</si>
  <si>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</si>
  <si>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</si>
  <si>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</si>
  <si>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</si>
  <si>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</si>
  <si>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</si>
  <si>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</si>
  <si>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</si>
  <si>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</si>
  <si>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</si>
  <si>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</si>
  <si>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</si>
  <si>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</si>
  <si>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</si>
  <si>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</si>
  <si>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</si>
  <si>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</si>
  <si>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</si>
  <si>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</si>
  <si>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</si>
  <si>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</si>
  <si>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</si>
  <si>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</si>
  <si>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</si>
  <si>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</si>
  <si>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</si>
  <si>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</si>
  <si>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</si>
  <si>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</si>
  <si>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</si>
  <si>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</si>
  <si>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</si>
  <si>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</si>
  <si>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</si>
  <si>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</si>
  <si>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</si>
  <si>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</si>
  <si>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</si>
  <si>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</si>
  <si>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</si>
  <si>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</si>
  <si>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</si>
  <si>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</si>
  <si>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</si>
  <si>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</si>
  <si>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</si>
  <si>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</si>
  <si>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</si>
  <si>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</si>
  <si>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</si>
  <si>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</si>
  <si>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</si>
  <si>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</si>
  <si>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</si>
  <si>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</si>
  <si>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</si>
  <si>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</si>
  <si>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</si>
  <si>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</si>
  <si>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</si>
  <si>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</si>
  <si>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</si>
  <si>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</si>
  <si>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</si>
  <si>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</si>
  <si>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</si>
  <si>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</si>
  <si>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</si>
  <si>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</si>
  <si>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</si>
  <si>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</si>
  <si>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</si>
  <si>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</si>
  <si>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</si>
  <si>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</si>
  <si>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</si>
  <si>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</si>
  <si>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</si>
  <si>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</si>
  <si>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</si>
  <si>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</si>
  <si>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</si>
  <si>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</si>
  <si>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</si>
  <si>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</si>
  <si>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</si>
  <si>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</si>
  <si>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</si>
  <si>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</si>
  <si>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</si>
  <si>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</si>
  <si>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</si>
  <si>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</si>
  <si>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</si>
  <si>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</si>
  <si>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</si>
  <si>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</si>
  <si>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</si>
  <si>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</si>
  <si>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</si>
  <si>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</si>
  <si>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</si>
  <si>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</si>
  <si>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</si>
  <si>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</si>
  <si>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</si>
  <si>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</si>
  <si>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</si>
  <si>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</si>
  <si>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</si>
  <si>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</si>
  <si>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</si>
  <si>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</si>
  <si>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</si>
  <si>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</si>
  <si>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</si>
  <si>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</si>
  <si>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</si>
  <si>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</si>
  <si>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</si>
  <si>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</si>
  <si>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</si>
  <si>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</si>
  <si>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</si>
  <si>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</si>
  <si>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</si>
  <si>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</si>
  <si>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</si>
  <si>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</si>
  <si>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</si>
  <si>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</si>
  <si>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</si>
  <si>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</si>
  <si>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</si>
  <si>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</si>
  <si>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</si>
  <si>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</si>
  <si>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</si>
  <si>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</si>
  <si>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</si>
  <si>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</si>
  <si>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</si>
  <si>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</si>
  <si>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</si>
  <si>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</si>
  <si>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</si>
  <si>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</si>
  <si>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</si>
  <si>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</si>
  <si>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</si>
  <si>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</si>
  <si>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</si>
  <si>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</si>
  <si>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</si>
  <si>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</si>
  <si>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</si>
  <si>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</si>
  <si>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</si>
  <si>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</si>
  <si>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</si>
  <si>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</si>
  <si>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</si>
  <si>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</si>
  <si>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</si>
  <si>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</si>
  <si>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</si>
  <si>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</si>
  <si>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</si>
  <si>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</si>
  <si>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</si>
  <si>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</si>
  <si>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</si>
  <si>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</si>
  <si>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</si>
  <si>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</si>
  <si>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</si>
  <si>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</si>
  <si>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</si>
  <si>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</si>
  <si>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</si>
  <si>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</si>
  <si>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</si>
  <si>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</si>
  <si>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</si>
  <si>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</si>
  <si>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</si>
  <si>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</si>
  <si>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</si>
  <si>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</si>
  <si>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</si>
  <si>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</si>
  <si>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</si>
  <si>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</si>
  <si>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</si>
  <si>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</si>
  <si>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</si>
  <si>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</si>
  <si>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</si>
  <si>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</si>
  <si>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</si>
  <si>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</si>
  <si>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</si>
  <si>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</si>
  <si>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</si>
  <si>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</si>
  <si>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</si>
  <si>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</si>
  <si>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</si>
  <si>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</si>
  <si>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</si>
  <si>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</si>
  <si>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</si>
  <si>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</si>
  <si>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</si>
  <si>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</si>
  <si>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</si>
  <si>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</si>
  <si>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</si>
  <si>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</si>
  <si>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</si>
  <si>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</si>
  <si>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</si>
  <si>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</si>
  <si>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</si>
  <si>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</si>
  <si>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</si>
  <si>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</si>
  <si>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</si>
  <si>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</si>
  <si>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</si>
  <si>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</si>
  <si>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</si>
  <si>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</si>
  <si>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</si>
  <si>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</si>
  <si>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</si>
  <si>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</si>
  <si>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</si>
  <si>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</si>
  <si>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</si>
  <si>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</si>
  <si>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</si>
  <si>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</si>
  <si>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</si>
  <si>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</si>
  <si>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</si>
  <si>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</si>
  <si>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</si>
  <si>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</si>
  <si>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</si>
  <si>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</si>
  <si>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</si>
  <si>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</si>
  <si>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</si>
  <si>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</si>
  <si>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</si>
  <si>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</si>
  <si>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</si>
  <si>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</si>
  <si>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</si>
  <si>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</si>
  <si>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</si>
  <si>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</si>
  <si>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</si>
  <si>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</si>
  <si>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</si>
  <si>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</si>
  <si>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</si>
  <si>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</si>
  <si>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</si>
  <si>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</si>
  <si>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</si>
  <si>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</si>
  <si>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</si>
  <si>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</si>
  <si>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</si>
  <si>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</si>
  <si>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</si>
  <si>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</si>
  <si>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</si>
  <si>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</si>
  <si>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</si>
  <si>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</si>
  <si>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</si>
  <si>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</si>
  <si>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</si>
  <si>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</si>
  <si>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</si>
  <si>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</si>
  <si>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</si>
  <si>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</si>
  <si>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</si>
  <si>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</si>
  <si>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</si>
  <si>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</si>
  <si>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</si>
  <si>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</si>
  <si>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</si>
  <si>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</si>
  <si>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</si>
  <si>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</si>
  <si>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</si>
  <si>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</si>
  <si>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</si>
  <si>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</si>
  <si>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</si>
  <si>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</si>
  <si>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</si>
  <si>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</si>
  <si>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</si>
  <si>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</si>
  <si>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</si>
  <si>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</si>
  <si>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</si>
  <si>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</si>
  <si>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</si>
  <si>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</si>
  <si>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</si>
  <si>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</si>
  <si>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</si>
  <si>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</si>
  <si>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</si>
  <si>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</si>
  <si>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</si>
  <si>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</si>
  <si>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</si>
  <si>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</si>
  <si>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</si>
  <si>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</si>
  <si>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</si>
  <si>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</si>
  <si>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</si>
  <si>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</si>
  <si>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</si>
  <si>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</si>
  <si>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</si>
  <si>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</si>
  <si>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</si>
  <si>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</si>
  <si>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</si>
  <si>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</si>
  <si>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</si>
  <si>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</si>
  <si>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</si>
  <si>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</si>
  <si>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</si>
  <si>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</si>
  <si>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</si>
  <si>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</si>
  <si>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</si>
  <si>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</si>
  <si>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</si>
  <si>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</si>
  <si>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</si>
  <si>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</si>
  <si>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</si>
  <si>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</si>
  <si>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</si>
  <si>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</si>
  <si>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</si>
  <si>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</si>
  <si>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</si>
  <si>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</si>
  <si>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</si>
  <si>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</si>
  <si>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</si>
  <si>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</si>
  <si>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</si>
  <si>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</si>
  <si>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</si>
  <si>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</si>
  <si>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</si>
  <si>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</si>
  <si>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</si>
  <si>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</si>
  <si>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</si>
  <si>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</si>
  <si>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</si>
  <si>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</si>
  <si>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</si>
  <si>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</si>
  <si>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</si>
  <si>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</si>
  <si>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</si>
  <si>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</si>
  <si>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</si>
  <si>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</si>
  <si>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</si>
  <si>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</si>
  <si>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</si>
  <si>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</si>
  <si>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</si>
  <si>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</si>
  <si>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</si>
  <si>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</si>
  <si>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</si>
  <si>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</si>
  <si>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</si>
  <si>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</si>
  <si>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</si>
  <si>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</si>
  <si>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</si>
  <si>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</si>
  <si>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</si>
  <si>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</si>
  <si>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</si>
  <si>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</si>
  <si>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</si>
  <si>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</si>
  <si>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</si>
  <si>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</si>
  <si>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</si>
  <si>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</si>
  <si>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</si>
  <si>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</si>
  <si>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</si>
  <si>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</si>
  <si>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</si>
  <si>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</si>
  <si>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</si>
  <si>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</si>
  <si>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</si>
  <si>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</si>
  <si>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</si>
  <si>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</si>
  <si>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</si>
  <si>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</si>
  <si>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</si>
  <si>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</si>
  <si>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</si>
  <si>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</si>
  <si>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</si>
  <si>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</si>
  <si>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</si>
  <si>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</si>
  <si>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</si>
  <si>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</si>
  <si>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</si>
  <si>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</si>
  <si>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</si>
  <si>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</si>
  <si>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</si>
  <si>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</si>
  <si>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</si>
  <si>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</si>
  <si>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</si>
  <si>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</si>
  <si>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</si>
  <si>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</si>
  <si>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</si>
  <si>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</si>
  <si>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</si>
  <si>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</si>
  <si>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</si>
  <si>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</si>
  <si>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</si>
  <si>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</si>
  <si>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</si>
  <si>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</si>
  <si>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</si>
  <si>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</si>
  <si>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</si>
  <si>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</si>
  <si>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</si>
  <si>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</si>
  <si>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</si>
  <si>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</si>
  <si>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</si>
  <si>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</si>
  <si>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</si>
  <si>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</si>
  <si>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</si>
  <si>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</si>
  <si>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</si>
  <si>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</si>
  <si>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</si>
  <si>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</si>
  <si>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</si>
  <si>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</si>
  <si>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</si>
  <si>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</si>
  <si>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</si>
  <si>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</si>
  <si>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</si>
  <si>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</si>
  <si>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</si>
  <si>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</si>
  <si>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</si>
  <si>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</si>
  <si>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</si>
  <si>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</si>
  <si>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</si>
  <si>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</si>
  <si>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</si>
  <si>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</si>
  <si>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</si>
  <si>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</si>
  <si>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</si>
  <si>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</si>
  <si>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</si>
  <si>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</si>
  <si>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</si>
  <si>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</si>
  <si>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</si>
  <si>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</si>
  <si>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</si>
  <si>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</si>
  <si>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</si>
  <si>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</si>
  <si>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</si>
  <si>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</si>
  <si>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</si>
  <si>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</si>
  <si>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</si>
  <si>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</si>
  <si>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</si>
  <si>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</si>
  <si>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</si>
  <si>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</si>
  <si>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</si>
  <si>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</si>
  <si>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</si>
  <si>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</si>
  <si>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</si>
  <si>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</si>
  <si>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</si>
  <si>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</si>
  <si>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</si>
  <si>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</si>
  <si>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</si>
  <si>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</si>
  <si>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</si>
  <si>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</si>
  <si>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</si>
  <si>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</si>
  <si>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</si>
  <si>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</si>
  <si>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</si>
  <si>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</si>
  <si>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</si>
  <si>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</si>
  <si>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</si>
  <si>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</si>
  <si>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</si>
  <si>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</si>
  <si>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</si>
  <si>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</si>
  <si>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</si>
  <si>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</si>
  <si>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</si>
  <si>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</si>
  <si>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</si>
  <si>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</si>
  <si>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</si>
  <si>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</si>
  <si>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</si>
  <si>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</si>
  <si>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</si>
  <si>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</si>
  <si>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</si>
  <si>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</si>
  <si>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</si>
  <si>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</si>
  <si>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</si>
  <si>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</si>
  <si>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</si>
  <si>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</si>
  <si>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</si>
  <si>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</si>
  <si>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</si>
  <si>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</si>
  <si>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</si>
  <si>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</si>
  <si>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</si>
  <si>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</si>
  <si>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</si>
  <si>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</si>
  <si>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</si>
  <si>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</si>
  <si>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</si>
  <si>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</si>
  <si>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</si>
  <si>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</si>
  <si>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</si>
  <si>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</si>
  <si>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</si>
  <si>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</si>
  <si>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</si>
  <si>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</si>
  <si>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</si>
  <si>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</si>
  <si>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</si>
  <si>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</si>
  <si>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</si>
  <si>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</si>
  <si>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</si>
  <si>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</si>
  <si>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</si>
  <si>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</si>
  <si>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</si>
  <si>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</si>
  <si>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</si>
  <si>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</si>
  <si>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</si>
  <si>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</si>
  <si>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</si>
  <si>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</si>
  <si>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</si>
  <si>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</si>
  <si>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</si>
  <si>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</si>
  <si>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</si>
  <si>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</si>
  <si>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</si>
  <si>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</si>
  <si>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</si>
  <si>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</si>
  <si>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</si>
  <si>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</si>
  <si>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</si>
  <si>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</si>
  <si>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</si>
  <si>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</si>
  <si>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</si>
  <si>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</si>
  <si>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</si>
  <si>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</si>
  <si>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</si>
  <si>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</si>
  <si>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</si>
  <si>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</si>
  <si>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</si>
  <si>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</si>
  <si>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</si>
  <si>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</si>
  <si>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</si>
  <si>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</si>
  <si>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</si>
  <si>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</si>
  <si>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</si>
  <si>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</si>
  <si>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</si>
  <si>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</si>
  <si>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</si>
  <si>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</si>
  <si>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</si>
  <si>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</si>
  <si>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</si>
  <si>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</si>
  <si>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</si>
  <si>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</si>
  <si>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</si>
  <si>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</si>
  <si>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</si>
  <si>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</si>
  <si>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</si>
  <si>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</si>
  <si>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</si>
  <si>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</si>
  <si>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</si>
  <si>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</si>
  <si>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</si>
  <si>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</si>
  <si>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</si>
  <si>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</si>
  <si>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</si>
  <si>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</si>
  <si>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</si>
  <si>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</si>
  <si>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</si>
  <si>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</si>
  <si>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</si>
  <si>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</si>
  <si>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</si>
  <si>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</si>
  <si>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</si>
  <si>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</si>
  <si>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</si>
  <si>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</si>
  <si>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</si>
  <si>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</si>
  <si>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</si>
  <si>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</si>
  <si>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</si>
  <si>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</si>
  <si>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</si>
  <si>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</si>
  <si>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</si>
  <si>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</si>
  <si>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</si>
  <si>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</si>
  <si>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</si>
  <si>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</si>
  <si>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</si>
  <si>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</si>
  <si>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</si>
  <si>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</si>
  <si>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</si>
  <si>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</si>
  <si>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</si>
  <si>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</si>
  <si>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</si>
  <si>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</si>
  <si>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</si>
  <si>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</si>
  <si>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</si>
  <si>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</si>
  <si>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</si>
  <si>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</si>
  <si>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</si>
  <si>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</si>
  <si>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</si>
  <si>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</si>
  <si>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</si>
  <si>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</si>
  <si>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</si>
  <si>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</si>
  <si>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</si>
  <si>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</si>
  <si>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</si>
  <si>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</si>
  <si>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</si>
  <si>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</si>
  <si>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</si>
  <si>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</si>
  <si>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</si>
  <si>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</si>
  <si>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</si>
  <si>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</si>
  <si>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</si>
  <si>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</si>
  <si>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</si>
  <si>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</si>
  <si>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</si>
  <si>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</si>
  <si>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</si>
  <si>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</si>
  <si>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</si>
  <si>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</si>
  <si>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</si>
  <si>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</si>
  <si>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</si>
  <si>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</si>
  <si>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</si>
  <si>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</si>
  <si>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</si>
  <si>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</si>
  <si>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</si>
  <si>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</si>
  <si>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</si>
  <si>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</si>
  <si>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</si>
  <si>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</si>
  <si>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</si>
  <si>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</si>
  <si>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</si>
  <si>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</si>
  <si>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</si>
  <si>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</si>
  <si>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</si>
  <si>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</si>
  <si>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</si>
  <si>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</si>
  <si>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</si>
  <si>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</si>
  <si>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</si>
  <si>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</si>
  <si>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</si>
  <si>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</si>
  <si>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</si>
  <si>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</si>
  <si>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</si>
  <si>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</si>
  <si>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</si>
  <si>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</si>
  <si>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</si>
  <si>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</si>
  <si>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</si>
  <si>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</si>
  <si>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</si>
  <si>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</si>
  <si>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</si>
  <si>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</si>
  <si>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</si>
  <si>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</si>
  <si>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</si>
  <si>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</si>
  <si>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</si>
  <si>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</si>
  <si>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</si>
  <si>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</si>
  <si>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</si>
  <si>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</si>
  <si>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</si>
  <si>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</si>
  <si>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</si>
  <si>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</si>
  <si>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</si>
  <si>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</si>
  <si>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</si>
  <si>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</si>
  <si>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</si>
  <si>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</si>
  <si>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</si>
  <si>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</si>
  <si>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</si>
  <si>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</si>
  <si>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</si>
  <si>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</si>
  <si>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</si>
  <si>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</si>
  <si>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</si>
  <si>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</si>
  <si>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</si>
  <si>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</si>
  <si>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</si>
  <si>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</si>
  <si>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</si>
  <si>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</si>
  <si>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</si>
  <si>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</si>
  <si>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</si>
  <si>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</si>
  <si>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</si>
  <si>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</si>
  <si>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</si>
  <si>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</si>
  <si>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</si>
  <si>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</si>
  <si>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</si>
  <si>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</si>
  <si>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</si>
  <si>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</si>
  <si>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</si>
  <si>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</si>
  <si>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</si>
  <si>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</si>
  <si>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</si>
  <si>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</si>
  <si>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</si>
  <si>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</si>
  <si>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</si>
  <si>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</si>
  <si>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</si>
  <si>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</si>
  <si>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</si>
  <si>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</si>
  <si>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</si>
  <si>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</si>
  <si>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</si>
  <si>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</si>
  <si>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</si>
  <si>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</si>
  <si>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</si>
  <si>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</si>
  <si>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</si>
  <si>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</si>
  <si>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</si>
  <si>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</si>
  <si>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</si>
  <si>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</si>
  <si>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</si>
  <si>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</si>
  <si>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</si>
  <si>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</si>
  <si>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</si>
  <si>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</si>
  <si>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</si>
  <si>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</si>
  <si>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</si>
  <si>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</si>
  <si>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</si>
  <si>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</si>
  <si>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</si>
  <si>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</si>
  <si>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</si>
  <si>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</si>
  <si>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</si>
  <si>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</si>
  <si>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</si>
  <si>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</si>
  <si>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</si>
  <si>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</si>
  <si>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</si>
  <si>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</si>
  <si>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</si>
  <si>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</si>
  <si>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</si>
  <si>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</si>
  <si>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</si>
  <si>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</si>
  <si>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</si>
  <si>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</si>
  <si>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</si>
  <si>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</si>
  <si>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</si>
  <si>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</si>
  <si>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</si>
  <si>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</si>
  <si>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</si>
  <si>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</si>
  <si>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</si>
  <si>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</si>
  <si>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</si>
  <si>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</si>
  <si>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</si>
  <si>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</si>
  <si>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</si>
  <si>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</si>
  <si>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</si>
  <si>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</si>
  <si>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</si>
  <si>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</si>
  <si>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</si>
  <si>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</si>
  <si>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</si>
  <si>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</si>
  <si>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</si>
  <si>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</si>
  <si>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</si>
  <si>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</si>
  <si>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</si>
  <si>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</si>
  <si>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</si>
  <si>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</si>
  <si>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</si>
  <si>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</si>
  <si>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</si>
  <si>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</si>
  <si>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</si>
  <si>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</si>
  <si>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</si>
  <si>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</si>
  <si>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</si>
  <si>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</si>
  <si>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</si>
  <si>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</si>
  <si>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</si>
  <si>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</si>
  <si>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</si>
  <si>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</si>
  <si>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</si>
  <si>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</si>
  <si>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</si>
  <si>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</si>
  <si>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</si>
  <si>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</si>
  <si>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</si>
  <si>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</si>
  <si>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</si>
  <si>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</si>
  <si>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</si>
  <si>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</si>
  <si>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</si>
  <si>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</si>
  <si>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</si>
  <si>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</si>
  <si>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</si>
  <si>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</si>
  <si>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</si>
  <si>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</si>
  <si>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</si>
  <si>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</si>
  <si>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</si>
  <si>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</si>
  <si>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</si>
  <si>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</si>
  <si>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</si>
  <si>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</si>
  <si>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</si>
  <si>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</si>
  <si>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</si>
  <si>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</si>
  <si>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</si>
  <si>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</si>
  <si>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</si>
  <si>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</si>
  <si>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</si>
  <si>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</si>
  <si>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</si>
  <si>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</si>
  <si>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</si>
  <si>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</si>
  <si>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</si>
  <si>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</si>
  <si>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</si>
  <si>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</si>
  <si>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</si>
  <si>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</si>
  <si>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</si>
  <si>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</si>
  <si>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</si>
  <si>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</si>
  <si>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</si>
  <si>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</si>
  <si>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</si>
  <si>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</si>
  <si>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</si>
  <si>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</si>
  <si>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</si>
  <si>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</si>
  <si>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</si>
  <si>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</si>
  <si>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</si>
  <si>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</si>
  <si>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</si>
  <si>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</si>
  <si>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</si>
  <si>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</si>
  <si>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</si>
  <si>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</si>
  <si>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</si>
  <si>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</si>
  <si>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</si>
  <si>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</si>
  <si>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</si>
  <si>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</si>
  <si>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</si>
  <si>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</si>
  <si>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</si>
  <si>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</si>
  <si>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</si>
  <si>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</si>
  <si>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</si>
  <si>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</si>
  <si>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</si>
  <si>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</si>
  <si>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</si>
  <si>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</si>
  <si>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</si>
  <si>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</si>
  <si>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</si>
  <si>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</si>
  <si>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</si>
  <si>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</si>
  <si>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</si>
  <si>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</si>
  <si>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</si>
  <si>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</si>
  <si>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</si>
  <si>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</si>
  <si>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</si>
  <si>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</si>
  <si>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</si>
  <si>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</si>
  <si>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</si>
  <si>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</si>
  <si>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</si>
  <si>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</si>
  <si>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</si>
  <si>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</si>
  <si>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</si>
  <si>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</si>
  <si>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</si>
  <si>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</si>
  <si>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</si>
  <si>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</si>
  <si>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</si>
  <si>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</si>
  <si>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</si>
  <si>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</si>
  <si>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</si>
  <si>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</si>
  <si>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</si>
  <si>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</si>
  <si>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</si>
  <si>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</si>
  <si>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</si>
  <si>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</si>
  <si>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</si>
  <si>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</si>
  <si>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</si>
  <si>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</si>
  <si>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</si>
  <si>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</si>
  <si>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</si>
  <si>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</si>
  <si>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</si>
  <si>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</si>
  <si>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</si>
  <si>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</si>
  <si>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</si>
  <si>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</si>
  <si>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</si>
  <si>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</si>
  <si>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</si>
  <si>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</si>
  <si>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</si>
  <si>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</si>
  <si>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</si>
  <si>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</si>
  <si>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</si>
  <si>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</si>
  <si>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</si>
  <si>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</si>
  <si>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</si>
  <si>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</si>
  <si>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</si>
  <si>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</si>
  <si>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</si>
  <si>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</si>
  <si>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</si>
  <si>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</si>
  <si>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</si>
  <si>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</si>
  <si>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</si>
  <si>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</si>
  <si>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</si>
  <si>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</si>
  <si>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</si>
  <si>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</si>
  <si>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</si>
  <si>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</si>
  <si>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</si>
  <si>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</si>
  <si>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</si>
  <si>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</si>
  <si>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</si>
  <si>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</si>
  <si>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</si>
  <si>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</si>
  <si>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</si>
  <si>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</si>
  <si>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</si>
  <si>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</si>
  <si>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</si>
  <si>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</si>
  <si>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</si>
  <si>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</si>
  <si>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</si>
  <si>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</si>
  <si>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</si>
  <si>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</si>
  <si>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</si>
  <si>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</si>
  <si>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</si>
  <si>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</si>
  <si>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</si>
  <si>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</si>
  <si>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</si>
  <si>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</si>
  <si>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</si>
  <si>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</si>
  <si>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</si>
  <si>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</si>
  <si>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</si>
  <si>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</si>
  <si>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</si>
  <si>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</si>
  <si>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</si>
  <si>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</si>
  <si>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</si>
  <si>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</si>
  <si>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</si>
  <si>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</si>
  <si>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</si>
  <si>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</si>
  <si>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</si>
  <si>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</si>
  <si>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</si>
  <si>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</si>
  <si>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</si>
  <si>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</si>
  <si>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</si>
  <si>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</si>
  <si>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</si>
  <si>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</si>
  <si>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</si>
  <si>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</si>
  <si>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</si>
  <si>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</si>
  <si>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</si>
  <si>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</si>
  <si>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</si>
  <si>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</si>
  <si>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</si>
  <si>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</si>
  <si>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</si>
  <si>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</si>
  <si>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</si>
  <si>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</si>
  <si>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</si>
  <si>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</si>
  <si>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</si>
  <si>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</si>
  <si>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</si>
  <si>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</si>
  <si>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</si>
  <si>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</si>
  <si>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</si>
  <si>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</si>
  <si>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</si>
  <si>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</si>
  <si>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</si>
  <si>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</si>
  <si>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</si>
  <si>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</si>
  <si>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</si>
  <si>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</si>
  <si>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</si>
  <si>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</si>
  <si>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</si>
  <si>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</si>
  <si>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</si>
  <si>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</si>
  <si>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</si>
  <si>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</si>
  <si>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</si>
  <si>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</si>
  <si>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</si>
  <si>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</si>
  <si>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</si>
  <si>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</si>
  <si>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</si>
  <si>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</si>
  <si>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</si>
  <si>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</si>
  <si>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</si>
  <si>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</si>
  <si>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</si>
  <si>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</si>
  <si>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</si>
  <si>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</si>
  <si>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</si>
  <si>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</si>
  <si>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</si>
  <si>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</si>
  <si>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</si>
  <si>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</si>
  <si>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</si>
  <si>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</si>
  <si>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</si>
  <si>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</si>
  <si>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</si>
  <si>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</si>
  <si>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</si>
  <si>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</si>
  <si>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</si>
  <si>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</si>
  <si>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</si>
  <si>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</si>
  <si>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</si>
  <si>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</si>
  <si>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</si>
  <si>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</si>
  <si>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</si>
  <si>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</si>
  <si>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</si>
  <si>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</si>
  <si>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</si>
  <si>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</si>
  <si>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</si>
  <si>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</si>
  <si>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</si>
  <si>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</si>
  <si>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</si>
  <si>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</si>
  <si>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</si>
  <si>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</si>
  <si>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</si>
  <si>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</si>
  <si>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</si>
  <si>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</si>
  <si>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</si>
  <si>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</si>
  <si>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</si>
  <si>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</si>
  <si>
    <t>98478583703aad5d</t>
  </si>
  <si>
    <t>20_10_2026_AO_Diur.gpx</t>
  </si>
  <si>
    <t>98478583703aad5d6173f9bf117caeca9153eecd0356d37ae278ff0b8d3af577</t>
  </si>
  <si>
    <t>20/10/2026</t>
  </si>
  <si>
    <t>20/10/2026 07:51:03</t>
  </si>
  <si>
    <t>20/10/2026 16:27:00</t>
  </si>
  <si>
    <t>Inicio GPS anterior al horario: 00:38:57 antes de las 08:30.; Fin GPS dentro de la tolerancia del horario programado.; 3 hueco(s) GPS &gt;= 10 min.</t>
  </si>
  <si>
    <t>6.225719, -75.599437</t>
  </si>
  <si>
    <t>6.250304, -75.599764</t>
  </si>
  <si>
    <t>4c5568c0a9bb6c48</t>
  </si>
  <si>
    <t>20_10_2026_AR_Diur.gpx</t>
  </si>
  <si>
    <t>4c5568c0a9bb6c48f3d33c5b7670402d2ec0830f9cf06f35caa1cd4e527e8fb0</t>
  </si>
  <si>
    <t>15576b773796bb55</t>
  </si>
  <si>
    <t>20_10_2026_JHP_Diur.gpx</t>
  </si>
  <si>
    <t>15576b773796bb559d0a5747576c159745ac8bc6dacb8488fe82581ed6277195</t>
  </si>
  <si>
    <t>20/10/2026 07:37:52</t>
  </si>
  <si>
    <t>20/10/2026 16:27:20</t>
  </si>
  <si>
    <t>Inicio GPS anterior al horario: 00:52:08 antes de las 08:30.; Fin GPS dentro de la tolerancia del horario programado.; 1 hueco(s) GPS &gt;= 10 min.</t>
  </si>
  <si>
    <t>6.290575, -75.546309</t>
  </si>
  <si>
    <t>6.272812, -75.574382</t>
  </si>
  <si>
    <t>1b823eb540dccc7a</t>
  </si>
  <si>
    <t>20_10_2026_JZ_Diur.gpx</t>
  </si>
  <si>
    <t>1b823eb540dccc7afc8c0ae4ba9f7f8e4e3a16879c9b4b70d65222e273324a6b</t>
  </si>
  <si>
    <t>20/10/2026 08:22:19</t>
  </si>
  <si>
    <t>20/10/2026 16:37:39</t>
  </si>
  <si>
    <t>6.226664, -75.599210</t>
  </si>
  <si>
    <t>6.279660, -75.572286</t>
  </si>
  <si>
    <t>248defe511bdd3a1</t>
  </si>
  <si>
    <t>20_10_2026_DR_Noct.gpx</t>
  </si>
  <si>
    <t>248defe511bdd3a183e9adfa4f3c67d3bab23bbe6ec53e9b785dc2e0190128f5</t>
  </si>
  <si>
    <t>20/10/2026 18:05:11</t>
  </si>
  <si>
    <t>20/10/2026 21:38:00</t>
  </si>
  <si>
    <t>Inicio GPS dentro de la tolerancia del horario programado.; Fin GPS anticipado: 02:22:00 antes de las 00:00.</t>
  </si>
  <si>
    <t>6.247880, -75.615136</t>
  </si>
  <si>
    <t>6.208443, -75.591437</t>
  </si>
  <si>
    <t>6186a84439c8c69e</t>
  </si>
  <si>
    <t>20_10_2026_DV_Noct.gpx</t>
  </si>
  <si>
    <t>6186a84439c8c69e87695b3306c3a5e49fad2496c68c685d3c0e4d18aebe3629</t>
  </si>
  <si>
    <t>20/10/2026 17:05:54</t>
  </si>
  <si>
    <t>21/10/2026 00:44:59</t>
  </si>
  <si>
    <t>Inicio GPS anterior al horario: 00:54:06 antes de las 18:00.; Fin GPS posterior: 00:44:59 después de las 00:00.; 1 permanencia(s) GPS detectada(s); requiere contexto.</t>
  </si>
  <si>
    <t>6.239574, -75.576549</t>
  </si>
  <si>
    <t>6.272927, -75.601972</t>
  </si>
  <si>
    <t>1dc7d2f2b70fdd9a</t>
  </si>
  <si>
    <t>20_10_2026_IQ_Noct.gpx</t>
  </si>
  <si>
    <t>1dc7d2f2b70fdd9ac192b3f4efce97c653f2bd7a7acbd1e4ea4c123679bf72a3</t>
  </si>
  <si>
    <t>20/10/2026 16:40:35</t>
  </si>
  <si>
    <t>20/10/2026 23:44:12</t>
  </si>
  <si>
    <t>Inicio GPS anterior al horario: 01:19:25 antes de las 18:00.; Fin GPS anticipado: 00:15:48 antes de las 00:00.; 2 hueco(s) GPS &gt;= 10 min.</t>
  </si>
  <si>
    <t>6.225198, -75.599368</t>
  </si>
  <si>
    <t>6.278241, -75.538991</t>
  </si>
  <si>
    <t>9646c9a0277f38cd</t>
  </si>
  <si>
    <t>20_10_2026_JA_Noct.gpx</t>
  </si>
  <si>
    <t>9646c9a0277f38cda05b5c2cb6b50afbb272619036d65e710bb50ef9db426ece</t>
  </si>
  <si>
    <t>20/10/2026 16:38:49</t>
  </si>
  <si>
    <t>20/10/2026 22:15:29</t>
  </si>
  <si>
    <t>Inicio GPS anterior al horario: 01:21:11 antes de las 18:00.; Fin GPS anticipado: 01:44:31 antes de las 00:00.; 1 hueco(s) GPS &gt;= 10 min.</t>
  </si>
  <si>
    <t>6.225693, -75.599403</t>
  </si>
  <si>
    <t>6.236988, -75.558809</t>
  </si>
  <si>
    <t>7463b2c261c779a8</t>
  </si>
  <si>
    <t>20_10_2026_JO_Noct.gpx</t>
  </si>
  <si>
    <t>7463b2c261c779a890604e0cf64c70b53d6d7eb4266ad70f23594592286f37b0</t>
  </si>
  <si>
    <t>20/10/2026 18:09:58</t>
  </si>
  <si>
    <t>20/10/2026 23:49:19</t>
  </si>
  <si>
    <t>6.249794, -75.584761</t>
  </si>
  <si>
    <t>6.259491, -75.620589</t>
  </si>
  <si>
    <t>6d4cf9b91d3518f2</t>
  </si>
  <si>
    <t>20_10_2026_JP_Noct.gpx</t>
  </si>
  <si>
    <t>6d4cf9b91d3518f2235f7c7a23c161c17018fd1a0bdac1ffa0596eb1afdb63aa</t>
  </si>
  <si>
    <t>20/10/2026 18:35:22</t>
  </si>
  <si>
    <t>21/10/2026 00:01:47</t>
  </si>
  <si>
    <t>Inicio GPS tardío: 00:35:22 después de las 18:00.; Fin GPS dentro de la tolerancia del horario programado.; 1 permanencia(s) GPS detectada(s); requiere contexto.</t>
  </si>
  <si>
    <t>6.251730, -75.551740</t>
  </si>
  <si>
    <t>6.251750, -75.551732</t>
  </si>
  <si>
    <t>4946238f323fadef</t>
  </si>
  <si>
    <t>20_10_2026_LA_Noct.gpx</t>
  </si>
  <si>
    <t>4946238f323fadef5e5cbf466d229d2af710f4da3467c785fb950af880e0edf1</t>
  </si>
  <si>
    <t>20/10/2026 16:49:03</t>
  </si>
  <si>
    <t>21/10/2026 00:03:44</t>
  </si>
  <si>
    <t>Inicio GPS anterior al horario: 01:10:56 antes de las 18:00.; Fin GPS dentro de la tolerancia del horario programado.; 3 hueco(s) GPS &gt;= 10 min.</t>
  </si>
  <si>
    <t>6.226665, -75.599373</t>
  </si>
  <si>
    <t>6.268590, -75.599512</t>
  </si>
  <si>
    <t>8a1c26c83158132e</t>
  </si>
  <si>
    <t>20_10_2026_SJ_Noct.gpx</t>
  </si>
  <si>
    <t>8a1c26c83158132e1c7334ba2530189881a1cf0173724ffd3b7294dfce14195f</t>
  </si>
  <si>
    <t>20/10/2026 18:07:16</t>
  </si>
  <si>
    <t>20/10/2026 22:34:45</t>
  </si>
  <si>
    <t>Inicio GPS dentro de la tolerancia del horario programado.; Fin GPS anticipado: 01:25:15 antes de las 00:00.</t>
  </si>
  <si>
    <t>6.222747, -75.598646</t>
  </si>
  <si>
    <t>6.240515, -75.552285</t>
  </si>
  <si>
    <t>6f7473bcb6f540eb</t>
  </si>
  <si>
    <t>20_10_2026_YL_Noct.gpx</t>
  </si>
  <si>
    <t>6f7473bcb6f540eb20d21327f9459be15d21fa1d28472d9f86901dd5fabfe278</t>
  </si>
  <si>
    <t>20/10/2026 17:58:05</t>
  </si>
  <si>
    <t>20/10/2026 17:58:29</t>
  </si>
  <si>
    <t>Inicio GPS dentro de la tolerancia del horario programado.; Fin GPS anticipado: 06:01:31 antes de las 00:00.</t>
  </si>
  <si>
    <t>6.258146, -75.615331</t>
  </si>
  <si>
    <t>6.258648, -75.615716</t>
  </si>
  <si>
    <t>Fuertes lluvias en la Noche</t>
  </si>
  <si>
    <t>ab3556093ee7f70c</t>
  </si>
  <si>
    <t>21_10_2026_AO_Diur.gpx</t>
  </si>
  <si>
    <t>ab3556093ee7f70ce2cd7eaaa52f5717235927b6e28a56088d15b79e7452a3f4</t>
  </si>
  <si>
    <t>21/10/2026</t>
  </si>
  <si>
    <t>21/10/2026 09:16:50</t>
  </si>
  <si>
    <t>21/10/2026 16:31:57</t>
  </si>
  <si>
    <t>Inicio GPS tardío: 00:46:50 después de las 08:30.; Fin GPS dentro de la tolerancia del horario programado.; 1 hueco(s) GPS &gt;= 10 min.; 1 permanencia(s) GPS detectada(s); requiere contexto.</t>
  </si>
  <si>
    <t>6.203249, -75.600743</t>
  </si>
  <si>
    <t>6.232174, -75.596886</t>
  </si>
  <si>
    <t>225613b22775d1f1</t>
  </si>
  <si>
    <t>21_10_2026_AR_Diur.gpx</t>
  </si>
  <si>
    <t>225613b22775d1f18fe5fe897761fd6a293740d709d3c2a9f177f515d9c4be5a</t>
  </si>
  <si>
    <t>21/10/2026 08:25:28</t>
  </si>
  <si>
    <t>21/10/2026 16:21:46</t>
  </si>
  <si>
    <t>6.225682, -75.599463</t>
  </si>
  <si>
    <t>6.241786, -75.607846</t>
  </si>
  <si>
    <t>f9e505ade0e5f3f7</t>
  </si>
  <si>
    <t>21_10_2026_JHP_Diur.gpx</t>
  </si>
  <si>
    <t>f9e505ade0e5f3f73f8956f618341e7005d6728701331ce1e41bacadef0ad630</t>
  </si>
  <si>
    <t>21/10/2026 08:32:02</t>
  </si>
  <si>
    <t>21/10/2026 16:14:22</t>
  </si>
  <si>
    <t>Inicio GPS dentro de la tolerancia del horario programado.; Fin GPS anticipado: 00:15:38 antes de las 16:30.</t>
  </si>
  <si>
    <t>6.254234, -75.574907</t>
  </si>
  <si>
    <t>6.272834, -75.574435</t>
  </si>
  <si>
    <t>992c8da8aa659d28</t>
  </si>
  <si>
    <t>21_10_2026_JP_Diur.gpx</t>
  </si>
  <si>
    <t>992c8da8aa659d287329a9a9de489d11203398897e275d187777a08cc8e91416</t>
  </si>
  <si>
    <t>21/10/2026 08:41:38</t>
  </si>
  <si>
    <t>21/10/2026 15:49:33</t>
  </si>
  <si>
    <t>Inicio GPS dentro de la tolerancia del horario programado.; Fin GPS anticipado: 00:40:27 antes de las 16:30.; 2 hueco(s) GPS &gt;= 10 min.</t>
  </si>
  <si>
    <t>6.225603, -75.599320</t>
  </si>
  <si>
    <t>6.251692, -75.551850</t>
  </si>
  <si>
    <t>7d410b20b76a6f30</t>
  </si>
  <si>
    <t>21_10_2026_JZ_Diur.gpx</t>
  </si>
  <si>
    <t>7d410b20b76a6f3072493e8c5f156ee3ce6a8c198591f8e77b2cb2ad72db6922</t>
  </si>
  <si>
    <t>21/10/2026 08:29:52</t>
  </si>
  <si>
    <t>21/10/2026 12:18:13</t>
  </si>
  <si>
    <t>Inicio GPS dentro de la tolerancia del horario programado.; Fin GPS anticipado: 04:11:47 antes de las 16:30.; 2 hueco(s) GPS &gt;= 10 min.</t>
  </si>
  <si>
    <t>6.226722, -75.599195</t>
  </si>
  <si>
    <t>6.257584, -75.565866</t>
  </si>
  <si>
    <t>d59d56d97e79581e</t>
  </si>
  <si>
    <t>21_10_2026_DR_Noct.gpx</t>
  </si>
  <si>
    <t>d59d56d97e79581e4f891202526ecb850708e9d2b9e6455e296dbcd4da772967</t>
  </si>
  <si>
    <t>21/10/2026 18:14:31</t>
  </si>
  <si>
    <t>21/10/2026 23:29:34</t>
  </si>
  <si>
    <t>Inicio GPS dentro de la tolerancia del horario programado.; Fin GPS anticipado: 00:30:26 antes de las 00:00.; 1 hueco(s) GPS &gt;= 10 min.</t>
  </si>
  <si>
    <t>6.235968, -75.602344</t>
  </si>
  <si>
    <t>6.250646, -75.602125</t>
  </si>
  <si>
    <t>1354139f6a7c3f2f</t>
  </si>
  <si>
    <t>21_10_2026_DV_Noct.gpx</t>
  </si>
  <si>
    <t>1354139f6a7c3f2fb592a44a3becbf0afd14e73ff79fea5d49e2eb962b2691b1</t>
  </si>
  <si>
    <t>21/10/2026 17:09:36</t>
  </si>
  <si>
    <t>22/10/2026 00:31:23</t>
  </si>
  <si>
    <t>Inicio GPS anterior al horario: 00:50:24 antes de las 18:00.; Fin GPS posterior: 00:31:23 después de las 00:00.; 1 permanencia(s) GPS detectada(s); requiere contexto.</t>
  </si>
  <si>
    <t>6.258391, -75.578306</t>
  </si>
  <si>
    <t>6.272633, -75.602018</t>
  </si>
  <si>
    <t>197acc7645cd2954</t>
  </si>
  <si>
    <t>21_10_2026_IQ_Noct.gpx</t>
  </si>
  <si>
    <t>197acc7645cd2954a260e0eb4b4902ab7f2214641ed7b584c10a4cd32003f01c</t>
  </si>
  <si>
    <t>21/10/2026 17:18:22</t>
  </si>
  <si>
    <t>21/10/2026 23:47:47</t>
  </si>
  <si>
    <t>Inicio GPS anterior al horario: 00:41:38 antes de las 18:00.; Fin GPS dentro de la tolerancia del horario programado.; 4 hueco(s) GPS &gt;= 10 min.; 1 permanencia(s) GPS detectada(s); requiere contexto.</t>
  </si>
  <si>
    <t>6.242035, -75.619494</t>
  </si>
  <si>
    <t>6.272381, -75.540345</t>
  </si>
  <si>
    <t>e9a11ba1766753d1</t>
  </si>
  <si>
    <t>21_10_2026_JA_Noct.gpx</t>
  </si>
  <si>
    <t>e9a11ba1766753d13c25bc00e51132c6f3f549bde30b86ff3391ae2b398ca4b0</t>
  </si>
  <si>
    <t>21/10/2026 16:35:05</t>
  </si>
  <si>
    <t>21/10/2026 21:35:33</t>
  </si>
  <si>
    <t>Inicio GPS anterior al horario: 01:24:55 antes de las 18:00.; Fin GPS anticipado: 02:24:27 antes de las 00:00.; 1 hueco(s) GPS &gt;= 10 min.</t>
  </si>
  <si>
    <t>6.225616, -75.599319</t>
  </si>
  <si>
    <t>6.237010, -75.558870</t>
  </si>
  <si>
    <t>6209f37c363cca0d</t>
  </si>
  <si>
    <t>21_10_2026_JO_Noct.gpx</t>
  </si>
  <si>
    <t>6209f37c363cca0d63a68f8a1a48c925f4e6089b796c10b21b20f6b362d8d3cb</t>
  </si>
  <si>
    <t>21/10/2026 16:27:16</t>
  </si>
  <si>
    <t>21/10/2026 23:58:28</t>
  </si>
  <si>
    <t>Inicio GPS anterior al horario: 01:32:43 antes de las 18:00.; Fin GPS dentro de la tolerancia del horario programado.; 6 hueco(s) GPS &gt;= 10 min.; 1 permanencia(s) GPS detectada(s); requiere contexto.</t>
  </si>
  <si>
    <t>6.229325, -75.602059</t>
  </si>
  <si>
    <t>6.225607, -75.599417</t>
  </si>
  <si>
    <t>0851bb6589dd1069</t>
  </si>
  <si>
    <t>21_10_2026_LA_Noct.gpx</t>
  </si>
  <si>
    <t>0851bb6589dd106994b343c0587fee04e7009e87308598adf3c3e0105b060d3a</t>
  </si>
  <si>
    <t>21/10/2026 16:58:08</t>
  </si>
  <si>
    <t>22/10/2026 00:03:29</t>
  </si>
  <si>
    <t>Inicio GPS anterior al horario: 01:01:51 antes de las 18:00.; Fin GPS dentro de la tolerancia del horario programado.; 1 hueco(s) GPS &gt;= 10 min.</t>
  </si>
  <si>
    <t>6.226735, -75.599273</t>
  </si>
  <si>
    <t>6.268395, -75.599342</t>
  </si>
  <si>
    <t>1289e74894e3056c</t>
  </si>
  <si>
    <t>21_10_2026_SJ_Noct.gpx</t>
  </si>
  <si>
    <t>1289e74894e3056cc21f8944ea302dc8521be91b7636548a1ff574551b0751ba</t>
  </si>
  <si>
    <t>21/10/2026 16:36:28</t>
  </si>
  <si>
    <t>21/10/2026 23:53:14</t>
  </si>
  <si>
    <t>Inicio GPS anterior al horario: 01:23:32 antes de las 18:00.; Fin GPS dentro de la tolerancia del horario programado.; 1 permanencia(s) GPS detectada(s); requiere contexto.</t>
  </si>
  <si>
    <t>6.225704, -75.599408</t>
  </si>
  <si>
    <t>6.308258, -75.581629</t>
  </si>
  <si>
    <t>c4a4d894a147fb4f</t>
  </si>
  <si>
    <t>22_10_2026_AO_Diur1.gpx + 22_10_2026_AO_Diur2.gpx</t>
  </si>
  <si>
    <t>c4a4d894a147fb4f735b59397b7831b4267c5636e494888c0488e0d70a348af0</t>
  </si>
  <si>
    <t>22/10/2026</t>
  </si>
  <si>
    <t>22/10/2026 09:42:36</t>
  </si>
  <si>
    <t>22/10/2026 16:34:26</t>
  </si>
  <si>
    <t>Recorrido unificado: 2 tramos (22_10_2026_AO_Diur1.gpx + 22_10_2026_AO_Diur2.gpx).; Inicio GPS tardío: 01:12:36 después de las 08:30.; Fin GPS dentro de la tolerancia del horario programado.; 1 permanencia(s) GPS detectada(s); requiere contexto.</t>
  </si>
  <si>
    <t>6.203322, -75.600756</t>
  </si>
  <si>
    <t>6.225531, -75.599164</t>
  </si>
  <si>
    <t>b5397f62db97bfe5</t>
  </si>
  <si>
    <t>22_10_2026_AR_Diur.gpx</t>
  </si>
  <si>
    <t>b5397f62db97bfe56718066de5b47fbd4b0405ad4faf00e3bff34ad808ac79d8</t>
  </si>
  <si>
    <t>22/10/2026 08:00:28</t>
  </si>
  <si>
    <t>22/10/2026 16:35:43</t>
  </si>
  <si>
    <t>Inicio GPS anterior al horario: 00:29:32 antes de las 08:30.; Fin GPS dentro de la tolerancia del horario programado.; 6 hueco(s) GPS &gt;= 10 min.; 1 permanencia(s) GPS detectada(s); requiere contexto.</t>
  </si>
  <si>
    <t>6.225644, -75.599451</t>
  </si>
  <si>
    <t>6.225577, -75.599461</t>
  </si>
  <si>
    <t>4ef6de34eb8c5b66</t>
  </si>
  <si>
    <t>22_10_2026_HC_Diur.gpx</t>
  </si>
  <si>
    <t>4ef6de34eb8c5b66beb62eef4bc6c50f76d9da52034849890f86b1de9c866dcc</t>
  </si>
  <si>
    <t>22/10/2026 08:45:55</t>
  </si>
  <si>
    <t>22/10/2026 16:32:09</t>
  </si>
  <si>
    <t>Inicio GPS tardío: 00:15:55 después de las 08:30.; Fin GPS dentro de la tolerancia del horario programado.; 1 hueco(s) GPS &gt;= 10 min.; 1 permanencia(s) GPS detectada(s); requiere contexto.</t>
  </si>
  <si>
    <t>6.225718, -75.599188</t>
  </si>
  <si>
    <t>6.225569, -75.599455</t>
  </si>
  <si>
    <t>7c7e30d6fbca5ff5</t>
  </si>
  <si>
    <t>22_10_2026_JHP_Diur.gpx</t>
  </si>
  <si>
    <t>7c7e30d6fbca5ff5834039335b3033b5cb8049c61ee2e2d46aac1104ed4b4674</t>
  </si>
  <si>
    <t>22/10/2026 08:02:20</t>
  </si>
  <si>
    <t>22/10/2026 15:14:57</t>
  </si>
  <si>
    <t>Inicio GPS anterior al horario: 00:27:40 antes de las 08:30.; Fin GPS anticipado: 01:15:03 antes de las 16:30.</t>
  </si>
  <si>
    <t>6.272832, -75.574499</t>
  </si>
  <si>
    <t>6.272799, -75.574363</t>
  </si>
  <si>
    <t>457732f67e597f1a</t>
  </si>
  <si>
    <t>22_10_2026_JP_Diur.gpx</t>
  </si>
  <si>
    <t>457732f67e597f1afbd86fdc80bb47f4495d648dfe91defaebea8d23de0325ba</t>
  </si>
  <si>
    <t>22/10/2026 09:00:01</t>
  </si>
  <si>
    <t>22/10/2026 17:11:48</t>
  </si>
  <si>
    <t>Inicio GPS tardío: 00:30:01 después de las 08:30.; Fin GPS posterior: 00:41:48 después de las 16:30.; 2 hueco(s) GPS &gt;= 10 min.</t>
  </si>
  <si>
    <t>6.225553, -75.599447</t>
  </si>
  <si>
    <t>6.267455, -75.565623</t>
  </si>
  <si>
    <t>1b0bc9d9d6334eba</t>
  </si>
  <si>
    <t>22_10_2026_JZ_Diur.gpx</t>
  </si>
  <si>
    <t>1b0bc9d9d6334ebad9725317d177e9494244c9e84040a782d1cd0c325e3a9bba</t>
  </si>
  <si>
    <t>22/10/2026 08:37:37</t>
  </si>
  <si>
    <t>22/10/2026 13:34:20</t>
  </si>
  <si>
    <t>Inicio GPS dentro de la tolerancia del horario programado.; Fin GPS anticipado: 02:55:40 antes de las 16:30.; 4 hueco(s) GPS &gt;= 10 min.</t>
  </si>
  <si>
    <t>6.226677, -75.599300</t>
  </si>
  <si>
    <t>6.257500, -75.565846</t>
  </si>
  <si>
    <t>a5000db86e0cd5fb</t>
  </si>
  <si>
    <t>22_10_2026_YL_Diur.gpx</t>
  </si>
  <si>
    <t>a5000db86e0cd5fb04f96fda4f952f5e54813a6d6e5048ce642a8e313dd0d38f</t>
  </si>
  <si>
    <t>22/10/2026 10:31:53</t>
  </si>
  <si>
    <t>22/10/2026 16:53:35</t>
  </si>
  <si>
    <t>Inicio GPS tardío: 02:01:53 después de las 08:30.; Fin GPS posterior: 00:23:35 después de las 16:30.; 3 hueco(s) GPS &gt;= 10 min.</t>
  </si>
  <si>
    <t>6.288652, -75.563944</t>
  </si>
  <si>
    <t>6.258216, -75.615898</t>
  </si>
  <si>
    <t>22/10/2026 16:47:55</t>
  </si>
  <si>
    <t>22/10/2026 23:12:25</t>
  </si>
  <si>
    <t>6.225819, -75.599403</t>
  </si>
  <si>
    <t>6.308513, -75.580482</t>
  </si>
  <si>
    <t>fec13d9827ac4bbd</t>
  </si>
  <si>
    <t>22_10_2026_DR_Noct.gpx</t>
  </si>
  <si>
    <t>fec13d9827ac4bbd25cd36e0e29a7ce4cd0d8cce5118f34bce6351e87f9397d4</t>
  </si>
  <si>
    <t>22/10/2026 18:13:09</t>
  </si>
  <si>
    <t>22/10/2026 21:14:33</t>
  </si>
  <si>
    <t>Inicio GPS dentro de la tolerancia del horario programado.; Fin GPS anticipado: 02:45:27 antes de las 00:00.</t>
  </si>
  <si>
    <t>6.235181, -75.602222</t>
  </si>
  <si>
    <t>6.238955, -75.603150</t>
  </si>
  <si>
    <t>6f1cd742758e3714</t>
  </si>
  <si>
    <t>22_10_2026_DV_Noct.gpx</t>
  </si>
  <si>
    <t>6f1cd742758e3714fb27c5381f493fee38b7fc993b34d08d6312097a038ea85f</t>
  </si>
  <si>
    <t>22/10/2026 16:44:01</t>
  </si>
  <si>
    <t>23/10/2026 00:12:41</t>
  </si>
  <si>
    <t>Inicio GPS anterior al horario: 01:15:59 antes de las 18:00.; Fin GPS dentro de la tolerancia del horario programado.</t>
  </si>
  <si>
    <t>6.230051, -75.596048</t>
  </si>
  <si>
    <t>6.272487, -75.602132</t>
  </si>
  <si>
    <t>244c7b7e853d401c</t>
  </si>
  <si>
    <t>22_10_2026_IQ_Noct.gpx</t>
  </si>
  <si>
    <t>244c7b7e853d401caf9298138240b83529692a5497815150c68b00c3ff887f91</t>
  </si>
  <si>
    <t>22/10/2026 16:13:30</t>
  </si>
  <si>
    <t>22/10/2026 23:58:34</t>
  </si>
  <si>
    <t>Inicio GPS anterior al horario: 01:46:30 antes de las 18:00.; Fin GPS dentro de la tolerancia del horario programado.; 3 hueco(s) GPS &gt;= 10 min.; 1 permanencia(s) GPS detectada(s); requiere contexto.</t>
  </si>
  <si>
    <t>6.225638, -75.599180</t>
  </si>
  <si>
    <t>6.272383, -75.540240</t>
  </si>
  <si>
    <t>af9a11ccacfc6b78</t>
  </si>
  <si>
    <t>22_10_2026_JA_Noct.gpx</t>
  </si>
  <si>
    <t>af9a11ccacfc6b787a8214a1184a24dc5cd438aa28dc63c58279de45cdb6bbf1</t>
  </si>
  <si>
    <t>22/10/2026 19:23:23</t>
  </si>
  <si>
    <t>22/10/2026 22:52:12</t>
  </si>
  <si>
    <t>Inicio GPS tardío: 01:23:23 después de las 18:00.; Fin GPS anticipado: 01:07:48 antes de las 00:00.</t>
  </si>
  <si>
    <t>6.225596, -75.599459</t>
  </si>
  <si>
    <t>6.237056, -75.558815</t>
  </si>
  <si>
    <t>715f8e799e3e66b3</t>
  </si>
  <si>
    <t>22_10_2026_JO_Noct.gpx</t>
  </si>
  <si>
    <t>715f8e799e3e66b3e9fc1703ef4db94c6d8937d094ae93b760fce5eb75f8b036</t>
  </si>
  <si>
    <t>22/10/2026 16:54:07</t>
  </si>
  <si>
    <t>23/10/2026 00:08:39</t>
  </si>
  <si>
    <t>Inicio GPS anterior al horario: 01:05:53 antes de las 18:00.; Fin GPS dentro de la tolerancia del horario programado.; 4 hueco(s) GPS &gt;= 10 min.</t>
  </si>
  <si>
    <t>6.234650, -75.594518</t>
  </si>
  <si>
    <t>6.225614, -75.599328</t>
  </si>
  <si>
    <t>3f6cc728699e1857</t>
  </si>
  <si>
    <t>22_10_2026_LA_Noct.gpx</t>
  </si>
  <si>
    <t>3f6cc728699e18575dd3e7777e4329a66a008ccc2a0174680f3f6b4ecd10999e</t>
  </si>
  <si>
    <t>22/10/2026 17:23:51</t>
  </si>
  <si>
    <t>23/10/2026 00:10:13</t>
  </si>
  <si>
    <t>Inicio GPS anterior al horario: 00:36:08 antes de las 18:00.; Fin GPS dentro de la tolerancia del horario programado.; 2 hueco(s) GPS &gt;= 10 min.</t>
  </si>
  <si>
    <t>6.268215, -75.598905</t>
  </si>
  <si>
    <t>6.278360, -75.570973</t>
  </si>
  <si>
    <t>065a7066fc38d85b</t>
  </si>
  <si>
    <t>22_10_2026_SJ_Noct.gpx</t>
  </si>
  <si>
    <t>065a7066fc38d85be0978dcc7abc0d5434d83d5be17ab9e233d099a39b7047f7</t>
  </si>
  <si>
    <t>Inicio GPS anterior al horario: 01:12:05 antes de las 18:00.; Fin GPS anticipado: 00:47:35 antes de las 00:00.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</si>
</sst>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6" fontId="2" fillId="0" borderId="5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21" fontId="2" fillId="0" borderId="6" xfId="0" applyNumberFormat="1" applyFont="1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1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1" totalsRowShown="0" headerRowDxfId="72" dataDxfId="71">
  <autoFilter ref="A1:AF1048561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521"/>
  <sheetViews>
    <sheetView tabSelected="1" zoomScale="80" zoomScaleNormal="80" workbookViewId="0">
      <pane ySplit="1" topLeftCell="A513" activePane="bottomLeft" state="frozen"/>
      <selection pane="bottomLeft" activeCell="AN518" sqref="AN518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517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40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  <row r="482" spans="1:40" ht="15" x14ac:dyDescent="0.25">
      <c r="A482" s="9" t="s">
        <v>3963</v>
      </c>
      <c r="B482" s="9" t="s">
        <v>3964</v>
      </c>
      <c r="C482" s="9" t="s">
        <v>3965</v>
      </c>
      <c r="D482" s="9" t="s">
        <v>3966</v>
      </c>
      <c r="E482" s="9" t="s">
        <v>2619</v>
      </c>
      <c r="F482" s="9" t="s">
        <v>37</v>
      </c>
      <c r="G482" s="9" t="s">
        <v>38</v>
      </c>
      <c r="H482" s="9" t="s">
        <v>39</v>
      </c>
      <c r="I482" s="9" t="s">
        <v>40</v>
      </c>
      <c r="J482" s="9">
        <v>1765</v>
      </c>
      <c r="K482" s="9" t="s">
        <v>3967</v>
      </c>
      <c r="L482" s="9" t="s">
        <v>42</v>
      </c>
      <c r="M482" s="10">
        <v>2.704861111111111E-2</v>
      </c>
      <c r="N482" s="9" t="s">
        <v>127</v>
      </c>
      <c r="O482" s="9" t="s">
        <v>3968</v>
      </c>
      <c r="P482" s="9" t="s">
        <v>45</v>
      </c>
      <c r="Q482" s="10">
        <v>2.0833333333333329E-3</v>
      </c>
      <c r="R482" s="9" t="s">
        <v>46</v>
      </c>
      <c r="S482" s="10">
        <v>0.35829861111111111</v>
      </c>
      <c r="T482" s="9">
        <v>23.791</v>
      </c>
      <c r="U482" s="9">
        <v>3.44</v>
      </c>
      <c r="V482" s="10">
        <v>0.28827546296296302</v>
      </c>
      <c r="W482" s="10">
        <v>0.25462962962962971</v>
      </c>
      <c r="X482" s="10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3</v>
      </c>
      <c r="AE482" s="9" t="s">
        <v>139</v>
      </c>
      <c r="AF482" s="9" t="s">
        <v>3969</v>
      </c>
      <c r="AG482" s="9" t="s">
        <v>3970</v>
      </c>
      <c r="AH482" s="9">
        <v>6.2257189999999998</v>
      </c>
      <c r="AI482" s="9">
        <v>-75.599436999999995</v>
      </c>
      <c r="AJ482" s="9" t="s">
        <v>3971</v>
      </c>
      <c r="AK482" s="9">
        <v>6.2503039999999999</v>
      </c>
      <c r="AL482" s="9">
        <v>-75.599763999999993</v>
      </c>
      <c r="AM482" s="26">
        <f t="shared" si="8"/>
        <v>0</v>
      </c>
    </row>
    <row r="483" spans="1:40" ht="15" x14ac:dyDescent="0.25">
      <c r="A483" s="9" t="s">
        <v>3972</v>
      </c>
      <c r="B483" s="9" t="s">
        <v>3973</v>
      </c>
      <c r="C483" s="9" t="s">
        <v>3974</v>
      </c>
      <c r="D483" s="9" t="s">
        <v>3966</v>
      </c>
      <c r="E483" s="9" t="s">
        <v>2619</v>
      </c>
      <c r="F483" s="9" t="s">
        <v>37</v>
      </c>
      <c r="G483" s="9" t="s">
        <v>52</v>
      </c>
      <c r="H483" s="9" t="s">
        <v>53</v>
      </c>
      <c r="I483" s="9" t="s">
        <v>40</v>
      </c>
      <c r="J483" s="9">
        <v>1765</v>
      </c>
      <c r="K483" s="9" t="s">
        <v>3967</v>
      </c>
      <c r="L483" s="9" t="s">
        <v>42</v>
      </c>
      <c r="M483" s="10">
        <v>2.704861111111111E-2</v>
      </c>
      <c r="N483" s="9" t="s">
        <v>127</v>
      </c>
      <c r="O483" s="9" t="s">
        <v>3968</v>
      </c>
      <c r="P483" s="9" t="s">
        <v>45</v>
      </c>
      <c r="Q483" s="10">
        <v>2.0833333333333329E-3</v>
      </c>
      <c r="R483" s="9" t="s">
        <v>46</v>
      </c>
      <c r="S483" s="10">
        <v>0.35829861111111111</v>
      </c>
      <c r="T483" s="9">
        <v>23.791</v>
      </c>
      <c r="U483" s="9">
        <v>3.44</v>
      </c>
      <c r="V483" s="10">
        <v>0.28827546296296302</v>
      </c>
      <c r="W483" s="10">
        <v>0.25462962962962971</v>
      </c>
      <c r="X483" s="10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3</v>
      </c>
      <c r="AE483" s="9" t="s">
        <v>139</v>
      </c>
      <c r="AF483" s="9" t="s">
        <v>3969</v>
      </c>
      <c r="AG483" s="9" t="s">
        <v>3970</v>
      </c>
      <c r="AH483" s="9">
        <v>6.2257189999999998</v>
      </c>
      <c r="AI483" s="9">
        <v>-75.599436999999995</v>
      </c>
      <c r="AJ483" s="9" t="s">
        <v>3971</v>
      </c>
      <c r="AK483" s="9">
        <v>6.2503039999999999</v>
      </c>
      <c r="AL483" s="9">
        <v>-75.599763999999993</v>
      </c>
      <c r="AM483" s="26">
        <f t="shared" si="8"/>
        <v>0</v>
      </c>
    </row>
    <row r="484" spans="1:40" ht="15" x14ac:dyDescent="0.25">
      <c r="A484" s="9" t="s">
        <v>3975</v>
      </c>
      <c r="B484" s="9" t="s">
        <v>3976</v>
      </c>
      <c r="C484" s="9" t="s">
        <v>3977</v>
      </c>
      <c r="D484" s="9" t="s">
        <v>3966</v>
      </c>
      <c r="E484" s="9" t="s">
        <v>2619</v>
      </c>
      <c r="F484" s="9" t="s">
        <v>37</v>
      </c>
      <c r="G484" s="9" t="s">
        <v>144</v>
      </c>
      <c r="H484" s="9" t="s">
        <v>145</v>
      </c>
      <c r="I484" s="9" t="s">
        <v>40</v>
      </c>
      <c r="J484" s="9">
        <v>8095</v>
      </c>
      <c r="K484" s="9" t="s">
        <v>3978</v>
      </c>
      <c r="L484" s="9" t="s">
        <v>42</v>
      </c>
      <c r="M484" s="10">
        <v>3.6203703703703703E-2</v>
      </c>
      <c r="N484" s="9" t="s">
        <v>127</v>
      </c>
      <c r="O484" s="9" t="s">
        <v>3979</v>
      </c>
      <c r="P484" s="9" t="s">
        <v>45</v>
      </c>
      <c r="Q484" s="10">
        <v>1.8518518518518519E-3</v>
      </c>
      <c r="R484" s="9" t="s">
        <v>46</v>
      </c>
      <c r="S484" s="10">
        <v>0.36768518518518523</v>
      </c>
      <c r="T484" s="9">
        <v>109.85599999999999</v>
      </c>
      <c r="U484" s="9">
        <v>15.16</v>
      </c>
      <c r="V484" s="10">
        <v>0.30186342592592591</v>
      </c>
      <c r="W484" s="10">
        <v>7.3865740740740746E-2</v>
      </c>
      <c r="X484" s="10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1</v>
      </c>
      <c r="AE484" s="9" t="s">
        <v>139</v>
      </c>
      <c r="AF484" s="9" t="s">
        <v>3980</v>
      </c>
      <c r="AG484" s="9" t="s">
        <v>3981</v>
      </c>
      <c r="AH484" s="9">
        <v>6.2905749999999996</v>
      </c>
      <c r="AI484" s="9">
        <v>-75.546308999999994</v>
      </c>
      <c r="AJ484" s="9" t="s">
        <v>3982</v>
      </c>
      <c r="AK484" s="9">
        <v>6.2728120000000001</v>
      </c>
      <c r="AL484" s="9">
        <v>-75.574382</v>
      </c>
      <c r="AM484" s="26">
        <f t="shared" si="8"/>
        <v>0</v>
      </c>
    </row>
    <row r="485" spans="1:40" ht="15" x14ac:dyDescent="0.25">
      <c r="A485" s="9" t="s">
        <v>3983</v>
      </c>
      <c r="B485" s="9" t="s">
        <v>3984</v>
      </c>
      <c r="C485" s="9" t="s">
        <v>3985</v>
      </c>
      <c r="D485" s="9" t="s">
        <v>3966</v>
      </c>
      <c r="E485" s="9" t="s">
        <v>2619</v>
      </c>
      <c r="F485" s="9" t="s">
        <v>37</v>
      </c>
      <c r="G485" s="9" t="s">
        <v>89</v>
      </c>
      <c r="H485" s="9" t="s">
        <v>90</v>
      </c>
      <c r="I485" s="9" t="s">
        <v>40</v>
      </c>
      <c r="J485" s="9">
        <v>3683</v>
      </c>
      <c r="K485" s="9" t="s">
        <v>3986</v>
      </c>
      <c r="L485" s="9" t="s">
        <v>42</v>
      </c>
      <c r="M485" s="10">
        <v>5.3356481481481484E-3</v>
      </c>
      <c r="N485" s="9" t="s">
        <v>65</v>
      </c>
      <c r="O485" s="9" t="s">
        <v>3987</v>
      </c>
      <c r="P485" s="9" t="s">
        <v>45</v>
      </c>
      <c r="Q485" s="10">
        <v>5.3125000000000004E-3</v>
      </c>
      <c r="R485" s="9" t="s">
        <v>46</v>
      </c>
      <c r="S485" s="10">
        <v>0.3439814814814815</v>
      </c>
      <c r="T485" s="9">
        <v>43.228999999999999</v>
      </c>
      <c r="U485" s="9">
        <v>9.1199999999999992</v>
      </c>
      <c r="V485" s="10">
        <v>0.1975462962962963</v>
      </c>
      <c r="W485" s="10">
        <v>0.1106712962962963</v>
      </c>
      <c r="X485" s="10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1</v>
      </c>
      <c r="AE485" s="9" t="s">
        <v>84</v>
      </c>
      <c r="AF485" s="9" t="s">
        <v>324</v>
      </c>
      <c r="AG485" s="9" t="s">
        <v>3988</v>
      </c>
      <c r="AH485" s="9">
        <v>6.2266640000000004</v>
      </c>
      <c r="AI485" s="9">
        <v>-75.599209999999999</v>
      </c>
      <c r="AJ485" s="9" t="s">
        <v>3989</v>
      </c>
      <c r="AK485" s="9">
        <v>6.2796599999999998</v>
      </c>
      <c r="AL485" s="9">
        <v>-75.572286000000005</v>
      </c>
      <c r="AM485" s="26">
        <f t="shared" si="8"/>
        <v>0</v>
      </c>
    </row>
    <row r="486" spans="1:40" ht="15" x14ac:dyDescent="0.25">
      <c r="A486" s="9" t="s">
        <v>3990</v>
      </c>
      <c r="B486" s="9" t="s">
        <v>3991</v>
      </c>
      <c r="C486" s="9" t="s">
        <v>3992</v>
      </c>
      <c r="D486" s="9" t="s">
        <v>3966</v>
      </c>
      <c r="E486" s="9" t="s">
        <v>2619</v>
      </c>
      <c r="F486" s="9" t="s">
        <v>37</v>
      </c>
      <c r="G486" s="9" t="s">
        <v>113</v>
      </c>
      <c r="H486" s="9" t="s">
        <v>114</v>
      </c>
      <c r="I486" s="9" t="s">
        <v>115</v>
      </c>
      <c r="J486" s="9">
        <v>687</v>
      </c>
      <c r="K486" s="9" t="s">
        <v>3993</v>
      </c>
      <c r="L486" s="9" t="s">
        <v>117</v>
      </c>
      <c r="M486" s="10">
        <v>3.5995370370370369E-3</v>
      </c>
      <c r="N486" s="9" t="s">
        <v>65</v>
      </c>
      <c r="O486" s="9" t="s">
        <v>3994</v>
      </c>
      <c r="P486" s="9" t="s">
        <v>119</v>
      </c>
      <c r="Q486" s="10">
        <v>9.8611111111111108E-2</v>
      </c>
      <c r="R486" s="9" t="s">
        <v>56</v>
      </c>
      <c r="S486" s="10">
        <v>0.14778935185185191</v>
      </c>
      <c r="T486" s="9">
        <v>10.305</v>
      </c>
      <c r="U486" s="9">
        <v>6.32</v>
      </c>
      <c r="V486" s="10">
        <v>6.7962962962962961E-2</v>
      </c>
      <c r="W486" s="10">
        <v>4.7245370370370368E-2</v>
      </c>
      <c r="X486" s="10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 t="s">
        <v>67</v>
      </c>
      <c r="AF486" s="9" t="s">
        <v>3995</v>
      </c>
      <c r="AG486" s="9" t="s">
        <v>3996</v>
      </c>
      <c r="AH486" s="9">
        <v>6.2478800000000003</v>
      </c>
      <c r="AI486" s="9">
        <v>-75.615136000000007</v>
      </c>
      <c r="AJ486" s="9" t="s">
        <v>3997</v>
      </c>
      <c r="AK486" s="9">
        <v>6.2084429999999999</v>
      </c>
      <c r="AL486" s="9">
        <v>-75.591436999999999</v>
      </c>
      <c r="AM486" s="26">
        <f t="shared" si="8"/>
        <v>9.8611111111111108E-2</v>
      </c>
      <c r="AN486" s="1" t="s">
        <v>4061</v>
      </c>
    </row>
    <row r="487" spans="1:40" ht="15" x14ac:dyDescent="0.25">
      <c r="A487" s="9" t="s">
        <v>3998</v>
      </c>
      <c r="B487" s="9" t="s">
        <v>3999</v>
      </c>
      <c r="C487" s="9" t="s">
        <v>4000</v>
      </c>
      <c r="D487" s="9" t="s">
        <v>3966</v>
      </c>
      <c r="E487" s="9" t="s">
        <v>2619</v>
      </c>
      <c r="F487" s="9" t="s">
        <v>37</v>
      </c>
      <c r="G487" s="9" t="s">
        <v>124</v>
      </c>
      <c r="H487" s="9" t="s">
        <v>125</v>
      </c>
      <c r="I487" s="9" t="s">
        <v>115</v>
      </c>
      <c r="J487" s="9">
        <v>3634</v>
      </c>
      <c r="K487" s="9" t="s">
        <v>4001</v>
      </c>
      <c r="L487" s="9" t="s">
        <v>117</v>
      </c>
      <c r="M487" s="10">
        <v>3.7569444444444447E-2</v>
      </c>
      <c r="N487" s="9" t="s">
        <v>127</v>
      </c>
      <c r="O487" s="9" t="s">
        <v>4002</v>
      </c>
      <c r="P487" s="9" t="s">
        <v>119</v>
      </c>
      <c r="Q487" s="10">
        <v>3.123842592592593E-2</v>
      </c>
      <c r="R487" s="9" t="s">
        <v>129</v>
      </c>
      <c r="S487" s="10">
        <v>0.31880787037037039</v>
      </c>
      <c r="T487" s="9">
        <v>42.472999999999999</v>
      </c>
      <c r="U487" s="9">
        <v>9.33</v>
      </c>
      <c r="V487" s="10">
        <v>0.18966435185185179</v>
      </c>
      <c r="W487" s="10">
        <v>5.8761574074074077E-2</v>
      </c>
      <c r="X487" s="10">
        <v>2.778935185185185E-2</v>
      </c>
      <c r="Y487" s="9">
        <v>1</v>
      </c>
      <c r="Z487" s="9">
        <v>1</v>
      </c>
      <c r="AA487" s="9">
        <v>1</v>
      </c>
      <c r="AB487" s="9">
        <v>1</v>
      </c>
      <c r="AC487" s="9">
        <v>0</v>
      </c>
      <c r="AD487" s="9">
        <v>0</v>
      </c>
      <c r="AE487" s="9" t="s">
        <v>130</v>
      </c>
      <c r="AF487" s="9" t="s">
        <v>4003</v>
      </c>
      <c r="AG487" s="9" t="s">
        <v>4004</v>
      </c>
      <c r="AH487" s="9">
        <v>6.2395740000000002</v>
      </c>
      <c r="AI487" s="9">
        <v>-75.576549</v>
      </c>
      <c r="AJ487" s="9" t="s">
        <v>4005</v>
      </c>
      <c r="AK487" s="9">
        <v>6.2729270000000001</v>
      </c>
      <c r="AL487" s="9">
        <v>-75.601972000000004</v>
      </c>
      <c r="AM487" s="26">
        <f t="shared" si="8"/>
        <v>0</v>
      </c>
      <c r="AN487" s="1" t="s">
        <v>4061</v>
      </c>
    </row>
    <row r="488" spans="1:40" ht="15" x14ac:dyDescent="0.25">
      <c r="A488" s="9" t="s">
        <v>4006</v>
      </c>
      <c r="B488" s="9" t="s">
        <v>4007</v>
      </c>
      <c r="C488" s="9" t="s">
        <v>4008</v>
      </c>
      <c r="D488" s="9" t="s">
        <v>3966</v>
      </c>
      <c r="E488" s="9" t="s">
        <v>2619</v>
      </c>
      <c r="F488" s="9" t="s">
        <v>37</v>
      </c>
      <c r="G488" s="9" t="s">
        <v>135</v>
      </c>
      <c r="H488" s="9" t="s">
        <v>136</v>
      </c>
      <c r="I488" s="9" t="s">
        <v>115</v>
      </c>
      <c r="J488" s="9">
        <v>1388</v>
      </c>
      <c r="K488" s="9" t="s">
        <v>4009</v>
      </c>
      <c r="L488" s="9" t="s">
        <v>117</v>
      </c>
      <c r="M488" s="10">
        <v>5.5150462962962957E-2</v>
      </c>
      <c r="N488" s="9" t="s">
        <v>127</v>
      </c>
      <c r="O488" s="9" t="s">
        <v>4010</v>
      </c>
      <c r="P488" s="9" t="s">
        <v>119</v>
      </c>
      <c r="Q488" s="10">
        <v>1.097222222222222E-2</v>
      </c>
      <c r="R488" s="9" t="s">
        <v>56</v>
      </c>
      <c r="S488" s="10">
        <v>0.29417824074074073</v>
      </c>
      <c r="T488" s="9">
        <v>32.619999999999997</v>
      </c>
      <c r="U488" s="9">
        <v>8.5399999999999991</v>
      </c>
      <c r="V488" s="10">
        <v>0.15917824074074069</v>
      </c>
      <c r="W488" s="10">
        <v>0.1160069444444444</v>
      </c>
      <c r="X488" s="10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2</v>
      </c>
      <c r="AE488" s="9" t="s">
        <v>139</v>
      </c>
      <c r="AF488" s="9" t="s">
        <v>4011</v>
      </c>
      <c r="AG488" s="9" t="s">
        <v>4012</v>
      </c>
      <c r="AH488" s="9">
        <v>6.2251979999999998</v>
      </c>
      <c r="AI488" s="9">
        <v>-75.599367999999998</v>
      </c>
      <c r="AJ488" s="9" t="s">
        <v>4013</v>
      </c>
      <c r="AK488" s="9">
        <v>6.2782410000000004</v>
      </c>
      <c r="AL488" s="9">
        <v>-75.538990999999996</v>
      </c>
      <c r="AM488" s="26">
        <f t="shared" si="8"/>
        <v>1.097222222222222E-2</v>
      </c>
      <c r="AN488" s="1" t="s">
        <v>4061</v>
      </c>
    </row>
    <row r="489" spans="1:40" ht="15" x14ac:dyDescent="0.25">
      <c r="A489" s="9" t="s">
        <v>4014</v>
      </c>
      <c r="B489" s="9" t="s">
        <v>4015</v>
      </c>
      <c r="C489" s="9" t="s">
        <v>4016</v>
      </c>
      <c r="D489" s="9" t="s">
        <v>3966</v>
      </c>
      <c r="E489" s="9" t="s">
        <v>2619</v>
      </c>
      <c r="F489" s="9" t="s">
        <v>37</v>
      </c>
      <c r="G489" s="9" t="s">
        <v>72</v>
      </c>
      <c r="H489" s="9" t="s">
        <v>73</v>
      </c>
      <c r="I489" s="9" t="s">
        <v>115</v>
      </c>
      <c r="J489" s="9">
        <v>2446</v>
      </c>
      <c r="K489" s="9" t="s">
        <v>4017</v>
      </c>
      <c r="L489" s="9" t="s">
        <v>117</v>
      </c>
      <c r="M489" s="10">
        <v>5.6377314814814818E-2</v>
      </c>
      <c r="N489" s="9" t="s">
        <v>127</v>
      </c>
      <c r="O489" s="9" t="s">
        <v>4018</v>
      </c>
      <c r="P489" s="9" t="s">
        <v>119</v>
      </c>
      <c r="Q489" s="10">
        <v>7.2581018518518517E-2</v>
      </c>
      <c r="R489" s="9" t="s">
        <v>56</v>
      </c>
      <c r="S489" s="10">
        <v>0.23379629629629631</v>
      </c>
      <c r="T489" s="9">
        <v>33.841000000000001</v>
      </c>
      <c r="U489" s="9">
        <v>7.35</v>
      </c>
      <c r="V489" s="10">
        <v>0.1917824074074074</v>
      </c>
      <c r="W489" s="10">
        <v>0.1427083333333333</v>
      </c>
      <c r="X489" s="10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1</v>
      </c>
      <c r="AE489" s="9" t="s">
        <v>139</v>
      </c>
      <c r="AF489" s="9" t="s">
        <v>4019</v>
      </c>
      <c r="AG489" s="9" t="s">
        <v>4020</v>
      </c>
      <c r="AH489" s="9">
        <v>6.2256929999999997</v>
      </c>
      <c r="AI489" s="9">
        <v>-75.599402999999995</v>
      </c>
      <c r="AJ489" s="9" t="s">
        <v>4021</v>
      </c>
      <c r="AK489" s="9">
        <v>6.2369880000000002</v>
      </c>
      <c r="AL489" s="9">
        <v>-75.558808999999997</v>
      </c>
      <c r="AM489" s="26">
        <f t="shared" si="8"/>
        <v>7.2581018518518517E-2</v>
      </c>
      <c r="AN489" s="1" t="s">
        <v>4061</v>
      </c>
    </row>
    <row r="490" spans="1:40" ht="15" x14ac:dyDescent="0.25">
      <c r="A490" s="9" t="s">
        <v>4022</v>
      </c>
      <c r="B490" s="9" t="s">
        <v>4023</v>
      </c>
      <c r="C490" s="9" t="s">
        <v>4024</v>
      </c>
      <c r="D490" s="9" t="s">
        <v>3966</v>
      </c>
      <c r="E490" s="9" t="s">
        <v>2619</v>
      </c>
      <c r="F490" s="9" t="s">
        <v>37</v>
      </c>
      <c r="G490" s="9" t="s">
        <v>80</v>
      </c>
      <c r="H490" s="9" t="s">
        <v>81</v>
      </c>
      <c r="I490" s="9" t="s">
        <v>115</v>
      </c>
      <c r="J490" s="9">
        <v>2743</v>
      </c>
      <c r="K490" s="9" t="s">
        <v>4025</v>
      </c>
      <c r="L490" s="9" t="s">
        <v>117</v>
      </c>
      <c r="M490" s="10">
        <v>6.922083333333333E-3</v>
      </c>
      <c r="N490" s="9" t="s">
        <v>65</v>
      </c>
      <c r="O490" s="9" t="s">
        <v>4026</v>
      </c>
      <c r="P490" s="9" t="s">
        <v>119</v>
      </c>
      <c r="Q490" s="10">
        <v>7.4099884259259258E-3</v>
      </c>
      <c r="R490" s="9" t="s">
        <v>46</v>
      </c>
      <c r="S490" s="10">
        <v>0.2356679282407407</v>
      </c>
      <c r="T490" s="9">
        <v>19.832000000000001</v>
      </c>
      <c r="U490" s="9">
        <v>7.34</v>
      </c>
      <c r="V490" s="10">
        <v>0.11260608796296299</v>
      </c>
      <c r="W490" s="10">
        <v>8.8518946759259268E-2</v>
      </c>
      <c r="X490" s="10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9</v>
      </c>
      <c r="AE490" s="9" t="s">
        <v>84</v>
      </c>
      <c r="AF490" s="9" t="s">
        <v>3008</v>
      </c>
      <c r="AG490" s="9" t="s">
        <v>4027</v>
      </c>
      <c r="AH490" s="9">
        <v>6.2497939999999996</v>
      </c>
      <c r="AI490" s="9">
        <v>-75.584761</v>
      </c>
      <c r="AJ490" s="9" t="s">
        <v>4028</v>
      </c>
      <c r="AK490" s="9">
        <v>6.2594909999999997</v>
      </c>
      <c r="AL490" s="9">
        <v>-75.620588999999995</v>
      </c>
      <c r="AM490" s="26">
        <f t="shared" si="8"/>
        <v>0</v>
      </c>
      <c r="AN490" s="1" t="s">
        <v>4061</v>
      </c>
    </row>
    <row r="491" spans="1:40" ht="15" x14ac:dyDescent="0.25">
      <c r="A491" s="9" t="s">
        <v>4029</v>
      </c>
      <c r="B491" s="9" t="s">
        <v>4030</v>
      </c>
      <c r="C491" s="9" t="s">
        <v>4031</v>
      </c>
      <c r="D491" s="9" t="s">
        <v>3966</v>
      </c>
      <c r="E491" s="9" t="s">
        <v>2619</v>
      </c>
      <c r="F491" s="9" t="s">
        <v>37</v>
      </c>
      <c r="G491" s="9" t="s">
        <v>152</v>
      </c>
      <c r="H491" s="9" t="s">
        <v>153</v>
      </c>
      <c r="I491" s="9" t="s">
        <v>115</v>
      </c>
      <c r="J491" s="9">
        <v>1733</v>
      </c>
      <c r="K491" s="9" t="s">
        <v>4032</v>
      </c>
      <c r="L491" s="9" t="s">
        <v>117</v>
      </c>
      <c r="M491" s="10">
        <v>2.4560185185185181E-2</v>
      </c>
      <c r="N491" s="9" t="s">
        <v>43</v>
      </c>
      <c r="O491" s="9" t="s">
        <v>4033</v>
      </c>
      <c r="P491" s="9" t="s">
        <v>119</v>
      </c>
      <c r="Q491" s="10">
        <v>1.238425925925926E-3</v>
      </c>
      <c r="R491" s="9" t="s">
        <v>46</v>
      </c>
      <c r="S491" s="10">
        <v>0.22667824074074069</v>
      </c>
      <c r="T491" s="9">
        <v>22.762</v>
      </c>
      <c r="U491" s="9">
        <v>7.37</v>
      </c>
      <c r="V491" s="10">
        <v>0.12864583333333329</v>
      </c>
      <c r="W491" s="10">
        <v>9.2326388888888888E-2</v>
      </c>
      <c r="X491" s="10">
        <v>2.3773148148148151E-2</v>
      </c>
      <c r="Y491" s="9">
        <v>1</v>
      </c>
      <c r="Z491" s="9">
        <v>1</v>
      </c>
      <c r="AA491" s="9">
        <v>1</v>
      </c>
      <c r="AB491" s="9">
        <v>0</v>
      </c>
      <c r="AC491" s="9">
        <v>0</v>
      </c>
      <c r="AD491" s="9">
        <v>0</v>
      </c>
      <c r="AE491" s="9" t="s">
        <v>47</v>
      </c>
      <c r="AF491" s="9" t="s">
        <v>4034</v>
      </c>
      <c r="AG491" s="9" t="s">
        <v>4035</v>
      </c>
      <c r="AH491" s="9">
        <v>6.2517300000000002</v>
      </c>
      <c r="AI491" s="9">
        <v>-75.551739999999995</v>
      </c>
      <c r="AJ491" s="9" t="s">
        <v>4036</v>
      </c>
      <c r="AK491" s="9">
        <v>6.2517500000000004</v>
      </c>
      <c r="AL491" s="9">
        <v>-75.551732000000001</v>
      </c>
      <c r="AM491" s="26">
        <f t="shared" si="8"/>
        <v>2.4560185185185181E-2</v>
      </c>
      <c r="AN491" s="1" t="s">
        <v>4061</v>
      </c>
    </row>
    <row r="492" spans="1:40" ht="15" x14ac:dyDescent="0.25">
      <c r="A492" s="9" t="s">
        <v>4037</v>
      </c>
      <c r="B492" s="9" t="s">
        <v>4038</v>
      </c>
      <c r="C492" s="9" t="s">
        <v>4039</v>
      </c>
      <c r="D492" s="9" t="s">
        <v>3966</v>
      </c>
      <c r="E492" s="9" t="s">
        <v>2619</v>
      </c>
      <c r="F492" s="9" t="s">
        <v>37</v>
      </c>
      <c r="G492" s="9" t="s">
        <v>160</v>
      </c>
      <c r="H492" s="9" t="s">
        <v>161</v>
      </c>
      <c r="I492" s="9" t="s">
        <v>115</v>
      </c>
      <c r="J492" s="9">
        <v>11933</v>
      </c>
      <c r="K492" s="9" t="s">
        <v>4040</v>
      </c>
      <c r="L492" s="9" t="s">
        <v>117</v>
      </c>
      <c r="M492" s="10">
        <v>4.9263182870370369E-2</v>
      </c>
      <c r="N492" s="9" t="s">
        <v>127</v>
      </c>
      <c r="O492" s="9" t="s">
        <v>4041</v>
      </c>
      <c r="P492" s="9" t="s">
        <v>119</v>
      </c>
      <c r="Q492" s="10">
        <v>2.600231481481482E-3</v>
      </c>
      <c r="R492" s="9" t="s">
        <v>46</v>
      </c>
      <c r="S492" s="10">
        <v>0.30186341435185182</v>
      </c>
      <c r="T492" s="9">
        <v>58.390999999999998</v>
      </c>
      <c r="U492" s="9">
        <v>15.05</v>
      </c>
      <c r="V492" s="10">
        <v>0.16161192129629631</v>
      </c>
      <c r="W492" s="10">
        <v>0.11307856481481481</v>
      </c>
      <c r="X492" s="10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3</v>
      </c>
      <c r="AE492" s="9" t="s">
        <v>139</v>
      </c>
      <c r="AF492" s="9" t="s">
        <v>4042</v>
      </c>
      <c r="AG492" s="9" t="s">
        <v>4043</v>
      </c>
      <c r="AH492" s="9">
        <v>6.2266649999999997</v>
      </c>
      <c r="AI492" s="9">
        <v>-75.599373</v>
      </c>
      <c r="AJ492" s="9" t="s">
        <v>4044</v>
      </c>
      <c r="AK492" s="9">
        <v>6.2685899999999997</v>
      </c>
      <c r="AL492" s="9">
        <v>-75.599512000000004</v>
      </c>
      <c r="AM492" s="26">
        <f t="shared" si="8"/>
        <v>0</v>
      </c>
      <c r="AN492" s="1" t="s">
        <v>4061</v>
      </c>
    </row>
    <row r="493" spans="1:40" ht="15" x14ac:dyDescent="0.25">
      <c r="A493" s="9" t="s">
        <v>4045</v>
      </c>
      <c r="B493" s="9" t="s">
        <v>4046</v>
      </c>
      <c r="C493" s="9" t="s">
        <v>4047</v>
      </c>
      <c r="D493" s="9" t="s">
        <v>3966</v>
      </c>
      <c r="E493" s="9" t="s">
        <v>2619</v>
      </c>
      <c r="F493" s="9" t="s">
        <v>37</v>
      </c>
      <c r="G493" s="9" t="s">
        <v>97</v>
      </c>
      <c r="H493" s="9" t="s">
        <v>98</v>
      </c>
      <c r="I493" s="9" t="s">
        <v>115</v>
      </c>
      <c r="J493" s="9">
        <v>1895</v>
      </c>
      <c r="K493" s="9" t="s">
        <v>4048</v>
      </c>
      <c r="L493" s="9" t="s">
        <v>117</v>
      </c>
      <c r="M493" s="10">
        <v>5.0462962962962961E-3</v>
      </c>
      <c r="N493" s="9" t="s">
        <v>65</v>
      </c>
      <c r="O493" s="9" t="s">
        <v>4049</v>
      </c>
      <c r="P493" s="9" t="s">
        <v>119</v>
      </c>
      <c r="Q493" s="10">
        <v>5.9201388888888887E-2</v>
      </c>
      <c r="R493" s="9" t="s">
        <v>56</v>
      </c>
      <c r="S493" s="10">
        <v>0.1857523148148148</v>
      </c>
      <c r="T493" s="9">
        <v>23.581</v>
      </c>
      <c r="U493" s="9">
        <v>9.57</v>
      </c>
      <c r="V493" s="10">
        <v>0.102662037037037</v>
      </c>
      <c r="W493" s="10">
        <v>5.6643518518518517E-2</v>
      </c>
      <c r="X493" s="10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 t="s">
        <v>67</v>
      </c>
      <c r="AF493" s="9" t="s">
        <v>4050</v>
      </c>
      <c r="AG493" s="9" t="s">
        <v>4051</v>
      </c>
      <c r="AH493" s="9">
        <v>6.222747</v>
      </c>
      <c r="AI493" s="9">
        <v>-75.598646000000002</v>
      </c>
      <c r="AJ493" s="9" t="s">
        <v>4052</v>
      </c>
      <c r="AK493" s="9">
        <v>6.2405150000000003</v>
      </c>
      <c r="AL493" s="9">
        <v>-75.552284999999998</v>
      </c>
      <c r="AM493" s="26">
        <f t="shared" si="8"/>
        <v>5.9201388888888887E-2</v>
      </c>
      <c r="AN493" s="1" t="s">
        <v>4061</v>
      </c>
    </row>
    <row r="494" spans="1:40" ht="15" x14ac:dyDescent="0.25">
      <c r="A494" s="9" t="s">
        <v>4053</v>
      </c>
      <c r="B494" s="9" t="s">
        <v>4054</v>
      </c>
      <c r="C494" s="9" t="s">
        <v>4055</v>
      </c>
      <c r="D494" s="9" t="s">
        <v>3966</v>
      </c>
      <c r="E494" s="9" t="s">
        <v>2619</v>
      </c>
      <c r="F494" s="9" t="s">
        <v>37</v>
      </c>
      <c r="G494" s="9" t="s">
        <v>105</v>
      </c>
      <c r="H494" s="9" t="s">
        <v>106</v>
      </c>
      <c r="I494" s="9" t="s">
        <v>115</v>
      </c>
      <c r="J494" s="9">
        <v>6</v>
      </c>
      <c r="K494" s="9" t="s">
        <v>4056</v>
      </c>
      <c r="L494" s="9" t="s">
        <v>117</v>
      </c>
      <c r="M494" s="10">
        <v>1.3310185185185181E-3</v>
      </c>
      <c r="N494" s="9" t="s">
        <v>65</v>
      </c>
      <c r="O494" s="9" t="s">
        <v>4057</v>
      </c>
      <c r="P494" s="9" t="s">
        <v>119</v>
      </c>
      <c r="Q494" s="10">
        <v>0.25105324074074081</v>
      </c>
      <c r="R494" s="9" t="s">
        <v>56</v>
      </c>
      <c r="S494" s="10">
        <v>2.7777777777777778E-4</v>
      </c>
      <c r="T494" s="9">
        <v>7.8E-2</v>
      </c>
      <c r="U494" s="9">
        <v>11.75</v>
      </c>
      <c r="V494" s="10">
        <v>2.7777777777777778E-4</v>
      </c>
      <c r="W494" s="10">
        <v>9.2592592592592588E-5</v>
      </c>
      <c r="X494" s="10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 t="s">
        <v>67</v>
      </c>
      <c r="AF494" s="9" t="s">
        <v>4058</v>
      </c>
      <c r="AG494" s="9" t="s">
        <v>4059</v>
      </c>
      <c r="AH494" s="9">
        <v>6.258146</v>
      </c>
      <c r="AI494" s="9">
        <v>-75.615330999999998</v>
      </c>
      <c r="AJ494" s="9" t="s">
        <v>4060</v>
      </c>
      <c r="AK494" s="9">
        <v>6.258648</v>
      </c>
      <c r="AL494" s="9">
        <v>-75.615716000000006</v>
      </c>
      <c r="AM494" s="26">
        <f t="shared" si="8"/>
        <v>0.25105324074074081</v>
      </c>
      <c r="AN494" s="1" t="s">
        <v>4061</v>
      </c>
    </row>
    <row r="495" spans="1:40" ht="15" x14ac:dyDescent="0.25">
      <c r="A495" s="9" t="s">
        <v>4062</v>
      </c>
      <c r="B495" s="9" t="s">
        <v>4063</v>
      </c>
      <c r="C495" s="9" t="s">
        <v>4064</v>
      </c>
      <c r="D495" s="9" t="s">
        <v>4065</v>
      </c>
      <c r="E495" s="9" t="s">
        <v>2619</v>
      </c>
      <c r="F495" s="9" t="s">
        <v>169</v>
      </c>
      <c r="G495" s="9" t="s">
        <v>38</v>
      </c>
      <c r="H495" s="9" t="s">
        <v>39</v>
      </c>
      <c r="I495" s="9" t="s">
        <v>40</v>
      </c>
      <c r="J495" s="9">
        <v>3516</v>
      </c>
      <c r="K495" s="9" t="s">
        <v>4066</v>
      </c>
      <c r="L495" s="9" t="s">
        <v>42</v>
      </c>
      <c r="M495" s="10">
        <v>3.2523148148148148E-2</v>
      </c>
      <c r="N495" s="9" t="s">
        <v>43</v>
      </c>
      <c r="O495" s="9" t="s">
        <v>4067</v>
      </c>
      <c r="P495" s="9" t="s">
        <v>45</v>
      </c>
      <c r="Q495" s="10">
        <v>1.3541666666666669E-3</v>
      </c>
      <c r="R495" s="9" t="s">
        <v>46</v>
      </c>
      <c r="S495" s="10">
        <v>0.30216435185185192</v>
      </c>
      <c r="T495" s="9">
        <v>49.67</v>
      </c>
      <c r="U495" s="9">
        <v>10.199999999999999</v>
      </c>
      <c r="V495" s="10">
        <v>0.20281250000000001</v>
      </c>
      <c r="W495" s="10">
        <v>0.12973379629629631</v>
      </c>
      <c r="X495" s="10">
        <v>1.6597222222222222E-2</v>
      </c>
      <c r="Y495" s="9">
        <v>1</v>
      </c>
      <c r="Z495" s="9">
        <v>1</v>
      </c>
      <c r="AA495" s="9">
        <v>0</v>
      </c>
      <c r="AB495" s="9">
        <v>0</v>
      </c>
      <c r="AC495" s="9">
        <v>0</v>
      </c>
      <c r="AD495" s="9">
        <v>1</v>
      </c>
      <c r="AE495" s="9" t="s">
        <v>47</v>
      </c>
      <c r="AF495" s="9" t="s">
        <v>4068</v>
      </c>
      <c r="AG495" s="9" t="s">
        <v>4069</v>
      </c>
      <c r="AH495" s="9">
        <v>6.2032489999999996</v>
      </c>
      <c r="AI495" s="9">
        <v>-75.600742999999994</v>
      </c>
      <c r="AJ495" s="9" t="s">
        <v>4070</v>
      </c>
      <c r="AK495" s="9">
        <v>6.2321739999999997</v>
      </c>
      <c r="AL495" s="9">
        <v>-75.596885999999998</v>
      </c>
      <c r="AM495" s="26">
        <f t="shared" si="8"/>
        <v>3.2523148148148148E-2</v>
      </c>
    </row>
    <row r="496" spans="1:40" ht="15" x14ac:dyDescent="0.25">
      <c r="A496" s="9" t="s">
        <v>4071</v>
      </c>
      <c r="B496" s="9" t="s">
        <v>4072</v>
      </c>
      <c r="C496" s="9" t="s">
        <v>4073</v>
      </c>
      <c r="D496" s="9" t="s">
        <v>4065</v>
      </c>
      <c r="E496" s="9" t="s">
        <v>2619</v>
      </c>
      <c r="F496" s="9" t="s">
        <v>169</v>
      </c>
      <c r="G496" s="9" t="s">
        <v>52</v>
      </c>
      <c r="H496" s="9" t="s">
        <v>53</v>
      </c>
      <c r="I496" s="9" t="s">
        <v>40</v>
      </c>
      <c r="J496" s="9">
        <v>2797</v>
      </c>
      <c r="K496" s="9" t="s">
        <v>4074</v>
      </c>
      <c r="L496" s="9" t="s">
        <v>42</v>
      </c>
      <c r="M496" s="10">
        <v>3.1481481481481482E-3</v>
      </c>
      <c r="N496" s="9" t="s">
        <v>65</v>
      </c>
      <c r="O496" s="9" t="s">
        <v>4075</v>
      </c>
      <c r="P496" s="9" t="s">
        <v>45</v>
      </c>
      <c r="Q496" s="10">
        <v>5.7175925925925927E-3</v>
      </c>
      <c r="R496" s="9" t="s">
        <v>46</v>
      </c>
      <c r="S496" s="10">
        <v>0.33076388888888891</v>
      </c>
      <c r="T496" s="9">
        <v>39.484999999999999</v>
      </c>
      <c r="U496" s="9">
        <v>5.7</v>
      </c>
      <c r="V496" s="10">
        <v>0.28873842592592591</v>
      </c>
      <c r="W496" s="10">
        <v>0.23219907407407411</v>
      </c>
      <c r="X496" s="10">
        <v>0</v>
      </c>
      <c r="Y496" s="9">
        <v>0</v>
      </c>
      <c r="Z496" s="9">
        <v>0</v>
      </c>
      <c r="AA496" s="9">
        <v>0</v>
      </c>
      <c r="AB496" s="9">
        <v>0</v>
      </c>
      <c r="AC496" s="9">
        <v>0</v>
      </c>
      <c r="AD496" s="9">
        <v>3</v>
      </c>
      <c r="AE496" s="9" t="s">
        <v>84</v>
      </c>
      <c r="AF496" s="9" t="s">
        <v>292</v>
      </c>
      <c r="AG496" s="9" t="s">
        <v>4076</v>
      </c>
      <c r="AH496" s="9">
        <v>6.2256819999999999</v>
      </c>
      <c r="AI496" s="9">
        <v>-75.599463</v>
      </c>
      <c r="AJ496" s="9" t="s">
        <v>4077</v>
      </c>
      <c r="AK496" s="9">
        <v>6.2417860000000003</v>
      </c>
      <c r="AL496" s="9">
        <v>-75.607845999999995</v>
      </c>
      <c r="AM496" s="26">
        <f t="shared" si="8"/>
        <v>0</v>
      </c>
    </row>
    <row r="497" spans="1:40" ht="15" x14ac:dyDescent="0.25">
      <c r="A497" s="9" t="s">
        <v>4078</v>
      </c>
      <c r="B497" s="9" t="s">
        <v>4079</v>
      </c>
      <c r="C497" s="9" t="s">
        <v>4080</v>
      </c>
      <c r="D497" s="9" t="s">
        <v>4065</v>
      </c>
      <c r="E497" s="9" t="s">
        <v>2619</v>
      </c>
      <c r="F497" s="9" t="s">
        <v>169</v>
      </c>
      <c r="G497" s="9" t="s">
        <v>144</v>
      </c>
      <c r="H497" s="9" t="s">
        <v>145</v>
      </c>
      <c r="I497" s="9" t="s">
        <v>40</v>
      </c>
      <c r="J497" s="9">
        <v>6988</v>
      </c>
      <c r="K497" s="9" t="s">
        <v>4081</v>
      </c>
      <c r="L497" s="9" t="s">
        <v>42</v>
      </c>
      <c r="M497" s="10">
        <v>1.4120370370370369E-3</v>
      </c>
      <c r="N497" s="9" t="s">
        <v>65</v>
      </c>
      <c r="O497" s="9" t="s">
        <v>4082</v>
      </c>
      <c r="P497" s="9" t="s">
        <v>45</v>
      </c>
      <c r="Q497" s="10">
        <v>1.0856481481481481E-2</v>
      </c>
      <c r="R497" s="9" t="s">
        <v>56</v>
      </c>
      <c r="S497" s="10">
        <v>0.3210648148148148</v>
      </c>
      <c r="T497" s="9">
        <v>93.13</v>
      </c>
      <c r="U497" s="9">
        <v>15.72</v>
      </c>
      <c r="V497" s="10">
        <v>0.24684027777777781</v>
      </c>
      <c r="W497" s="10">
        <v>7.7210648148148153E-2</v>
      </c>
      <c r="X497" s="10">
        <v>0</v>
      </c>
      <c r="Y497" s="9">
        <v>0</v>
      </c>
      <c r="Z497" s="9">
        <v>0</v>
      </c>
      <c r="AA497" s="9">
        <v>0</v>
      </c>
      <c r="AB497" s="9">
        <v>0</v>
      </c>
      <c r="AC497" s="9">
        <v>0</v>
      </c>
      <c r="AD497" s="9">
        <v>0</v>
      </c>
      <c r="AE497" s="9" t="s">
        <v>67</v>
      </c>
      <c r="AF497" s="9" t="s">
        <v>4083</v>
      </c>
      <c r="AG497" s="9" t="s">
        <v>4084</v>
      </c>
      <c r="AH497" s="9">
        <v>6.2542340000000003</v>
      </c>
      <c r="AI497" s="9">
        <v>-75.574906999999996</v>
      </c>
      <c r="AJ497" s="9" t="s">
        <v>4085</v>
      </c>
      <c r="AK497" s="9">
        <v>6.2728339999999996</v>
      </c>
      <c r="AL497" s="9">
        <v>-75.574434999999994</v>
      </c>
      <c r="AM497" s="26">
        <f t="shared" si="8"/>
        <v>1.0856481481481481E-2</v>
      </c>
    </row>
    <row r="498" spans="1:40" ht="15" x14ac:dyDescent="0.25">
      <c r="A498" s="9" t="s">
        <v>4086</v>
      </c>
      <c r="B498" s="9" t="s">
        <v>4087</v>
      </c>
      <c r="C498" s="9" t="s">
        <v>4088</v>
      </c>
      <c r="D498" s="9" t="s">
        <v>4065</v>
      </c>
      <c r="E498" s="9" t="s">
        <v>2619</v>
      </c>
      <c r="F498" s="9" t="s">
        <v>169</v>
      </c>
      <c r="G498" s="9" t="s">
        <v>152</v>
      </c>
      <c r="H498" s="9" t="s">
        <v>153</v>
      </c>
      <c r="I498" s="9" t="s">
        <v>40</v>
      </c>
      <c r="J498" s="9">
        <v>4044</v>
      </c>
      <c r="K498" s="9" t="s">
        <v>4089</v>
      </c>
      <c r="L498" s="9" t="s">
        <v>42</v>
      </c>
      <c r="M498" s="10">
        <v>8.0787037037037043E-3</v>
      </c>
      <c r="N498" s="9" t="s">
        <v>65</v>
      </c>
      <c r="O498" s="9" t="s">
        <v>4090</v>
      </c>
      <c r="P498" s="9" t="s">
        <v>45</v>
      </c>
      <c r="Q498" s="10">
        <v>2.809027777777778E-2</v>
      </c>
      <c r="R498" s="9" t="s">
        <v>56</v>
      </c>
      <c r="S498" s="10">
        <v>0.29716435185185192</v>
      </c>
      <c r="T498" s="9">
        <v>51.698</v>
      </c>
      <c r="U498" s="9">
        <v>8.0500000000000007</v>
      </c>
      <c r="V498" s="10">
        <v>0.26775462962962959</v>
      </c>
      <c r="W498" s="10">
        <v>0.15445601851851851</v>
      </c>
      <c r="X498" s="10">
        <v>0</v>
      </c>
      <c r="Y498" s="9">
        <v>0</v>
      </c>
      <c r="Z498" s="9">
        <v>0</v>
      </c>
      <c r="AA498" s="9">
        <v>0</v>
      </c>
      <c r="AB498" s="9">
        <v>0</v>
      </c>
      <c r="AC498" s="9">
        <v>0</v>
      </c>
      <c r="AD498" s="9">
        <v>2</v>
      </c>
      <c r="AE498" s="9" t="s">
        <v>67</v>
      </c>
      <c r="AF498" s="9" t="s">
        <v>4091</v>
      </c>
      <c r="AG498" s="9" t="s">
        <v>4092</v>
      </c>
      <c r="AH498" s="9">
        <v>6.2256030000000004</v>
      </c>
      <c r="AI498" s="9">
        <v>-75.599320000000006</v>
      </c>
      <c r="AJ498" s="9" t="s">
        <v>4093</v>
      </c>
      <c r="AK498" s="9">
        <v>6.2516920000000002</v>
      </c>
      <c r="AL498" s="9">
        <v>-75.551850000000002</v>
      </c>
      <c r="AM498" s="26">
        <f t="shared" si="8"/>
        <v>2.809027777777778E-2</v>
      </c>
    </row>
    <row r="499" spans="1:40" ht="15" x14ac:dyDescent="0.25">
      <c r="A499" s="17" t="s">
        <v>4094</v>
      </c>
      <c r="B499" s="17" t="s">
        <v>4095</v>
      </c>
      <c r="C499" s="17" t="s">
        <v>4096</v>
      </c>
      <c r="D499" s="17" t="s">
        <v>4065</v>
      </c>
      <c r="E499" s="17" t="s">
        <v>2619</v>
      </c>
      <c r="F499" s="17" t="s">
        <v>169</v>
      </c>
      <c r="G499" s="17" t="s">
        <v>89</v>
      </c>
      <c r="H499" s="17" t="s">
        <v>90</v>
      </c>
      <c r="I499" s="17" t="s">
        <v>40</v>
      </c>
      <c r="J499" s="17">
        <v>996</v>
      </c>
      <c r="K499" s="17" t="s">
        <v>4097</v>
      </c>
      <c r="L499" s="17" t="s">
        <v>42</v>
      </c>
      <c r="M499" s="18">
        <v>9.2592592592592588E-5</v>
      </c>
      <c r="N499" s="17" t="s">
        <v>65</v>
      </c>
      <c r="O499" s="17" t="s">
        <v>4098</v>
      </c>
      <c r="P499" s="17" t="s">
        <v>45</v>
      </c>
      <c r="Q499" s="18">
        <v>0.17484953703703701</v>
      </c>
      <c r="R499" s="17" t="s">
        <v>56</v>
      </c>
      <c r="S499" s="18">
        <v>0.15857638888888889</v>
      </c>
      <c r="T499" s="17">
        <v>12.478999999999999</v>
      </c>
      <c r="U499" s="17">
        <v>3.56</v>
      </c>
      <c r="V499" s="18">
        <v>0.1459722222222222</v>
      </c>
      <c r="W499" s="18">
        <v>0.1218402777777778</v>
      </c>
      <c r="X499" s="18">
        <v>0</v>
      </c>
      <c r="Y499" s="17">
        <v>0</v>
      </c>
      <c r="Z499" s="17">
        <v>0</v>
      </c>
      <c r="AA499" s="17">
        <v>0</v>
      </c>
      <c r="AB499" s="17">
        <v>0</v>
      </c>
      <c r="AC499" s="17">
        <v>0</v>
      </c>
      <c r="AD499" s="17">
        <v>2</v>
      </c>
      <c r="AE499" s="17" t="s">
        <v>67</v>
      </c>
      <c r="AF499" s="17" t="s">
        <v>4099</v>
      </c>
      <c r="AG499" s="17" t="s">
        <v>4100</v>
      </c>
      <c r="AH499" s="17">
        <v>6.2267219999999996</v>
      </c>
      <c r="AI499" s="17">
        <v>-75.599194999999995</v>
      </c>
      <c r="AJ499" s="17" t="s">
        <v>4101</v>
      </c>
      <c r="AK499" s="17">
        <v>6.2575839999999996</v>
      </c>
      <c r="AL499" s="17">
        <v>-75.565866</v>
      </c>
      <c r="AM499" s="26">
        <f t="shared" si="8"/>
        <v>0.17484953703703701</v>
      </c>
    </row>
    <row r="500" spans="1:40" ht="15" x14ac:dyDescent="0.25">
      <c r="A500" s="9" t="s">
        <v>4102</v>
      </c>
      <c r="B500" s="9" t="s">
        <v>4103</v>
      </c>
      <c r="C500" s="9" t="s">
        <v>4104</v>
      </c>
      <c r="D500" s="9" t="s">
        <v>4065</v>
      </c>
      <c r="E500" s="9" t="s">
        <v>2619</v>
      </c>
      <c r="F500" s="9" t="s">
        <v>169</v>
      </c>
      <c r="G500" s="9" t="s">
        <v>113</v>
      </c>
      <c r="H500" s="9" t="s">
        <v>114</v>
      </c>
      <c r="I500" s="9" t="s">
        <v>115</v>
      </c>
      <c r="J500" s="9">
        <v>2423</v>
      </c>
      <c r="K500" s="9" t="s">
        <v>4105</v>
      </c>
      <c r="L500" s="9" t="s">
        <v>117</v>
      </c>
      <c r="M500" s="10">
        <v>1.008101851851852E-2</v>
      </c>
      <c r="N500" s="9" t="s">
        <v>65</v>
      </c>
      <c r="O500" s="9" t="s">
        <v>4106</v>
      </c>
      <c r="P500" s="9" t="s">
        <v>119</v>
      </c>
      <c r="Q500" s="10">
        <v>2.1134259259259259E-2</v>
      </c>
      <c r="R500" s="9" t="s">
        <v>56</v>
      </c>
      <c r="S500" s="10">
        <v>0.2187847222222222</v>
      </c>
      <c r="T500" s="9">
        <v>32.804000000000002</v>
      </c>
      <c r="U500" s="9">
        <v>8.4700000000000006</v>
      </c>
      <c r="V500" s="10">
        <v>0.16135416666666669</v>
      </c>
      <c r="W500" s="10">
        <v>0.112349537037037</v>
      </c>
      <c r="X500" s="10">
        <v>0</v>
      </c>
      <c r="Y500" s="9">
        <v>0</v>
      </c>
      <c r="Z500" s="9">
        <v>0</v>
      </c>
      <c r="AA500" s="9">
        <v>0</v>
      </c>
      <c r="AB500" s="9">
        <v>0</v>
      </c>
      <c r="AC500" s="9">
        <v>0</v>
      </c>
      <c r="AD500" s="9">
        <v>1</v>
      </c>
      <c r="AE500" s="9" t="s">
        <v>67</v>
      </c>
      <c r="AF500" s="9" t="s">
        <v>4107</v>
      </c>
      <c r="AG500" s="9" t="s">
        <v>4108</v>
      </c>
      <c r="AH500" s="9">
        <v>6.2359679999999997</v>
      </c>
      <c r="AI500" s="9">
        <v>-75.602344000000002</v>
      </c>
      <c r="AJ500" s="9" t="s">
        <v>4109</v>
      </c>
      <c r="AK500" s="9">
        <v>6.2506459999999997</v>
      </c>
      <c r="AL500" s="9">
        <v>-75.602125000000001</v>
      </c>
      <c r="AM500" s="26">
        <f t="shared" si="8"/>
        <v>2.1134259259259259E-2</v>
      </c>
      <c r="AN500" s="1" t="s">
        <v>4061</v>
      </c>
    </row>
    <row r="501" spans="1:40" ht="15" x14ac:dyDescent="0.25">
      <c r="A501" s="9" t="s">
        <v>4110</v>
      </c>
      <c r="B501" s="9" t="s">
        <v>4111</v>
      </c>
      <c r="C501" s="9" t="s">
        <v>4112</v>
      </c>
      <c r="D501" s="9" t="s">
        <v>4065</v>
      </c>
      <c r="E501" s="9" t="s">
        <v>2619</v>
      </c>
      <c r="F501" s="9" t="s">
        <v>169</v>
      </c>
      <c r="G501" s="9" t="s">
        <v>124</v>
      </c>
      <c r="H501" s="9" t="s">
        <v>125</v>
      </c>
      <c r="I501" s="9" t="s">
        <v>115</v>
      </c>
      <c r="J501" s="9">
        <v>5128</v>
      </c>
      <c r="K501" s="9" t="s">
        <v>4113</v>
      </c>
      <c r="L501" s="9" t="s">
        <v>117</v>
      </c>
      <c r="M501" s="10">
        <v>3.5000000000000003E-2</v>
      </c>
      <c r="N501" s="9" t="s">
        <v>127</v>
      </c>
      <c r="O501" s="9" t="s">
        <v>4114</v>
      </c>
      <c r="P501" s="9" t="s">
        <v>119</v>
      </c>
      <c r="Q501" s="10">
        <v>2.179398148148148E-2</v>
      </c>
      <c r="R501" s="9" t="s">
        <v>129</v>
      </c>
      <c r="S501" s="10">
        <v>0.30679398148148151</v>
      </c>
      <c r="T501" s="9">
        <v>65.921000000000006</v>
      </c>
      <c r="U501" s="9">
        <v>13.43</v>
      </c>
      <c r="V501" s="10">
        <v>0.2044560185185185</v>
      </c>
      <c r="W501" s="10">
        <v>6.9039351851851852E-2</v>
      </c>
      <c r="X501" s="10">
        <v>2.1250000000000002E-2</v>
      </c>
      <c r="Y501" s="9">
        <v>1</v>
      </c>
      <c r="Z501" s="9">
        <v>1</v>
      </c>
      <c r="AA501" s="9">
        <v>1</v>
      </c>
      <c r="AB501" s="9">
        <v>0</v>
      </c>
      <c r="AC501" s="9">
        <v>0</v>
      </c>
      <c r="AD501" s="9">
        <v>0</v>
      </c>
      <c r="AE501" s="9" t="s">
        <v>130</v>
      </c>
      <c r="AF501" s="9" t="s">
        <v>4115</v>
      </c>
      <c r="AG501" s="9" t="s">
        <v>4116</v>
      </c>
      <c r="AH501" s="9">
        <v>6.2583909999999996</v>
      </c>
      <c r="AI501" s="9">
        <v>-75.578305999999998</v>
      </c>
      <c r="AJ501" s="9" t="s">
        <v>4117</v>
      </c>
      <c r="AK501" s="9">
        <v>6.2726329999999999</v>
      </c>
      <c r="AL501" s="9">
        <v>-75.602018000000001</v>
      </c>
      <c r="AM501" s="26">
        <f t="shared" si="8"/>
        <v>0</v>
      </c>
      <c r="AN501" s="1" t="s">
        <v>4061</v>
      </c>
    </row>
    <row r="502" spans="1:40" ht="15" x14ac:dyDescent="0.25">
      <c r="A502" s="9" t="s">
        <v>4118</v>
      </c>
      <c r="B502" s="9" t="s">
        <v>4119</v>
      </c>
      <c r="C502" s="9" t="s">
        <v>4120</v>
      </c>
      <c r="D502" s="9" t="s">
        <v>4065</v>
      </c>
      <c r="E502" s="9" t="s">
        <v>2619</v>
      </c>
      <c r="F502" s="9" t="s">
        <v>169</v>
      </c>
      <c r="G502" s="9" t="s">
        <v>135</v>
      </c>
      <c r="H502" s="9" t="s">
        <v>136</v>
      </c>
      <c r="I502" s="9" t="s">
        <v>115</v>
      </c>
      <c r="J502" s="9">
        <v>2877</v>
      </c>
      <c r="K502" s="9" t="s">
        <v>4121</v>
      </c>
      <c r="L502" s="9" t="s">
        <v>117</v>
      </c>
      <c r="M502" s="10">
        <v>2.8912037037037042E-2</v>
      </c>
      <c r="N502" s="9" t="s">
        <v>127</v>
      </c>
      <c r="O502" s="9" t="s">
        <v>4122</v>
      </c>
      <c r="P502" s="9" t="s">
        <v>119</v>
      </c>
      <c r="Q502" s="10">
        <v>8.4837962962962966E-3</v>
      </c>
      <c r="R502" s="9" t="s">
        <v>46</v>
      </c>
      <c r="S502" s="10">
        <v>0.27042824074074068</v>
      </c>
      <c r="T502" s="9">
        <v>35.521000000000001</v>
      </c>
      <c r="U502" s="9">
        <v>6.01</v>
      </c>
      <c r="V502" s="10">
        <v>0.24630787037037041</v>
      </c>
      <c r="W502" s="10">
        <v>0.19563657407407409</v>
      </c>
      <c r="X502" s="10">
        <v>4.3321759259259261E-2</v>
      </c>
      <c r="Y502" s="9">
        <v>1</v>
      </c>
      <c r="Z502" s="9">
        <v>1</v>
      </c>
      <c r="AA502" s="9">
        <v>1</v>
      </c>
      <c r="AB502" s="9">
        <v>1</v>
      </c>
      <c r="AC502" s="9">
        <v>1</v>
      </c>
      <c r="AD502" s="9">
        <v>4</v>
      </c>
      <c r="AE502" s="9" t="s">
        <v>139</v>
      </c>
      <c r="AF502" s="9" t="s">
        <v>4123</v>
      </c>
      <c r="AG502" s="9" t="s">
        <v>4124</v>
      </c>
      <c r="AH502" s="9">
        <v>6.2420349999999996</v>
      </c>
      <c r="AI502" s="9">
        <v>-75.619494000000003</v>
      </c>
      <c r="AJ502" s="9" t="s">
        <v>4125</v>
      </c>
      <c r="AK502" s="9">
        <v>6.2723810000000002</v>
      </c>
      <c r="AL502" s="9">
        <v>-75.540345000000002</v>
      </c>
      <c r="AM502" s="26">
        <f t="shared" si="8"/>
        <v>0</v>
      </c>
      <c r="AN502" s="1" t="s">
        <v>4061</v>
      </c>
    </row>
    <row r="503" spans="1:40" ht="15" x14ac:dyDescent="0.25">
      <c r="A503" s="9" t="s">
        <v>4126</v>
      </c>
      <c r="B503" s="9" t="s">
        <v>4127</v>
      </c>
      <c r="C503" s="9" t="s">
        <v>4128</v>
      </c>
      <c r="D503" s="9" t="s">
        <v>4065</v>
      </c>
      <c r="E503" s="9" t="s">
        <v>2619</v>
      </c>
      <c r="F503" s="9" t="s">
        <v>169</v>
      </c>
      <c r="G503" s="9" t="s">
        <v>72</v>
      </c>
      <c r="H503" s="9" t="s">
        <v>73</v>
      </c>
      <c r="I503" s="9" t="s">
        <v>115</v>
      </c>
      <c r="J503" s="9">
        <v>2521</v>
      </c>
      <c r="K503" s="9" t="s">
        <v>4129</v>
      </c>
      <c r="L503" s="9" t="s">
        <v>117</v>
      </c>
      <c r="M503" s="10">
        <v>5.8969907407407408E-2</v>
      </c>
      <c r="N503" s="9" t="s">
        <v>127</v>
      </c>
      <c r="O503" s="9" t="s">
        <v>4130</v>
      </c>
      <c r="P503" s="9" t="s">
        <v>119</v>
      </c>
      <c r="Q503" s="10">
        <v>0.1003125</v>
      </c>
      <c r="R503" s="9" t="s">
        <v>56</v>
      </c>
      <c r="S503" s="10">
        <v>0.2086574074074074</v>
      </c>
      <c r="T503" s="9">
        <v>39.027000000000001</v>
      </c>
      <c r="U503" s="9">
        <v>10.95</v>
      </c>
      <c r="V503" s="10">
        <v>0.1484375</v>
      </c>
      <c r="W503" s="10">
        <v>0.1052430555555556</v>
      </c>
      <c r="X503" s="10">
        <v>0</v>
      </c>
      <c r="Y503" s="9">
        <v>0</v>
      </c>
      <c r="Z503" s="9">
        <v>0</v>
      </c>
      <c r="AA503" s="9">
        <v>0</v>
      </c>
      <c r="AB503" s="9">
        <v>0</v>
      </c>
      <c r="AC503" s="9">
        <v>0</v>
      </c>
      <c r="AD503" s="9">
        <v>1</v>
      </c>
      <c r="AE503" s="9" t="s">
        <v>139</v>
      </c>
      <c r="AF503" s="9" t="s">
        <v>4131</v>
      </c>
      <c r="AG503" s="9" t="s">
        <v>4132</v>
      </c>
      <c r="AH503" s="9">
        <v>6.2256159999999996</v>
      </c>
      <c r="AI503" s="9">
        <v>-75.599318999999994</v>
      </c>
      <c r="AJ503" s="9" t="s">
        <v>4133</v>
      </c>
      <c r="AK503" s="9">
        <v>6.2370099999999997</v>
      </c>
      <c r="AL503" s="9">
        <v>-75.558869999999999</v>
      </c>
      <c r="AM503" s="26">
        <f t="shared" si="8"/>
        <v>0.1003125</v>
      </c>
      <c r="AN503" s="1" t="s">
        <v>4061</v>
      </c>
    </row>
    <row r="504" spans="1:40" ht="15" x14ac:dyDescent="0.25">
      <c r="A504" s="9" t="s">
        <v>4134</v>
      </c>
      <c r="B504" s="9" t="s">
        <v>4135</v>
      </c>
      <c r="C504" s="9" t="s">
        <v>4136</v>
      </c>
      <c r="D504" s="9" t="s">
        <v>4065</v>
      </c>
      <c r="E504" s="9" t="s">
        <v>2619</v>
      </c>
      <c r="F504" s="9" t="s">
        <v>169</v>
      </c>
      <c r="G504" s="9" t="s">
        <v>80</v>
      </c>
      <c r="H504" s="9" t="s">
        <v>81</v>
      </c>
      <c r="I504" s="9" t="s">
        <v>115</v>
      </c>
      <c r="J504" s="9">
        <v>10547</v>
      </c>
      <c r="K504" s="9" t="s">
        <v>4137</v>
      </c>
      <c r="L504" s="9" t="s">
        <v>117</v>
      </c>
      <c r="M504" s="10">
        <v>6.4387488425925926E-2</v>
      </c>
      <c r="N504" s="9" t="s">
        <v>127</v>
      </c>
      <c r="O504" s="9" t="s">
        <v>4138</v>
      </c>
      <c r="P504" s="9" t="s">
        <v>119</v>
      </c>
      <c r="Q504" s="10">
        <v>1.060381944444445E-3</v>
      </c>
      <c r="R504" s="9" t="s">
        <v>46</v>
      </c>
      <c r="S504" s="10">
        <v>0.31332710648148149</v>
      </c>
      <c r="T504" s="9">
        <v>64.603999999999999</v>
      </c>
      <c r="U504" s="9">
        <v>35.76</v>
      </c>
      <c r="V504" s="10">
        <v>7.5272013888889003E-2</v>
      </c>
      <c r="W504" s="10">
        <v>1.129078703703704E-2</v>
      </c>
      <c r="X504" s="10">
        <v>8.8864351851851847E-3</v>
      </c>
      <c r="Y504" s="9">
        <v>1</v>
      </c>
      <c r="Z504" s="9">
        <v>0</v>
      </c>
      <c r="AA504" s="9">
        <v>0</v>
      </c>
      <c r="AB504" s="9">
        <v>0</v>
      </c>
      <c r="AC504" s="9">
        <v>0</v>
      </c>
      <c r="AD504" s="9">
        <v>6</v>
      </c>
      <c r="AE504" s="9" t="s">
        <v>139</v>
      </c>
      <c r="AF504" s="9" t="s">
        <v>4139</v>
      </c>
      <c r="AG504" s="9" t="s">
        <v>4140</v>
      </c>
      <c r="AH504" s="9">
        <v>6.2293250000000002</v>
      </c>
      <c r="AI504" s="9">
        <v>-75.602058999999997</v>
      </c>
      <c r="AJ504" s="9" t="s">
        <v>4141</v>
      </c>
      <c r="AK504" s="9">
        <v>6.2256070000000001</v>
      </c>
      <c r="AL504" s="9">
        <v>-75.599417000000003</v>
      </c>
      <c r="AM504" s="26">
        <f t="shared" si="8"/>
        <v>0</v>
      </c>
      <c r="AN504" s="1" t="s">
        <v>4061</v>
      </c>
    </row>
    <row r="505" spans="1:40" ht="15" x14ac:dyDescent="0.25">
      <c r="A505" s="9" t="s">
        <v>4142</v>
      </c>
      <c r="B505" s="9" t="s">
        <v>4143</v>
      </c>
      <c r="C505" s="9" t="s">
        <v>4144</v>
      </c>
      <c r="D505" s="9" t="s">
        <v>4065</v>
      </c>
      <c r="E505" s="9" t="s">
        <v>2619</v>
      </c>
      <c r="F505" s="9" t="s">
        <v>169</v>
      </c>
      <c r="G505" s="9" t="s">
        <v>160</v>
      </c>
      <c r="H505" s="9" t="s">
        <v>161</v>
      </c>
      <c r="I505" s="9" t="s">
        <v>115</v>
      </c>
      <c r="J505" s="9">
        <v>11761</v>
      </c>
      <c r="K505" s="9" t="s">
        <v>4145</v>
      </c>
      <c r="L505" s="9" t="s">
        <v>117</v>
      </c>
      <c r="M505" s="10">
        <v>4.2955335648148137E-2</v>
      </c>
      <c r="N505" s="9" t="s">
        <v>127</v>
      </c>
      <c r="O505" s="9" t="s">
        <v>4146</v>
      </c>
      <c r="P505" s="9" t="s">
        <v>119</v>
      </c>
      <c r="Q505" s="10">
        <v>2.4265856481481482E-3</v>
      </c>
      <c r="R505" s="9" t="s">
        <v>46</v>
      </c>
      <c r="S505" s="10">
        <v>0.29538192129629631</v>
      </c>
      <c r="T505" s="9">
        <v>60.771999999999998</v>
      </c>
      <c r="U505" s="9">
        <v>13.64</v>
      </c>
      <c r="V505" s="10">
        <v>0.18567864583333321</v>
      </c>
      <c r="W505" s="10">
        <v>0.12480321759259259</v>
      </c>
      <c r="X505" s="10">
        <v>0</v>
      </c>
      <c r="Y505" s="9">
        <v>0</v>
      </c>
      <c r="Z505" s="9">
        <v>0</v>
      </c>
      <c r="AA505" s="9">
        <v>0</v>
      </c>
      <c r="AB505" s="9">
        <v>0</v>
      </c>
      <c r="AC505" s="9">
        <v>0</v>
      </c>
      <c r="AD505" s="9">
        <v>1</v>
      </c>
      <c r="AE505" s="9" t="s">
        <v>139</v>
      </c>
      <c r="AF505" s="9" t="s">
        <v>4147</v>
      </c>
      <c r="AG505" s="9" t="s">
        <v>4148</v>
      </c>
      <c r="AH505" s="9">
        <v>6.2267349999999997</v>
      </c>
      <c r="AI505" s="9">
        <v>-75.599272999999997</v>
      </c>
      <c r="AJ505" s="9" t="s">
        <v>4149</v>
      </c>
      <c r="AK505" s="9">
        <v>6.2683949999999999</v>
      </c>
      <c r="AL505" s="9">
        <v>-75.599341999999993</v>
      </c>
      <c r="AM505" s="26">
        <f t="shared" si="8"/>
        <v>0</v>
      </c>
      <c r="AN505" s="1" t="s">
        <v>4061</v>
      </c>
    </row>
    <row r="506" spans="1:40" ht="15" x14ac:dyDescent="0.25">
      <c r="A506" s="17" t="s">
        <v>4150</v>
      </c>
      <c r="B506" s="17" t="s">
        <v>4151</v>
      </c>
      <c r="C506" s="17" t="s">
        <v>4152</v>
      </c>
      <c r="D506" s="17" t="s">
        <v>4065</v>
      </c>
      <c r="E506" s="17" t="s">
        <v>2619</v>
      </c>
      <c r="F506" s="17" t="s">
        <v>169</v>
      </c>
      <c r="G506" s="17" t="s">
        <v>97</v>
      </c>
      <c r="H506" s="17" t="s">
        <v>98</v>
      </c>
      <c r="I506" s="17" t="s">
        <v>115</v>
      </c>
      <c r="J506" s="17">
        <v>3475</v>
      </c>
      <c r="K506" s="17" t="s">
        <v>4153</v>
      </c>
      <c r="L506" s="17" t="s">
        <v>117</v>
      </c>
      <c r="M506" s="18">
        <v>5.800925925925926E-2</v>
      </c>
      <c r="N506" s="17" t="s">
        <v>127</v>
      </c>
      <c r="O506" s="17" t="s">
        <v>4154</v>
      </c>
      <c r="P506" s="17" t="s">
        <v>119</v>
      </c>
      <c r="Q506" s="18">
        <v>4.6990740740740743E-3</v>
      </c>
      <c r="R506" s="17" t="s">
        <v>46</v>
      </c>
      <c r="S506" s="18">
        <v>0.30331018518518521</v>
      </c>
      <c r="T506" s="17">
        <v>47.524000000000001</v>
      </c>
      <c r="U506" s="17">
        <v>11.19</v>
      </c>
      <c r="V506" s="18">
        <v>0.1769212962962963</v>
      </c>
      <c r="W506" s="18">
        <v>9.7199074074074077E-2</v>
      </c>
      <c r="X506" s="18">
        <v>3.3553240740740738E-2</v>
      </c>
      <c r="Y506" s="17">
        <v>1</v>
      </c>
      <c r="Z506" s="17">
        <v>1</v>
      </c>
      <c r="AA506" s="17">
        <v>1</v>
      </c>
      <c r="AB506" s="17">
        <v>1</v>
      </c>
      <c r="AC506" s="17">
        <v>0</v>
      </c>
      <c r="AD506" s="17">
        <v>0</v>
      </c>
      <c r="AE506" s="17" t="s">
        <v>139</v>
      </c>
      <c r="AF506" s="17" t="s">
        <v>4155</v>
      </c>
      <c r="AG506" s="17" t="s">
        <v>4156</v>
      </c>
      <c r="AH506" s="17">
        <v>6.2257040000000003</v>
      </c>
      <c r="AI506" s="17">
        <v>-75.599407999999997</v>
      </c>
      <c r="AJ506" s="17" t="s">
        <v>4157</v>
      </c>
      <c r="AK506" s="17">
        <v>6.3082580000000004</v>
      </c>
      <c r="AL506" s="17">
        <v>-75.581629000000007</v>
      </c>
      <c r="AM506" s="26">
        <f t="shared" si="8"/>
        <v>0</v>
      </c>
      <c r="AN506" s="1" t="s">
        <v>4061</v>
      </c>
    </row>
    <row r="507" spans="1:40" ht="15" x14ac:dyDescent="0.25">
      <c r="A507" s="9" t="s">
        <v>4158</v>
      </c>
      <c r="B507" s="9" t="s">
        <v>4159</v>
      </c>
      <c r="C507" s="9" t="s">
        <v>4160</v>
      </c>
      <c r="D507" s="9" t="s">
        <v>4161</v>
      </c>
      <c r="E507" s="9" t="s">
        <v>2619</v>
      </c>
      <c r="F507" s="9" t="s">
        <v>315</v>
      </c>
      <c r="G507" s="9" t="s">
        <v>38</v>
      </c>
      <c r="H507" s="9" t="s">
        <v>39</v>
      </c>
      <c r="I507" s="9" t="s">
        <v>40</v>
      </c>
      <c r="J507" s="9">
        <v>4608</v>
      </c>
      <c r="K507" s="9" t="s">
        <v>4162</v>
      </c>
      <c r="L507" s="9" t="s">
        <v>42</v>
      </c>
      <c r="M507" s="10">
        <v>5.0416666666666672E-2</v>
      </c>
      <c r="N507" s="9" t="s">
        <v>43</v>
      </c>
      <c r="O507" s="9" t="s">
        <v>4163</v>
      </c>
      <c r="P507" s="9" t="s">
        <v>45</v>
      </c>
      <c r="Q507" s="10">
        <v>3.0787037037037042E-3</v>
      </c>
      <c r="R507" s="9" t="s">
        <v>46</v>
      </c>
      <c r="S507" s="10">
        <v>0.28599537037037043</v>
      </c>
      <c r="T507" s="9">
        <v>76.123000000000005</v>
      </c>
      <c r="U507" s="9">
        <v>18.23</v>
      </c>
      <c r="V507" s="10">
        <v>0.17396990740740739</v>
      </c>
      <c r="W507" s="10">
        <v>8.3344907407407409E-2</v>
      </c>
      <c r="X507" s="10">
        <v>3.5277777777777783E-2</v>
      </c>
      <c r="Y507" s="9">
        <v>1</v>
      </c>
      <c r="Z507" s="9">
        <v>1</v>
      </c>
      <c r="AA507" s="9">
        <v>1</v>
      </c>
      <c r="AB507" s="9">
        <v>1</v>
      </c>
      <c r="AC507" s="9">
        <v>0</v>
      </c>
      <c r="AD507" s="9">
        <v>0</v>
      </c>
      <c r="AE507" s="9" t="s">
        <v>47</v>
      </c>
      <c r="AF507" s="9" t="s">
        <v>4164</v>
      </c>
      <c r="AG507" s="9" t="s">
        <v>4165</v>
      </c>
      <c r="AH507" s="9">
        <v>6.203322</v>
      </c>
      <c r="AI507" s="9">
        <v>-75.600756000000004</v>
      </c>
      <c r="AJ507" s="9" t="s">
        <v>4166</v>
      </c>
      <c r="AK507" s="9">
        <v>6.2255310000000001</v>
      </c>
      <c r="AL507" s="9">
        <v>-75.599164000000002</v>
      </c>
      <c r="AM507" s="26">
        <f t="shared" si="8"/>
        <v>5.0416666666666672E-2</v>
      </c>
    </row>
    <row r="508" spans="1:40" ht="15" x14ac:dyDescent="0.25">
      <c r="A508" s="9" t="s">
        <v>4167</v>
      </c>
      <c r="B508" s="9" t="s">
        <v>4168</v>
      </c>
      <c r="C508" s="9" t="s">
        <v>4169</v>
      </c>
      <c r="D508" s="9" t="s">
        <v>4161</v>
      </c>
      <c r="E508" s="9" t="s">
        <v>2619</v>
      </c>
      <c r="F508" s="9" t="s">
        <v>315</v>
      </c>
      <c r="G508" s="9" t="s">
        <v>52</v>
      </c>
      <c r="H508" s="9" t="s">
        <v>53</v>
      </c>
      <c r="I508" s="9" t="s">
        <v>40</v>
      </c>
      <c r="J508" s="9">
        <v>1522</v>
      </c>
      <c r="K508" s="9" t="s">
        <v>4170</v>
      </c>
      <c r="L508" s="9" t="s">
        <v>42</v>
      </c>
      <c r="M508" s="10">
        <v>2.0509259259259258E-2</v>
      </c>
      <c r="N508" s="9" t="s">
        <v>127</v>
      </c>
      <c r="O508" s="9" t="s">
        <v>4171</v>
      </c>
      <c r="P508" s="9" t="s">
        <v>45</v>
      </c>
      <c r="Q508" s="10">
        <v>3.9699074074074072E-3</v>
      </c>
      <c r="R508" s="9" t="s">
        <v>46</v>
      </c>
      <c r="S508" s="10">
        <v>0.35781249999999998</v>
      </c>
      <c r="T508" s="9">
        <v>23.37</v>
      </c>
      <c r="U508" s="9">
        <v>3.49</v>
      </c>
      <c r="V508" s="10">
        <v>0.27885416666666668</v>
      </c>
      <c r="W508" s="10">
        <v>0.25400462962962961</v>
      </c>
      <c r="X508" s="10">
        <v>7.7418981481481478E-2</v>
      </c>
      <c r="Y508" s="9">
        <v>1</v>
      </c>
      <c r="Z508" s="9">
        <v>1</v>
      </c>
      <c r="AA508" s="9">
        <v>1</v>
      </c>
      <c r="AB508" s="9">
        <v>1</v>
      </c>
      <c r="AC508" s="9">
        <v>1</v>
      </c>
      <c r="AD508" s="9">
        <v>6</v>
      </c>
      <c r="AE508" s="9" t="s">
        <v>139</v>
      </c>
      <c r="AF508" s="9" t="s">
        <v>4172</v>
      </c>
      <c r="AG508" s="9" t="s">
        <v>4173</v>
      </c>
      <c r="AH508" s="9">
        <v>6.225644</v>
      </c>
      <c r="AI508" s="9">
        <v>-75.599451000000002</v>
      </c>
      <c r="AJ508" s="9" t="s">
        <v>4174</v>
      </c>
      <c r="AK508" s="9">
        <v>6.2255770000000004</v>
      </c>
      <c r="AL508" s="9">
        <v>-75.599461000000005</v>
      </c>
      <c r="AM508" s="26">
        <f t="shared" si="8"/>
        <v>0</v>
      </c>
    </row>
    <row r="509" spans="1:40" ht="15" x14ac:dyDescent="0.25">
      <c r="A509" s="9" t="s">
        <v>4175</v>
      </c>
      <c r="B509" s="9" t="s">
        <v>4176</v>
      </c>
      <c r="C509" s="9" t="s">
        <v>4177</v>
      </c>
      <c r="D509" s="9" t="s">
        <v>4161</v>
      </c>
      <c r="E509" s="9" t="s">
        <v>2619</v>
      </c>
      <c r="F509" s="9" t="s">
        <v>315</v>
      </c>
      <c r="G509" s="9" t="s">
        <v>62</v>
      </c>
      <c r="H509" s="9" t="s">
        <v>63</v>
      </c>
      <c r="I509" s="9" t="s">
        <v>40</v>
      </c>
      <c r="J509" s="9">
        <v>3942</v>
      </c>
      <c r="K509" s="9" t="s">
        <v>4178</v>
      </c>
      <c r="L509" s="9" t="s">
        <v>42</v>
      </c>
      <c r="M509" s="10">
        <v>1.105324074074074E-2</v>
      </c>
      <c r="N509" s="9" t="s">
        <v>43</v>
      </c>
      <c r="O509" s="9" t="s">
        <v>4179</v>
      </c>
      <c r="P509" s="9" t="s">
        <v>45</v>
      </c>
      <c r="Q509" s="10">
        <v>1.4930555555555561E-3</v>
      </c>
      <c r="R509" s="9" t="s">
        <v>46</v>
      </c>
      <c r="S509" s="10">
        <v>0.32377314814814823</v>
      </c>
      <c r="T509" s="9">
        <v>55.640999999999998</v>
      </c>
      <c r="U509" s="9">
        <v>8.66</v>
      </c>
      <c r="V509" s="10">
        <v>0.26775462962962959</v>
      </c>
      <c r="W509" s="10">
        <v>0.19039351851851849</v>
      </c>
      <c r="X509" s="10">
        <v>2.0833333333333329E-2</v>
      </c>
      <c r="Y509" s="9">
        <v>1</v>
      </c>
      <c r="Z509" s="9">
        <v>1</v>
      </c>
      <c r="AA509" s="9">
        <v>1</v>
      </c>
      <c r="AB509" s="9">
        <v>0</v>
      </c>
      <c r="AC509" s="9">
        <v>0</v>
      </c>
      <c r="AD509" s="9">
        <v>1</v>
      </c>
      <c r="AE509" s="9" t="s">
        <v>47</v>
      </c>
      <c r="AF509" s="9" t="s">
        <v>4180</v>
      </c>
      <c r="AG509" s="9" t="s">
        <v>4181</v>
      </c>
      <c r="AH509" s="9">
        <v>6.2257179999999996</v>
      </c>
      <c r="AI509" s="9">
        <v>-75.599187999999998</v>
      </c>
      <c r="AJ509" s="9" t="s">
        <v>4182</v>
      </c>
      <c r="AK509" s="9">
        <v>6.2255690000000001</v>
      </c>
      <c r="AL509" s="9">
        <v>-75.599455000000006</v>
      </c>
      <c r="AM509" s="26">
        <f t="shared" si="8"/>
        <v>1.105324074074074E-2</v>
      </c>
    </row>
    <row r="510" spans="1:40" ht="15" x14ac:dyDescent="0.25">
      <c r="A510" s="9" t="s">
        <v>4183</v>
      </c>
      <c r="B510" s="9" t="s">
        <v>4184</v>
      </c>
      <c r="C510" s="9" t="s">
        <v>4185</v>
      </c>
      <c r="D510" s="9" t="s">
        <v>4161</v>
      </c>
      <c r="E510" s="9" t="s">
        <v>2619</v>
      </c>
      <c r="F510" s="9" t="s">
        <v>315</v>
      </c>
      <c r="G510" s="9" t="s">
        <v>144</v>
      </c>
      <c r="H510" s="9" t="s">
        <v>145</v>
      </c>
      <c r="I510" s="9" t="s">
        <v>40</v>
      </c>
      <c r="J510" s="9">
        <v>6224</v>
      </c>
      <c r="K510" s="9" t="s">
        <v>4186</v>
      </c>
      <c r="L510" s="9" t="s">
        <v>42</v>
      </c>
      <c r="M510" s="10">
        <v>1.9212962962962959E-2</v>
      </c>
      <c r="N510" s="9" t="s">
        <v>127</v>
      </c>
      <c r="O510" s="9" t="s">
        <v>4187</v>
      </c>
      <c r="P510" s="9" t="s">
        <v>45</v>
      </c>
      <c r="Q510" s="10">
        <v>5.2118055555555563E-2</v>
      </c>
      <c r="R510" s="9" t="s">
        <v>56</v>
      </c>
      <c r="S510" s="10">
        <v>0.30042824074074082</v>
      </c>
      <c r="T510" s="9">
        <v>81.097999999999999</v>
      </c>
      <c r="U510" s="9">
        <v>14.58</v>
      </c>
      <c r="V510" s="10">
        <v>0.2317939814814815</v>
      </c>
      <c r="W510" s="10">
        <v>8.8159722222222223E-2</v>
      </c>
      <c r="X510" s="10">
        <v>0</v>
      </c>
      <c r="Y510" s="9">
        <v>0</v>
      </c>
      <c r="Z510" s="9">
        <v>0</v>
      </c>
      <c r="AA510" s="9">
        <v>0</v>
      </c>
      <c r="AB510" s="9">
        <v>0</v>
      </c>
      <c r="AC510" s="9">
        <v>0</v>
      </c>
      <c r="AD510" s="9">
        <v>0</v>
      </c>
      <c r="AE510" s="9" t="s">
        <v>139</v>
      </c>
      <c r="AF510" s="9" t="s">
        <v>4188</v>
      </c>
      <c r="AG510" s="9" t="s">
        <v>4189</v>
      </c>
      <c r="AH510" s="9">
        <v>6.2728320000000002</v>
      </c>
      <c r="AI510" s="9">
        <v>-75.574499000000003</v>
      </c>
      <c r="AJ510" s="9" t="s">
        <v>4190</v>
      </c>
      <c r="AK510" s="9">
        <v>6.272799</v>
      </c>
      <c r="AL510" s="9">
        <v>-75.574363000000005</v>
      </c>
      <c r="AM510" s="26">
        <f t="shared" si="8"/>
        <v>5.2118055555555563E-2</v>
      </c>
    </row>
    <row r="511" spans="1:40" ht="15" x14ac:dyDescent="0.25">
      <c r="A511" s="9" t="s">
        <v>4191</v>
      </c>
      <c r="B511" s="9" t="s">
        <v>4192</v>
      </c>
      <c r="C511" s="9" t="s">
        <v>4193</v>
      </c>
      <c r="D511" s="9" t="s">
        <v>4161</v>
      </c>
      <c r="E511" s="9" t="s">
        <v>2619</v>
      </c>
      <c r="F511" s="9" t="s">
        <v>315</v>
      </c>
      <c r="G511" s="9" t="s">
        <v>152</v>
      </c>
      <c r="H511" s="9" t="s">
        <v>153</v>
      </c>
      <c r="I511" s="9" t="s">
        <v>40</v>
      </c>
      <c r="J511" s="9">
        <v>5233</v>
      </c>
      <c r="K511" s="9" t="s">
        <v>4194</v>
      </c>
      <c r="L511" s="9" t="s">
        <v>42</v>
      </c>
      <c r="M511" s="10">
        <v>2.0844907407407409E-2</v>
      </c>
      <c r="N511" s="9" t="s">
        <v>43</v>
      </c>
      <c r="O511" s="9" t="s">
        <v>4195</v>
      </c>
      <c r="P511" s="9" t="s">
        <v>45</v>
      </c>
      <c r="Q511" s="10">
        <v>2.9027777777777781E-2</v>
      </c>
      <c r="R511" s="9" t="s">
        <v>129</v>
      </c>
      <c r="S511" s="10">
        <v>0.34151620370370372</v>
      </c>
      <c r="T511" s="9">
        <v>66.397000000000006</v>
      </c>
      <c r="U511" s="9">
        <v>8.82</v>
      </c>
      <c r="V511" s="10">
        <v>0.31350694444444438</v>
      </c>
      <c r="W511" s="10">
        <v>0.16506944444444441</v>
      </c>
      <c r="X511" s="10">
        <v>0</v>
      </c>
      <c r="Y511" s="9">
        <v>0</v>
      </c>
      <c r="Z511" s="9">
        <v>0</v>
      </c>
      <c r="AA511" s="9">
        <v>0</v>
      </c>
      <c r="AB511" s="9">
        <v>0</v>
      </c>
      <c r="AC511" s="9">
        <v>0</v>
      </c>
      <c r="AD511" s="9">
        <v>2</v>
      </c>
      <c r="AE511" s="9" t="s">
        <v>130</v>
      </c>
      <c r="AF511" s="9" t="s">
        <v>4196</v>
      </c>
      <c r="AG511" s="9" t="s">
        <v>4197</v>
      </c>
      <c r="AH511" s="9">
        <v>6.2255529999999997</v>
      </c>
      <c r="AI511" s="9">
        <v>-75.599446999999998</v>
      </c>
      <c r="AJ511" s="9" t="s">
        <v>4198</v>
      </c>
      <c r="AK511" s="9">
        <v>6.267455</v>
      </c>
      <c r="AL511" s="9">
        <v>-75.565623000000002</v>
      </c>
      <c r="AM511" s="26">
        <f t="shared" si="8"/>
        <v>2.0844907407407409E-2</v>
      </c>
    </row>
    <row r="512" spans="1:40" ht="15" x14ac:dyDescent="0.25">
      <c r="A512" s="9" t="s">
        <v>4199</v>
      </c>
      <c r="B512" s="9" t="s">
        <v>4200</v>
      </c>
      <c r="C512" s="9" t="s">
        <v>4201</v>
      </c>
      <c r="D512" s="9" t="s">
        <v>4161</v>
      </c>
      <c r="E512" s="9" t="s">
        <v>2619</v>
      </c>
      <c r="F512" s="9" t="s">
        <v>315</v>
      </c>
      <c r="G512" s="9" t="s">
        <v>89</v>
      </c>
      <c r="H512" s="9" t="s">
        <v>90</v>
      </c>
      <c r="I512" s="9" t="s">
        <v>40</v>
      </c>
      <c r="J512" s="9">
        <v>1730</v>
      </c>
      <c r="K512" s="9" t="s">
        <v>4202</v>
      </c>
      <c r="L512" s="9" t="s">
        <v>42</v>
      </c>
      <c r="M512" s="10">
        <v>5.2893518518518524E-3</v>
      </c>
      <c r="N512" s="9" t="s">
        <v>65</v>
      </c>
      <c r="O512" s="9" t="s">
        <v>4203</v>
      </c>
      <c r="P512" s="9" t="s">
        <v>45</v>
      </c>
      <c r="Q512" s="10">
        <v>0.12199074074074071</v>
      </c>
      <c r="R512" s="9" t="s">
        <v>56</v>
      </c>
      <c r="S512" s="10">
        <v>0.20605324074074069</v>
      </c>
      <c r="T512" s="9">
        <v>21.146000000000001</v>
      </c>
      <c r="U512" s="9">
        <v>4.62</v>
      </c>
      <c r="V512" s="10">
        <v>0.19064814814814809</v>
      </c>
      <c r="W512" s="10">
        <v>0.15481481481481479</v>
      </c>
      <c r="X512" s="10">
        <v>0</v>
      </c>
      <c r="Y512" s="9">
        <v>0</v>
      </c>
      <c r="Z512" s="9">
        <v>0</v>
      </c>
      <c r="AA512" s="9">
        <v>0</v>
      </c>
      <c r="AB512" s="9">
        <v>0</v>
      </c>
      <c r="AC512" s="9">
        <v>0</v>
      </c>
      <c r="AD512" s="9">
        <v>4</v>
      </c>
      <c r="AE512" s="9" t="s">
        <v>67</v>
      </c>
      <c r="AF512" s="9" t="s">
        <v>4204</v>
      </c>
      <c r="AG512" s="9" t="s">
        <v>4205</v>
      </c>
      <c r="AH512" s="9">
        <v>6.2266769999999996</v>
      </c>
      <c r="AI512" s="9">
        <v>-75.599299999999999</v>
      </c>
      <c r="AJ512" s="9" t="s">
        <v>4206</v>
      </c>
      <c r="AK512" s="9">
        <v>6.2575000000000003</v>
      </c>
      <c r="AL512" s="9">
        <v>-75.565845999999993</v>
      </c>
      <c r="AM512" s="26">
        <f t="shared" si="8"/>
        <v>0.12199074074074071</v>
      </c>
    </row>
    <row r="513" spans="1:54" ht="15" x14ac:dyDescent="0.25">
      <c r="A513" s="17" t="s">
        <v>4207</v>
      </c>
      <c r="B513" s="17" t="s">
        <v>4208</v>
      </c>
      <c r="C513" s="17" t="s">
        <v>4209</v>
      </c>
      <c r="D513" s="17" t="s">
        <v>4161</v>
      </c>
      <c r="E513" s="17" t="s">
        <v>2619</v>
      </c>
      <c r="F513" s="17" t="s">
        <v>315</v>
      </c>
      <c r="G513" s="17" t="s">
        <v>105</v>
      </c>
      <c r="H513" s="17" t="s">
        <v>106</v>
      </c>
      <c r="I513" s="17" t="s">
        <v>40</v>
      </c>
      <c r="J513" s="17">
        <v>1569</v>
      </c>
      <c r="K513" s="17" t="s">
        <v>4210</v>
      </c>
      <c r="L513" s="17" t="s">
        <v>42</v>
      </c>
      <c r="M513" s="18">
        <v>8.4641203703703705E-2</v>
      </c>
      <c r="N513" s="17" t="s">
        <v>43</v>
      </c>
      <c r="O513" s="17" t="s">
        <v>4211</v>
      </c>
      <c r="P513" s="17" t="s">
        <v>45</v>
      </c>
      <c r="Q513" s="18">
        <v>1.637731481481481E-2</v>
      </c>
      <c r="R513" s="17" t="s">
        <v>129</v>
      </c>
      <c r="S513" s="18">
        <v>0.26506944444444452</v>
      </c>
      <c r="T513" s="17">
        <v>20.652999999999999</v>
      </c>
      <c r="U513" s="17">
        <v>5.24</v>
      </c>
      <c r="V513" s="18">
        <v>0.16422453703703699</v>
      </c>
      <c r="W513" s="18">
        <v>0.1376273148148148</v>
      </c>
      <c r="X513" s="18">
        <v>0</v>
      </c>
      <c r="Y513" s="17">
        <v>0</v>
      </c>
      <c r="Z513" s="17">
        <v>0</v>
      </c>
      <c r="AA513" s="17">
        <v>0</v>
      </c>
      <c r="AB513" s="17">
        <v>0</v>
      </c>
      <c r="AC513" s="17">
        <v>0</v>
      </c>
      <c r="AD513" s="17">
        <v>3</v>
      </c>
      <c r="AE513" s="17" t="s">
        <v>130</v>
      </c>
      <c r="AF513" s="17" t="s">
        <v>4212</v>
      </c>
      <c r="AG513" s="17" t="s">
        <v>4213</v>
      </c>
      <c r="AH513" s="17">
        <v>6.2886519999999999</v>
      </c>
      <c r="AI513" s="17">
        <v>-75.563944000000006</v>
      </c>
      <c r="AJ513" s="17" t="s">
        <v>4214</v>
      </c>
      <c r="AK513" s="17">
        <v>6.258216</v>
      </c>
      <c r="AL513" s="17">
        <v>-75.615898000000001</v>
      </c>
      <c r="AM513" s="27">
        <f t="shared" si="8"/>
        <v>8.4641203703703705E-2</v>
      </c>
    </row>
    <row r="514" spans="1:54" s="9" customFormat="1" ht="15" x14ac:dyDescent="0.25">
      <c r="A514" s="9" t="s">
        <v>4219</v>
      </c>
      <c r="B514" s="9" t="s">
        <v>4220</v>
      </c>
      <c r="C514" s="9" t="s">
        <v>4221</v>
      </c>
      <c r="D514" s="9" t="s">
        <v>4161</v>
      </c>
      <c r="E514" s="9" t="s">
        <v>2619</v>
      </c>
      <c r="F514" s="9" t="s">
        <v>315</v>
      </c>
      <c r="G514" s="9" t="s">
        <v>113</v>
      </c>
      <c r="H514" s="9" t="s">
        <v>114</v>
      </c>
      <c r="I514" s="9" t="s">
        <v>115</v>
      </c>
      <c r="J514" s="9">
        <v>1640</v>
      </c>
      <c r="K514" s="9" t="s">
        <v>4222</v>
      </c>
      <c r="L514" s="9" t="s">
        <v>117</v>
      </c>
      <c r="M514" s="10">
        <v>9.1319444444444443E-3</v>
      </c>
      <c r="N514" s="9" t="s">
        <v>65</v>
      </c>
      <c r="O514" s="9" t="s">
        <v>4223</v>
      </c>
      <c r="P514" s="9" t="s">
        <v>119</v>
      </c>
      <c r="Q514" s="10">
        <v>0.11489583333333329</v>
      </c>
      <c r="R514" s="9" t="s">
        <v>56</v>
      </c>
      <c r="S514" s="10">
        <v>0.12597222222222221</v>
      </c>
      <c r="T514" s="9">
        <v>22.123999999999999</v>
      </c>
      <c r="U514" s="9">
        <v>11.36</v>
      </c>
      <c r="V514" s="10">
        <v>8.1157407407407414E-2</v>
      </c>
      <c r="W514" s="10">
        <v>5.0104166666666658E-2</v>
      </c>
      <c r="X514" s="10">
        <v>0</v>
      </c>
      <c r="Y514" s="9">
        <v>0</v>
      </c>
      <c r="Z514" s="9">
        <v>0</v>
      </c>
      <c r="AA514" s="9">
        <v>0</v>
      </c>
      <c r="AB514" s="9">
        <v>0</v>
      </c>
      <c r="AC514" s="9">
        <v>0</v>
      </c>
      <c r="AD514" s="9">
        <v>0</v>
      </c>
      <c r="AE514" s="9" t="s">
        <v>67</v>
      </c>
      <c r="AF514" s="9" t="s">
        <v>4224</v>
      </c>
      <c r="AG514" s="9" t="s">
        <v>4225</v>
      </c>
      <c r="AH514" s="9">
        <v>6.2351809999999999</v>
      </c>
      <c r="AI514" s="9">
        <v>-75.602221999999998</v>
      </c>
      <c r="AJ514" s="9" t="s">
        <v>4226</v>
      </c>
      <c r="AK514" s="9">
        <v>6.2389549999999998</v>
      </c>
      <c r="AL514" s="9">
        <v>-75.603149999999999</v>
      </c>
      <c r="AM514" s="26">
        <f t="shared" si="8"/>
        <v>0.11489583333333329</v>
      </c>
      <c r="AY514" s="14"/>
      <c r="AZ514" s="14"/>
      <c r="BA514" s="14"/>
      <c r="BB514" s="14"/>
    </row>
    <row r="515" spans="1:54" s="9" customFormat="1" ht="15" x14ac:dyDescent="0.25">
      <c r="A515" s="9" t="s">
        <v>4227</v>
      </c>
      <c r="B515" s="9" t="s">
        <v>4228</v>
      </c>
      <c r="C515" s="9" t="s">
        <v>4229</v>
      </c>
      <c r="D515" s="9" t="s">
        <v>4161</v>
      </c>
      <c r="E515" s="9" t="s">
        <v>2619</v>
      </c>
      <c r="F515" s="9" t="s">
        <v>315</v>
      </c>
      <c r="G515" s="9" t="s">
        <v>124</v>
      </c>
      <c r="H515" s="9" t="s">
        <v>125</v>
      </c>
      <c r="I515" s="9" t="s">
        <v>115</v>
      </c>
      <c r="J515" s="9">
        <v>4045</v>
      </c>
      <c r="K515" s="9" t="s">
        <v>4230</v>
      </c>
      <c r="L515" s="9" t="s">
        <v>117</v>
      </c>
      <c r="M515" s="10">
        <v>5.2766203703703697E-2</v>
      </c>
      <c r="N515" s="9" t="s">
        <v>127</v>
      </c>
      <c r="O515" s="9" t="s">
        <v>4231</v>
      </c>
      <c r="P515" s="9" t="s">
        <v>119</v>
      </c>
      <c r="Q515" s="10">
        <v>8.8078703703703704E-3</v>
      </c>
      <c r="R515" s="9" t="s">
        <v>46</v>
      </c>
      <c r="S515" s="10">
        <v>0.31157407407407411</v>
      </c>
      <c r="T515" s="9">
        <v>49.174999999999997</v>
      </c>
      <c r="U515" s="9">
        <v>9.83</v>
      </c>
      <c r="V515" s="10">
        <v>0.20851851851851849</v>
      </c>
      <c r="W515" s="10">
        <v>8.7337962962962964E-2</v>
      </c>
      <c r="X515" s="10">
        <v>0</v>
      </c>
      <c r="Y515" s="9">
        <v>0</v>
      </c>
      <c r="Z515" s="9">
        <v>0</v>
      </c>
      <c r="AA515" s="9">
        <v>0</v>
      </c>
      <c r="AB515" s="9">
        <v>0</v>
      </c>
      <c r="AC515" s="9">
        <v>0</v>
      </c>
      <c r="AD515" s="9">
        <v>0</v>
      </c>
      <c r="AE515" s="9" t="s">
        <v>139</v>
      </c>
      <c r="AF515" s="9" t="s">
        <v>4232</v>
      </c>
      <c r="AG515" s="9" t="s">
        <v>4233</v>
      </c>
      <c r="AH515" s="9">
        <v>6.2300509999999996</v>
      </c>
      <c r="AI515" s="9">
        <v>-75.596047999999996</v>
      </c>
      <c r="AJ515" s="9" t="s">
        <v>4234</v>
      </c>
      <c r="AK515" s="9">
        <v>6.2724869999999999</v>
      </c>
      <c r="AL515" s="9">
        <v>-75.602131999999997</v>
      </c>
      <c r="AM515" s="26">
        <f t="shared" si="8"/>
        <v>0</v>
      </c>
      <c r="AY515" s="14"/>
      <c r="AZ515" s="14"/>
      <c r="BA515" s="14"/>
      <c r="BB515" s="14"/>
    </row>
    <row r="516" spans="1:54" s="9" customFormat="1" ht="15" x14ac:dyDescent="0.25">
      <c r="A516" s="9" t="s">
        <v>4235</v>
      </c>
      <c r="B516" s="9" t="s">
        <v>4236</v>
      </c>
      <c r="C516" s="9" t="s">
        <v>4237</v>
      </c>
      <c r="D516" s="9" t="s">
        <v>4161</v>
      </c>
      <c r="E516" s="9" t="s">
        <v>2619</v>
      </c>
      <c r="F516" s="9" t="s">
        <v>315</v>
      </c>
      <c r="G516" s="9" t="s">
        <v>135</v>
      </c>
      <c r="H516" s="9" t="s">
        <v>136</v>
      </c>
      <c r="I516" s="9" t="s">
        <v>115</v>
      </c>
      <c r="J516" s="9">
        <v>3069</v>
      </c>
      <c r="K516" s="9" t="s">
        <v>4238</v>
      </c>
      <c r="L516" s="9" t="s">
        <v>117</v>
      </c>
      <c r="M516" s="10">
        <v>7.3958333333333334E-2</v>
      </c>
      <c r="N516" s="9" t="s">
        <v>127</v>
      </c>
      <c r="O516" s="9" t="s">
        <v>4239</v>
      </c>
      <c r="P516" s="9" t="s">
        <v>119</v>
      </c>
      <c r="Q516" s="10">
        <v>9.9537037037037042E-4</v>
      </c>
      <c r="R516" s="9" t="s">
        <v>46</v>
      </c>
      <c r="S516" s="10">
        <v>0.32296296296296301</v>
      </c>
      <c r="T516" s="9">
        <v>53.198</v>
      </c>
      <c r="U516" s="9">
        <v>12.93</v>
      </c>
      <c r="V516" s="10">
        <v>0.171412037037037</v>
      </c>
      <c r="W516" s="10">
        <v>0.1107986111111111</v>
      </c>
      <c r="X516" s="10">
        <v>6.1921296296296299E-3</v>
      </c>
      <c r="Y516" s="9">
        <v>0</v>
      </c>
      <c r="Z516" s="9">
        <v>0</v>
      </c>
      <c r="AA516" s="9">
        <v>0</v>
      </c>
      <c r="AB516" s="9">
        <v>0</v>
      </c>
      <c r="AC516" s="9">
        <v>0</v>
      </c>
      <c r="AD516" s="9">
        <v>3</v>
      </c>
      <c r="AE516" s="9" t="s">
        <v>139</v>
      </c>
      <c r="AF516" s="9" t="s">
        <v>4240</v>
      </c>
      <c r="AG516" s="9" t="s">
        <v>4241</v>
      </c>
      <c r="AH516" s="9">
        <v>6.225638</v>
      </c>
      <c r="AI516" s="9">
        <v>-75.599180000000004</v>
      </c>
      <c r="AJ516" s="9" t="s">
        <v>4242</v>
      </c>
      <c r="AK516" s="9">
        <v>6.2723829999999996</v>
      </c>
      <c r="AL516" s="9">
        <v>-75.540239999999997</v>
      </c>
      <c r="AM516" s="26">
        <f t="shared" si="8"/>
        <v>0</v>
      </c>
      <c r="AY516" s="14"/>
      <c r="AZ516" s="14"/>
      <c r="BA516" s="14"/>
      <c r="BB516" s="14"/>
    </row>
    <row r="517" spans="1:54" s="9" customFormat="1" ht="15" x14ac:dyDescent="0.25">
      <c r="A517" s="9" t="s">
        <v>4243</v>
      </c>
      <c r="B517" s="9" t="s">
        <v>4244</v>
      </c>
      <c r="C517" s="9" t="s">
        <v>4245</v>
      </c>
      <c r="D517" s="9" t="s">
        <v>4161</v>
      </c>
      <c r="E517" s="9" t="s">
        <v>2619</v>
      </c>
      <c r="F517" s="9" t="s">
        <v>315</v>
      </c>
      <c r="G517" s="9" t="s">
        <v>72</v>
      </c>
      <c r="H517" s="9" t="s">
        <v>73</v>
      </c>
      <c r="I517" s="9" t="s">
        <v>115</v>
      </c>
      <c r="J517" s="9">
        <v>3552</v>
      </c>
      <c r="K517" s="9" t="s">
        <v>4246</v>
      </c>
      <c r="L517" s="9" t="s">
        <v>117</v>
      </c>
      <c r="M517" s="10">
        <v>5.7905092592592591E-2</v>
      </c>
      <c r="N517" s="9" t="s">
        <v>43</v>
      </c>
      <c r="O517" s="9" t="s">
        <v>4247</v>
      </c>
      <c r="P517" s="9" t="s">
        <v>119</v>
      </c>
      <c r="Q517" s="10">
        <v>4.7083333333333331E-2</v>
      </c>
      <c r="R517" s="9" t="s">
        <v>56</v>
      </c>
      <c r="S517" s="10">
        <v>0.14501157407407411</v>
      </c>
      <c r="T517" s="9">
        <v>49.146000000000001</v>
      </c>
      <c r="U517" s="9">
        <v>17.09</v>
      </c>
      <c r="V517" s="10">
        <v>0.1198032407407407</v>
      </c>
      <c r="W517" s="10">
        <v>4.8912037037037039E-2</v>
      </c>
      <c r="X517" s="10">
        <v>0</v>
      </c>
      <c r="Y517" s="9">
        <v>0</v>
      </c>
      <c r="Z517" s="9">
        <v>0</v>
      </c>
      <c r="AA517" s="9">
        <v>0</v>
      </c>
      <c r="AB517" s="9">
        <v>0</v>
      </c>
      <c r="AC517" s="9">
        <v>0</v>
      </c>
      <c r="AD517" s="9">
        <v>0</v>
      </c>
      <c r="AE517" s="9" t="s">
        <v>57</v>
      </c>
      <c r="AF517" s="9" t="s">
        <v>4248</v>
      </c>
      <c r="AG517" s="9" t="s">
        <v>4249</v>
      </c>
      <c r="AH517" s="9">
        <v>6.2255960000000004</v>
      </c>
      <c r="AI517" s="9">
        <v>-75.599458999999996</v>
      </c>
      <c r="AJ517" s="9" t="s">
        <v>4250</v>
      </c>
      <c r="AK517" s="9">
        <v>6.2370559999999999</v>
      </c>
      <c r="AL517" s="9">
        <v>-75.558814999999996</v>
      </c>
      <c r="AM517" s="27">
        <f t="shared" si="8"/>
        <v>0.10498842592592592</v>
      </c>
      <c r="AY517" s="14"/>
      <c r="AZ517" s="14"/>
      <c r="BA517" s="14"/>
      <c r="BB517" s="14"/>
    </row>
    <row r="518" spans="1:54" s="9" customFormat="1" ht="15" x14ac:dyDescent="0.25">
      <c r="A518" s="9" t="s">
        <v>4251</v>
      </c>
      <c r="B518" s="9" t="s">
        <v>4252</v>
      </c>
      <c r="C518" s="9" t="s">
        <v>4253</v>
      </c>
      <c r="D518" s="9" t="s">
        <v>4161</v>
      </c>
      <c r="E518" s="9" t="s">
        <v>2619</v>
      </c>
      <c r="F518" s="9" t="s">
        <v>315</v>
      </c>
      <c r="G518" s="9" t="s">
        <v>80</v>
      </c>
      <c r="H518" s="9" t="s">
        <v>81</v>
      </c>
      <c r="I518" s="9" t="s">
        <v>115</v>
      </c>
      <c r="J518" s="9">
        <v>12343</v>
      </c>
      <c r="K518" s="9" t="s">
        <v>4254</v>
      </c>
      <c r="L518" s="9" t="s">
        <v>117</v>
      </c>
      <c r="M518" s="10">
        <v>4.575224537037037E-2</v>
      </c>
      <c r="N518" s="9" t="s">
        <v>127</v>
      </c>
      <c r="O518" s="9" t="s">
        <v>4255</v>
      </c>
      <c r="P518" s="9" t="s">
        <v>119</v>
      </c>
      <c r="Q518" s="10">
        <v>6.0091550925925928E-3</v>
      </c>
      <c r="R518" s="9" t="s">
        <v>46</v>
      </c>
      <c r="S518" s="10">
        <v>0.30176140046296301</v>
      </c>
      <c r="T518" s="9">
        <v>105.735</v>
      </c>
      <c r="U518" s="9">
        <v>27.02</v>
      </c>
      <c r="V518" s="10">
        <v>0.16306034722222221</v>
      </c>
      <c r="W518" s="10">
        <v>5.2112453703703703E-2</v>
      </c>
      <c r="X518" s="10">
        <v>0</v>
      </c>
      <c r="Y518" s="9">
        <v>0</v>
      </c>
      <c r="Z518" s="9">
        <v>0</v>
      </c>
      <c r="AA518" s="9">
        <v>0</v>
      </c>
      <c r="AB518" s="9">
        <v>0</v>
      </c>
      <c r="AC518" s="9">
        <v>0</v>
      </c>
      <c r="AD518" s="9">
        <v>4</v>
      </c>
      <c r="AE518" s="9" t="s">
        <v>139</v>
      </c>
      <c r="AF518" s="9" t="s">
        <v>4256</v>
      </c>
      <c r="AG518" s="9" t="s">
        <v>4257</v>
      </c>
      <c r="AH518" s="9">
        <v>6.2346500000000002</v>
      </c>
      <c r="AI518" s="9">
        <v>-75.594517999999994</v>
      </c>
      <c r="AJ518" s="9" t="s">
        <v>4258</v>
      </c>
      <c r="AK518" s="9">
        <v>6.2256140000000002</v>
      </c>
      <c r="AL518" s="9">
        <v>-75.599328</v>
      </c>
      <c r="AM518" s="26">
        <f t="shared" ref="AM518:AM520" si="9">IF(N518="INICIO TARDÍO",M518,0)+IF(R518="TERMINÓ ANTES",Q518,0)</f>
        <v>0</v>
      </c>
      <c r="AY518" s="14"/>
      <c r="AZ518" s="14"/>
      <c r="BA518" s="14"/>
      <c r="BB518" s="14"/>
    </row>
    <row r="519" spans="1:54" s="9" customFormat="1" ht="15" x14ac:dyDescent="0.25">
      <c r="A519" s="9" t="s">
        <v>4259</v>
      </c>
      <c r="B519" s="9" t="s">
        <v>4260</v>
      </c>
      <c r="C519" s="9" t="s">
        <v>4261</v>
      </c>
      <c r="D519" s="9" t="s">
        <v>4161</v>
      </c>
      <c r="E519" s="9" t="s">
        <v>2619</v>
      </c>
      <c r="F519" s="9" t="s">
        <v>315</v>
      </c>
      <c r="G519" s="9" t="s">
        <v>160</v>
      </c>
      <c r="H519" s="9" t="s">
        <v>161</v>
      </c>
      <c r="I519" s="9" t="s">
        <v>115</v>
      </c>
      <c r="J519" s="9">
        <v>10756</v>
      </c>
      <c r="K519" s="9" t="s">
        <v>4262</v>
      </c>
      <c r="L519" s="9" t="s">
        <v>117</v>
      </c>
      <c r="M519" s="10">
        <v>2.5096550925925928E-2</v>
      </c>
      <c r="N519" s="9" t="s">
        <v>127</v>
      </c>
      <c r="O519" s="9" t="s">
        <v>4263</v>
      </c>
      <c r="P519" s="9" t="s">
        <v>119</v>
      </c>
      <c r="Q519" s="10">
        <v>7.1025347222222219E-3</v>
      </c>
      <c r="R519" s="9" t="s">
        <v>46</v>
      </c>
      <c r="S519" s="10">
        <v>0.28219908564814822</v>
      </c>
      <c r="T519" s="9">
        <v>65.557000000000002</v>
      </c>
      <c r="U519" s="9">
        <v>14.41</v>
      </c>
      <c r="V519" s="10">
        <v>0.189501712962963</v>
      </c>
      <c r="W519" s="10">
        <v>0.1300688078703704</v>
      </c>
      <c r="X519" s="10">
        <v>0</v>
      </c>
      <c r="Y519" s="9">
        <v>0</v>
      </c>
      <c r="Z519" s="9">
        <v>0</v>
      </c>
      <c r="AA519" s="9">
        <v>0</v>
      </c>
      <c r="AB519" s="9">
        <v>0</v>
      </c>
      <c r="AC519" s="9">
        <v>0</v>
      </c>
      <c r="AD519" s="9">
        <v>2</v>
      </c>
      <c r="AE519" s="9" t="s">
        <v>139</v>
      </c>
      <c r="AF519" s="9" t="s">
        <v>4264</v>
      </c>
      <c r="AG519" s="9" t="s">
        <v>4265</v>
      </c>
      <c r="AH519" s="9">
        <v>6.2682149999999996</v>
      </c>
      <c r="AI519" s="9">
        <v>-75.598905000000002</v>
      </c>
      <c r="AJ519" s="9" t="s">
        <v>4266</v>
      </c>
      <c r="AK519" s="9">
        <v>6.2783600000000002</v>
      </c>
      <c r="AL519" s="9">
        <v>-75.570972999999995</v>
      </c>
      <c r="AM519" s="26">
        <f t="shared" si="9"/>
        <v>0</v>
      </c>
      <c r="AY519" s="14"/>
      <c r="AZ519" s="14"/>
      <c r="BA519" s="14"/>
      <c r="BB519" s="14"/>
    </row>
    <row r="520" spans="1:54" s="9" customFormat="1" ht="15" x14ac:dyDescent="0.25">
      <c r="A520" s="9" t="s">
        <v>4267</v>
      </c>
      <c r="B520" s="9" t="s">
        <v>4268</v>
      </c>
      <c r="C520" s="9" t="s">
        <v>4269</v>
      </c>
      <c r="D520" s="9" t="s">
        <v>4161</v>
      </c>
      <c r="E520" s="9" t="s">
        <v>2619</v>
      </c>
      <c r="F520" s="9" t="s">
        <v>315</v>
      </c>
      <c r="G520" s="9" t="s">
        <v>97</v>
      </c>
      <c r="H520" s="9" t="s">
        <v>98</v>
      </c>
      <c r="I520" s="9" t="s">
        <v>115</v>
      </c>
      <c r="J520" s="9">
        <v>1861</v>
      </c>
      <c r="K520" s="9" t="s">
        <v>4215</v>
      </c>
      <c r="L520" s="9" t="s">
        <v>117</v>
      </c>
      <c r="M520" s="10">
        <v>5.0057870370370371E-2</v>
      </c>
      <c r="N520" s="9" t="s">
        <v>127</v>
      </c>
      <c r="O520" s="9" t="s">
        <v>4216</v>
      </c>
      <c r="P520" s="9" t="s">
        <v>119</v>
      </c>
      <c r="Q520" s="10">
        <v>3.304398148148148E-2</v>
      </c>
      <c r="R520" s="9" t="s">
        <v>56</v>
      </c>
      <c r="S520" s="10">
        <v>0.26701388888888888</v>
      </c>
      <c r="T520" s="9">
        <v>23.86</v>
      </c>
      <c r="U520" s="9">
        <v>6.53</v>
      </c>
      <c r="V520" s="10">
        <v>0.15231481481481479</v>
      </c>
      <c r="W520" s="10">
        <v>0.1103587962962963</v>
      </c>
      <c r="X520" s="10">
        <v>0</v>
      </c>
      <c r="Y520" s="9">
        <v>0</v>
      </c>
      <c r="Z520" s="9">
        <v>0</v>
      </c>
      <c r="AA520" s="9">
        <v>0</v>
      </c>
      <c r="AB520" s="9">
        <v>0</v>
      </c>
      <c r="AC520" s="9">
        <v>0</v>
      </c>
      <c r="AD520" s="9">
        <v>0</v>
      </c>
      <c r="AE520" s="9" t="s">
        <v>139</v>
      </c>
      <c r="AF520" s="9" t="s">
        <v>4270</v>
      </c>
      <c r="AG520" s="9" t="s">
        <v>4217</v>
      </c>
      <c r="AH520" s="9">
        <v>6.2258190000000004</v>
      </c>
      <c r="AI520" s="9">
        <v>-75.599402999999995</v>
      </c>
      <c r="AJ520" s="9" t="s">
        <v>4218</v>
      </c>
      <c r="AK520" s="9">
        <v>6.3085129999999996</v>
      </c>
      <c r="AL520" s="9">
        <v>-75.580482000000003</v>
      </c>
      <c r="AM520" s="26">
        <f t="shared" si="9"/>
        <v>3.304398148148148E-2</v>
      </c>
      <c r="AY520" s="14"/>
      <c r="AZ520" s="14"/>
      <c r="BA520" s="14"/>
      <c r="BB520" s="14"/>
    </row>
    <row r="521" spans="1:54" x14ac:dyDescent="0.25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2"/>
      <c r="AH521" s="42"/>
      <c r="AI521" s="40"/>
      <c r="AJ521" s="40"/>
      <c r="AK521" s="40"/>
      <c r="AL521" s="43"/>
      <c r="AM521" s="44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1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2026-10-23T17:31:36Z</dcterms:modified>
</cp:coreProperties>
</file>