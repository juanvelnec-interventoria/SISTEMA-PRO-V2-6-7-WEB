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516110C2-CF69-4725-B06C-9563F517FBEA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78" i="2" l="1"/>
  <c r="AM579" i="2"/>
  <c r="AM580" i="2"/>
  <c r="AM581" i="2"/>
  <c r="AM582" i="2"/>
  <c r="AM583" i="2"/>
  <c r="AM572" i="2"/>
  <c r="AM573" i="2"/>
  <c r="AM574" i="2"/>
  <c r="AM575" i="2"/>
  <c r="AM576" i="2"/>
  <c r="AM577" i="2"/>
  <c r="AM571" i="2"/>
  <c r="AM565" i="2"/>
  <c r="AM566" i="2"/>
  <c r="AM567" i="2"/>
  <c r="AM568" i="2"/>
  <c r="AM569" i="2"/>
  <c r="AM570" i="2"/>
  <c r="AM564" i="2"/>
  <c r="AM559" i="2"/>
  <c r="AM560" i="2"/>
  <c r="AM561" i="2"/>
  <c r="AM562" i="2"/>
  <c r="AM563" i="2"/>
  <c r="AM552" i="2"/>
  <c r="AM553" i="2"/>
  <c r="AM554" i="2"/>
  <c r="AM555" i="2"/>
  <c r="AM556" i="2"/>
  <c r="AM557" i="2"/>
  <c r="AM558" i="2"/>
  <c r="AM551" i="2"/>
  <c r="AM545" i="2"/>
  <c r="AM546" i="2"/>
  <c r="AM547" i="2"/>
  <c r="AM548" i="2"/>
  <c r="AM549" i="2"/>
  <c r="AM550" i="2"/>
  <c r="AM538" i="2"/>
  <c r="AM539" i="2"/>
  <c r="AM540" i="2"/>
  <c r="AM541" i="2"/>
  <c r="AM542" i="2"/>
  <c r="AM543" i="2"/>
  <c r="AM544" i="2"/>
  <c r="AM532" i="2"/>
  <c r="AM533" i="2"/>
  <c r="AM534" i="2"/>
  <c r="AM535" i="2"/>
  <c r="AM536" i="2"/>
  <c r="AM537" i="2"/>
  <c r="AM526" i="2"/>
  <c r="AM527" i="2"/>
  <c r="AM528" i="2"/>
  <c r="AM529" i="2"/>
  <c r="AM530" i="2"/>
  <c r="AM531" i="2"/>
  <c r="AM521" i="2"/>
  <c r="AM522" i="2"/>
  <c r="AM523" i="2"/>
  <c r="AM524" i="2"/>
  <c r="AM525" i="2"/>
  <c r="AM514" i="2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<sst xmlns="http://schemas.openxmlformats.org/spreadsheetml/2006/main" count="12062" uniqueCount="4776">
  <si>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</si>
  <si>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</si>
  <si>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</si>
  <si>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</si>
  <si>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</si>
  <si>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</si>
  <si>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</si>
  <si>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</si>
  <si>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</si>
  <si>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</si>
  <si>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</si>
  <si>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</si>
  <si>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</si>
  <si>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</si>
  <si>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</si>
  <si>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</si>
  <si>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</si>
  <si>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</si>
  <si>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</si>
  <si>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</si>
  <si>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</si>
  <si>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</si>
  <si>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</si>
  <si>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</si>
  <si>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</si>
  <si>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</si>
  <si>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</si>
  <si>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</si>
  <si>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</si>
  <si>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</si>
  <si>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</si>
  <si>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</si>
  <si>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</si>
  <si>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</si>
  <si>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</si>
  <si>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</si>
  <si>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</si>
  <si>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</si>
  <si>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</si>
  <si>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</si>
  <si>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</si>
  <si>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</si>
  <si>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</si>
  <si>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</si>
  <si>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</si>
  <si>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</si>
  <si>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</si>
  <si>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</si>
  <si>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</si>
  <si>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</si>
  <si>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</si>
  <si>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</si>
  <si>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</si>
  <si>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</si>
  <si>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</si>
  <si>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</si>
  <si>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</si>
  <si>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</si>
  <si>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</si>
  <si>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</si>
  <si>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</si>
  <si>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</si>
  <si>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</si>
  <si>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</si>
  <si>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</si>
  <si>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</si>
  <si>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</si>
  <si>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</si>
  <si>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</si>
  <si>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</si>
  <si>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</si>
  <si>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</si>
  <si>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</si>
  <si>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</si>
  <si>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</si>
  <si>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</si>
  <si>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</si>
  <si>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</si>
  <si>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</si>
  <si>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</si>
  <si>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</si>
  <si>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</si>
  <si>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</si>
  <si>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</si>
  <si>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</si>
  <si>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</si>
  <si>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</si>
  <si>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</si>
  <si>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</si>
  <si>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</si>
  <si>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</si>
  <si>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</si>
  <si>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</si>
  <si>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</si>
  <si>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</si>
  <si>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</si>
  <si>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</si>
  <si>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</si>
  <si>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</si>
  <si>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</si>
  <si>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</si>
  <si>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</si>
  <si>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</si>
  <si>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</si>
  <si>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</si>
  <si>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</si>
  <si>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</si>
  <si>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</si>
  <si>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</si>
  <si>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</si>
  <si>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</si>
  <si>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</si>
  <si>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</si>
  <si>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</si>
  <si>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</si>
  <si>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</si>
  <si>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</si>
  <si>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</si>
  <si>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</si>
  <si>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</si>
  <si>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</si>
  <si>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</si>
  <si>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</si>
  <si>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</si>
  <si>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</si>
  <si>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</si>
  <si>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</si>
  <si>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</si>
  <si>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</si>
  <si>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</si>
  <si>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</si>
  <si>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</si>
  <si>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</si>
  <si>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</si>
  <si>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</si>
  <si>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</si>
  <si>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</si>
  <si>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</si>
  <si>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</si>
  <si>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</si>
  <si>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</si>
  <si>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</si>
  <si>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</si>
  <si>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</si>
  <si>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</si>
  <si>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</si>
  <si>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</si>
  <si>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</si>
  <si>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</si>
  <si>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</si>
  <si>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</si>
  <si>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</si>
  <si>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</si>
  <si>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</si>
  <si>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</si>
  <si>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</si>
  <si>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</si>
  <si>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</si>
  <si>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</si>
  <si>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</si>
  <si>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</si>
  <si>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</si>
  <si>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</si>
  <si>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</si>
  <si>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</si>
  <si>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</si>
  <si>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</si>
  <si>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</si>
  <si>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</si>
  <si>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</si>
  <si>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</si>
  <si>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</si>
  <si>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</si>
  <si>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</si>
  <si>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</si>
  <si>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</si>
  <si>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</si>
  <si>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</si>
  <si>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</si>
  <si>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</si>
  <si>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</si>
  <si>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</si>
  <si>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</si>
  <si>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</si>
  <si>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</si>
  <si>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</si>
  <si>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</si>
  <si>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</si>
  <si>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</si>
  <si>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</si>
  <si>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</si>
  <si>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</si>
  <si>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</si>
  <si>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</si>
  <si>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</si>
  <si>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</si>
  <si>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</si>
  <si>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</si>
  <si>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</si>
  <si>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</si>
  <si>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</si>
  <si>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</si>
  <si>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</si>
  <si>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</si>
  <si>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</si>
  <si>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</si>
  <si>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</si>
  <si>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</si>
  <si>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</si>
  <si>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</si>
  <si>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</si>
  <si>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</si>
  <si>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</si>
  <si>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</si>
  <si>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</si>
  <si>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</si>
  <si>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</si>
  <si>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</si>
  <si>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</si>
  <si>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</si>
  <si>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</si>
  <si>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</si>
  <si>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</si>
  <si>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</si>
  <si>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</si>
  <si>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</si>
  <si>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</si>
  <si>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</si>
  <si>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</si>
  <si>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</si>
  <si>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</si>
  <si>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</si>
  <si>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</si>
  <si>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</si>
  <si>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</si>
  <si>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</si>
  <si>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</si>
  <si>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</si>
  <si>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</si>
  <si>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</si>
  <si>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</si>
  <si>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</si>
  <si>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</si>
  <si>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</si>
  <si>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</si>
  <si>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</si>
  <si>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</si>
  <si>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</si>
  <si>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</si>
  <si>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</si>
  <si>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</si>
  <si>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</si>
  <si>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</si>
  <si>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</si>
  <si>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</si>
  <si>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</si>
  <si>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</si>
  <si>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</si>
  <si>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</si>
  <si>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</si>
  <si>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</si>
  <si>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</si>
  <si>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</si>
  <si>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</si>
  <si>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</si>
  <si>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</si>
  <si>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</si>
  <si>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</si>
  <si>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</si>
  <si>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</si>
  <si>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</si>
  <si>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</si>
  <si>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</si>
  <si>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</si>
  <si>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</si>
  <si>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</si>
  <si>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</si>
  <si>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</si>
  <si>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</si>
  <si>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</si>
  <si>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</si>
  <si>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</si>
  <si>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</si>
  <si>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</si>
  <si>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</si>
  <si>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</si>
  <si>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</si>
  <si>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</si>
  <si>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</si>
  <si>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</si>
  <si>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</si>
  <si>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</si>
  <si>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</si>
  <si>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</si>
  <si>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</si>
  <si>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</si>
  <si>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</si>
  <si>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</si>
  <si>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</si>
  <si>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</si>
  <si>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</si>
  <si>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</si>
  <si>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</si>
  <si>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</si>
  <si>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</si>
  <si>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</si>
  <si>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</si>
  <si>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</si>
  <si>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</si>
  <si>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</si>
  <si>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</si>
  <si>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</si>
  <si>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</si>
  <si>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</si>
  <si>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</si>
  <si>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</si>
  <si>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</si>
  <si>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</si>
  <si>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</si>
  <si>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</si>
  <si>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</si>
  <si>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</si>
  <si>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</si>
  <si>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</si>
  <si>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</si>
  <si>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</si>
  <si>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</si>
  <si>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</si>
  <si>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</si>
  <si>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</si>
  <si>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</si>
  <si>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</si>
  <si>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</si>
  <si>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</si>
  <si>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</si>
  <si>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</si>
  <si>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</si>
  <si>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</si>
  <si>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</si>
  <si>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</si>
  <si>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</si>
  <si>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</si>
  <si>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</si>
  <si>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</si>
  <si>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</si>
  <si>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</si>
  <si>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</si>
  <si>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</si>
  <si>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</si>
  <si>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</si>
  <si>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</si>
  <si>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</si>
  <si>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</si>
  <si>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</si>
  <si>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</si>
  <si>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</si>
  <si>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</si>
  <si>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</si>
  <si>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</si>
  <si>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</si>
  <si>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</si>
  <si>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</si>
  <si>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</si>
  <si>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</si>
  <si>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</si>
  <si>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</si>
  <si>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</si>
  <si>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</si>
  <si>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</si>
  <si>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</si>
  <si>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</si>
  <si>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</si>
  <si>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</si>
  <si>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</si>
  <si>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</si>
  <si>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</si>
  <si>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</si>
  <si>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</si>
  <si>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</si>
  <si>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</si>
  <si>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</si>
  <si>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</si>
  <si>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</si>
  <si>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</si>
  <si>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</si>
  <si>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</si>
  <si>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</si>
  <si>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</si>
  <si>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</si>
  <si>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</si>
  <si>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</si>
  <si>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</si>
  <si>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</si>
  <si>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</si>
  <si>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</si>
  <si>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</si>
  <si>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</si>
  <si>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</si>
  <si>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</si>
  <si>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</si>
  <si>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</si>
  <si>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</si>
  <si>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</si>
  <si>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</si>
  <si>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</si>
  <si>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</si>
  <si>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</si>
  <si>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</si>
  <si>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</si>
  <si>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</si>
  <si>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</si>
  <si>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</si>
  <si>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</si>
  <si>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</si>
  <si>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</si>
  <si>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</si>
  <si>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</si>
  <si>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</si>
  <si>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</si>
  <si>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</si>
  <si>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</si>
  <si>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</si>
  <si>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</si>
  <si>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</si>
  <si>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</si>
  <si>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</si>
  <si>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</si>
  <si>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</si>
  <si>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</si>
  <si>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</si>
  <si>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</si>
  <si>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</si>
  <si>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</si>
  <si>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</si>
  <si>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</si>
  <si>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</si>
  <si>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</si>
  <si>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</si>
  <si>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</si>
  <si>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</si>
  <si>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</si>
  <si>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</si>
  <si>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</si>
  <si>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</si>
  <si>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</si>
  <si>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</si>
  <si>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</si>
  <si>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</si>
  <si>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</si>
  <si>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</si>
  <si>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</si>
  <si>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</si>
  <si>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</si>
  <si>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</si>
  <si>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</si>
  <si>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</si>
  <si>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</si>
  <si>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</si>
  <si>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</si>
  <si>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</si>
  <si>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</si>
  <si>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</si>
  <si>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</si>
  <si>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</si>
  <si>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</si>
  <si>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</si>
  <si>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</si>
  <si>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</si>
  <si>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</si>
  <si>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</si>
  <si>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</si>
  <si>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</si>
  <si>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</si>
  <si>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</si>
  <si>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</si>
  <si>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</si>
  <si>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</si>
  <si>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</si>
  <si>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</si>
  <si>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</si>
  <si>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</si>
  <si>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</si>
  <si>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</si>
  <si>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</si>
  <si>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</si>
  <si>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</si>
  <si>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</si>
  <si>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</si>
  <si>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</si>
  <si>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</si>
  <si>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</si>
  <si>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</si>
  <si>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</si>
  <si>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</si>
  <si>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</si>
  <si>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</si>
  <si>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</si>
  <si>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</si>
  <si>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</si>
  <si>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</si>
  <si>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</si>
  <si>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</si>
  <si>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</si>
  <si>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</si>
  <si>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</si>
  <si>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</si>
  <si>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</si>
  <si>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</si>
  <si>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</si>
  <si>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</si>
  <si>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</si>
  <si>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</si>
  <si>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</si>
  <si>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</si>
  <si>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</si>
  <si>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</si>
  <si>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</si>
  <si>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</si>
  <si>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</si>
  <si>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</si>
  <si>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</si>
  <si>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</si>
  <si>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</si>
  <si>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</si>
  <si>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</si>
  <si>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</si>
  <si>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</si>
  <si>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</si>
  <si>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</si>
  <si>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</si>
  <si>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</si>
  <si>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</si>
  <si>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</si>
  <si>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</si>
  <si>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</si>
  <si>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</si>
  <si>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</si>
  <si>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</si>
  <si>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</si>
  <si>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</si>
  <si>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</si>
  <si>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</si>
  <si>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</si>
  <si>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</si>
  <si>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</si>
  <si>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</si>
  <si>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</si>
  <si>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</si>
  <si>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</si>
  <si>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</si>
  <si>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</si>
  <si>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</si>
  <si>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</si>
  <si>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</si>
  <si>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</si>
  <si>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</si>
  <si>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</si>
  <si>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</si>
  <si>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</si>
  <si>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</si>
  <si>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</si>
  <si>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</si>
  <si>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</si>
  <si>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</si>
  <si>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</si>
  <si>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</si>
  <si>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</si>
  <si>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</si>
  <si>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</si>
  <si>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</si>
  <si>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</si>
  <si>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</si>
  <si>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</si>
  <si>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</si>
  <si>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</si>
  <si>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</si>
  <si>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</si>
  <si>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</si>
  <si>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</si>
  <si>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</si>
  <si>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</si>
  <si>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</si>
  <si>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</si>
  <si>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</si>
  <si>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</si>
  <si>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</si>
  <si>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</si>
  <si>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</si>
  <si>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</si>
  <si>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</si>
  <si>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</si>
  <si>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</si>
  <si>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</si>
  <si>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</si>
  <si>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</si>
  <si>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</si>
  <si>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</si>
  <si>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</si>
  <si>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</si>
  <si>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</si>
  <si>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</si>
  <si>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</si>
  <si>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</si>
  <si>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</si>
  <si>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</si>
  <si>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</si>
  <si>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</si>
  <si>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</si>
  <si>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</si>
  <si>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</si>
  <si>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</si>
  <si>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</si>
  <si>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</si>
  <si>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</si>
  <si>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</si>
  <si>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</si>
  <si>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</si>
  <si>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</si>
  <si>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</si>
  <si>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</si>
  <si>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</si>
  <si>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</si>
  <si>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</si>
  <si>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</si>
  <si>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</si>
  <si>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</si>
  <si>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</si>
  <si>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</si>
  <si>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</si>
  <si>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</si>
  <si>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</si>
  <si>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</si>
  <si>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</si>
  <si>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</si>
  <si>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</si>
  <si>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</si>
  <si>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</si>
  <si>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</si>
  <si>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</si>
  <si>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</si>
  <si>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</si>
  <si>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</si>
  <si>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</si>
  <si>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</si>
  <si>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</si>
  <si>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</si>
  <si>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</si>
  <si>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</si>
  <si>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</si>
  <si>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</si>
  <si>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</si>
  <si>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</si>
  <si>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</si>
  <si>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</si>
  <si>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</si>
  <si>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</si>
  <si>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</si>
  <si>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</si>
  <si>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</si>
  <si>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</si>
  <si>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</si>
  <si>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</si>
  <si>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</si>
  <si>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</si>
  <si>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</si>
  <si>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</si>
  <si>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</si>
  <si>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</si>
  <si>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</si>
  <si>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</si>
  <si>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</si>
  <si>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</si>
  <si>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</si>
  <si>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</si>
  <si>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</si>
  <si>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</si>
  <si>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</si>
  <si>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</si>
  <si>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</si>
  <si>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</si>
  <si>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</si>
  <si>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</si>
  <si>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</si>
  <si>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</si>
  <si>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</si>
  <si>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</si>
  <si>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</si>
  <si>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</si>
  <si>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</si>
  <si>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</si>
  <si>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</si>
  <si>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</si>
  <si>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</si>
  <si>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</si>
  <si>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</si>
  <si>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</si>
  <si>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</si>
  <si>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</si>
  <si>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</si>
  <si>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</si>
  <si>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</si>
  <si>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</si>
  <si>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</si>
  <si>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</si>
  <si>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</si>
  <si>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</si>
  <si>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</si>
  <si>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</si>
  <si>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</si>
  <si>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</si>
  <si>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</si>
  <si>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</si>
  <si>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</si>
  <si>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</si>
  <si>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</si>
  <si>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</si>
  <si>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</si>
  <si>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</si>
  <si>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</si>
  <si>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</si>
  <si>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</si>
  <si>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</si>
  <si>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</si>
  <si>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</si>
  <si>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</si>
  <si>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</si>
  <si>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</si>
  <si>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</si>
  <si>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</si>
  <si>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</si>
  <si>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</si>
  <si>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</si>
  <si>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</si>
  <si>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</si>
  <si>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</si>
  <si>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</si>
  <si>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</si>
  <si>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</si>
  <si>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</si>
  <si>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</si>
  <si>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</si>
  <si>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</si>
  <si>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</si>
  <si>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</si>
  <si>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</si>
  <si>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</si>
  <si>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</si>
  <si>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</si>
  <si>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</si>
  <si>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</si>
  <si>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</si>
  <si>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</si>
  <si>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</si>
  <si>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</si>
  <si>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</si>
  <si>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</si>
  <si>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</si>
  <si>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</si>
  <si>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</si>
  <si>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</si>
  <si>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</si>
  <si>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</si>
  <si>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</si>
  <si>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</si>
  <si>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</si>
  <si>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</si>
  <si>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</si>
  <si>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</si>
  <si>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</si>
  <si>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</si>
  <si>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</si>
  <si>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</si>
  <si>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</si>
  <si>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</si>
  <si>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</si>
  <si>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</si>
  <si>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</si>
  <si>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</si>
  <si>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</si>
  <si>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</si>
  <si>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</si>
  <si>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</si>
  <si>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</si>
  <si>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</si>
  <si>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</si>
  <si>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</si>
  <si>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</si>
  <si>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</si>
  <si>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</si>
  <si>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</si>
  <si>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</si>
  <si>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</si>
  <si>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</si>
  <si>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</si>
  <si>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</si>
  <si>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</si>
  <si>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</si>
  <si>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</si>
  <si>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</si>
  <si>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</si>
  <si>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</si>
  <si>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</si>
  <si>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</si>
  <si>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</si>
  <si>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</si>
  <si>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</si>
  <si>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</si>
  <si>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</si>
  <si>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</si>
  <si>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</si>
  <si>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</si>
  <si>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</si>
  <si>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</si>
  <si>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</si>
  <si>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</si>
  <si>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</si>
  <si>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</si>
  <si>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</si>
  <si>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</si>
  <si>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</si>
  <si>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</si>
  <si>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</si>
  <si>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</si>
  <si>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</si>
  <si>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</si>
  <si>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</si>
  <si>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</si>
  <si>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</si>
  <si>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</si>
  <si>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</si>
  <si>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</si>
  <si>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</si>
  <si>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</si>
  <si>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</si>
  <si>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</si>
  <si>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</si>
  <si>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</si>
  <si>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</si>
  <si>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</si>
  <si>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</si>
  <si>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</si>
  <si>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</si>
  <si>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</si>
  <si>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</si>
  <si>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</si>
  <si>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</si>
  <si>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</si>
  <si>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</si>
  <si>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</si>
  <si>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</si>
  <si>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</si>
  <si>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</si>
  <si>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</si>
  <si>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</si>
  <si>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</si>
  <si>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</si>
  <si>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</si>
  <si>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</si>
  <si>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</si>
  <si>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</si>
  <si>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</si>
  <si>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</si>
  <si>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</si>
  <si>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</si>
  <si>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</si>
  <si>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</si>
  <si>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</si>
  <si>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</si>
  <si>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</si>
  <si>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</si>
  <si>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</si>
  <si>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</si>
  <si>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</si>
  <si>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</si>
  <si>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</si>
  <si>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</si>
  <si>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</si>
  <si>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</si>
  <si>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</si>
  <si>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</si>
  <si>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</si>
  <si>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</si>
  <si>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</si>
  <si>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</si>
  <si>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</si>
  <si>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</si>
  <si>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</si>
  <si>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</si>
  <si>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</si>
  <si>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</si>
  <si>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</si>
  <si>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</si>
  <si>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</si>
  <si>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</si>
  <si>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</si>
  <si>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</si>
  <si>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</si>
  <si>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</si>
  <si>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</si>
  <si>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</si>
  <si>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</si>
  <si>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</si>
  <si>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</si>
  <si>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</si>
  <si>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</si>
  <si>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</si>
  <si>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</si>
  <si>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</si>
  <si>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</si>
  <si>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</si>
  <si>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</si>
  <si>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</si>
  <si>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</si>
  <si>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</si>
  <si>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</si>
  <si>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</si>
  <si>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</si>
  <si>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</si>
  <si>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</si>
  <si>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</si>
  <si>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</si>
  <si>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</si>
  <si>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</si>
  <si>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</si>
  <si>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</si>
  <si>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</si>
  <si>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</si>
  <si>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</si>
  <si>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</si>
  <si>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</si>
  <si>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</si>
  <si>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</si>
  <si>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</si>
  <si>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</si>
  <si>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</si>
  <si>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</si>
  <si>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</si>
  <si>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</si>
  <si>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</si>
  <si>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</si>
  <si>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</si>
  <si>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</si>
  <si>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</si>
  <si>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</si>
  <si>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</si>
  <si>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</si>
  <si>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</si>
  <si>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</si>
  <si>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</si>
  <si>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</si>
  <si>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</si>
  <si>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</si>
  <si>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</si>
  <si>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</si>
  <si>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</si>
  <si>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</si>
  <si>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</si>
  <si>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</si>
  <si>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</si>
  <si>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</si>
  <si>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</si>
  <si>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</si>
  <si>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</si>
  <si>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</si>
  <si>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</si>
  <si>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</si>
  <si>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</si>
  <si>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</si>
  <si>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</si>
  <si>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</si>
  <si>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</si>
  <si>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</si>
  <si>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</si>
  <si>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</si>
  <si>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</si>
  <si>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</si>
  <si>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</si>
  <si>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</si>
  <si>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</si>
  <si>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</si>
  <si>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</si>
  <si>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</si>
  <si>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</si>
  <si>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</si>
  <si>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</si>
  <si>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</si>
  <si>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</si>
  <si>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</si>
  <si>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</si>
  <si>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</si>
  <si>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</si>
  <si>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</si>
  <si>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</si>
  <si>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</si>
  <si>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</si>
  <si>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</si>
  <si>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</si>
  <si>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</si>
  <si>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</si>
  <si>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</si>
  <si>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</si>
  <si>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</si>
  <si>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</si>
  <si>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</si>
  <si>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</si>
  <si>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</si>
  <si>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</si>
  <si>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</si>
  <si>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</si>
  <si>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</si>
  <si>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</si>
  <si>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</si>
  <si>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</si>
  <si>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</si>
  <si>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</si>
  <si>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</si>
  <si>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</si>
  <si>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</si>
  <si>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</si>
  <si>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</si>
  <si>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</si>
  <si>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</si>
  <si>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</si>
  <si>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</si>
  <si>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</si>
  <si>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</si>
  <si>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</si>
  <si>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</si>
  <si>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</si>
  <si>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</si>
  <si>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</si>
  <si>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</si>
  <si>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</si>
  <si>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</si>
  <si>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</si>
  <si>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</si>
  <si>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</si>
  <si>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</si>
  <si>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</si>
  <si>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</si>
  <si>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</si>
  <si>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</si>
  <si>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</si>
  <si>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</si>
  <si>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</si>
  <si>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</si>
  <si>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</si>
  <si>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</si>
  <si>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</si>
  <si>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</si>
  <si>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</si>
  <si>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</si>
  <si>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</si>
  <si>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</si>
  <si>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</si>
  <si>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</si>
  <si>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</si>
  <si>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</si>
  <si>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</si>
  <si>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</si>
  <si>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</si>
  <si>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</si>
  <si>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</si>
  <si>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</si>
  <si>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</si>
  <si>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</si>
  <si>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</si>
  <si>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</si>
  <si>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</si>
  <si>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</si>
  <si>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</si>
  <si>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</si>
  <si>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</si>
  <si>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</si>
  <si>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</si>
  <si>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</si>
  <si>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</si>
  <si>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</si>
  <si>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</si>
  <si>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</si>
  <si>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</si>
  <si>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</si>
  <si>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</si>
  <si>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</si>
  <si>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</si>
  <si>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</si>
  <si>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</si>
  <si>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</si>
  <si>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</si>
  <si>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</si>
  <si>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</si>
  <si>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</si>
  <si>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</si>
  <si>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</si>
  <si>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</si>
  <si>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</si>
  <si>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</si>
  <si>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</si>
  <si>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</si>
  <si>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</si>
  <si>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</si>
  <si>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</si>
  <si>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</si>
  <si>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</si>
  <si>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</si>
  <si>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</si>
  <si>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</si>
  <si>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</si>
  <si>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</si>
  <si>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</si>
  <si>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</si>
  <si>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</si>
  <si>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</si>
  <si>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</si>
  <si>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</si>
  <si>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</si>
  <si>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</si>
  <si>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</si>
  <si>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</si>
  <si>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</si>
  <si>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</si>
  <si>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</si>
  <si>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</si>
  <si>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</si>
  <si>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</si>
  <si>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</si>
  <si>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</si>
  <si>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</si>
  <si>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</si>
  <si>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</si>
  <si>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</si>
  <si>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</si>
  <si>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</si>
  <si>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</si>
  <si>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</si>
  <si>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</si>
  <si>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</si>
  <si>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</si>
  <si>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</si>
  <si>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</si>
  <si>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</si>
  <si>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</si>
  <si>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</si>
  <si>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</si>
  <si>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</si>
  <si>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</si>
  <si>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</si>
  <si>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</si>
  <si>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</si>
  <si>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</si>
  <si>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</si>
  <si>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</si>
  <si>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</si>
  <si>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</si>
  <si>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</si>
  <si>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</si>
  <si>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</si>
  <si>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</si>
  <si>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</si>
  <si>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</si>
  <si>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</si>
  <si>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</si>
  <si>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</si>
  <si>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</si>
  <si>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</si>
  <si>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</si>
  <si>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</si>
  <si>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</si>
  <si>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</si>
  <si>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</si>
  <si>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</si>
  <si>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</si>
  <si>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</si>
  <si>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</si>
  <si>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</si>
  <si>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</si>
  <si>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</si>
  <si>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</si>
  <si>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</si>
  <si>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</si>
  <si>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</si>
  <si>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</si>
  <si>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</si>
  <si>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</si>
  <si>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</si>
  <si>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</si>
  <si>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</si>
  <si>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</si>
  <si>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</si>
  <si>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</si>
  <si>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</si>
  <si>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</si>
  <si>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</si>
  <si>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</si>
  <si>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</si>
  <si>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</si>
  <si>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</si>
  <si>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</si>
  <si>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</si>
  <si>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</si>
  <si>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</si>
  <si>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</si>
  <si>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</si>
  <si>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</si>
  <si>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</si>
  <si>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</si>
  <si>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</si>
  <si>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</si>
  <si>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</si>
  <si>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</si>
  <si>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</si>
  <si>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</si>
  <si>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</si>
  <si>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</si>
  <si>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</si>
  <si>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</si>
  <si>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</si>
  <si>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</si>
  <si>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</si>
  <si>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</si>
  <si>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</si>
  <si>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</si>
  <si>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</si>
  <si>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</si>
  <si>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</si>
  <si>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</si>
  <si>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</si>
  <si>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</si>
  <si>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</si>
  <si>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</si>
  <si>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</si>
  <si>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</si>
  <si>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</si>
  <si>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</si>
  <si>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</si>
  <si>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</si>
  <si>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</si>
  <si>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</si>
  <si>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</si>
  <si>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</si>
  <si>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</si>
  <si>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</si>
  <si>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</si>
  <si>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</si>
  <si>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</si>
  <si>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</si>
  <si>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</si>
  <si>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</si>
  <si>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</si>
  <si>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</si>
  <si>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</si>
  <si>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</si>
  <si>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</si>
  <si>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</si>
  <si>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</si>
  <si>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</si>
  <si>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</si>
  <si>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</si>
  <si>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</si>
  <si>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</si>
  <si>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</si>
  <si>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</si>
  <si>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</si>
  <si>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</si>
  <si>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</si>
  <si>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</si>
  <si>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</si>
  <si>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</si>
  <si>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</si>
  <si>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</si>
  <si>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</si>
  <si>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</si>
  <si>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</si>
  <si>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</si>
  <si>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</si>
  <si>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</si>
  <si>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</si>
  <si>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</si>
  <si>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</si>
  <si>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</si>
  <si>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</si>
  <si>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</si>
  <si>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</si>
  <si>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</si>
  <si>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</si>
  <si>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</si>
  <si>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</si>
  <si>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</si>
  <si>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</si>
  <si>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</si>
  <si>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</si>
  <si>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</si>
  <si>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</si>
  <si>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</si>
  <si>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</si>
  <si>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</si>
  <si>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</si>
  <si>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</si>
  <si>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</si>
  <si>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</si>
  <si>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</si>
  <si>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</si>
  <si>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</si>
  <si>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</si>
  <si>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</si>
  <si>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</si>
  <si>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</si>
  <si>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</si>
  <si>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</si>
  <si>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</si>
  <si>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</si>
  <si>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</si>
  <si>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</si>
  <si>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</si>
  <si>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</si>
  <si>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</si>
  <si>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</si>
  <si>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</si>
  <si>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</si>
  <si>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</si>
  <si>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</si>
  <si>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</si>
  <si>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</si>
  <si>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</si>
  <si>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</si>
  <si>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</si>
  <si>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</si>
  <si>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</si>
  <si>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</si>
  <si>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</si>
  <si>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</si>
  <si>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</si>
  <si>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</si>
  <si>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</si>
  <si>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</si>
  <si>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</si>
  <si>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</si>
  <si>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</si>
  <si>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</si>
  <si>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</si>
  <si>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</si>
  <si>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</si>
  <si>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</si>
  <si>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</si>
  <si>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</si>
  <si>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</si>
  <si>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</si>
  <si>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</si>
  <si>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</si>
  <si>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</si>
  <si>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</si>
  <si>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</si>
  <si>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</si>
  <si>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</si>
  <si>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</si>
  <si>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</si>
  <si>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</si>
  <si>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</si>
  <si>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</si>
  <si>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</si>
  <si>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</si>
  <si>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</si>
  <si>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</si>
  <si>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</si>
  <si>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</si>
  <si>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</si>
  <si>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</si>
  <si>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</si>
  <si>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</si>
  <si>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</si>
  <si>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</si>
  <si>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</si>
  <si>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</si>
  <si>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</si>
  <si>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</si>
  <si>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</si>
  <si>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</si>
  <si>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</si>
  <si>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</si>
  <si>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</si>
  <si>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</si>
  <si>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</si>
  <si>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</si>
  <si>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</si>
  <si>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</si>
  <si>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</si>
  <si>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</si>
  <si>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</si>
  <si>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</si>
  <si>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</si>
  <si>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</si>
  <si>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</si>
  <si>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</si>
  <si>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</si>
  <si>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</si>
  <si>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</si>
  <si>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</si>
  <si>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</si>
  <si>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</si>
  <si>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</si>
  <si>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</si>
  <si>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</si>
  <si>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</si>
  <si>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</si>
  <si>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</si>
  <si>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</si>
  <si>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</si>
  <si>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</si>
  <si>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</si>
  <si>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</si>
  <si>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</si>
  <si>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</si>
  <si>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</si>
  <si>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</si>
  <si>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</si>
  <si>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</si>
  <si>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</si>
  <si>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</si>
  <si>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</si>
  <si>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</si>
  <si>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</si>
  <si>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</si>
  <si>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</si>
  <si>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</si>
  <si>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</si>
  <si>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</si>
  <si>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</si>
  <si>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</si>
  <si>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</si>
  <si>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</si>
  <si>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</si>
  <si>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</si>
  <si>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</si>
  <si>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</si>
  <si>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</si>
  <si>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</si>
  <si>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</si>
  <si>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</si>
  <si>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</si>
  <si>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</si>
  <si>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</si>
  <si>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</si>
  <si>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</si>
  <si>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</si>
  <si>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</si>
  <si>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</si>
  <si>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</si>
  <si>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</si>
  <si>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</si>
  <si>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</si>
  <si>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</si>
  <si>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</si>
  <si>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</si>
  <si>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</si>
  <si>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</si>
  <si>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</si>
  <si>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</si>
  <si>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</si>
  <si>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</si>
  <si>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</si>
  <si>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</si>
  <si>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</si>
  <si>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</si>
  <si>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</si>
  <si>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</si>
  <si>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</si>
  <si>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</si>
  <si>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</si>
  <si>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</si>
  <si>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</si>
  <si>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</si>
  <si>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</si>
  <si>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</si>
  <si>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</si>
  <si>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</si>
  <si>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</si>
  <si>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</si>
  <si>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</si>
  <si>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</si>
  <si>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</si>
  <si>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</si>
  <si>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</si>
  <si>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</si>
  <si>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</si>
  <si>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</si>
  <si>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</si>
  <si>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</si>
  <si>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</si>
  <si>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</si>
  <si>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</si>
  <si>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</si>
  <si>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</si>
  <si>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</si>
  <si>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</si>
  <si>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</si>
  <si>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</si>
  <si>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</si>
  <si>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</si>
  <si>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</si>
  <si>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</si>
  <si>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</si>
  <si>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</si>
  <si>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</si>
  <si>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</si>
  <si>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</si>
  <si>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</si>
  <si>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</si>
  <si>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</si>
  <si>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</si>
  <si>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</si>
  <si>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</si>
  <si>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</si>
  <si>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</si>
  <si>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</si>
  <si>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</si>
  <si>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</si>
  <si>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</si>
  <si>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</si>
  <si>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</si>
  <si>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</si>
  <si>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</si>
  <si>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</si>
  <si>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</si>
  <si>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</si>
  <si>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</si>
  <si>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</si>
  <si>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</si>
  <si>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</si>
  <si>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</si>
  <si>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</si>
  <si>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</si>
  <si>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</si>
  <si>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</si>
  <si>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</si>
  <si>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</si>
  <si>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</si>
  <si>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</si>
  <si>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</si>
  <si>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</si>
  <si>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</si>
  <si>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</si>
  <si>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</si>
  <si>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</si>
  <si>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</si>
  <si>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</si>
  <si>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</si>
  <si>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</si>
  <si>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</si>
  <si>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</si>
  <si>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</si>
  <si>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</si>
  <si>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</si>
  <si>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</si>
  <si>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</si>
  <si>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</si>
  <si>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</si>
  <si>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</si>
  <si>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</si>
  <si>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</si>
  <si>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</si>
  <si>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</si>
  <si>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</si>
  <si>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</si>
  <si>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</si>
  <si>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</si>
  <si>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</si>
  <si>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</si>
  <si>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</si>
  <si>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</si>
  <si>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</si>
  <si>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</si>
  <si>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</si>
  <si>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</si>
  <si>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</si>
  <si>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</si>
  <si>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</si>
  <si>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</si>
  <si>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</si>
  <si>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</si>
  <si>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</si>
  <si>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</si>
  <si>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</si>
  <si>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</si>
  <si>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</si>
  <si>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</si>
  <si>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</si>
  <si>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</si>
  <si>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</si>
  <si>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</si>
  <si>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</si>
  <si>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</si>
  <si>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</si>
  <si>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</si>
  <si>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</si>
  <si>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</si>
  <si>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</si>
  <si>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</si>
  <si>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</si>
  <si>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</si>
  <si>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</si>
  <si>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</si>
  <si>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</si>
  <si>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</si>
  <si>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</si>
  <si>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</si>
  <si>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</si>
  <si>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</si>
  <si>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</si>
  <si>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</si>
  <si>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</si>
  <si>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</si>
  <si>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</si>
  <si>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</si>
  <si>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</si>
  <si>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</si>
  <si>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</si>
  <si>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</si>
  <si>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</si>
  <si>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</si>
  <si>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</si>
  <si>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</si>
  <si>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</si>
  <si>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</si>
  <si>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</si>
  <si>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</si>
  <si>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</si>
  <si>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</si>
  <si>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</si>
  <si>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</si>
  <si>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</si>
  <si>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</si>
  <si>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</si>
  <si>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</si>
  <si>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</si>
  <si>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</si>
  <si>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</si>
  <si>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</si>
  <si>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</si>
  <si>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</si>
  <si>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</si>
  <si>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</si>
  <si>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</si>
  <si>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</si>
  <si>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</si>
  <si>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</si>
  <si>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</si>
  <si>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</si>
  <si>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</si>
  <si>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</si>
  <si>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</si>
  <si>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</si>
  <si>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</si>
  <si>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</si>
  <si>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</si>
  <si>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</si>
  <si>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</si>
  <si>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</si>
  <si>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</si>
  <si>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</si>
  <si>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</si>
  <si>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</si>
  <si>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</si>
  <si>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</si>
  <si>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</si>
  <si>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</si>
  <si>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</si>
  <si>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</si>
  <si>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</si>
  <si>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</si>
  <si>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</si>
  <si>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</si>
  <si>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</si>
  <si>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</si>
  <si>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</si>
  <si>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</si>
  <si>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</si>
  <si>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</si>
  <si>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</si>
  <si>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</si>
  <si>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</si>
  <si>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</si>
  <si>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</si>
  <si>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</si>
  <si>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</si>
  <si>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</si>
  <si>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</si>
  <si>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</si>
  <si>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</si>
  <si>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</si>
  <si>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</si>
  <si>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</si>
  <si>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</si>
  <si>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</si>
  <si>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</si>
  <si>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</si>
  <si>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</si>
  <si>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</si>
  <si>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</si>
  <si>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</si>
  <si>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</si>
  <si>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</si>
  <si>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</si>
  <si>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</si>
  <si>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</si>
  <si>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</si>
  <si>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</si>
  <si>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</si>
  <si>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</si>
  <si>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</si>
  <si>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</si>
  <si>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</si>
  <si>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</si>
  <si>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</si>
  <si>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</si>
  <si>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</si>
  <si>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</si>
  <si>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</si>
  <si>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</si>
  <si>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</si>
  <si>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</si>
  <si>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</si>
  <si>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</si>
  <si>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</si>
  <si>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</si>
  <si>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</si>
  <si>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</si>
  <si>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</si>
  <si>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</si>
  <si>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</si>
  <si>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</si>
  <si>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</si>
  <si>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</si>
  <si>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</si>
  <si>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</si>
  <si>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</si>
  <si>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</si>
  <si>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</si>
  <si>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</si>
  <si>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</si>
  <si>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</si>
  <si>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</si>
  <si>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</si>
  <si>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</si>
  <si>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</si>
  <si>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</si>
  <si>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</si>
  <si>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</si>
  <si>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</si>
  <si>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</si>
  <si>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</si>
  <si>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</si>
  <si>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</si>
  <si>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</si>
  <si>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</si>
  <si>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</si>
  <si>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</si>
  <si>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</si>
  <si>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</si>
  <si>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</si>
  <si>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</si>
  <si>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</si>
  <si>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</si>
  <si>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</si>
  <si>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</si>
  <si>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</si>
  <si>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</si>
  <si>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</si>
  <si>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</si>
  <si>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</si>
  <si>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</si>
  <si>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</si>
  <si>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</si>
  <si>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</si>
  <si>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</si>
  <si>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</si>
  <si>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</si>
  <si>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</si>
  <si>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</si>
  <si>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</si>
  <si>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</si>
  <si>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</si>
  <si>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</si>
  <si>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</si>
  <si>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</si>
  <si>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</si>
  <si>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</si>
  <si>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</si>
  <si>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</si>
  <si>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</si>
  <si>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</si>
  <si>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</si>
  <si>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</si>
  <si>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</si>
  <si>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</si>
  <si>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</si>
  <si>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</si>
  <si>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</si>
  <si>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</si>
  <si>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</si>
  <si>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</si>
  <si>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</si>
  <si>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</si>
  <si>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</si>
  <si>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</si>
  <si>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</si>
  <si>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</si>
  <si>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</si>
  <si>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</si>
  <si>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</si>
  <si>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</si>
  <si>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</si>
  <si>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</si>
  <si>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</si>
  <si>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</si>
  <si>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</si>
  <si>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</si>
  <si>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</si>
  <si>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</si>
  <si>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</si>
  <si>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</si>
  <si>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</si>
  <si>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</si>
  <si>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</si>
  <si>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</si>
  <si>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</si>
  <si>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</si>
  <si>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</si>
  <si>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</si>
  <si>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</si>
  <si>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</si>
  <si>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</si>
  <si>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</si>
  <si>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</si>
  <si>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</si>
  <si>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</si>
  <si>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</si>
  <si>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</si>
  <si>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</si>
  <si>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</si>
  <si>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</si>
  <si>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</si>
  <si>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</si>
  <si>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</si>
  <si>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</si>
  <si>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</si>
  <si>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</si>
  <si>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</si>
  <si>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</si>
  <si>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</si>
  <si>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</si>
  <si>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</si>
  <si>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</si>
  <si>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</si>
  <si>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</si>
  <si>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</si>
  <si>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</si>
  <si>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</si>
  <si>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</si>
  <si>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</si>
  <si>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</si>
  <si>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</si>
  <si>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</si>
  <si>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</si>
  <si>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</si>
  <si>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</si>
  <si>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</si>
  <si>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</si>
  <si>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</si>
  <si>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</si>
  <si>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</si>
  <si>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</si>
  <si>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</si>
  <si>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</si>
  <si>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</si>
  <si>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</si>
  <si>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</si>
  <si>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</si>
  <si>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</si>
  <si>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</si>
  <si>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</si>
  <si>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</si>
  <si>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</si>
  <si>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</si>
  <si>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</si>
  <si>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</si>
  <si>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</si>
  <si>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</si>
  <si>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</si>
  <si>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</si>
  <si>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</si>
  <si>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</si>
  <si>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</si>
  <si>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</si>
  <si>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</si>
  <si>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</si>
  <si>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</si>
  <si>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</si>
  <si>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</si>
  <si>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</si>
  <si>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</si>
  <si>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</si>
  <si>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</si>
  <si>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</si>
  <si>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</si>
  <si>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</si>
  <si>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</si>
  <si>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</si>
  <si>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</si>
  <si>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</si>
  <si>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</si>
  <si>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</si>
  <si>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</si>
  <si>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</si>
  <si>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</si>
  <si>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</si>
  <si>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</si>
  <si>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</si>
  <si>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</si>
  <si>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</si>
  <si>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</si>
  <si>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</si>
  <si>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</si>
  <si>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</si>
  <si>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</si>
  <si>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</si>
  <si>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</si>
  <si>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</si>
  <si>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</si>
  <si>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</si>
  <si>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</si>
  <si>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</si>
  <si>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</si>
  <si>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</si>
  <si>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</si>
  <si>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</si>
  <si>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</si>
  <si>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</si>
  <si>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</si>
  <si>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</si>
  <si>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</si>
  <si>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</si>
  <si>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</si>
  <si>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</si>
  <si>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</si>
  <si>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</si>
  <si>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</si>
  <si>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</si>
  <si>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</si>
  <si>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</si>
  <si>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</si>
  <si>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</si>
  <si>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</si>
  <si>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</si>
  <si>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</si>
  <si>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</si>
  <si>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</si>
  <si>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</si>
  <si>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</si>
  <si>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</si>
  <si>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</si>
  <si>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</si>
  <si>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</si>
  <si>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</si>
  <si>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</si>
  <si>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</si>
  <si>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</si>
  <si>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</si>
  <si>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</si>
  <si>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</si>
  <si>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</si>
  <si>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</si>
  <si>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</si>
  <si>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</si>
  <si>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</si>
  <si>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</si>
  <si>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</si>
  <si>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</si>
  <si>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</si>
  <si>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</si>
  <si>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</si>
  <si>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</si>
  <si>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</si>
  <si>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</si>
  <si>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</si>
  <si>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</si>
  <si>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</si>
  <si>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</si>
  <si>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</si>
  <si>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</si>
  <si>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</si>
  <si>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</si>
  <si>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</si>
  <si>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</si>
  <si>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</si>
  <si>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</si>
  <si>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</si>
  <si>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</si>
  <si>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</si>
  <si>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</si>
  <si>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</si>
  <si>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</si>
  <si>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</si>
  <si>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</si>
  <si>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</si>
  <si>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</si>
  <si>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</si>
  <si>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</si>
  <si>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</si>
  <si>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</si>
  <si>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</si>
  <si>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</si>
  <si>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</si>
  <si>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</si>
  <si>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</si>
  <si>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</si>
  <si>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</si>
  <si>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</si>
  <si>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</si>
  <si>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</si>
  <si>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</si>
  <si>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</si>
  <si>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</si>
  <si>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</si>
  <si>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</si>
  <si>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</si>
  <si>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</si>
  <si>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</si>
  <si>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</si>
  <si>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</si>
  <si>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</si>
  <si>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</si>
  <si>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</si>
  <si>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</si>
  <si>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</si>
  <si>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</si>
  <si>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</si>
  <si>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</si>
  <si>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</si>
  <si>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</si>
  <si>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</si>
  <si>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</si>
  <si>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</si>
  <si>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</si>
  <si>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</si>
  <si>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</si>
  <si>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</si>
  <si>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</si>
  <si>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</si>
  <si>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</si>
  <si>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</si>
  <si>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</si>
  <si>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</si>
  <si>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</si>
  <si>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</si>
  <si>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</si>
  <si>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</si>
  <si>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</si>
  <si>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</si>
  <si>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</si>
  <si>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</si>
  <si>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</si>
  <si>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</si>
  <si>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</si>
  <si>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</si>
  <si>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</si>
  <si>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</si>
  <si>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</si>
  <si>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</si>
  <si>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</si>
  <si>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</si>
  <si>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</si>
  <si>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</si>
  <si>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</si>
  <si>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</si>
  <si>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</si>
  <si>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</si>
  <si>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</si>
  <si>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</si>
  <si>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</si>
  <si>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</si>
  <si>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</si>
  <si>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</si>
  <si>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</si>
  <si>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</si>
  <si>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</si>
  <si>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</si>
  <si>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</si>
  <si>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</si>
  <si>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</si>
  <si>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</si>
  <si>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</si>
  <si>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</si>
  <si>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</si>
  <si>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</si>
  <si>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</si>
  <si>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</si>
  <si>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</si>
  <si>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</si>
  <si>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</si>
  <si>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</si>
  <si>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</si>
  <si>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</si>
  <si>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</si>
  <si>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</si>
  <si>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</si>
  <si>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</si>
  <si>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</si>
  <si>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</si>
  <si>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</si>
  <si>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</si>
  <si>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</si>
  <si>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</si>
  <si>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</si>
  <si>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</si>
  <si>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</si>
  <si>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</si>
  <si>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</si>
  <si>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</si>
  <si>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</si>
  <si>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</si>
  <si>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</si>
  <si>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</si>
  <si>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</si>
  <si>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</si>
  <si>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</si>
  <si>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</si>
  <si>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</si>
  <si>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</si>
  <si>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</si>
  <si>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</si>
  <si>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</si>
  <si>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</si>
  <si>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</si>
  <si>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</si>
  <si>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</si>
  <si>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</si>
  <si>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</si>
  <si>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</si>
  <si>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</si>
  <si>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</si>
  <si>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</si>
  <si>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</si>
  <si>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</si>
  <si>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</si>
  <si>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</si>
  <si>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</si>
  <si>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</si>
  <si>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</si>
  <si>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</si>
  <si>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</si>
  <si>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</si>
  <si>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</si>
  <si>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</si>
  <si>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</si>
  <si>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</si>
  <si>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</si>
  <si>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</si>
  <si>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</si>
  <si>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</si>
  <si>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</si>
  <si>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</si>
  <si>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</si>
  <si>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</si>
  <si>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</si>
  <si>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</si>
  <si>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</si>
  <si>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</si>
  <si>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</si>
  <si>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</si>
  <si>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</si>
  <si>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</si>
  <si>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</si>
  <si>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</si>
  <si>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</si>
  <si>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</si>
  <si>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</si>
  <si>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</si>
  <si>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</si>
  <si>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</si>
  <si>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</si>
  <si>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</si>
  <si>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</si>
  <si>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</si>
  <si>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</si>
  <si>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</si>
  <si>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</si>
  <si>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</si>
  <si>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</si>
  <si>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</si>
  <si>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</si>
  <si>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</si>
  <si>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</si>
  <si>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</si>
  <si>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</si>
  <si>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</si>
  <si>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</si>
  <si>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</si>
  <si>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</si>
  <si>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</si>
  <si>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</si>
  <si>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</si>
  <si>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</si>
  <si>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</si>
  <si>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</si>
  <si>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</si>
  <si>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</si>
  <si>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</si>
  <si>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</si>
  <si>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</si>
  <si>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</si>
  <si>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</si>
  <si>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</si>
  <si>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</si>
  <si>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</si>
  <si>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</si>
  <si>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</si>
  <si>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</si>
  <si>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</si>
  <si>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</si>
  <si>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</si>
  <si>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</si>
  <si>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</si>
  <si>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</si>
  <si>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</si>
  <si>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</si>
  <si>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</si>
  <si>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</si>
  <si>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</si>
  <si>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</si>
  <si>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</si>
  <si>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</si>
  <si>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</si>
  <si>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</si>
  <si>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</si>
  <si>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</si>
  <si>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</si>
  <si>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</si>
  <si>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</si>
  <si>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</si>
  <si>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</si>
  <si>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</si>
  <si>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</si>
  <si>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</si>
  <si>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</si>
  <si>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</si>
  <si>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</si>
  <si>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</si>
  <si>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</si>
  <si>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</si>
  <si>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</si>
  <si>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</si>
  <si>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</si>
  <si>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</si>
  <si>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</si>
  <si>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</si>
  <si>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</si>
  <si>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</si>
  <si>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</si>
  <si>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</si>
  <si>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</si>
  <si>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</si>
  <si>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</si>
  <si>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</si>
  <si>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</si>
  <si>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</si>
  <si>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</si>
  <si>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</si>
  <si>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</si>
  <si>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</si>
  <si>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</si>
  <si>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</si>
  <si>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</si>
  <si>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</si>
  <si>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</si>
  <si>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</si>
  <si>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</si>
  <si>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</si>
  <si>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</si>
  <si>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</si>
  <si>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</si>
  <si>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</si>
  <si>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</si>
  <si>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</si>
  <si>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</si>
  <si>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</si>
  <si>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</si>
  <si>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</si>
  <si>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</si>
  <si>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</si>
  <si>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</si>
  <si>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</si>
  <si>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</si>
  <si>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</si>
  <si>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</si>
  <si>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</si>
  <si>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</si>
  <si>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</si>
  <si>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</si>
  <si>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</si>
  <si>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</si>
  <si>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</si>
  <si>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</si>
  <si>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</si>
  <si>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</si>
  <si>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</si>
  <si>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</si>
  <si>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</si>
  <si>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</si>
  <si>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</si>
  <si>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</si>
  <si>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</si>
  <si>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</si>
  <si>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</si>
  <si>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</si>
  <si>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</si>
  <si>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</si>
  <si>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</si>
  <si>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</si>
  <si>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</si>
  <si>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</si>
  <si>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</si>
  <si>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</si>
  <si>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</si>
  <si>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</si>
  <si>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</si>
  <si>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</si>
  <si>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</si>
  <si>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</si>
  <si>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</si>
  <si>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</si>
  <si>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</si>
  <si>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</si>
  <si>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</si>
  <si>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</si>
  <si>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</si>
  <si>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</si>
  <si>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</si>
  <si>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</si>
  <si>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</si>
  <si>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</si>
  <si>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</si>
  <si>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</si>
  <si>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</si>
  <si>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</si>
  <si>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</si>
  <si>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</si>
  <si>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</si>
  <si>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</si>
  <si>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</si>
  <si>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</si>
  <si>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</si>
  <si>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</si>
  <si>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</si>
  <si>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</si>
  <si>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</si>
  <si>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</si>
  <si>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</si>
  <si>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</si>
  <si>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</si>
  <si>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</si>
  <si>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</si>
  <si>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</si>
  <si>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</si>
  <si>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</si>
  <si>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</si>
  <si>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</si>
  <si>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</si>
  <si>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</si>
  <si>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</si>
  <si>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</si>
  <si>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</si>
  <si>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</si>
  <si>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</si>
  <si>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</si>
  <si>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</si>
  <si>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</si>
  <si>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</si>
  <si>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</si>
  <si>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</si>
  <si>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</si>
  <si>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</si>
  <si>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</si>
  <si>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</si>
  <si>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</si>
  <si>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</si>
  <si>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</si>
  <si>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</si>
  <si>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</si>
  <si>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</si>
  <si>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</si>
  <si>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</si>
  <si>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</si>
  <si>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</si>
  <si>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</si>
  <si>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</si>
  <si>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</si>
  <si>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</si>
  <si>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</si>
  <si>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</si>
  <si>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</si>
  <si>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</si>
  <si>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</si>
  <si>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</si>
  <si>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</si>
  <si>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</si>
  <si>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</si>
  <si>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</si>
  <si>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</si>
  <si>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</si>
  <si>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</si>
  <si>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</si>
  <si>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</si>
  <si>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</si>
  <si>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</si>
  <si>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</si>
  <si>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</si>
  <si>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</si>
  <si>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</si>
  <si>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</si>
  <si>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</si>
  <si>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</si>
  <si>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</si>
  <si>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</si>
  <si>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</si>
  <si>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</si>
  <si>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</si>
  <si>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</si>
  <si>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</si>
  <si>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</si>
  <si>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</si>
  <si>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</si>
  <si>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</si>
  <si>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</si>
  <si>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</si>
  <si>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</si>
  <si>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</si>
  <si>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</si>
  <si>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</si>
  <si>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</si>
  <si>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</si>
  <si>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</si>
  <si>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</si>
  <si>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</si>
  <si>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</si>
  <si>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</si>
  <si>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</si>
  <si>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</si>
  <si>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</si>
  <si>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</si>
  <si>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</si>
  <si>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</si>
  <si>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</si>
  <si>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</si>
  <si>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</si>
  <si>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</si>
  <si>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</si>
  <si>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</si>
  <si>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</si>
  <si>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</si>
  <si>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</si>
  <si>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</si>
  <si>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</si>
  <si>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</si>
  <si>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</si>
  <si>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</si>
  <si>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</si>
  <si>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</si>
  <si>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</si>
  <si>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</si>
  <si>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</si>
  <si>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</si>
  <si>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</si>
  <si>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</si>
  <si>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</si>
  <si>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</si>
  <si>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</si>
  <si>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</si>
  <si>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</si>
  <si>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</si>
  <si>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</si>
  <si>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</si>
  <si>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</si>
  <si>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</si>
  <si>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</si>
  <si>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</si>
  <si>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</si>
  <si>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</si>
  <si>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</si>
  <si>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</si>
  <si>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</si>
  <si>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</si>
  <si>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</si>
  <si>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</si>
  <si>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</si>
  <si>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</si>
  <si>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</si>
  <si>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</si>
  <si>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</si>
  <si>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</si>
  <si>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</si>
  <si>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</si>
  <si>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</si>
  <si>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</si>
  <si>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</si>
  <si>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</si>
  <si>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</si>
  <si>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</si>
  <si>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</si>
  <si>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</si>
  <si>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</si>
  <si>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</si>
  <si>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</si>
  <si>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</si>
  <si>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</si>
  <si>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</si>
  <si>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</si>
  <si>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</si>
  <si>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</si>
  <si>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</si>
  <si>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</si>
  <si>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</si>
  <si>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</si>
  <si>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</si>
  <si>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</si>
  <si>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</si>
  <si>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</si>
  <si>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</si>
  <si>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</si>
  <si>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</si>
  <si>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</si>
  <si>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</si>
  <si>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</si>
  <si>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</si>
  <si>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</si>
  <si>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</si>
  <si>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</si>
  <si>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</si>
  <si>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</si>
  <si>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</si>
  <si>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</si>
  <si>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</si>
  <si>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</si>
  <si>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</si>
  <si>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</si>
  <si>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</si>
  <si>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</si>
  <si>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</si>
  <si>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</si>
  <si>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</si>
  <si>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</si>
  <si>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</si>
  <si>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</si>
  <si>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</si>
  <si>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</si>
  <si>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</si>
  <si>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</si>
  <si>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</si>
  <si>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</si>
  <si>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</si>
  <si>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</si>
  <si>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</si>
  <si>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</si>
  <si>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</si>
  <si>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</si>
  <si>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</si>
  <si>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</si>
  <si>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</si>
  <si>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</si>
  <si>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</si>
  <si>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</si>
  <si>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</si>
  <si>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</si>
  <si>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</si>
  <si>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</si>
  <si>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</si>
  <si>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</si>
  <si>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</si>
  <si>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</si>
  <si>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</si>
  <si>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</si>
  <si>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</si>
  <si>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</si>
  <si>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</si>
  <si>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</si>
  <si>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</si>
  <si>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</si>
  <si>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</si>
  <si>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</si>
  <si>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</si>
  <si>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</si>
  <si>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</si>
  <si>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</si>
  <si>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</si>
  <si>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</si>
  <si>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</si>
  <si>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</si>
  <si>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</si>
  <si>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</si>
  <si>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</si>
  <si>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</si>
  <si>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</si>
  <si>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</si>
  <si>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</si>
  <si>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</si>
  <si>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</si>
  <si>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</si>
  <si>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</si>
  <si>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</si>
  <si>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</si>
  <si>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</si>
  <si>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</si>
  <si>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</si>
  <si>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</si>
  <si>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</si>
  <si>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</si>
  <si>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</si>
  <si>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</si>
  <si>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</si>
  <si>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</si>
  <si>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</si>
  <si>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</si>
  <si>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</si>
  <si>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</si>
  <si>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</si>
  <si>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</si>
  <si>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</si>
  <si>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</si>
  <si>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</si>
  <si>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</si>
  <si>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</si>
  <si>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</si>
  <si>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</si>
  <si>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</si>
  <si>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</si>
  <si>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</si>
  <si>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</si>
  <si>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</si>
  <si>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</si>
  <si>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</si>
  <si>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</si>
  <si>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</si>
  <si>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</si>
  <si>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</si>
  <si>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</si>
  <si>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</si>
  <si>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</si>
  <si>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</si>
  <si>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</si>
  <si>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</si>
  <si>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</si>
  <si>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</si>
  <si>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</si>
  <si>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</si>
  <si>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</si>
  <si>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</si>
  <si>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</si>
  <si>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</si>
  <si>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</si>
  <si>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</si>
  <si>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</si>
  <si>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</si>
  <si>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</si>
  <si>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</si>
  <si>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</si>
  <si>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</si>
  <si>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</si>
  <si>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</si>
  <si>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</si>
  <si>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</si>
  <si>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</si>
  <si>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</si>
  <si>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</si>
  <si>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</si>
  <si>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</si>
  <si>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</si>
  <si>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</si>
  <si>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</si>
  <si>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</si>
  <si>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</si>
  <si>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</si>
  <si>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</si>
  <si>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</si>
  <si>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</si>
  <si>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</si>
  <si>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</si>
  <si>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</si>
  <si>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</si>
  <si>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</si>
  <si>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</si>
  <si>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</si>
  <si>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</si>
  <si>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</si>
  <si>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</si>
  <si>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</si>
  <si>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</si>
  <si>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</si>
  <si>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</si>
  <si>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</si>
  <si>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</si>
  <si>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</si>
  <si>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</si>
  <si>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</si>
  <si>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</si>
  <si>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</si>
  <si>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</si>
  <si>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</si>
  <si>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</si>
  <si>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</si>
  <si>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</si>
  <si>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</si>
  <si>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</si>
  <si>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</si>
  <si>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</si>
  <si>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</si>
  <si>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</si>
  <si>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</si>
  <si>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</si>
  <si>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</si>
  <si>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</si>
  <si>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</si>
  <si>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</si>
  <si>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</si>
  <si>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</si>
  <si>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</si>
  <si>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</si>
  <si>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</si>
  <si>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</si>
  <si>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</si>
  <si>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</si>
  <si>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</si>
  <si>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</si>
  <si>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</si>
  <si>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</si>
  <si>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</si>
  <si>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</si>
  <si>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</si>
  <si>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</si>
  <si>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</si>
  <si>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</si>
  <si>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</si>
  <si>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</si>
  <si>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</si>
  <si>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</si>
  <si>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</si>
  <si>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</si>
  <si>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</si>
  <si>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</si>
  <si>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</si>
  <si>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</si>
  <si>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</si>
  <si>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</si>
  <si>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</si>
  <si>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</si>
  <si>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</si>
  <si>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</si>
  <si>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</si>
  <si>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</si>
  <si>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</si>
  <si>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</si>
  <si>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</si>
  <si>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</si>
  <si>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</si>
  <si>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</si>
  <si>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</si>
  <si>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</si>
  <si>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</si>
  <si>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</si>
  <si>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</si>
  <si>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</si>
  <si>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</si>
  <si>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</si>
  <si>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</si>
  <si>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</si>
  <si>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</si>
  <si>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</si>
  <si>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</si>
  <si>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</si>
  <si>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</si>
  <si>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</si>
  <si>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</si>
  <si>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</si>
  <si>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</si>
  <si>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</si>
  <si>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</si>
  <si>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</si>
  <si>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</si>
  <si>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</si>
  <si>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</si>
  <si>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</si>
  <si>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</si>
  <si>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</si>
  <si>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</si>
  <si>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</si>
  <si>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</si>
  <si>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</si>
  <si>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</si>
  <si>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</si>
  <si>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</si>
  <si>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</si>
  <si>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</si>
  <si>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</si>
  <si>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</si>
  <si>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</si>
  <si>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</si>
  <si>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</si>
  <si>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</si>
  <si>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</si>
  <si>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</si>
  <si>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</si>
  <si>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</si>
  <si>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</si>
  <si>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</si>
  <si>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</si>
  <si>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</si>
  <si>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</si>
  <si>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</si>
  <si>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</si>
  <si>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</si>
  <si>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</si>
  <si>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</si>
  <si>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</si>
  <si>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</si>
  <si>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</si>
  <si>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</si>
  <si>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</si>
  <si>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</si>
  <si>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</si>
  <si>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</si>
  <si>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</si>
  <si>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</si>
  <si>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</si>
  <si>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</si>
  <si>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</si>
  <si>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</si>
  <si>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</si>
  <si>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</si>
  <si>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</si>
  <si>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</si>
  <si>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</si>
  <si>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</si>
  <si>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</si>
  <si>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</si>
  <si>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</si>
  <si>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</si>
  <si>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</si>
  <si>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</si>
  <si>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</si>
  <si>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</si>
  <si>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</si>
  <si>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</si>
  <si>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</si>
  <si>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</si>
  <si>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</si>
  <si>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</si>
  <si>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</si>
  <si>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</si>
  <si>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</si>
  <si>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</si>
  <si>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</si>
  <si>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</si>
  <si>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</si>
  <si>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</si>
  <si>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</si>
  <si>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</si>
  <si>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</si>
  <si>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</si>
  <si>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</si>
  <si>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</si>
  <si>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</si>
  <si>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</si>
  <si>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</si>
  <si>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</si>
  <si>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</si>
  <si>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</si>
  <si>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</si>
  <si>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</si>
  <si>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</si>
  <si>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</si>
  <si>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</si>
  <si>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</si>
  <si>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</si>
  <si>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</si>
  <si>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</si>
  <si>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</si>
  <si>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</si>
  <si>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</si>
  <si>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</si>
  <si>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</si>
  <si>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</si>
  <si>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</si>
  <si>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</si>
  <si>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</si>
  <si>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</si>
  <si>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</si>
  <si>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</si>
  <si>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</si>
  <si>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</si>
  <si>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</si>
  <si>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</si>
  <si>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</si>
  <si>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</si>
  <si>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</si>
  <si>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</si>
  <si>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</si>
  <si>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</si>
  <si>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</si>
  <si>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</si>
  <si>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</si>
  <si>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</si>
  <si>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</si>
  <si>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</si>
  <si>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</si>
  <si>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</si>
  <si>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</si>
  <si>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</si>
  <si>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</si>
  <si>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</si>
  <si>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</si>
  <si>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</si>
  <si>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</si>
  <si>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</si>
  <si>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</si>
  <si>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</si>
  <si>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</si>
  <si>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</si>
  <si>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</si>
  <si>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</si>
  <si>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</si>
  <si>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</si>
  <si>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</si>
  <si>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</si>
  <si>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</si>
  <si>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</si>
  <si>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</si>
  <si>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</si>
  <si>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</si>
  <si>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</si>
  <si>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</si>
  <si>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</si>
  <si>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</si>
  <si>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</si>
  <si>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</si>
  <si>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</si>
  <si>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</si>
  <si>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</si>
  <si>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</si>
  <si>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</si>
  <si>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</si>
  <si>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</si>
  <si>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</si>
  <si>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</si>
  <si>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</si>
  <si>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</si>
  <si>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</si>
  <si>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</si>
  <si>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</si>
  <si>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</si>
  <si>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</si>
  <si>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</si>
  <si>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</si>
  <si>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</si>
  <si>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</si>
  <si>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</si>
  <si>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</si>
  <si>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</si>
  <si>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</si>
  <si>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</si>
  <si>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</si>
  <si>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</si>
  <si>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</si>
  <si>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</si>
  <si>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</si>
  <si>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</si>
  <si>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</si>
  <si>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</si>
  <si>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</si>
  <si>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</si>
  <si>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</si>
  <si>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</si>
  <si>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</si>
  <si>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</si>
  <si>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</si>
  <si>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</si>
  <si>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</si>
  <si>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</si>
  <si>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</si>
  <si>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</si>
  <si>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</si>
  <si>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</si>
  <si>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</si>
  <si>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</si>
  <si>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</si>
  <si>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</si>
  <si>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</si>
  <si>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</si>
  <si>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</si>
  <si>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</si>
  <si>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</si>
  <si>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</si>
  <si>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</si>
  <si>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</si>
  <si>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</si>
  <si>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</si>
  <si>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</si>
  <si>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</si>
  <si>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</si>
  <si>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</si>
  <si>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</si>
  <si>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</si>
  <si>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</si>
  <si>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</si>
  <si>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</si>
  <si>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</si>
  <si>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</si>
  <si>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</si>
  <si>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</si>
  <si>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</si>
  <si>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</si>
  <si>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</si>
  <si>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</si>
  <si>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</si>
  <si>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</si>
  <si>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</si>
  <si>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</si>
  <si>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</si>
  <si>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</si>
  <si>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</si>
  <si>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</si>
  <si>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</si>
  <si>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</si>
  <si>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</si>
  <si>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</si>
  <si>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</si>
  <si>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</si>
  <si>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</si>
  <si>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</si>
  <si>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</si>
  <si>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</si>
  <si>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</si>
  <si>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</si>
  <si>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</si>
  <si>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</si>
  <si>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</si>
  <si>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</si>
  <si>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</si>
  <si>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</si>
  <si>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</si>
  <si>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</si>
  <si>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</si>
  <si>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</si>
  <si>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</si>
  <si>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</si>
  <si>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</si>
  <si>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</si>
  <si>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</si>
  <si>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</si>
  <si>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</si>
  <si>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</si>
  <si>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</si>
  <si>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</si>
  <si>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</si>
  <si>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</si>
  <si>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</si>
  <si>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</si>
  <si>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</si>
  <si>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</si>
  <si>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</si>
  <si>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</si>
  <si>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</si>
  <si>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</si>
  <si>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</si>
  <si>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</si>
  <si>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</si>
  <si>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</si>
  <si>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</si>
  <si>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</si>
  <si>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</si>
  <si>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</si>
  <si>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</si>
  <si>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</si>
  <si>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</si>
  <si>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</si>
  <si>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</si>
  <si>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</si>
  <si>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</si>
  <si>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</si>
  <si>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</si>
  <si>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</si>
  <si>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</si>
  <si>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</si>
  <si>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</si>
  <si>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</si>
  <si>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</si>
  <si>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</si>
  <si>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</si>
  <si>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</si>
  <si>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</si>
  <si>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</si>
  <si>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</si>
  <si>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</si>
  <si>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</si>
  <si>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</si>
  <si>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</si>
  <si>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</si>
  <si>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</si>
  <si>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</si>
  <si>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</si>
  <si>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</si>
  <si>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</si>
  <si>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</si>
  <si>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</si>
  <si>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</si>
  <si>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</si>
  <si>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</si>
  <si>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</si>
  <si>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</si>
  <si>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</si>
  <si>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</si>
  <si>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</si>
  <si>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</si>
  <si>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</si>
  <si>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</si>
  <si>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</si>
  <si>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</si>
  <si>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</si>
  <si>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</si>
  <si>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</si>
  <si>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</si>
  <si>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</si>
  <si>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</si>
  <si>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</si>
  <si>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</si>
  <si>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</si>
  <si>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</si>
  <si>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</si>
  <si>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</si>
  <si>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</si>
  <si>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</si>
  <si>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</si>
  <si>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</si>
  <si>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</si>
  <si>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</si>
  <si>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</si>
  <si>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</si>
  <si>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</si>
  <si>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</si>
  <si>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</si>
  <si>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</si>
  <si>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</si>
  <si>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</si>
  <si>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</si>
  <si>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</si>
  <si>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</si>
  <si>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</si>
  <si>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</si>
  <si>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</si>
  <si>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</si>
  <si>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</si>
  <si>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</si>
  <si>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</si>
  <si>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</si>
  <si>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</si>
  <si>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</si>
  <si>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</si>
  <si>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</si>
  <si>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</si>
  <si>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</si>
  <si>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</si>
  <si>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</si>
  <si>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</si>
  <si>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</si>
  <si>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</si>
  <si>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</si>
  <si>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</si>
  <si>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</si>
  <si>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</si>
  <si>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</si>
  <si>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</si>
  <si>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</si>
  <si>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</si>
  <si>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</si>
  <si>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</si>
  <si>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</si>
  <si>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</si>
  <si>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</si>
  <si>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</si>
  <si>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</si>
  <si>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</si>
  <si>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</si>
  <si>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</si>
  <si>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</si>
  <si>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</si>
  <si>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</si>
  <si>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</si>
  <si>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</si>
  <si>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</si>
  <si>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</si>
  <si>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</si>
  <si>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</si>
  <si>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</si>
  <si>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</si>
  <si>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</si>
  <si>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</si>
  <si>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</si>
  <si>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</si>
  <si>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</si>
  <si>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</si>
  <si>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</si>
  <si>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</si>
  <si>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</si>
  <si>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</si>
  <si>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</si>
  <si>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</si>
  <si>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</si>
  <si>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</si>
  <si>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</si>
  <si>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</si>
  <si>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</si>
  <si>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</si>
  <si>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</si>
  <si>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</si>
  <si>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</si>
  <si>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</si>
  <si>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</si>
  <si>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</si>
  <si>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</si>
  <si>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</si>
  <si>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</si>
  <si>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</si>
  <si>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</si>
  <si>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</si>
  <si>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</si>
  <si>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</si>
  <si>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</si>
  <si>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</si>
  <si>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</si>
  <si>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</si>
  <si>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</si>
  <si>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</si>
  <si>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</si>
  <si>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</si>
  <si>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</si>
  <si>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</si>
  <si>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</si>
  <si>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</si>
  <si>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</si>
  <si>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</si>
  <si>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</si>
  <si>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</si>
  <si>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</si>
  <si>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</si>
  <si>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</si>
  <si>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</si>
  <si>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</si>
  <si>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</si>
  <si>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</si>
  <si>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</si>
  <si>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</si>
  <si>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</si>
  <si>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</si>
  <si>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</si>
  <si>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</si>
  <si>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</si>
  <si>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</si>
  <si>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</si>
  <si>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</si>
  <si>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</si>
  <si>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</si>
  <si>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</si>
  <si>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</si>
  <si>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</si>
  <si>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</si>
  <si>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</si>
  <si>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</si>
  <si>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</si>
  <si>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</si>
  <si>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</si>
  <si>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</si>
  <si>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</si>
  <si>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</si>
  <si>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</si>
  <si>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</si>
  <si>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</si>
  <si>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</si>
  <si>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</si>
  <si>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</si>
  <si>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</si>
  <si>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</si>
  <si>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</si>
  <si>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</si>
  <si>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</si>
  <si>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</si>
  <si>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</si>
  <si>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</si>
  <si>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</si>
  <si>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</si>
  <si>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</si>
  <si>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</si>
  <si>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</si>
  <si>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</si>
  <si>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</si>
  <si>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</si>
  <si>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</si>
  <si>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</si>
  <si>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</si>
  <si>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</si>
  <si>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</si>
  <si>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</si>
  <si>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</si>
  <si>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</si>
  <si>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</si>
  <si>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</si>
  <si>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</si>
  <si>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</si>
  <si>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</si>
  <si>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</si>
  <si>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</si>
  <si>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</si>
  <si>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</si>
  <si>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</si>
  <si>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</si>
  <si>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</si>
  <si>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</si>
  <si>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</si>
  <si>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</si>
  <si>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</si>
  <si>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</si>
  <si>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</si>
  <si>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</si>
  <si>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</si>
  <si>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</si>
  <si>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</si>
  <si>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</si>
  <si>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</si>
  <si>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</si>
  <si>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</si>
  <si>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</si>
  <si>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</si>
  <si>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</si>
  <si>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</si>
  <si>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</si>
  <si>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</si>
  <si>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</si>
  <si>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</si>
  <si>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</si>
  <si>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</si>
  <si>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</si>
  <si>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</si>
  <si>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</si>
  <si>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</si>
  <si>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</si>
  <si>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</si>
  <si>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</si>
  <si>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</si>
  <si>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</si>
  <si>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</si>
  <si>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</si>
  <si>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</si>
  <si>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</si>
  <si>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</si>
  <si>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</si>
  <si>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</si>
  <si>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</si>
  <si>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</si>
  <si>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</si>
  <si>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</si>
  <si>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</si>
  <si>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</si>
  <si>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</si>
  <si>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</si>
  <si>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</si>
  <si>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</si>
  <si>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</si>
  <si>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</si>
  <si>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</si>
  <si>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</si>
  <si>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</si>
  <si>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</si>
  <si>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</si>
  <si>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</si>
  <si>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</si>
  <si>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</si>
  <si>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</si>
  <si>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</si>
  <si>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</si>
  <si>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</si>
  <si>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</si>
  <si>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</si>
  <si>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</si>
  <si>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</si>
  <si>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</si>
  <si>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</si>
  <si>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</si>
  <si>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</si>
  <si>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</si>
  <si>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</si>
  <si>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</si>
  <si>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</si>
  <si>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</si>
  <si>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</si>
  <si>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</si>
  <si>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</si>
  <si>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</si>
  <si>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</si>
  <si>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</si>
  <si>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</si>
  <si>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</si>
  <si>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</si>
  <si>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</si>
  <si>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</si>
  <si>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</si>
  <si>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</si>
  <si>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</si>
  <si>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</si>
  <si>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</si>
  <si>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</si>
  <si>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</si>
  <si>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</si>
  <si>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</si>
  <si>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</si>
  <si>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</si>
  <si>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</si>
  <si>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</si>
  <si>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</si>
  <si>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</si>
  <si>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</si>
  <si>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</si>
  <si>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</si>
  <si>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</si>
  <si>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</si>
  <si>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</si>
  <si>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</si>
  <si>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</si>
  <si>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</si>
  <si>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</si>
  <si>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</si>
  <si>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</si>
  <si>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</si>
  <si>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</si>
  <si>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</si>
  <si>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</si>
  <si>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</si>
  <si>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</si>
  <si>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</si>
  <si>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</si>
  <si>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</si>
  <si>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</si>
  <si>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</si>
  <si>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</si>
  <si>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</si>
  <si>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</si>
  <si>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</si>
  <si>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</si>
  <si>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</si>
  <si>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</si>
  <si>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</si>
  <si>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</si>
  <si>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</si>
  <si>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</si>
  <si>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</si>
  <si>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</si>
  <si>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</si>
  <si>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</si>
  <si>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</si>
  <si>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</si>
  <si>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</si>
  <si>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</si>
  <si>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</si>
  <si>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</si>
  <si>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</si>
  <si>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</si>
  <si>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</si>
  <si>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</si>
  <si>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</si>
  <si>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</si>
  <si>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</si>
  <si>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</si>
  <si>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</si>
  <si>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</si>
  <si>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</si>
  <si>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</si>
  <si>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</si>
  <si>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</si>
  <si>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</si>
  <si>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</si>
  <si>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</si>
  <si>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</si>
  <si>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</si>
  <si>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</si>
  <si>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</si>
  <si>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</si>
  <si>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</si>
  <si>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</si>
  <si>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</si>
  <si>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</si>
  <si>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</si>
  <si>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</si>
  <si>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</si>
  <si>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</si>
  <si>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</si>
  <si>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</si>
  <si>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</si>
  <si>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</si>
  <si>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</si>
  <si>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</si>
  <si>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</si>
  <si>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</si>
  <si>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</si>
  <si>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</si>
  <si>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</si>
  <si>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</si>
  <si>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</si>
  <si>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</si>
  <si>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</si>
  <si>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</si>
  <si>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</si>
  <si>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</si>
  <si>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</si>
  <si>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</si>
  <si>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</si>
  <si>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</si>
  <si>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</si>
  <si>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</si>
  <si>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</si>
  <si>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</si>
  <si>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</si>
  <si>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</si>
  <si>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</si>
  <si>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</si>
  <si>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</si>
  <si>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</si>
  <si>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</si>
  <si>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</si>
  <si>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</si>
  <si>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</si>
  <si>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</si>
  <si>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</si>
  <si>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</si>
  <si>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</si>
  <si>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</si>
  <si>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</si>
  <si>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</si>
  <si>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</si>
  <si>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</si>
  <si>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</si>
  <si>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</si>
  <si>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</si>
  <si>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</si>
  <si>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</si>
  <si>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</si>
  <si>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</si>
  <si>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</si>
  <si>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</si>
  <si>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</si>
  <si>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</si>
  <si>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</si>
  <si>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</si>
  <si>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</si>
  <si>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</si>
  <si>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</si>
  <si>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</si>
  <si>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</si>
  <si>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</si>
  <si>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</si>
  <si>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</si>
  <si>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</si>
  <si>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</si>
  <si>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</si>
  <si>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</si>
  <si>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</si>
  <si>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</si>
  <si>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</si>
  <si>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</si>
  <si>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</si>
  <si>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</si>
  <si>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</si>
  <si>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</si>
  <si>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</si>
  <si>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</si>
  <si>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</si>
  <si>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</si>
  <si>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</si>
  <si>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</si>
  <si>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</si>
  <si>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</si>
  <si>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</si>
  <si>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</si>
  <si>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</si>
  <si>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</si>
  <si>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</si>
  <si>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</si>
  <si>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</si>
  <si>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</si>
  <si>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</si>
  <si>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</si>
  <si>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</si>
  <si>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</si>
  <si>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</si>
  <si>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</si>
  <si>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</si>
  <si>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</si>
  <si>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</si>
  <si>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</si>
  <si>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</si>
  <si>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</si>
  <si>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</si>
  <si>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</si>
  <si>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</si>
  <si>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</si>
  <si>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</si>
  <si>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</si>
  <si>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</si>
  <si>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</si>
  <si>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</si>
  <si>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</si>
  <si>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</si>
  <si>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</si>
  <si>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</si>
  <si>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</si>
  <si>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</si>
  <si>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</si>
  <si>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</si>
  <si>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</si>
  <si>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</si>
  <si>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</si>
  <si>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</si>
  <si>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</si>
  <si>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</si>
  <si>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</si>
  <si>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</si>
  <si>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</si>
  <si>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</si>
  <si>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</si>
  <si>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</si>
  <si>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</si>
  <si>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</si>
  <si>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</si>
  <si>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</si>
  <si>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</si>
  <si>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</si>
  <si>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</si>
  <si>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</si>
  <si>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</si>
  <si>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</si>
  <si>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</si>
  <si>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</si>
  <si>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</si>
  <si>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</si>
  <si>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</si>
  <si>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</si>
  <si>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</si>
  <si>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</si>
  <si>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</si>
  <si>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</si>
  <si>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</si>
  <si>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</si>
  <si>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</si>
  <si>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</si>
  <si>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</si>
  <si>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</si>
  <si>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</si>
  <si>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</si>
  <si>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</si>
  <si>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</si>
  <si>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</si>
  <si>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</si>
  <si>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</si>
  <si>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</si>
  <si>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</si>
  <si>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</si>
  <si>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</si>
  <si>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</si>
  <si>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</si>
  <si>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</si>
  <si>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</si>
  <si>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</si>
  <si>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</si>
  <si>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</si>
  <si>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</si>
  <si>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</si>
  <si>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</si>
  <si>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</si>
  <si>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</si>
  <si>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</si>
  <si>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</si>
  <si>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</si>
  <si>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</si>
  <si>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</si>
  <si>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</si>
  <si>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</si>
  <si>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</si>
  <si>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</si>
  <si>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</si>
  <si>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</si>
  <si>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</si>
  <si>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</si>
  <si>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</si>
  <si>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</si>
  <si>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</si>
  <si>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</si>
  <si>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</si>
  <si>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</si>
  <si>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</si>
  <si>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</si>
  <si>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</si>
  <si>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</si>
  <si>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</si>
  <si>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</si>
  <si>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</si>
  <si>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</si>
  <si>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</si>
  <si>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</si>
  <si>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</si>
  <si>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</si>
  <si>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</si>
  <si>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</si>
  <si>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</si>
  <si>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</si>
  <si>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</si>
  <si>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</si>
  <si>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</si>
  <si>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</si>
  <si>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</si>
  <si>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</si>
  <si>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</si>
  <si>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</si>
  <si>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</si>
  <si>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</si>
  <si>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</si>
  <si>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</si>
  <si>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</si>
  <si>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</si>
  <si>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</si>
  <si>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</si>
  <si>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</si>
  <si>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</si>
  <si>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</si>
  <si>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</si>
  <si>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</si>
  <si>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</si>
  <si>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</si>
  <si>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</si>
  <si>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</si>
  <si>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</si>
  <si>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</si>
  <si>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</si>
  <si>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</si>
  <si>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</si>
  <si>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</si>
  <si>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</si>
  <si>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</si>
  <si>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</si>
  <si>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</si>
  <si>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</si>
  <si>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</si>
  <si>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</si>
  <si>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</si>
  <si>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</si>
  <si>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</si>
  <si>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</si>
  <si>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</si>
  <si>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</si>
  <si>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</si>
  <si>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</si>
  <si>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</si>
  <si>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</si>
  <si>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</si>
  <si>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</si>
  <si>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</si>
  <si>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</si>
  <si>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</si>
  <si>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</si>
  <si>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</si>
  <si>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</si>
  <si>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</si>
  <si>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</si>
  <si>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</si>
  <si>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</si>
  <si>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</si>
  <si>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</si>
  <si>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</si>
  <si>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</si>
  <si>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</si>
  <si>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</si>
  <si>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</si>
  <si>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</si>
  <si>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</si>
  <si>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</si>
  <si>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</si>
  <si>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</si>
  <si>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</si>
  <si>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</si>
  <si>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</si>
  <si>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</si>
  <si>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</si>
  <si>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</si>
  <si>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</si>
  <si>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</si>
  <si>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</si>
  <si>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</si>
  <si>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</si>
  <si>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</si>
  <si>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</si>
  <si>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</si>
  <si>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</si>
  <si>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</si>
  <si>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</si>
  <si>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</si>
  <si>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</si>
  <si>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</si>
  <si>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</si>
  <si>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</si>
  <si>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</si>
  <si>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</si>
  <si>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</si>
  <si>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</si>
  <si>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</si>
  <si>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</si>
  <si>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</si>
  <si>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</si>
  <si>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</si>
  <si>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</si>
  <si>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</si>
  <si>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</si>
  <si>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</si>
  <si>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</si>
  <si>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</si>
  <si>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</si>
  <si>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</si>
  <si>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</si>
  <si>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</si>
  <si>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</si>
  <si>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</si>
  <si>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</si>
  <si>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</si>
  <si>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</si>
  <si>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</si>
  <si>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</si>
  <si>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</si>
  <si>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</si>
  <si>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</si>
  <si>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</si>
  <si>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</si>
  <si>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</si>
  <si>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</si>
  <si>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</si>
  <si>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</si>
  <si>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</si>
  <si>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</si>
  <si>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</si>
  <si>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</si>
  <si>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</si>
  <si>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</si>
  <si>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</si>
  <si>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</si>
  <si>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</si>
  <si>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</si>
  <si>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</si>
  <si>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</si>
  <si>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</si>
  <si>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</si>
  <si>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</si>
  <si>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</si>
  <si>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</si>
  <si>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</si>
  <si>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</si>
  <si>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</si>
  <si>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</si>
  <si>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</si>
  <si>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</si>
  <si>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</si>
  <si>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</si>
  <si>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</si>
  <si>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</si>
  <si>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</si>
  <si>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</si>
  <si>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</si>
  <si>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</si>
  <si>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</si>
  <si>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</si>
  <si>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</si>
  <si>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</si>
  <si>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</si>
  <si>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</si>
  <si>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</si>
  <si>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</si>
  <si>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</si>
  <si>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</si>
  <si>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</si>
  <si>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</si>
  <si>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</si>
  <si>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</si>
  <si>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</si>
  <si>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</si>
  <si>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</si>
  <si>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</si>
  <si>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</si>
  <si>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</si>
  <si>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</si>
  <si>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</si>
  <si>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</si>
  <si>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</si>
  <si>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</si>
  <si>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</si>
  <si>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</si>
  <si>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</si>
  <si>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</si>
  <si>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</si>
  <si>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</si>
  <si>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</si>
  <si>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</si>
  <si>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</si>
  <si>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</si>
  <si>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</si>
  <si>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</si>
  <si>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</si>
  <si>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</si>
  <si>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</si>
  <si>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</si>
  <si>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</si>
  <si>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</si>
  <si>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</si>
  <si>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</si>
  <si>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</si>
  <si>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</si>
  <si>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</si>
  <si>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</si>
  <si>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</si>
  <si>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</si>
  <si>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</si>
  <si>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</si>
  <si>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</si>
  <si>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</si>
  <si>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</si>
  <si>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</si>
  <si>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</si>
  <si>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</si>
  <si>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</si>
  <si>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</si>
  <si>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</si>
  <si>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</si>
  <si>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</si>
  <si>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</si>
  <si>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</si>
  <si>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</si>
  <si>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</si>
  <si>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</si>
  <si>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</si>
  <si>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</si>
  <si>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</si>
  <si>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</si>
  <si>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</si>
  <si>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</si>
  <si>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</si>
  <si>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</si>
  <si>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</si>
  <si>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</si>
  <si>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</si>
  <si>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</si>
  <si>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</si>
  <si>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</si>
  <si>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</si>
  <si>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</si>
  <si>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</si>
  <si>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</si>
  <si>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</si>
  <si>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</si>
  <si>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</si>
  <si>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</si>
  <si>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</si>
  <si>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</si>
  <si>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</si>
  <si>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</si>
  <si>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</si>
  <si>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</si>
  <si>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</si>
  <si>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</si>
  <si>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</si>
  <si>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</si>
  <si>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</si>
  <si>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</si>
  <si>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</si>
  <si>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</si>
  <si>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</si>
  <si>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</si>
  <si>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</si>
  <si>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</si>
  <si>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</si>
  <si>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</si>
  <si>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</si>
  <si>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</si>
  <si>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</si>
  <si>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</si>
  <si>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</si>
  <si>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</si>
  <si>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</si>
  <si>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</si>
  <si>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</si>
  <si>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</si>
  <si>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</si>
  <si>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</si>
  <si>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</si>
  <si>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</si>
  <si>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</si>
  <si>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</si>
  <si>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</si>
  <si>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</si>
  <si>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</si>
  <si>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</si>
  <si>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</si>
  <si>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</si>
  <si>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</si>
  <si>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</si>
  <si>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</si>
  <si>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</si>
  <si>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</si>
  <si>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</si>
  <si>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</si>
  <si>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</si>
  <si>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</si>
  <si>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</si>
  <si>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</si>
  <si>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</si>
  <si>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</si>
  <si>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</si>
  <si>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</si>
  <si>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</si>
  <si>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</si>
  <si>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</si>
  <si>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</si>
  <si>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</si>
  <si>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</si>
  <si>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</si>
  <si>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</si>
  <si>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</si>
  <si>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</si>
  <si>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</si>
  <si>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</si>
  <si>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</si>
  <si>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</si>
  <si>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</si>
  <si>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</si>
  <si>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</si>
  <si>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</si>
  <si>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</si>
  <si>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</si>
  <si>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</si>
  <si>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</si>
  <si>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</si>
  <si>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</si>
  <si>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</si>
  <si>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</si>
  <si>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</si>
  <si>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</si>
  <si>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</si>
  <si>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</si>
  <si>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</si>
  <si>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</si>
  <si>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</si>
  <si>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</si>
  <si>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</si>
  <si>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</si>
  <si>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</si>
  <si>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</si>
  <si>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</si>
  <si>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</si>
  <si>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</si>
  <si>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</si>
  <si>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</si>
  <si>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</si>
  <si>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</si>
  <si>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</si>
  <si>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</si>
  <si>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</si>
  <si>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</si>
  <si>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</si>
  <si>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</si>
  <si>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</si>
  <si>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</si>
  <si>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</si>
  <si>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</si>
  <si>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</si>
  <si>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</si>
  <si>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</si>
  <si>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</si>
  <si>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</si>
  <si>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</si>
  <si>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</si>
  <si>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</si>
  <si>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</si>
  <si>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</si>
  <si>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</si>
  <si>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</si>
  <si>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</si>
  <si>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</si>
  <si>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</si>
  <si>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</si>
  <si>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</si>
  <si>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</si>
  <si>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</si>
  <si>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</si>
  <si>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</si>
  <si>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</si>
  <si>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</si>
  <si>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</si>
  <si>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</si>
  <si>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</si>
  <si>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</si>
  <si>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</si>
  <si>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</si>
  <si>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</si>
  <si>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</si>
  <si>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</si>
  <si>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</si>
  <si>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</si>
  <si>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</si>
  <si>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</si>
  <si>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</si>
  <si>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</si>
  <si>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</si>
  <si>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</si>
  <si>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</si>
  <si>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</si>
  <si>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</si>
  <si>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</si>
  <si>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</si>
  <si>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</si>
  <si>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</si>
  <si>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</si>
  <si>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</si>
  <si>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</si>
  <si>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</si>
  <si>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</si>
  <si>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</si>
  <si>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</si>
  <si>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</si>
  <si>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</si>
  <si>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</si>
  <si>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</si>
  <si>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</si>
  <si>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</si>
  <si>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</si>
  <si>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</si>
  <si>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</si>
  <si>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</si>
  <si>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</si>
  <si>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</si>
  <si>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</si>
  <si>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</si>
  <si>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</si>
  <si>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</si>
  <si>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</si>
  <si>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</si>
  <si>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</si>
  <si>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</si>
  <si>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</si>
  <si>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</si>
  <si>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</si>
  <si>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</si>
  <si>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</si>
  <si>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</si>
  <si>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</si>
  <si>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</si>
  <si>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</si>
  <si>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</si>
  <si>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</si>
  <si>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</si>
  <si>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</si>
  <si>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</si>
  <si>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</si>
  <si>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</si>
  <si>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</si>
  <si>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</si>
  <si>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</si>
  <si>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</si>
  <si>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</si>
  <si>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</si>
  <si>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</si>
  <si>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</si>
  <si>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</si>
  <si>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</si>
  <si>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</si>
  <si>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</si>
  <si>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</si>
  <si>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</si>
  <si>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</si>
  <si>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</si>
  <si>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</si>
  <si>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</si>
  <si>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</si>
  <si>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</si>
  <si>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</si>
  <si>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</si>
  <si>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</si>
  <si>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</si>
  <si>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</si>
  <si>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</si>
  <si>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</si>
  <si>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</si>
  <si>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</si>
  <si>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</si>
  <si>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</si>
  <si>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</si>
  <si>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</si>
  <si>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</si>
  <si>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</si>
  <si>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</si>
  <si>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</si>
  <si>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</si>
  <si>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</si>
  <si>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</si>
  <si>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</si>
  <si>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</si>
  <si>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</si>
  <si>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</si>
  <si>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</si>
  <si>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</si>
  <si>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</si>
  <si>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</si>
  <si>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</si>
  <si>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</si>
  <si>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</si>
  <si>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</si>
  <si>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</si>
  <si>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</si>
  <si>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</si>
  <si>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</si>
  <si>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</si>
  <si>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</si>
  <si>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</si>
  <si>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</si>
  <si>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</si>
  <si>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</si>
  <si>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</si>
  <si>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</si>
  <si>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</si>
  <si>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</si>
  <si>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</si>
  <si>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</si>
  <si>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</si>
  <si>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</si>
  <si>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</si>
  <si>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</si>
  <si>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</si>
  <si>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</si>
  <si>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</si>
  <si>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</si>
  <si>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</si>
  <si>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</si>
  <si>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</si>
  <si>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</si>
  <si>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</si>
  <si>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</si>
  <si>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</si>
  <si>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</si>
  <si>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</si>
  <si>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</si>
  <si>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</si>
  <si>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</si>
  <si>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</si>
  <si>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</si>
  <si>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</si>
  <si>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</si>
  <si>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</si>
  <si>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</si>
  <si>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</si>
  <si>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</si>
  <si>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</si>
  <si>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</si>
  <si>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</si>
  <si>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</si>
  <si>
    <t>eeb6b2db921c7e18</t>
  </si>
  <si>
    <t>23_10_2026_AO_Diur.gpx</t>
  </si>
  <si>
    <t>eeb6b2db921c7e187d9700cd1da50ee0218b4cf7ca8368cb2fcfaf919f59c6ff</t>
  </si>
  <si>
    <t>23/10/2026</t>
  </si>
  <si>
    <t>23/10/2026 08:42:12</t>
  </si>
  <si>
    <t>23/10/2026 15:38:27</t>
  </si>
  <si>
    <t>Inicio GPS dentro de la tolerancia del horario programado.; Fin GPS anticipado: 00:21:33 antes de las 16:00.</t>
  </si>
  <si>
    <t>6.203305, -75.600919</t>
  </si>
  <si>
    <t>6.232104, -75.596869</t>
  </si>
  <si>
    <t>d23e943a6b1d641d</t>
  </si>
  <si>
    <t>23_10_2026_AR_Diur.gpx</t>
  </si>
  <si>
    <t>d23e943a6b1d641dab93d0b85df487a1a37a552fce5141d3b31987b60dbdc64c</t>
  </si>
  <si>
    <t>23/10/2026 08:30:56</t>
  </si>
  <si>
    <t>23/10/2026 13:13:27</t>
  </si>
  <si>
    <t>Inicio GPS dentro de la tolerancia del horario programado.; Fin GPS anticipado: 02:46:33 antes de las 16:00.; 1 hueco(s) GPS &gt;= 10 min.; 1 permanencia(s) GPS detectada(s); requiere contexto.</t>
  </si>
  <si>
    <t>6.247260, -75.614570</t>
  </si>
  <si>
    <t>6.198179, -75.593791</t>
  </si>
  <si>
    <t>9293b34a3cbaa9c8</t>
  </si>
  <si>
    <t>23_10_2026_HC_Diur.gpx</t>
  </si>
  <si>
    <t>9293b34a3cbaa9c8fd38c0433c9b0ced70cb8ce3a2b186d0dc41f01832224759</t>
  </si>
  <si>
    <t>23/10/2026 08:28:45</t>
  </si>
  <si>
    <t>23/10/2026 12:20:35</t>
  </si>
  <si>
    <t>Inicio GPS dentro de la tolerancia del horario programado.; Fin GPS anticipado: 03:39:25 antes de las 16:00.</t>
  </si>
  <si>
    <t>6.243092, -75.562022</t>
  </si>
  <si>
    <t>6.237416, -75.514167</t>
  </si>
  <si>
    <t>9db05e96e61b46f9</t>
  </si>
  <si>
    <t>23_10_2026_JP_Diur.gpx</t>
  </si>
  <si>
    <t>9db05e96e61b46f9bfc9c8639c1217766698effa57a9d115b474bd697241a78d</t>
  </si>
  <si>
    <t>23/10/2026 08:13:20</t>
  </si>
  <si>
    <t>23/10/2026 14:33:53</t>
  </si>
  <si>
    <t>Inicio GPS anterior al horario: 00:16:40 antes de las 08:30.; Fin GPS anticipado: 01:26:07 antes de las 16:00.</t>
  </si>
  <si>
    <t>6.250513, -75.551883</t>
  </si>
  <si>
    <t>6.251840, -75.551847</t>
  </si>
  <si>
    <t>98d5a43b6c6229b2</t>
  </si>
  <si>
    <t>23_10_2026_JZ_Diur.gpx</t>
  </si>
  <si>
    <t>98d5a43b6c6229b2ffe1028f23ef4d26a9fb7943ede762cfc491f7ef92b0654a</t>
  </si>
  <si>
    <t>23/10/2026 08:27:55</t>
  </si>
  <si>
    <t>23/10/2026 15:30:17</t>
  </si>
  <si>
    <t>Inicio GPS dentro de la tolerancia del horario programado.; Fin GPS anticipado: 00:29:43 antes de las 16:00.; 2 hueco(s) GPS &gt;= 10 min.</t>
  </si>
  <si>
    <t>6.226517, -75.599257</t>
  </si>
  <si>
    <t>6.279390, -75.571443</t>
  </si>
  <si>
    <t>418651478afed977</t>
  </si>
  <si>
    <t>23_10_2026_DR_Noct.gpx</t>
  </si>
  <si>
    <t>418651478afed9779a0a65c0fb25fd60fbb44f8273f7df2272164fc29c0e9e5d</t>
  </si>
  <si>
    <t>23/10/2026 18:14:21</t>
  </si>
  <si>
    <t>23/10/2026 21:21:13</t>
  </si>
  <si>
    <t>Inicio GPS dentro de la tolerancia del horario programado.; Fin GPS anticipado: 02:38:47 antes de las 00:00.; 1 hueco(s) GPS &gt;= 10 min.</t>
  </si>
  <si>
    <t>6.200710, -75.579486</t>
  </si>
  <si>
    <t>6.263677, -75.597064</t>
  </si>
  <si>
    <t>859e8f435a5fe3f5</t>
  </si>
  <si>
    <t>23_10_2026_DV_Noct.gpx</t>
  </si>
  <si>
    <t>859e8f435a5fe3f5ea4f167758f839a9ce65733571e60a3938a2b75385afcab6</t>
  </si>
  <si>
    <t>23/10/2026 18:37:57</t>
  </si>
  <si>
    <t>26/10/2026 14:59:07</t>
  </si>
  <si>
    <t>Inicio GPS tardío: 00:37:57 después de las 18:00.; Fin GPS posterior: 62:59:07 después de las 00:00.; 1 hueco(s) GPS &gt;= 10 min.</t>
  </si>
  <si>
    <t>6.250121, -75.556875</t>
  </si>
  <si>
    <t>6.225588, -75.598989</t>
  </si>
  <si>
    <t>9caf4ceabc1f0e3d</t>
  </si>
  <si>
    <t>23_10_2026_IQ_Noct.gpx</t>
  </si>
  <si>
    <t>9caf4ceabc1f0e3dc77f86f662929a87e802211ae7d60beeef79d9bcf07a2aee</t>
  </si>
  <si>
    <t>23/10/2026 18:37:07</t>
  </si>
  <si>
    <t>23/10/2026 23:37:14</t>
  </si>
  <si>
    <t>Inicio GPS tardío: 00:37:07 después de las 18:00.; Fin GPS anticipado: 00:22:46 antes de las 00:00.; 6 hueco(s) GPS &gt;= 10 min.; 1 permanencia(s) GPS detectada(s); requiere contexto.</t>
  </si>
  <si>
    <t>6.272572, -75.540537</t>
  </si>
  <si>
    <t>6.217133, -75.595055</t>
  </si>
  <si>
    <t>b2a5144033ad4778</t>
  </si>
  <si>
    <t>23_10_2026_JA_Noct.gpx</t>
  </si>
  <si>
    <t>b2a5144033ad4778640cf6e1d5c776b1ddc0159368b398c0690eafcf9af307b5</t>
  </si>
  <si>
    <t>23/10/2026 19:49:39</t>
  </si>
  <si>
    <t>23/10/2026 23:31:28</t>
  </si>
  <si>
    <t>Inicio GPS tardío: 01:49:39 después de las 18:00.; Fin GPS anticipado: 00:28:32 antes de las 00:00.</t>
  </si>
  <si>
    <t>6.238649, -75.573252</t>
  </si>
  <si>
    <t>6.235418, -75.554733</t>
  </si>
  <si>
    <t>dd7ee214f66c9202</t>
  </si>
  <si>
    <t>23_10_2026_JO_Noct.gpx</t>
  </si>
  <si>
    <t>dd7ee214f66c920293f73d63fce7399cf6494c569bb01d08e66bef63e60469d9</t>
  </si>
  <si>
    <t>23/10/2026 18:02:29</t>
  </si>
  <si>
    <t>23/10/2026 23:58:14</t>
  </si>
  <si>
    <t>6.255766, -75.619711</t>
  </si>
  <si>
    <t>6.246984, -75.554087</t>
  </si>
  <si>
    <t>94cf76720408085f</t>
  </si>
  <si>
    <t>23_10_2026_SJ_Noct.gpx</t>
  </si>
  <si>
    <t>94cf76720408085f9d47177175ed1a707ae9efca3190d4468fd1054a2fc39578</t>
  </si>
  <si>
    <t>23/10/2026 17:26:53</t>
  </si>
  <si>
    <t>23/10/2026 22:13:50</t>
  </si>
  <si>
    <t>Inicio GPS anterior al horario: 00:33:07 antes de las 18:00.; Fin GPS anticipado: 01:46:10 antes de las 00:00.</t>
  </si>
  <si>
    <t>6.309248, -75.575904</t>
  </si>
  <si>
    <t>6.309014, -75.576319</t>
  </si>
  <si>
    <t>f5bc49f5b3486d3e</t>
  </si>
  <si>
    <t>26_10_2026_AO_Diur.gpx</t>
  </si>
  <si>
    <t>f5bc49f5b3486d3e90f042084577ccf61fe2cf630df163c6335c8944351f6ba2</t>
  </si>
  <si>
    <t>26/10/2026</t>
  </si>
  <si>
    <t>26/10/2026 08:53:47</t>
  </si>
  <si>
    <t>26/10/2026 16:35:09</t>
  </si>
  <si>
    <t>Inicio GPS tardío: 00:23:47 después de las 08:30.; Fin GPS dentro de la tolerancia del horario programado.; 1 hueco(s) GPS &gt;= 10 min.; 1 permanencia(s) GPS detectada(s); requiere contexto.</t>
  </si>
  <si>
    <t>6.203407, -75.600692</t>
  </si>
  <si>
    <t>6.221575, -75.593853</t>
  </si>
  <si>
    <t>2f37f3e26aa73ba3</t>
  </si>
  <si>
    <t>26_10_2026_AR_Diur.gpx</t>
  </si>
  <si>
    <t>2f37f3e26aa73ba32b31361189c6050d4ab7e665d08762a944f110275e2eeee5</t>
  </si>
  <si>
    <t>26/10/2026 08:03:48</t>
  </si>
  <si>
    <t>26/10/2026 16:32:27</t>
  </si>
  <si>
    <t>Inicio GPS anterior al horario: 00:26:12 antes de las 08:30.; Fin GPS dentro de la tolerancia del horario programado.; 1 hueco(s) GPS &gt;= 10 min.</t>
  </si>
  <si>
    <t>6.225613, -75.599300</t>
  </si>
  <si>
    <t>6.247712, -75.615081</t>
  </si>
  <si>
    <t>68ec9dddc7482a0a</t>
  </si>
  <si>
    <t>26_10_2026_HC_Diurn.gpx</t>
  </si>
  <si>
    <t>68ec9dddc7482a0a1afb3c4bfe3decc2d126b931dc4ce2d383d01cf4b2a3e00a</t>
  </si>
  <si>
    <t>26/10/2026 08:17:48</t>
  </si>
  <si>
    <t>26/10/2026 13:34:01</t>
  </si>
  <si>
    <t>Inicio GPS dentro de la tolerancia del horario programado.; Fin GPS anticipado: 02:55:59 antes de las 16:30.; 1 hueco(s) GPS &gt;= 10 min.</t>
  </si>
  <si>
    <t>6.225761, -75.599428</t>
  </si>
  <si>
    <t>6.290553, -75.569750</t>
  </si>
  <si>
    <t>5d7ff907a7dc2568</t>
  </si>
  <si>
    <t>26_10_2026_JHP_Diur.gpx</t>
  </si>
  <si>
    <t>5d7ff907a7dc2568bb86b85b5abf48062924583c042c47986667b8a8723c9ee8</t>
  </si>
  <si>
    <t>26/10/2026 08:22:00</t>
  </si>
  <si>
    <t>26/10/2026 16:07:11</t>
  </si>
  <si>
    <t>Inicio GPS dentro de la tolerancia del horario programado.; Fin GPS anticipado: 00:22:49 antes de las 16:30.</t>
  </si>
  <si>
    <t>6.225609, -75.599515</t>
  </si>
  <si>
    <t>6.263744, -75.567603</t>
  </si>
  <si>
    <t>9f015df92ab14f27</t>
  </si>
  <si>
    <t>26_10_2026_JZ_Diur.gpx</t>
  </si>
  <si>
    <t>9f015df92ab14f2743c016b69f1a16ec3ba26916eef88a258e66e9d30f42b9f7</t>
  </si>
  <si>
    <t>26/10/2026 08:40:06</t>
  </si>
  <si>
    <t>26/10/2026 16:10:00</t>
  </si>
  <si>
    <t>Inicio GPS dentro de la tolerancia del horario programado.; Fin GPS anticipado: 00:20:00 antes de las 16:30.</t>
  </si>
  <si>
    <t>6.226662, -75.599292</t>
  </si>
  <si>
    <t>6.246637, -75.570027</t>
  </si>
  <si>
    <t>1be3bb4ef0db85ed</t>
  </si>
  <si>
    <t>26_10_2026_YL_Diur.gpx</t>
  </si>
  <si>
    <t>1be3bb4ef0db85ed86c14eef4f8a7688efe4cf0c0e704b688a884db0a9f7b50f</t>
  </si>
  <si>
    <t>26/10/2026 10:39:13</t>
  </si>
  <si>
    <t>26/10/2026 14:49:48</t>
  </si>
  <si>
    <t>Inicio GPS tardío: 02:09:13 después de las 08:30.; Fin GPS anticipado: 01:40:12 antes de las 16:30.; 1 hueco(s) GPS &gt;= 10 min.; 1 permanencia(s) GPS detectada(s); requiere contexto.</t>
  </si>
  <si>
    <t>6.258375, -75.615757</t>
  </si>
  <si>
    <t>6.258522, -75.616170</t>
  </si>
  <si>
    <t>3c08d80696826ea4</t>
  </si>
  <si>
    <t>26_10_2026_DR_Noct.gpx</t>
  </si>
  <si>
    <t>3c08d80696826ea4111a73260545d6e9bedbe4365926ba41eefaa907cb34f370</t>
  </si>
  <si>
    <t>26/10/2026 18:04:02</t>
  </si>
  <si>
    <t>26/10/2026 22:15:11</t>
  </si>
  <si>
    <t>Inicio GPS dentro de la tolerancia del horario programado.; Fin GPS anticipado: 01:44:49 antes de las 00:00.</t>
  </si>
  <si>
    <t>6.250335, -75.600364</t>
  </si>
  <si>
    <t>6.250692, -75.601540</t>
  </si>
  <si>
    <t>84789c3cdfbfb174</t>
  </si>
  <si>
    <t>26_10_2026_DV_Noct.gpx</t>
  </si>
  <si>
    <t>84789c3cdfbfb17449ce6a6feb5d7920c8f88117947df1d2d3c8c0de3d2e6aa3</t>
  </si>
  <si>
    <t>26/10/2026 16:34:27</t>
  </si>
  <si>
    <t>27/10/2026 00:15:46</t>
  </si>
  <si>
    <t>Inicio GPS anterior al horario: 01:25:33 antes de las 18:00.; Fin GPS posterior: 00:15:46 después de las 00:00.; 1 permanencia(s) GPS detectada(s); requiere contexto.</t>
  </si>
  <si>
    <t>6.225469, -75.599356</t>
  </si>
  <si>
    <t>6.272618, -75.601983</t>
  </si>
  <si>
    <t>71f709fdb7ad25ec</t>
  </si>
  <si>
    <t>26_10_2026_IQ_Noct.gpx</t>
  </si>
  <si>
    <t>71f709fdb7ad25ec7a087bb68f523dfed90cc6fe2f1c3913dd8cca33a903dbf8</t>
  </si>
  <si>
    <t>26/10/2026 16:11:37</t>
  </si>
  <si>
    <t>26/10/2026 23:57:07</t>
  </si>
  <si>
    <t>Inicio GPS anterior al horario: 01:48:23 antes de las 18:00.; Fin GPS dentro de la tolerancia del horario programado.; 3 hueco(s) GPS &gt;= 10 min.</t>
  </si>
  <si>
    <t>6.225762, -75.599110</t>
  </si>
  <si>
    <t>6.225012, -75.599493</t>
  </si>
  <si>
    <t>b80e84b4e668586e</t>
  </si>
  <si>
    <t>26_10_2026_JA_Noct.gpx</t>
  </si>
  <si>
    <t>b80e84b4e668586ec862efa9e9c7fb4d8f0a0d6732d56d15238a4f3a0a71936a</t>
  </si>
  <si>
    <t>26/10/2026 17:00:09</t>
  </si>
  <si>
    <t>26/10/2026 22:31:57</t>
  </si>
  <si>
    <t>Inicio GPS anterior al horario: 00:59:51 antes de las 18:00.; Fin GPS anticipado: 01:28:03 antes de las 00:00.; 1 hueco(s) GPS &gt;= 10 min.</t>
  </si>
  <si>
    <t>6.225378, -75.599435</t>
  </si>
  <si>
    <t>6.236978, -75.558823</t>
  </si>
  <si>
    <t>2c6a2dcea75ea8be</t>
  </si>
  <si>
    <t>26_10_2026_JO_Noct.gpx</t>
  </si>
  <si>
    <t>2c6a2dcea75ea8be1a4a155b55531d2529e3c3ae2c9e1467ea2b159fda9a148a</t>
  </si>
  <si>
    <t>26/10/2026 18:09:27</t>
  </si>
  <si>
    <t>26/10/2026 23:52:19</t>
  </si>
  <si>
    <t>6.190445, -75.577249</t>
  </si>
  <si>
    <t>6.255642, -75.620604</t>
  </si>
  <si>
    <t>e28e4030f79b6545</t>
  </si>
  <si>
    <t>26_10_2026_LA_Noct.gpx</t>
  </si>
  <si>
    <t>e28e4030f79b6545948e9445744b9519633964fe59234953505229bf072683ff</t>
  </si>
  <si>
    <t>26/10/2026 16:29:39</t>
  </si>
  <si>
    <t>27/10/2026 00:12:47</t>
  </si>
  <si>
    <t>Inicio GPS anterior al horario: 01:30:20 antes de las 18:00.; Fin GPS dentro de la tolerancia del horario programado.; 3 hueco(s) GPS &gt;= 10 min.</t>
  </si>
  <si>
    <t>6.226630, -75.599257</t>
  </si>
  <si>
    <t>6.257492, -75.583868</t>
  </si>
  <si>
    <t>07712bb524c11411</t>
  </si>
  <si>
    <t>26_10_2026_SJ_Noct.gpx</t>
  </si>
  <si>
    <t>07712bb524c114114ccbd139d9d66469a9e89d32030003483cf11212a3bc95f3</t>
  </si>
  <si>
    <t>26/10/2026 19:03:32</t>
  </si>
  <si>
    <t>26/10/2026 23:44:37</t>
  </si>
  <si>
    <t>Inicio GPS tardío: 01:03:32 después de las 18:00.; Fin GPS anticipado: 00:15:23 antes de las 00:00.</t>
  </si>
  <si>
    <t>6.222795, -75.598665</t>
  </si>
  <si>
    <t>6.307909, -75.582012</t>
  </si>
  <si>
    <t>960c983801b41876</t>
  </si>
  <si>
    <t>27_10_2026_HC_Diur.gpx</t>
  </si>
  <si>
    <t>960c983801b4187669f68471515db034a2a7989ec2ca7e217fb44ebeb22d948a</t>
  </si>
  <si>
    <t>27/10/2026</t>
  </si>
  <si>
    <t>27/10/2026 08:35:28</t>
  </si>
  <si>
    <t>27/10/2026 13:50:38</t>
  </si>
  <si>
    <t>Inicio GPS dentro de la tolerancia del horario programado.; Fin GPS anticipado: 02:39:22 antes de las 16:30.; 1 hueco(s) GPS &gt;= 10 min.</t>
  </si>
  <si>
    <t>6.234606, -75.608090</t>
  </si>
  <si>
    <t>6.287460, -75.567243</t>
  </si>
  <si>
    <t>f5d2c6f520cb0d99</t>
  </si>
  <si>
    <t>27_10_2026_JHP_Diur.gpx</t>
  </si>
  <si>
    <t>f5d2c6f520cb0d99bdfc2199f35f28cf951dbfe2b39e40be5696e12821d0c606</t>
  </si>
  <si>
    <t>27/10/2026 11:57:50</t>
  </si>
  <si>
    <t>27/10/2026 16:37:58</t>
  </si>
  <si>
    <t>Inicio GPS tardío: 03:27:50 después de las 08:30.; Fin GPS dentro de la tolerancia del horario programado.</t>
  </si>
  <si>
    <t>6.193223, -75.581580</t>
  </si>
  <si>
    <t>6.290434, -75.546555</t>
  </si>
  <si>
    <t>68f0515165e22b88</t>
  </si>
  <si>
    <t>27_10_2026_JP_Diur.gpx</t>
  </si>
  <si>
    <t>68f0515165e22b88cbd1b9a9a50868c2271aeea1c016d5717b4c059930bcf379</t>
  </si>
  <si>
    <t>27/10/2026 08:08:24</t>
  </si>
  <si>
    <t>27/10/2026 14:40:55</t>
  </si>
  <si>
    <t>Inicio GPS anterior al horario: 00:21:36 antes de las 08:30.; Fin GPS anticipado: 01:49:05 antes de las 16:30.; 1 hueco(s) GPS &gt;= 10 min.</t>
  </si>
  <si>
    <t>6.225675, -75.599543</t>
  </si>
  <si>
    <t>6.251865, -75.551808</t>
  </si>
  <si>
    <t>85be2cedfc6ac704</t>
  </si>
  <si>
    <t>27_10_2026_JZ_Diur.gpx</t>
  </si>
  <si>
    <t>85be2cedfc6ac704d8f91270a148dce0d5af0e3982385d1df8413e4b44d82dee</t>
  </si>
  <si>
    <t>27/10/2026 08:27:37</t>
  </si>
  <si>
    <t>27/10/2026 14:53:07</t>
  </si>
  <si>
    <t>Inicio GPS dentro de la tolerancia del horario programado.; Fin GPS anticipado: 01:36:53 antes de las 16:30.</t>
  </si>
  <si>
    <t>6.226675, -75.599328</t>
  </si>
  <si>
    <t>6.225583, -75.599237</t>
  </si>
  <si>
    <t>d7465035e70b436c</t>
  </si>
  <si>
    <t>27_10_2026_YL_Diur.gpx</t>
  </si>
  <si>
    <t>d7465035e70b436ca5d7042f5c7ad9e033c40cf3b30f05249c1b0cc07211a374</t>
  </si>
  <si>
    <t>27/10/2026 08:00:09</t>
  </si>
  <si>
    <t>27/10/2026 15:51:12</t>
  </si>
  <si>
    <t>Inicio GPS anterior al horario: 00:29:51 antes de las 08:30.; Fin GPS anticipado: 00:38:48 antes de las 16:30.; 2 hueco(s) GPS &gt;= 10 min.</t>
  </si>
  <si>
    <t>6.225617, -75.599390</t>
  </si>
  <si>
    <t>6.258366, -75.615860</t>
  </si>
  <si>
    <t>7ff1c3ac1fab6fcf</t>
  </si>
  <si>
    <t>27_10_2026_AR_Diur.gpx</t>
  </si>
  <si>
    <t>7ff1c3ac1fab6fcf2ba98325ff8d5c21e51028faa41c72caa1cbf1b588d847d2</t>
  </si>
  <si>
    <t>27/10/2026 08:00:59</t>
  </si>
  <si>
    <t>27/10/2026 16:35:10</t>
  </si>
  <si>
    <t>Inicio GPS anterior al horario: 00:29:01 antes de las 08:30.; Fin GPS dentro de la tolerancia del horario programado.; 2 hueco(s) GPS &gt;= 10 min.; 1 permanencia(s) GPS detectada(s); requiere contexto.</t>
  </si>
  <si>
    <t>6.225726, -75.599492</t>
  </si>
  <si>
    <t>6.225671, -75.599393</t>
  </si>
  <si>
    <t>El tecnico inició tarde el recoirrido debido a permiso personal</t>
  </si>
  <si>
    <t>685d42a06edd2052</t>
  </si>
  <si>
    <t>27_10_2026_AO_Diur.gpx</t>
  </si>
  <si>
    <t>685d42a06edd20526c49520e3b35f4ce00e8db78ad5ed9aaef6c8cab71f349e9</t>
  </si>
  <si>
    <t>27/10/2026 08:30:51</t>
  </si>
  <si>
    <t>27/10/2026 16:32:44</t>
  </si>
  <si>
    <t>6.203308, -75.600775</t>
  </si>
  <si>
    <t>6.225633, -75.599179</t>
  </si>
  <si>
    <t>f1803cdbd830f701</t>
  </si>
  <si>
    <t>27_10_2026_DR_Noct.gpx</t>
  </si>
  <si>
    <t>f1803cdbd830f701419da8f8772ce5adec4b2ab46f025c658f959dc3d8961206</t>
  </si>
  <si>
    <t>27/10/2026 18:03:34</t>
  </si>
  <si>
    <t>27/10/2026 23:52:25</t>
  </si>
  <si>
    <t>6.213925, -75.596495</t>
  </si>
  <si>
    <t>6.225397, -75.599835</t>
  </si>
  <si>
    <t>199cbdff734b1f1e</t>
  </si>
  <si>
    <t>27_10_2026_DV_Noct.gpx</t>
  </si>
  <si>
    <t>199cbdff734b1f1ead9b7d7dab319b7df25ed3e4107cd965842a96db55a1c4b8</t>
  </si>
  <si>
    <t>27/10/2026 16:51:06</t>
  </si>
  <si>
    <t>28/10/2026 00:13:49</t>
  </si>
  <si>
    <t>Inicio GPS anterior al horario: 01:08:54 antes de las 18:00.; Fin GPS dentro de la tolerancia del horario programado.; 1 hueco(s) GPS &gt;= 10 min.; 1 permanencia(s) GPS detectada(s); requiere contexto.</t>
  </si>
  <si>
    <t>6.226707, -75.599355</t>
  </si>
  <si>
    <t>6.272748, -75.601924</t>
  </si>
  <si>
    <t>b35dbdd214d4c899</t>
  </si>
  <si>
    <t>27_10_2026_IQ_Noct.gpx</t>
  </si>
  <si>
    <t>b35dbdd214d4c89990e840d3f2f8820d57797238e4db81a8c6f9c3bd01f9ec2e</t>
  </si>
  <si>
    <t>27/10/2026 16:35:09</t>
  </si>
  <si>
    <t>27/10/2026 22:52:51</t>
  </si>
  <si>
    <t>Inicio GPS anterior al horario: 01:24:51 antes de las 18:00.; Fin GPS anticipado: 01:07:09 antes de las 00:00.; 3 hueco(s) GPS &gt;= 10 min.</t>
  </si>
  <si>
    <t>6.225607, -75.599149</t>
  </si>
  <si>
    <t>6.261658, -75.556609</t>
  </si>
  <si>
    <t>b7e12e291f93934b</t>
  </si>
  <si>
    <t>27_10_2026_JA_Noct.gpx</t>
  </si>
  <si>
    <t>b7e12e291f93934b95d1ac9ef213350a0f2f802c9712e36bc9d3fccecbe24dbe</t>
  </si>
  <si>
    <t>27/10/2026 16:35:39</t>
  </si>
  <si>
    <t>27/10/2026 22:23:04</t>
  </si>
  <si>
    <t>Inicio GPS anterior al horario: 01:24:21 antes de las 18:00.; Fin GPS anticipado: 01:36:56 antes de las 00:00.</t>
  </si>
  <si>
    <t>6.225533, -75.599144</t>
  </si>
  <si>
    <t>6.236972, -75.558849</t>
  </si>
  <si>
    <t>734eddeafebed5f1</t>
  </si>
  <si>
    <t>27_10_2026_JO_Noct.gpx</t>
  </si>
  <si>
    <t>734eddeafebed5f15ecd564b8bd1d5b1de718c014d2d41382b420ea60d47c75b</t>
  </si>
  <si>
    <t>27/10/2026 16:52:11</t>
  </si>
  <si>
    <t>27/10/2026 23:53:05</t>
  </si>
  <si>
    <t>Inicio GPS anterior al horario: 01:07:49 antes de las 18:00.; Fin GPS dentro de la tolerancia del horario programado.; 9 hueco(s) GPS &gt;= 10 min.</t>
  </si>
  <si>
    <t>6.225617, -75.599436</t>
  </si>
  <si>
    <t>6.255419, -75.620419</t>
  </si>
  <si>
    <t>f56c8f8e8cecac74</t>
  </si>
  <si>
    <t>27_10_2026_LA_Noct.gpx</t>
  </si>
  <si>
    <t>f56c8f8e8cecac74b4c86d4dde30ce12118022429108f5e2e9417d882caaa114</t>
  </si>
  <si>
    <t>27/10/2026 16:35:46</t>
  </si>
  <si>
    <t>28/10/2026 00:00:01</t>
  </si>
  <si>
    <t>Inicio GPS anterior al horario: 01:24:13 antes de las 18:00.; Fin GPS dentro de la tolerancia del horario programado.; 4 hueco(s) GPS &gt;= 10 min.</t>
  </si>
  <si>
    <t>6.225507, -75.599450</t>
  </si>
  <si>
    <t>6.219703, -75.576880</t>
  </si>
  <si>
    <t>1a7a082032989bfe</t>
  </si>
  <si>
    <t>27_10_2026_SJ_Noct.gpx</t>
  </si>
  <si>
    <t>1a7a082032989bfed0d9cc46ef2318cb00317dc0a3158f018c36f820c13ef741</t>
  </si>
  <si>
    <t>27/10/2026 16:45:25</t>
  </si>
  <si>
    <t>27/10/2026 23:54:05</t>
  </si>
  <si>
    <t>Inicio GPS anterior al horario: 01:14:35 antes de las 18:00.; Fin GPS dentro de la tolerancia del horario programado.; 1 hueco(s) GPS &gt;= 10 min.</t>
  </si>
  <si>
    <t>6.225578, -75.599444</t>
  </si>
  <si>
    <t>6.307864, -75.582019</t>
  </si>
  <si>
    <t>2850c6fdf6bba535</t>
  </si>
  <si>
    <t>28_10_2026_AR_Diur.gpx</t>
  </si>
  <si>
    <t>2850c6fdf6bba535896c5114ed985a309c42987c39cb1d77b92a2b7e07b4546a</t>
  </si>
  <si>
    <t>28/10/2026</t>
  </si>
  <si>
    <t>28/10/2026 08:00:02</t>
  </si>
  <si>
    <t>28/10/2026 16:31:41</t>
  </si>
  <si>
    <t>Inicio GPS anterior al horario: 00:29:58 antes de las 08:30.; Fin GPS dentro de la tolerancia del horario programado.; 2 hueco(s) GPS &gt;= 10 min.</t>
  </si>
  <si>
    <t>6.225697, -75.599361</t>
  </si>
  <si>
    <t>6.247796, -75.615072</t>
  </si>
  <si>
    <t>c39bdcf7f5850e37</t>
  </si>
  <si>
    <t>28_10_2026_HC_Diur.gpx</t>
  </si>
  <si>
    <t>c39bdcf7f5850e37ba9599749dd43aef7e36b0f87c8d69a197f2ecd4d9907e38</t>
  </si>
  <si>
    <t>28/10/2026 08:43:36</t>
  </si>
  <si>
    <t>28/10/2026 13:41:26</t>
  </si>
  <si>
    <t>Inicio GPS dentro de la tolerancia del horario programado.; Fin GPS anticipado: 02:48:34 antes de las 16:30.; 4 hueco(s) GPS &gt;= 10 min.</t>
  </si>
  <si>
    <t>6.225741, -75.599436</t>
  </si>
  <si>
    <t>6.249524, -75.553973</t>
  </si>
  <si>
    <t>a44dfa3044a643fe</t>
  </si>
  <si>
    <t>28_10_2026_JHP_Diur.gpx</t>
  </si>
  <si>
    <t>a44dfa3044a643feb3a5f932b8bc764de1c4f97ad1e3bd4c45b519f0499e22d7</t>
  </si>
  <si>
    <t>28/10/2026 07:28:59</t>
  </si>
  <si>
    <t>28/10/2026 16:07:45</t>
  </si>
  <si>
    <t>Inicio GPS anterior al horario: 01:01:01 antes de las 08:30.; Fin GPS anticipado: 00:22:15 antes de las 16:30.; 1 permanencia(s) GPS detectada(s); requiere contexto.</t>
  </si>
  <si>
    <t>6.290507, -75.546367</t>
  </si>
  <si>
    <t>6.272848, -75.574401</t>
  </si>
  <si>
    <t>28/10/2026 09:13:45</t>
  </si>
  <si>
    <t>28/10/2026 16:32:01</t>
  </si>
  <si>
    <t>Inicio GPS tardío: 00:43:45 después de las 08:30.; Fin GPS dentro de la tolerancia del horario programado.; 1 permanencia(s) GPS detectada(s); requiere contexto.</t>
  </si>
  <si>
    <t>6.203286, -75.600715</t>
  </si>
  <si>
    <t>6.221727, -75.593839</t>
  </si>
  <si>
    <t>bc7ec9e629e3270e</t>
  </si>
  <si>
    <t>28_10_2026_JP_Diur.gpx</t>
  </si>
  <si>
    <t>bc7ec9e629e3270e80667713ff344b0ee76eaa4fe1114221ad67436efaa3051c</t>
  </si>
  <si>
    <t>28/10/2026 08:22:51</t>
  </si>
  <si>
    <t>28/10/2026 16:05:32</t>
  </si>
  <si>
    <t>Inicio GPS dentro de la tolerancia del horario programado.; Fin GPS anticipado: 00:24:28 antes de las 16:30.</t>
  </si>
  <si>
    <t>6.225672, -75.599392</t>
  </si>
  <si>
    <t>6.251723, -75.551835</t>
  </si>
  <si>
    <t>55c7071f17f2cf0d</t>
  </si>
  <si>
    <t>28_10_2026_JZ_Diur.gpx</t>
  </si>
  <si>
    <t>55c7071f17f2cf0d35fa893d74377c88f3bdbba481fe6d58ccce21473b478118</t>
  </si>
  <si>
    <t>28/10/2026 08:41:30</t>
  </si>
  <si>
    <t>28/10/2026 16:10:36</t>
  </si>
  <si>
    <t>Inicio GPS dentro de la tolerancia del horario programado.; Fin GPS anticipado: 00:19:24 antes de las 16:30.; 1 hueco(s) GPS &gt;= 10 min.</t>
  </si>
  <si>
    <t>6.225652, -75.599468</t>
  </si>
  <si>
    <t>6.246913, -75.569756</t>
  </si>
  <si>
    <t>fc045f16e7a8e091</t>
  </si>
  <si>
    <t>28_10_2026_AO_Diur.gpx</t>
  </si>
  <si>
    <t>fc045f16e7a8e091965be9351639c3ffb13b892d4be7878a6410e284c8dea50c</t>
  </si>
  <si>
    <t>b6a218948f83a8b0</t>
  </si>
  <si>
    <t>28_10_2026_DR_Noct.gpx</t>
  </si>
  <si>
    <t>b6a218948f83a8b0dbeef5e23289f217aef8d65f91aa6d3bafd4d5beb4612cb6</t>
  </si>
  <si>
    <t>28/10/2026 18:01:21</t>
  </si>
  <si>
    <t>28/10/2026 22:39:00</t>
  </si>
  <si>
    <t>Inicio GPS dentro de la tolerancia del horario programado.; Fin GPS anticipado: 01:21:00 antes de las 00:00.</t>
  </si>
  <si>
    <t>6.254261, -75.610567</t>
  </si>
  <si>
    <t>6.278653, -75.630520</t>
  </si>
  <si>
    <t>c9a3de6f7c7c25ec</t>
  </si>
  <si>
    <t>28_10_2026_DV_Noct.gpx</t>
  </si>
  <si>
    <t>c9a3de6f7c7c25ec0b68c3e0e525b507972c0589625c71a6315d68155ebf8204</t>
  </si>
  <si>
    <t>28/10/2026 16:51:04</t>
  </si>
  <si>
    <t>29/10/2026 00:27:35</t>
  </si>
  <si>
    <t>Inicio GPS anterior al horario: 01:08:56 antes de las 18:00.; Fin GPS posterior: 00:27:35 después de las 00:00.; 1 permanencia(s) GPS detectada(s); requiere contexto.</t>
  </si>
  <si>
    <t>6.226731, -75.599261</t>
  </si>
  <si>
    <t>6.272507, -75.602221</t>
  </si>
  <si>
    <t>8250da0acdcfe466</t>
  </si>
  <si>
    <t>28_10_2026_IQ_Noct.gpx</t>
  </si>
  <si>
    <t>8250da0acdcfe466a5b88aeaa3e43b342746f7576c10f076150976cefc9a1733</t>
  </si>
  <si>
    <t>28/10/2026 15:55:01</t>
  </si>
  <si>
    <t>28/10/2026 23:49:21</t>
  </si>
  <si>
    <t>Inicio GPS anterior al horario: 02:04:59 antes de las 18:00.; Fin GPS dentro de la tolerancia del horario programado.; 2 hueco(s) GPS &gt;= 10 min.</t>
  </si>
  <si>
    <t>6.225683, -75.599109</t>
  </si>
  <si>
    <t>6.275907, -75.603697</t>
  </si>
  <si>
    <t>6141322e40790b7a</t>
  </si>
  <si>
    <t>28_10_2026_JA_Noct.gpx</t>
  </si>
  <si>
    <t>6141322e40790b7ab0404acc34261015298418f97506e8ea46e00443fa010529</t>
  </si>
  <si>
    <t>28/10/2026 16:41:10</t>
  </si>
  <si>
    <t>28/10/2026 22:55:52</t>
  </si>
  <si>
    <t>Inicio GPS anterior al horario: 01:18:50 antes de las 18:00.; Fin GPS anticipado: 01:04:08 antes de las 00:00.; 2 hueco(s) GPS &gt;= 10 min.</t>
  </si>
  <si>
    <t>6.225602, -75.599430</t>
  </si>
  <si>
    <t>6.237029, -75.558806</t>
  </si>
  <si>
    <t>22980d55f251f82d</t>
  </si>
  <si>
    <t>28_10_2026_JO_Noct.gpx</t>
  </si>
  <si>
    <t>22980d55f251f82d930203a06722b7eaa561ef44879fbcfaaab7f5ed02a75e00</t>
  </si>
  <si>
    <t>28/10/2026 17:56:25</t>
  </si>
  <si>
    <t>28/10/2026 23:51:15</t>
  </si>
  <si>
    <t>6.212496, -75.594096</t>
  </si>
  <si>
    <t>6.259224, -75.620929</t>
  </si>
  <si>
    <t>81cbdb47ad32e67f</t>
  </si>
  <si>
    <t>28_10_2026_SJ_Noct.gpx</t>
  </si>
  <si>
    <t>81cbdb47ad32e67f78806646aff892abf832d1b8cd7de8b64477e2c928b7267a</t>
  </si>
  <si>
    <t>28/10/2026 16:42:04</t>
  </si>
  <si>
    <t>28/10/2026 23:14:03</t>
  </si>
  <si>
    <t>Inicio GPS anterior al horario: 01:17:56 antes de las 18:00.; Fin GPS anticipado: 00:45:57 antes de las 00:00.</t>
  </si>
  <si>
    <t>6.225711, -75.599411</t>
  </si>
  <si>
    <t>6.306951, -75.576644</t>
  </si>
  <si>
    <t>28/10/2026 16:43:56</t>
  </si>
  <si>
    <t>29/10/2026 00:00:49</t>
  </si>
  <si>
    <t>6.226282, -75.599327</t>
  </si>
  <si>
    <t>6.252513, -75.582630</t>
  </si>
  <si>
    <t>03e955013cbd955c</t>
  </si>
  <si>
    <t>28_10_2026_LA_Noct.gpx</t>
  </si>
  <si>
    <t>03e955013cbd955c9512390701edd6ae86f9273be8100a7e8789022a3a0040bc</t>
  </si>
  <si>
    <t>Inicio GPS anterior al horario: 01:16:03 antes de las 18:00.; Fin GPS dentro de la tolerancia del horario programado.; 2 hueco(s) GPS &gt;= 10 min.</t>
  </si>
  <si>
    <t>bdfb8bfda4098312</t>
  </si>
  <si>
    <t>29_10_2026_AR_Diur.gpx</t>
  </si>
  <si>
    <t>bdfb8bfda4098312eaa2de2a9d57d2b6480ef45ac05838357a89e7d7f7f8cae4</t>
  </si>
  <si>
    <t>29/10/2026</t>
  </si>
  <si>
    <t>29/10/2026 08:04:20</t>
  </si>
  <si>
    <t>29/10/2026 16:32:29</t>
  </si>
  <si>
    <t>Inicio GPS anterior al horario: 00:25:40 antes de las 08:30.; Fin GPS dentro de la tolerancia del horario programado.; 2 hueco(s) GPS &gt;= 10 min.</t>
  </si>
  <si>
    <t>6.225688, -75.599429</t>
  </si>
  <si>
    <t>6.247748, -75.615021</t>
  </si>
  <si>
    <t>fa21388a6d2e7b54</t>
  </si>
  <si>
    <t>29_10_2026_HC_Diur.gpx</t>
  </si>
  <si>
    <t>fa21388a6d2e7b543ddffafe54bba32fa0125667c2ce5988441149e807087e59</t>
  </si>
  <si>
    <t>29/10/2026 08:19:02</t>
  </si>
  <si>
    <t>29/10/2026 12:56:13</t>
  </si>
  <si>
    <t>Inicio GPS dentro de la tolerancia del horario programado.; Fin GPS anticipado: 03:33:47 antes de las 16:30.</t>
  </si>
  <si>
    <t>6.225648, -75.599158</t>
  </si>
  <si>
    <t>6.250537, -75.540068</t>
  </si>
  <si>
    <t>32f853cdf7bae42e</t>
  </si>
  <si>
    <t>29_10_2026_JHP_Diur.gpx</t>
  </si>
  <si>
    <t>32f853cdf7bae42e3e9a80a4ee7b738977bc6e014d5d75ca0fb9f85da7806202</t>
  </si>
  <si>
    <t>29/10/2026 07:38:43</t>
  </si>
  <si>
    <t>29/10/2026 16:20:11</t>
  </si>
  <si>
    <t>Inicio GPS anterior al horario: 00:51:17 antes de las 08:30.; Fin GPS dentro de la tolerancia del horario programado.</t>
  </si>
  <si>
    <t>6.290602, -75.546313</t>
  </si>
  <si>
    <t>6.290509, -75.546456</t>
  </si>
  <si>
    <t>080c18e34ad76e04</t>
  </si>
  <si>
    <t>29_10_2026_JP_Diur.gpx</t>
  </si>
  <si>
    <t>080c18e34ad76e047b905ef69ea1c010ddc5ffef48ccc0b00cc7543ea98f234a</t>
  </si>
  <si>
    <t>29/10/2026 08:40:03</t>
  </si>
  <si>
    <t>29/10/2026 14:50:53</t>
  </si>
  <si>
    <t>Inicio GPS dentro de la tolerancia del horario programado.; Fin GPS anticipado: 01:39:07 antes de las 16:30.; 1 hueco(s) GPS &gt;= 10 min.</t>
  </si>
  <si>
    <t>6.225582, -75.599328</t>
  </si>
  <si>
    <t>6.251718, -75.551830</t>
  </si>
  <si>
    <t>b138e3ce771dd972</t>
  </si>
  <si>
    <t>29_10_2026_JZ_Diur.gpx</t>
  </si>
  <si>
    <t>b138e3ce771dd972bc439a2001c9ebacfed44a8bf2b4dfe5dccae8e53495b984</t>
  </si>
  <si>
    <t>29/10/2026 11:35:09</t>
  </si>
  <si>
    <t>29/10/2026 16:00:22</t>
  </si>
  <si>
    <t>Inicio GPS tardío: 03:05:09 después de las 08:30.; Fin GPS anticipado: 00:29:38 antes de las 16:30.</t>
  </si>
  <si>
    <t>6.226385, -75.599298</t>
  </si>
  <si>
    <t>6.263317, -75.563404</t>
  </si>
  <si>
    <t>08c2d98d26975f0f</t>
  </si>
  <si>
    <t>29_10_2026_YL_Diur.gpx</t>
  </si>
  <si>
    <t>08c2d98d26975f0f353d02acb70897ada99b921ac4ea5dde3cc1e38411d37659</t>
  </si>
  <si>
    <t>29/10/2026 09:00:14</t>
  </si>
  <si>
    <t>29/10/2026 15:50:54</t>
  </si>
  <si>
    <t>Inicio GPS tardío: 00:30:14 después de las 08:30.; Fin GPS anticipado: 00:39:06 antes de las 16:30.</t>
  </si>
  <si>
    <t>6.225838, -75.598921</t>
  </si>
  <si>
    <t>6.258509, -75.616452</t>
  </si>
  <si>
    <t>9fa65031e9a1c42d</t>
  </si>
  <si>
    <t>29_10_2026_DR_Noct.gpx</t>
  </si>
  <si>
    <t>9fa65031e9a1c42d1e4e8413a2f569374008b878af25d962ab67ddf9ead3a9cb</t>
  </si>
  <si>
    <t>29/10/2026 18:21:02</t>
  </si>
  <si>
    <t>29/10/2026 20:19:25</t>
  </si>
  <si>
    <t>Inicio GPS tardío: 00:21:02 después de las 18:00.; Fin GPS anticipado: 03:40:35 antes de las 00:00.</t>
  </si>
  <si>
    <t>6.237535, -75.604570</t>
  </si>
  <si>
    <t>6.247976, -75.588992</t>
  </si>
  <si>
    <t>a611fed3def4a4e3</t>
  </si>
  <si>
    <t>29_10_2026_DV_Noct.gpx</t>
  </si>
  <si>
    <t>a611fed3def4a4e31b83ecb1eaa2922fd19089a70e837e27848537dc8c966b96</t>
  </si>
  <si>
    <t>29/10/2026 17:04:43</t>
  </si>
  <si>
    <t>30/10/2026 00:44:24</t>
  </si>
  <si>
    <t>Inicio GPS anterior al horario: 00:55:17 antes de las 18:00.; Fin GPS posterior: 00:44:24 después de las 00:00.; 1 permanencia(s) GPS detectada(s); requiere contexto.</t>
  </si>
  <si>
    <t>6.226797, -75.599387</t>
  </si>
  <si>
    <t>6.272768, -75.601981</t>
  </si>
  <si>
    <t>cbfb6c225fa6f194</t>
  </si>
  <si>
    <t>29_10_2026_IQ_Noct.gpx</t>
  </si>
  <si>
    <t>cbfb6c225fa6f194a82da8312f8d4547294512984313d6b08322af8762ce5707</t>
  </si>
  <si>
    <t>29/10/2026 16:26:31</t>
  </si>
  <si>
    <t>29/10/2026 23:42:35</t>
  </si>
  <si>
    <t>Inicio GPS anterior al horario: 01:33:29 antes de las 18:00.; Fin GPS anticipado: 00:17:25 antes de las 00:00.; 4 hueco(s) GPS &gt;= 10 min.</t>
  </si>
  <si>
    <t>6.225575, -75.599029</t>
  </si>
  <si>
    <t>6.269166, -75.544392</t>
  </si>
  <si>
    <t>174b1084746ae4fb</t>
  </si>
  <si>
    <t>29_10_2026_JA_Noct.gpx</t>
  </si>
  <si>
    <t>174b1084746ae4fb6fe8b933cff4e1b9a9566a66d579bcabc4e9cd4f5f8fe988</t>
  </si>
  <si>
    <t>29/10/2026 16:31:40</t>
  </si>
  <si>
    <t>29/10/2026 20:21:29</t>
  </si>
  <si>
    <t>Inicio GPS anterior al horario: 01:28:20 antes de las 18:00.; Fin GPS anticipado: 03:38:31 antes de las 00:00.</t>
  </si>
  <si>
    <t>6.225722, -75.599215</t>
  </si>
  <si>
    <t>6.237026, -75.558910</t>
  </si>
  <si>
    <t>2c0d8f1d3fb08073</t>
  </si>
  <si>
    <t>29_10_2026_LA_Noct.gpx</t>
  </si>
  <si>
    <t>2c0d8f1d3fb0807351a740137b868fb370053347cfc6acda57b3ed4693d5d00f</t>
  </si>
  <si>
    <t>29/10/2026 16:37:27</t>
  </si>
  <si>
    <t>30/10/2026 00:15:02</t>
  </si>
  <si>
    <t>Inicio GPS anterior al horario: 01:22:32 antes de las 18:00.; Fin GPS posterior: 00:15:03 después de las 00:00.; 1 hueco(s) GPS &gt;= 10 min.</t>
  </si>
  <si>
    <t>6.226293, -75.599213</t>
  </si>
  <si>
    <t>6.265527, -75.598108</t>
  </si>
  <si>
    <t>3e30ec76391a32c4</t>
  </si>
  <si>
    <t>29_10_2026_SJ_Noct.gpx</t>
  </si>
  <si>
    <t>3e30ec76391a32c46eb1fc990c52f2a759bd7714a54a94cc5802e4d078ca56d6</t>
  </si>
  <si>
    <t>29/10/2026 17:44:20</t>
  </si>
  <si>
    <t>29/10/2026 23:30:52</t>
  </si>
  <si>
    <t>Inicio GPS anterior al horario: 00:15:40 antes de las 18:00.; Fin GPS anticipado: 00:29:08 antes de las 00:00.; 1 permanencia(s) GPS detectada(s); requiere contexto.</t>
  </si>
  <si>
    <t>6.222743, -75.598595</t>
  </si>
  <si>
    <t>6.308227, -75.581604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</si>
</sst>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5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59" totalsRowShown="0" headerRowDxfId="72" dataDxfId="71">
  <autoFilter ref="A1:AF104855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83"/>
  <sheetViews>
    <sheetView tabSelected="1" zoomScale="80" zoomScaleNormal="80" workbookViewId="0">
      <pane ySplit="1" topLeftCell="A571" activePane="bottomLeft" state="frozen"/>
      <selection pane="bottomLeft" activeCell="A584" sqref="A584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81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ht="15" x14ac:dyDescent="0.25">
      <c r="A521" s="9" t="s">
        <v>4271</v>
      </c>
      <c r="B521" s="9" t="s">
        <v>4272</v>
      </c>
      <c r="C521" s="9" t="s">
        <v>4273</v>
      </c>
      <c r="D521" s="9" t="s">
        <v>4274</v>
      </c>
      <c r="E521" s="9" t="s">
        <v>2619</v>
      </c>
      <c r="F521" s="9" t="s">
        <v>406</v>
      </c>
      <c r="G521" s="9" t="s">
        <v>38</v>
      </c>
      <c r="H521" s="9" t="s">
        <v>39</v>
      </c>
      <c r="I521" s="9" t="s">
        <v>40</v>
      </c>
      <c r="J521" s="9">
        <v>4462</v>
      </c>
      <c r="K521" s="9" t="s">
        <v>4275</v>
      </c>
      <c r="L521" s="9" t="s">
        <v>42</v>
      </c>
      <c r="M521" s="10">
        <v>8.472222222222223E-3</v>
      </c>
      <c r="N521" s="9" t="s">
        <v>65</v>
      </c>
      <c r="O521" s="9" t="s">
        <v>4276</v>
      </c>
      <c r="P521" s="9" t="s">
        <v>413</v>
      </c>
      <c r="Q521" s="10">
        <v>1.496527777777778E-2</v>
      </c>
      <c r="R521" s="9" t="s">
        <v>56</v>
      </c>
      <c r="S521" s="10">
        <v>0.2890625</v>
      </c>
      <c r="T521" s="9">
        <v>61.488</v>
      </c>
      <c r="U521" s="9">
        <v>14.19</v>
      </c>
      <c r="V521" s="10">
        <v>0.1805208333333333</v>
      </c>
      <c r="W521" s="10">
        <v>9.2534722222222227E-2</v>
      </c>
      <c r="X521" s="10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 t="s">
        <v>67</v>
      </c>
      <c r="AF521" s="9" t="s">
        <v>4277</v>
      </c>
      <c r="AG521" s="9" t="s">
        <v>4278</v>
      </c>
      <c r="AH521" s="9">
        <v>6.2033050000000003</v>
      </c>
      <c r="AI521" s="9">
        <v>-75.600919000000005</v>
      </c>
      <c r="AJ521" s="9" t="s">
        <v>4279</v>
      </c>
      <c r="AK521" s="9">
        <v>6.2321039999999996</v>
      </c>
      <c r="AL521" s="9">
        <v>-75.596868999999998</v>
      </c>
      <c r="AM521" s="26">
        <f t="shared" si="9"/>
        <v>1.496527777777778E-2</v>
      </c>
    </row>
    <row r="522" spans="1:54" ht="15" x14ac:dyDescent="0.25">
      <c r="A522" s="9" t="s">
        <v>4280</v>
      </c>
      <c r="B522" s="9" t="s">
        <v>4281</v>
      </c>
      <c r="C522" s="9" t="s">
        <v>4282</v>
      </c>
      <c r="D522" s="9" t="s">
        <v>4274</v>
      </c>
      <c r="E522" s="9" t="s">
        <v>2619</v>
      </c>
      <c r="F522" s="9" t="s">
        <v>406</v>
      </c>
      <c r="G522" s="9" t="s">
        <v>52</v>
      </c>
      <c r="H522" s="9" t="s">
        <v>53</v>
      </c>
      <c r="I522" s="9" t="s">
        <v>40</v>
      </c>
      <c r="J522" s="9">
        <v>2529</v>
      </c>
      <c r="K522" s="9" t="s">
        <v>4283</v>
      </c>
      <c r="L522" s="9" t="s">
        <v>42</v>
      </c>
      <c r="M522" s="10">
        <v>6.4814814814814813E-4</v>
      </c>
      <c r="N522" s="9" t="s">
        <v>65</v>
      </c>
      <c r="O522" s="9" t="s">
        <v>4284</v>
      </c>
      <c r="P522" s="9" t="s">
        <v>413</v>
      </c>
      <c r="Q522" s="10">
        <v>0.11565972222222221</v>
      </c>
      <c r="R522" s="9" t="s">
        <v>56</v>
      </c>
      <c r="S522" s="10">
        <v>0.19619212962962959</v>
      </c>
      <c r="T522" s="9">
        <v>33.01</v>
      </c>
      <c r="U522" s="9">
        <v>9.09</v>
      </c>
      <c r="V522" s="10">
        <v>0.15137731481481481</v>
      </c>
      <c r="W522" s="10">
        <v>0.1050347222222222</v>
      </c>
      <c r="X522" s="10">
        <v>2.97337962962963E-2</v>
      </c>
      <c r="Y522" s="9">
        <v>1</v>
      </c>
      <c r="Z522" s="9">
        <v>1</v>
      </c>
      <c r="AA522" s="9">
        <v>1</v>
      </c>
      <c r="AB522" s="9">
        <v>1</v>
      </c>
      <c r="AC522" s="9">
        <v>0</v>
      </c>
      <c r="AD522" s="9">
        <v>1</v>
      </c>
      <c r="AE522" s="9" t="s">
        <v>67</v>
      </c>
      <c r="AF522" s="9" t="s">
        <v>4285</v>
      </c>
      <c r="AG522" s="9" t="s">
        <v>4286</v>
      </c>
      <c r="AH522" s="9">
        <v>6.2472599999999998</v>
      </c>
      <c r="AI522" s="9">
        <v>-75.614570000000001</v>
      </c>
      <c r="AJ522" s="9" t="s">
        <v>4287</v>
      </c>
      <c r="AK522" s="9">
        <v>6.1981789999999997</v>
      </c>
      <c r="AL522" s="9">
        <v>-75.593790999999996</v>
      </c>
      <c r="AM522" s="26">
        <f t="shared" si="9"/>
        <v>0.11565972222222221</v>
      </c>
    </row>
    <row r="523" spans="1:54" ht="15" x14ac:dyDescent="0.25">
      <c r="A523" s="9" t="s">
        <v>4288</v>
      </c>
      <c r="B523" s="9" t="s">
        <v>4289</v>
      </c>
      <c r="C523" s="9" t="s">
        <v>4290</v>
      </c>
      <c r="D523" s="9" t="s">
        <v>4274</v>
      </c>
      <c r="E523" s="9" t="s">
        <v>2619</v>
      </c>
      <c r="F523" s="9" t="s">
        <v>406</v>
      </c>
      <c r="G523" s="9" t="s">
        <v>62</v>
      </c>
      <c r="H523" s="9" t="s">
        <v>63</v>
      </c>
      <c r="I523" s="9" t="s">
        <v>40</v>
      </c>
      <c r="J523" s="9">
        <v>3624</v>
      </c>
      <c r="K523" s="9" t="s">
        <v>4291</v>
      </c>
      <c r="L523" s="9" t="s">
        <v>42</v>
      </c>
      <c r="M523" s="10">
        <v>8.6805555555555551E-4</v>
      </c>
      <c r="N523" s="9" t="s">
        <v>65</v>
      </c>
      <c r="O523" s="9" t="s">
        <v>4292</v>
      </c>
      <c r="P523" s="9" t="s">
        <v>413</v>
      </c>
      <c r="Q523" s="10">
        <v>0.15237268518518521</v>
      </c>
      <c r="R523" s="9" t="s">
        <v>56</v>
      </c>
      <c r="S523" s="10">
        <v>0.1609953703703704</v>
      </c>
      <c r="T523" s="9">
        <v>49.66</v>
      </c>
      <c r="U523" s="9">
        <v>17.190000000000001</v>
      </c>
      <c r="V523" s="10">
        <v>0.1203819444444444</v>
      </c>
      <c r="W523" s="10">
        <v>5.665509259259259E-2</v>
      </c>
      <c r="X523" s="10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 t="s">
        <v>67</v>
      </c>
      <c r="AF523" s="9" t="s">
        <v>4293</v>
      </c>
      <c r="AG523" s="9" t="s">
        <v>4294</v>
      </c>
      <c r="AH523" s="9">
        <v>6.2430919999999999</v>
      </c>
      <c r="AI523" s="9">
        <v>-75.562021999999999</v>
      </c>
      <c r="AJ523" s="9" t="s">
        <v>4295</v>
      </c>
      <c r="AK523" s="9">
        <v>6.2374159999999996</v>
      </c>
      <c r="AL523" s="9">
        <v>-75.514167</v>
      </c>
      <c r="AM523" s="26">
        <f t="shared" si="9"/>
        <v>0.15237268518518521</v>
      </c>
    </row>
    <row r="524" spans="1:54" ht="15" x14ac:dyDescent="0.25">
      <c r="A524" s="9" t="s">
        <v>4296</v>
      </c>
      <c r="B524" s="9" t="s">
        <v>4297</v>
      </c>
      <c r="C524" s="9" t="s">
        <v>4298</v>
      </c>
      <c r="D524" s="9" t="s">
        <v>4274</v>
      </c>
      <c r="E524" s="9" t="s">
        <v>2619</v>
      </c>
      <c r="F524" s="9" t="s">
        <v>406</v>
      </c>
      <c r="G524" s="9" t="s">
        <v>152</v>
      </c>
      <c r="H524" s="9" t="s">
        <v>153</v>
      </c>
      <c r="I524" s="9" t="s">
        <v>40</v>
      </c>
      <c r="J524" s="9">
        <v>2302</v>
      </c>
      <c r="K524" s="9" t="s">
        <v>4299</v>
      </c>
      <c r="L524" s="9" t="s">
        <v>42</v>
      </c>
      <c r="M524" s="10">
        <v>1.157407407407407E-2</v>
      </c>
      <c r="N524" s="9" t="s">
        <v>127</v>
      </c>
      <c r="O524" s="9" t="s">
        <v>4300</v>
      </c>
      <c r="P524" s="9" t="s">
        <v>413</v>
      </c>
      <c r="Q524" s="10">
        <v>5.980324074074074E-2</v>
      </c>
      <c r="R524" s="9" t="s">
        <v>56</v>
      </c>
      <c r="S524" s="10">
        <v>0.26427083333333329</v>
      </c>
      <c r="T524" s="9">
        <v>30.423999999999999</v>
      </c>
      <c r="U524" s="9">
        <v>6.67</v>
      </c>
      <c r="V524" s="10">
        <v>0.1900462962962963</v>
      </c>
      <c r="W524" s="10">
        <v>0.1363657407407407</v>
      </c>
      <c r="X524" s="10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 t="s">
        <v>139</v>
      </c>
      <c r="AF524" s="9" t="s">
        <v>4301</v>
      </c>
      <c r="AG524" s="9" t="s">
        <v>4302</v>
      </c>
      <c r="AH524" s="9">
        <v>6.2505129999999998</v>
      </c>
      <c r="AI524" s="9">
        <v>-75.551883000000004</v>
      </c>
      <c r="AJ524" s="9" t="s">
        <v>4303</v>
      </c>
      <c r="AK524" s="9">
        <v>6.2518399999999996</v>
      </c>
      <c r="AL524" s="9">
        <v>-75.551846999999995</v>
      </c>
      <c r="AM524" s="26">
        <f t="shared" si="9"/>
        <v>5.980324074074074E-2</v>
      </c>
    </row>
    <row r="525" spans="1:54" ht="15" x14ac:dyDescent="0.25">
      <c r="A525" s="9" t="s">
        <v>4304</v>
      </c>
      <c r="B525" s="9" t="s">
        <v>4305</v>
      </c>
      <c r="C525" s="9" t="s">
        <v>4306</v>
      </c>
      <c r="D525" s="9" t="s">
        <v>4274</v>
      </c>
      <c r="E525" s="9" t="s">
        <v>2619</v>
      </c>
      <c r="F525" s="9" t="s">
        <v>406</v>
      </c>
      <c r="G525" s="9" t="s">
        <v>89</v>
      </c>
      <c r="H525" s="9" t="s">
        <v>90</v>
      </c>
      <c r="I525" s="9" t="s">
        <v>40</v>
      </c>
      <c r="J525" s="9">
        <v>2462</v>
      </c>
      <c r="K525" s="9" t="s">
        <v>4307</v>
      </c>
      <c r="L525" s="9" t="s">
        <v>42</v>
      </c>
      <c r="M525" s="10">
        <v>1.446759259259259E-3</v>
      </c>
      <c r="N525" s="9" t="s">
        <v>65</v>
      </c>
      <c r="O525" s="9" t="s">
        <v>4308</v>
      </c>
      <c r="P525" s="9" t="s">
        <v>413</v>
      </c>
      <c r="Q525" s="10">
        <v>2.0636574074074071E-2</v>
      </c>
      <c r="R525" s="9" t="s">
        <v>56</v>
      </c>
      <c r="S525" s="10">
        <v>0.2933101851851852</v>
      </c>
      <c r="T525" s="9">
        <v>31.009</v>
      </c>
      <c r="U525" s="9">
        <v>5.55</v>
      </c>
      <c r="V525" s="10">
        <v>0.23291666666666669</v>
      </c>
      <c r="W525" s="10">
        <v>0.17158564814814811</v>
      </c>
      <c r="X525" s="10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2</v>
      </c>
      <c r="AE525" s="9" t="s">
        <v>67</v>
      </c>
      <c r="AF525" s="9" t="s">
        <v>4309</v>
      </c>
      <c r="AG525" s="9" t="s">
        <v>4310</v>
      </c>
      <c r="AH525" s="9">
        <v>6.2265170000000003</v>
      </c>
      <c r="AI525" s="9">
        <v>-75.599256999999994</v>
      </c>
      <c r="AJ525" s="9" t="s">
        <v>4311</v>
      </c>
      <c r="AK525" s="9">
        <v>6.2793900000000002</v>
      </c>
      <c r="AL525" s="9">
        <v>-75.571443000000002</v>
      </c>
      <c r="AM525" s="26">
        <f t="shared" si="9"/>
        <v>2.0636574074074071E-2</v>
      </c>
    </row>
    <row r="526" spans="1:54" ht="15" x14ac:dyDescent="0.25">
      <c r="A526" s="9" t="s">
        <v>4312</v>
      </c>
      <c r="B526" s="9" t="s">
        <v>4313</v>
      </c>
      <c r="C526" s="9" t="s">
        <v>4314</v>
      </c>
      <c r="D526" s="9" t="s">
        <v>4274</v>
      </c>
      <c r="E526" s="9" t="s">
        <v>2619</v>
      </c>
      <c r="F526" s="9" t="s">
        <v>406</v>
      </c>
      <c r="G526" s="9" t="s">
        <v>113</v>
      </c>
      <c r="H526" s="9" t="s">
        <v>114</v>
      </c>
      <c r="I526" s="9" t="s">
        <v>115</v>
      </c>
      <c r="J526" s="9">
        <v>1590</v>
      </c>
      <c r="K526" s="9" t="s">
        <v>4315</v>
      </c>
      <c r="L526" s="9" t="s">
        <v>117</v>
      </c>
      <c r="M526" s="10">
        <v>9.9652777777777778E-3</v>
      </c>
      <c r="N526" s="9" t="s">
        <v>65</v>
      </c>
      <c r="O526" s="9" t="s">
        <v>4316</v>
      </c>
      <c r="P526" s="9" t="s">
        <v>119</v>
      </c>
      <c r="Q526" s="10">
        <v>0.1102662037037037</v>
      </c>
      <c r="R526" s="9" t="s">
        <v>56</v>
      </c>
      <c r="S526" s="10">
        <v>0.12976851851851851</v>
      </c>
      <c r="T526" s="9">
        <v>22.916</v>
      </c>
      <c r="U526" s="9">
        <v>11.21</v>
      </c>
      <c r="V526" s="10">
        <v>8.5162037037037036E-2</v>
      </c>
      <c r="W526" s="10">
        <v>5.1944444444444453E-2</v>
      </c>
      <c r="X526" s="10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1</v>
      </c>
      <c r="AE526" s="9" t="s">
        <v>67</v>
      </c>
      <c r="AF526" s="9" t="s">
        <v>4317</v>
      </c>
      <c r="AG526" s="9" t="s">
        <v>4318</v>
      </c>
      <c r="AH526" s="9">
        <v>6.2007099999999999</v>
      </c>
      <c r="AI526" s="9">
        <v>-75.579486000000003</v>
      </c>
      <c r="AJ526" s="9" t="s">
        <v>4319</v>
      </c>
      <c r="AK526" s="9">
        <v>6.2636770000000004</v>
      </c>
      <c r="AL526" s="9">
        <v>-75.597064000000003</v>
      </c>
      <c r="AM526" s="26">
        <f t="shared" si="9"/>
        <v>0.1102662037037037</v>
      </c>
    </row>
    <row r="527" spans="1:54" ht="15" x14ac:dyDescent="0.25">
      <c r="A527" s="9" t="s">
        <v>4320</v>
      </c>
      <c r="B527" s="9" t="s">
        <v>4321</v>
      </c>
      <c r="C527" s="9" t="s">
        <v>4322</v>
      </c>
      <c r="D527" s="9" t="s">
        <v>4274</v>
      </c>
      <c r="E527" s="9" t="s">
        <v>2619</v>
      </c>
      <c r="F527" s="9" t="s">
        <v>406</v>
      </c>
      <c r="G527" s="9" t="s">
        <v>124</v>
      </c>
      <c r="H527" s="9" t="s">
        <v>125</v>
      </c>
      <c r="I527" s="9" t="s">
        <v>115</v>
      </c>
      <c r="J527" s="9">
        <v>3256</v>
      </c>
      <c r="K527" s="9" t="s">
        <v>4323</v>
      </c>
      <c r="L527" s="9" t="s">
        <v>117</v>
      </c>
      <c r="M527" s="10">
        <v>2.6354166666666672E-2</v>
      </c>
      <c r="N527" s="9" t="s">
        <v>43</v>
      </c>
      <c r="O527" s="9" t="s">
        <v>4324</v>
      </c>
      <c r="P527" s="9" t="s">
        <v>119</v>
      </c>
      <c r="Q527" s="10">
        <v>2.6243865740740739</v>
      </c>
      <c r="R527" s="9" t="s">
        <v>129</v>
      </c>
      <c r="S527" s="10">
        <v>2.8480324074074068</v>
      </c>
      <c r="T527" s="9">
        <v>41.905999999999999</v>
      </c>
      <c r="U527" s="9">
        <v>0.83</v>
      </c>
      <c r="V527" s="10">
        <v>2.100034722222222</v>
      </c>
      <c r="W527" s="10">
        <v>2.0296759259259258</v>
      </c>
      <c r="X527" s="10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1</v>
      </c>
      <c r="AE527" s="9" t="s">
        <v>130</v>
      </c>
      <c r="AF527" s="9" t="s">
        <v>4325</v>
      </c>
      <c r="AG527" s="9" t="s">
        <v>4326</v>
      </c>
      <c r="AH527" s="9">
        <v>6.250121</v>
      </c>
      <c r="AI527" s="9">
        <v>-75.556875000000005</v>
      </c>
      <c r="AJ527" s="9" t="s">
        <v>4327</v>
      </c>
      <c r="AK527" s="9">
        <v>6.2255880000000001</v>
      </c>
      <c r="AL527" s="9">
        <v>-75.598989000000003</v>
      </c>
      <c r="AM527" s="26">
        <f t="shared" si="9"/>
        <v>2.6354166666666672E-2</v>
      </c>
    </row>
    <row r="528" spans="1:54" ht="15" x14ac:dyDescent="0.25">
      <c r="A528" s="9" t="s">
        <v>4328</v>
      </c>
      <c r="B528" s="9" t="s">
        <v>4329</v>
      </c>
      <c r="C528" s="9" t="s">
        <v>4330</v>
      </c>
      <c r="D528" s="9" t="s">
        <v>4274</v>
      </c>
      <c r="E528" s="9" t="s">
        <v>2619</v>
      </c>
      <c r="F528" s="9" t="s">
        <v>406</v>
      </c>
      <c r="G528" s="9" t="s">
        <v>135</v>
      </c>
      <c r="H528" s="9" t="s">
        <v>136</v>
      </c>
      <c r="I528" s="9" t="s">
        <v>115</v>
      </c>
      <c r="J528" s="9">
        <v>2306</v>
      </c>
      <c r="K528" s="9" t="s">
        <v>4331</v>
      </c>
      <c r="L528" s="9" t="s">
        <v>117</v>
      </c>
      <c r="M528" s="10">
        <v>2.5775462962962958E-2</v>
      </c>
      <c r="N528" s="9" t="s">
        <v>43</v>
      </c>
      <c r="O528" s="9" t="s">
        <v>4332</v>
      </c>
      <c r="P528" s="9" t="s">
        <v>119</v>
      </c>
      <c r="Q528" s="10">
        <v>1.5810185185185181E-2</v>
      </c>
      <c r="R528" s="9" t="s">
        <v>56</v>
      </c>
      <c r="S528" s="10">
        <v>0.20841435185185189</v>
      </c>
      <c r="T528" s="9">
        <v>35.134</v>
      </c>
      <c r="U528" s="9">
        <v>17.670000000000002</v>
      </c>
      <c r="V528" s="10">
        <v>8.2824074074074078E-2</v>
      </c>
      <c r="W528" s="10">
        <v>4.1585648148148149E-2</v>
      </c>
      <c r="X528" s="10">
        <v>8.5879629629629622E-3</v>
      </c>
      <c r="Y528" s="9">
        <v>1</v>
      </c>
      <c r="Z528" s="9">
        <v>0</v>
      </c>
      <c r="AA528" s="9">
        <v>0</v>
      </c>
      <c r="AB528" s="9">
        <v>0</v>
      </c>
      <c r="AC528" s="9">
        <v>0</v>
      </c>
      <c r="AD528" s="9">
        <v>6</v>
      </c>
      <c r="AE528" s="9" t="s">
        <v>57</v>
      </c>
      <c r="AF528" s="9" t="s">
        <v>4333</v>
      </c>
      <c r="AG528" s="9" t="s">
        <v>4334</v>
      </c>
      <c r="AH528" s="9">
        <v>6.2725720000000003</v>
      </c>
      <c r="AI528" s="9">
        <v>-75.540537</v>
      </c>
      <c r="AJ528" s="9" t="s">
        <v>4335</v>
      </c>
      <c r="AK528" s="9">
        <v>6.2171329999999996</v>
      </c>
      <c r="AL528" s="9">
        <v>-75.595055000000002</v>
      </c>
      <c r="AM528" s="26">
        <f t="shared" si="9"/>
        <v>4.1585648148148135E-2</v>
      </c>
    </row>
    <row r="529" spans="1:40" ht="15" x14ac:dyDescent="0.25">
      <c r="A529" s="9" t="s">
        <v>4336</v>
      </c>
      <c r="B529" s="9" t="s">
        <v>4337</v>
      </c>
      <c r="C529" s="9" t="s">
        <v>4338</v>
      </c>
      <c r="D529" s="9" t="s">
        <v>4274</v>
      </c>
      <c r="E529" s="9" t="s">
        <v>2619</v>
      </c>
      <c r="F529" s="9" t="s">
        <v>406</v>
      </c>
      <c r="G529" s="9" t="s">
        <v>72</v>
      </c>
      <c r="H529" s="9" t="s">
        <v>73</v>
      </c>
      <c r="I529" s="9" t="s">
        <v>115</v>
      </c>
      <c r="J529" s="9">
        <v>3993</v>
      </c>
      <c r="K529" s="9" t="s">
        <v>4339</v>
      </c>
      <c r="L529" s="9" t="s">
        <v>117</v>
      </c>
      <c r="M529" s="10">
        <v>7.6145833333333329E-2</v>
      </c>
      <c r="N529" s="9" t="s">
        <v>43</v>
      </c>
      <c r="O529" s="9" t="s">
        <v>4340</v>
      </c>
      <c r="P529" s="9" t="s">
        <v>119</v>
      </c>
      <c r="Q529" s="10">
        <v>1.981481481481482E-2</v>
      </c>
      <c r="R529" s="9" t="s">
        <v>56</v>
      </c>
      <c r="S529" s="10">
        <v>0.15403935185185191</v>
      </c>
      <c r="T529" s="9">
        <v>55.517000000000003</v>
      </c>
      <c r="U529" s="9">
        <v>17.39</v>
      </c>
      <c r="V529" s="10">
        <v>0.1330324074074074</v>
      </c>
      <c r="W529" s="10">
        <v>5.3761574074074073E-2</v>
      </c>
      <c r="X529" s="10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 t="s">
        <v>57</v>
      </c>
      <c r="AF529" s="9" t="s">
        <v>4341</v>
      </c>
      <c r="AG529" s="9" t="s">
        <v>4342</v>
      </c>
      <c r="AH529" s="9">
        <v>6.2386489999999997</v>
      </c>
      <c r="AI529" s="9">
        <v>-75.573251999999997</v>
      </c>
      <c r="AJ529" s="9" t="s">
        <v>4343</v>
      </c>
      <c r="AK529" s="9">
        <v>6.2354180000000001</v>
      </c>
      <c r="AL529" s="9">
        <v>-75.554732999999999</v>
      </c>
      <c r="AM529" s="26">
        <f t="shared" si="9"/>
        <v>9.5960648148148142E-2</v>
      </c>
    </row>
    <row r="530" spans="1:40" ht="15" x14ac:dyDescent="0.25">
      <c r="A530" s="9" t="s">
        <v>4344</v>
      </c>
      <c r="B530" s="9" t="s">
        <v>4345</v>
      </c>
      <c r="C530" s="9" t="s">
        <v>4346</v>
      </c>
      <c r="D530" s="9" t="s">
        <v>4274</v>
      </c>
      <c r="E530" s="9" t="s">
        <v>2619</v>
      </c>
      <c r="F530" s="9" t="s">
        <v>406</v>
      </c>
      <c r="G530" s="9" t="s">
        <v>80</v>
      </c>
      <c r="H530" s="9" t="s">
        <v>81</v>
      </c>
      <c r="I530" s="9" t="s">
        <v>115</v>
      </c>
      <c r="J530" s="9">
        <v>11948</v>
      </c>
      <c r="K530" s="9" t="s">
        <v>4347</v>
      </c>
      <c r="L530" s="9" t="s">
        <v>117</v>
      </c>
      <c r="M530" s="10">
        <v>1.724733796296296E-3</v>
      </c>
      <c r="N530" s="9" t="s">
        <v>65</v>
      </c>
      <c r="O530" s="9" t="s">
        <v>4348</v>
      </c>
      <c r="P530" s="9" t="s">
        <v>119</v>
      </c>
      <c r="Q530" s="10">
        <v>1.2208333333333331E-3</v>
      </c>
      <c r="R530" s="9" t="s">
        <v>46</v>
      </c>
      <c r="S530" s="10">
        <v>0.24705443287037041</v>
      </c>
      <c r="T530" s="9">
        <v>93.061999999999998</v>
      </c>
      <c r="U530" s="9">
        <v>31.19</v>
      </c>
      <c r="V530" s="10">
        <v>0.1243100578703704</v>
      </c>
      <c r="W530" s="10">
        <v>1.4461805555555559E-2</v>
      </c>
      <c r="X530" s="10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3</v>
      </c>
      <c r="AE530" s="9" t="s">
        <v>84</v>
      </c>
      <c r="AF530" s="9" t="s">
        <v>292</v>
      </c>
      <c r="AG530" s="9" t="s">
        <v>4349</v>
      </c>
      <c r="AH530" s="9">
        <v>6.2557660000000004</v>
      </c>
      <c r="AI530" s="9">
        <v>-75.619710999999995</v>
      </c>
      <c r="AJ530" s="9" t="s">
        <v>4350</v>
      </c>
      <c r="AK530" s="9">
        <v>6.2469840000000003</v>
      </c>
      <c r="AL530" s="9">
        <v>-75.554086999999996</v>
      </c>
      <c r="AM530" s="26">
        <f t="shared" si="9"/>
        <v>0</v>
      </c>
    </row>
    <row r="531" spans="1:40" ht="15" x14ac:dyDescent="0.25">
      <c r="A531" s="9" t="s">
        <v>4351</v>
      </c>
      <c r="B531" s="9" t="s">
        <v>4352</v>
      </c>
      <c r="C531" s="9" t="s">
        <v>4353</v>
      </c>
      <c r="D531" s="9" t="s">
        <v>4274</v>
      </c>
      <c r="E531" s="9" t="s">
        <v>2619</v>
      </c>
      <c r="F531" s="9" t="s">
        <v>406</v>
      </c>
      <c r="G531" s="9" t="s">
        <v>97</v>
      </c>
      <c r="H531" s="9" t="s">
        <v>98</v>
      </c>
      <c r="I531" s="9" t="s">
        <v>115</v>
      </c>
      <c r="J531" s="9">
        <v>2218</v>
      </c>
      <c r="K531" s="9" t="s">
        <v>4354</v>
      </c>
      <c r="L531" s="9" t="s">
        <v>117</v>
      </c>
      <c r="M531" s="10">
        <v>2.299768518518518E-2</v>
      </c>
      <c r="N531" s="9" t="s">
        <v>127</v>
      </c>
      <c r="O531" s="9" t="s">
        <v>4355</v>
      </c>
      <c r="P531" s="9" t="s">
        <v>119</v>
      </c>
      <c r="Q531" s="10">
        <v>7.3726851851851849E-2</v>
      </c>
      <c r="R531" s="9" t="s">
        <v>56</v>
      </c>
      <c r="S531" s="10">
        <v>0.19927083333333331</v>
      </c>
      <c r="T531" s="9">
        <v>28.459</v>
      </c>
      <c r="U531" s="9">
        <v>8.06</v>
      </c>
      <c r="V531" s="10">
        <v>0.14703703703703699</v>
      </c>
      <c r="W531" s="10">
        <v>8.9282407407407408E-2</v>
      </c>
      <c r="X531" s="10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 t="s">
        <v>139</v>
      </c>
      <c r="AF531" s="9" t="s">
        <v>4356</v>
      </c>
      <c r="AG531" s="9" t="s">
        <v>4357</v>
      </c>
      <c r="AH531" s="9">
        <v>6.3092480000000002</v>
      </c>
      <c r="AI531" s="9">
        <v>-75.575903999999994</v>
      </c>
      <c r="AJ531" s="9" t="s">
        <v>4358</v>
      </c>
      <c r="AK531" s="9">
        <v>6.3090140000000003</v>
      </c>
      <c r="AL531" s="9">
        <v>-75.576318999999998</v>
      </c>
      <c r="AM531" s="26">
        <f t="shared" si="9"/>
        <v>7.3726851851851849E-2</v>
      </c>
    </row>
    <row r="532" spans="1:40" ht="15" x14ac:dyDescent="0.25">
      <c r="A532" s="9" t="s">
        <v>4359</v>
      </c>
      <c r="B532" s="9" t="s">
        <v>4360</v>
      </c>
      <c r="C532" s="9" t="s">
        <v>4361</v>
      </c>
      <c r="D532" s="9" t="s">
        <v>4362</v>
      </c>
      <c r="E532" s="9" t="s">
        <v>2619</v>
      </c>
      <c r="F532" s="9" t="s">
        <v>508</v>
      </c>
      <c r="G532" s="9" t="s">
        <v>38</v>
      </c>
      <c r="H532" s="9" t="s">
        <v>39</v>
      </c>
      <c r="I532" s="9" t="s">
        <v>40</v>
      </c>
      <c r="J532" s="9">
        <v>1295</v>
      </c>
      <c r="K532" s="9" t="s">
        <v>4363</v>
      </c>
      <c r="L532" s="9" t="s">
        <v>42</v>
      </c>
      <c r="M532" s="10">
        <v>1.65162037037037E-2</v>
      </c>
      <c r="N532" s="9" t="s">
        <v>43</v>
      </c>
      <c r="O532" s="9" t="s">
        <v>4364</v>
      </c>
      <c r="P532" s="9" t="s">
        <v>45</v>
      </c>
      <c r="Q532" s="10">
        <v>3.5763888888888889E-3</v>
      </c>
      <c r="R532" s="9" t="s">
        <v>46</v>
      </c>
      <c r="S532" s="10">
        <v>0.32039351851851849</v>
      </c>
      <c r="T532" s="9">
        <v>15.379</v>
      </c>
      <c r="U532" s="9">
        <v>5.72</v>
      </c>
      <c r="V532" s="10">
        <v>0.1120833333333333</v>
      </c>
      <c r="W532" s="10">
        <v>8.3564814814814814E-2</v>
      </c>
      <c r="X532" s="10">
        <v>0.10879629629629629</v>
      </c>
      <c r="Y532" s="9">
        <v>1</v>
      </c>
      <c r="Z532" s="9">
        <v>1</v>
      </c>
      <c r="AA532" s="9">
        <v>1</v>
      </c>
      <c r="AB532" s="9">
        <v>1</v>
      </c>
      <c r="AC532" s="9">
        <v>1</v>
      </c>
      <c r="AD532" s="9">
        <v>1</v>
      </c>
      <c r="AE532" s="9" t="s">
        <v>47</v>
      </c>
      <c r="AF532" s="9" t="s">
        <v>4365</v>
      </c>
      <c r="AG532" s="9" t="s">
        <v>4366</v>
      </c>
      <c r="AH532" s="9">
        <v>6.2034070000000003</v>
      </c>
      <c r="AI532" s="9">
        <v>-75.600691999999995</v>
      </c>
      <c r="AJ532" s="9" t="s">
        <v>4367</v>
      </c>
      <c r="AK532" s="9">
        <v>6.2215749999999996</v>
      </c>
      <c r="AL532" s="9">
        <v>-75.593852999999996</v>
      </c>
      <c r="AM532" s="26">
        <f t="shared" si="9"/>
        <v>1.65162037037037E-2</v>
      </c>
    </row>
    <row r="533" spans="1:40" ht="15" x14ac:dyDescent="0.25">
      <c r="A533" s="9" t="s">
        <v>4368</v>
      </c>
      <c r="B533" s="9" t="s">
        <v>4369</v>
      </c>
      <c r="C533" s="9" t="s">
        <v>4370</v>
      </c>
      <c r="D533" s="9" t="s">
        <v>4362</v>
      </c>
      <c r="E533" s="9" t="s">
        <v>2619</v>
      </c>
      <c r="F533" s="9" t="s">
        <v>508</v>
      </c>
      <c r="G533" s="9" t="s">
        <v>52</v>
      </c>
      <c r="H533" s="9" t="s">
        <v>53</v>
      </c>
      <c r="I533" s="9" t="s">
        <v>40</v>
      </c>
      <c r="J533" s="9">
        <v>3125</v>
      </c>
      <c r="K533" s="9" t="s">
        <v>4371</v>
      </c>
      <c r="L533" s="9" t="s">
        <v>42</v>
      </c>
      <c r="M533" s="10">
        <v>1.819444444444444E-2</v>
      </c>
      <c r="N533" s="9" t="s">
        <v>127</v>
      </c>
      <c r="O533" s="9" t="s">
        <v>4372</v>
      </c>
      <c r="P533" s="9" t="s">
        <v>45</v>
      </c>
      <c r="Q533" s="10">
        <v>1.701388888888889E-3</v>
      </c>
      <c r="R533" s="9" t="s">
        <v>46</v>
      </c>
      <c r="S533" s="10">
        <v>0.35322916666666659</v>
      </c>
      <c r="T533" s="9">
        <v>39.334000000000003</v>
      </c>
      <c r="U533" s="9">
        <v>8.41</v>
      </c>
      <c r="V533" s="10">
        <v>0.19497685185185179</v>
      </c>
      <c r="W533" s="10">
        <v>0.12534722222222219</v>
      </c>
      <c r="X533" s="10">
        <v>0</v>
      </c>
      <c r="Y533" s="9">
        <v>0</v>
      </c>
      <c r="Z533" s="9">
        <v>0</v>
      </c>
      <c r="AA533" s="9">
        <v>0</v>
      </c>
      <c r="AB533" s="9">
        <v>0</v>
      </c>
      <c r="AC533" s="9">
        <v>0</v>
      </c>
      <c r="AD533" s="9">
        <v>1</v>
      </c>
      <c r="AE533" s="9" t="s">
        <v>139</v>
      </c>
      <c r="AF533" s="9" t="s">
        <v>4373</v>
      </c>
      <c r="AG533" s="9" t="s">
        <v>4374</v>
      </c>
      <c r="AH533" s="9">
        <v>6.2256130000000001</v>
      </c>
      <c r="AI533" s="9">
        <v>-75.599299999999999</v>
      </c>
      <c r="AJ533" s="9" t="s">
        <v>4375</v>
      </c>
      <c r="AK533" s="9">
        <v>6.2477119999999999</v>
      </c>
      <c r="AL533" s="9">
        <v>-75.615081000000004</v>
      </c>
      <c r="AM533" s="26">
        <f t="shared" si="9"/>
        <v>0</v>
      </c>
    </row>
    <row r="534" spans="1:40" ht="15" x14ac:dyDescent="0.25">
      <c r="A534" s="9" t="s">
        <v>4376</v>
      </c>
      <c r="B534" s="9" t="s">
        <v>4377</v>
      </c>
      <c r="C534" s="9" t="s">
        <v>4378</v>
      </c>
      <c r="D534" s="9" t="s">
        <v>4362</v>
      </c>
      <c r="E534" s="9" t="s">
        <v>2619</v>
      </c>
      <c r="F534" s="9" t="s">
        <v>508</v>
      </c>
      <c r="G534" s="9" t="s">
        <v>62</v>
      </c>
      <c r="H534" s="9" t="s">
        <v>63</v>
      </c>
      <c r="I534" s="9" t="s">
        <v>40</v>
      </c>
      <c r="J534" s="9">
        <v>2689</v>
      </c>
      <c r="K534" s="9" t="s">
        <v>4379</v>
      </c>
      <c r="L534" s="9" t="s">
        <v>42</v>
      </c>
      <c r="M534" s="10">
        <v>8.472222222222223E-3</v>
      </c>
      <c r="N534" s="9" t="s">
        <v>65</v>
      </c>
      <c r="O534" s="9" t="s">
        <v>4380</v>
      </c>
      <c r="P534" s="9" t="s">
        <v>45</v>
      </c>
      <c r="Q534" s="10">
        <v>0.12221064814814819</v>
      </c>
      <c r="R534" s="9" t="s">
        <v>56</v>
      </c>
      <c r="S534" s="10">
        <v>0.21959490740740739</v>
      </c>
      <c r="T534" s="9">
        <v>36.213000000000001</v>
      </c>
      <c r="U534" s="9">
        <v>9.9</v>
      </c>
      <c r="V534" s="10">
        <v>0.15236111111111111</v>
      </c>
      <c r="W534" s="10">
        <v>9.1979166666666667E-2</v>
      </c>
      <c r="X534" s="10">
        <v>0</v>
      </c>
      <c r="Y534" s="9">
        <v>0</v>
      </c>
      <c r="Z534" s="9">
        <v>0</v>
      </c>
      <c r="AA534" s="9">
        <v>0</v>
      </c>
      <c r="AB534" s="9">
        <v>0</v>
      </c>
      <c r="AC534" s="9">
        <v>0</v>
      </c>
      <c r="AD534" s="9">
        <v>1</v>
      </c>
      <c r="AE534" s="9" t="s">
        <v>67</v>
      </c>
      <c r="AF534" s="9" t="s">
        <v>4381</v>
      </c>
      <c r="AG534" s="9" t="s">
        <v>4382</v>
      </c>
      <c r="AH534" s="9">
        <v>6.2257610000000003</v>
      </c>
      <c r="AI534" s="9">
        <v>-75.599428000000003</v>
      </c>
      <c r="AJ534" s="9" t="s">
        <v>4383</v>
      </c>
      <c r="AK534" s="9">
        <v>6.2905530000000001</v>
      </c>
      <c r="AL534" s="9">
        <v>-75.569749999999999</v>
      </c>
      <c r="AM534" s="26">
        <f t="shared" si="9"/>
        <v>0.12221064814814819</v>
      </c>
    </row>
    <row r="535" spans="1:40" ht="15" x14ac:dyDescent="0.25">
      <c r="A535" s="9" t="s">
        <v>4384</v>
      </c>
      <c r="B535" s="9" t="s">
        <v>4385</v>
      </c>
      <c r="C535" s="9" t="s">
        <v>4386</v>
      </c>
      <c r="D535" s="9" t="s">
        <v>4362</v>
      </c>
      <c r="E535" s="9" t="s">
        <v>2619</v>
      </c>
      <c r="F535" s="9" t="s">
        <v>508</v>
      </c>
      <c r="G535" s="9" t="s">
        <v>144</v>
      </c>
      <c r="H535" s="9" t="s">
        <v>145</v>
      </c>
      <c r="I535" s="9" t="s">
        <v>40</v>
      </c>
      <c r="J535" s="9">
        <v>4530</v>
      </c>
      <c r="K535" s="9" t="s">
        <v>4387</v>
      </c>
      <c r="L535" s="9" t="s">
        <v>42</v>
      </c>
      <c r="M535" s="10">
        <v>5.5555555555555558E-3</v>
      </c>
      <c r="N535" s="9" t="s">
        <v>65</v>
      </c>
      <c r="O535" s="9" t="s">
        <v>4388</v>
      </c>
      <c r="P535" s="9" t="s">
        <v>45</v>
      </c>
      <c r="Q535" s="10">
        <v>1.5844907407407412E-2</v>
      </c>
      <c r="R535" s="9" t="s">
        <v>56</v>
      </c>
      <c r="S535" s="10">
        <v>0.3230439814814815</v>
      </c>
      <c r="T535" s="9">
        <v>57.572000000000003</v>
      </c>
      <c r="U535" s="9">
        <v>10.16</v>
      </c>
      <c r="V535" s="10">
        <v>0.23621527777777779</v>
      </c>
      <c r="W535" s="10">
        <v>0.12913194444444451</v>
      </c>
      <c r="X535" s="10">
        <v>0</v>
      </c>
      <c r="Y535" s="9">
        <v>0</v>
      </c>
      <c r="Z535" s="9">
        <v>0</v>
      </c>
      <c r="AA535" s="9">
        <v>0</v>
      </c>
      <c r="AB535" s="9">
        <v>0</v>
      </c>
      <c r="AC535" s="9">
        <v>0</v>
      </c>
      <c r="AD535" s="9">
        <v>0</v>
      </c>
      <c r="AE535" s="9" t="s">
        <v>67</v>
      </c>
      <c r="AF535" s="9" t="s">
        <v>4389</v>
      </c>
      <c r="AG535" s="9" t="s">
        <v>4390</v>
      </c>
      <c r="AH535" s="9">
        <v>6.2256090000000004</v>
      </c>
      <c r="AI535" s="9">
        <v>-75.599514999999997</v>
      </c>
      <c r="AJ535" s="9" t="s">
        <v>4391</v>
      </c>
      <c r="AK535" s="9">
        <v>6.263744</v>
      </c>
      <c r="AL535" s="9">
        <v>-75.567603000000005</v>
      </c>
      <c r="AM535" s="26">
        <f t="shared" si="9"/>
        <v>1.5844907407407412E-2</v>
      </c>
    </row>
    <row r="536" spans="1:40" ht="15" x14ac:dyDescent="0.25">
      <c r="A536" s="9" t="s">
        <v>4392</v>
      </c>
      <c r="B536" s="9" t="s">
        <v>4393</v>
      </c>
      <c r="C536" s="9" t="s">
        <v>4394</v>
      </c>
      <c r="D536" s="9" t="s">
        <v>4362</v>
      </c>
      <c r="E536" s="9" t="s">
        <v>2619</v>
      </c>
      <c r="F536" s="9" t="s">
        <v>508</v>
      </c>
      <c r="G536" s="9" t="s">
        <v>89</v>
      </c>
      <c r="H536" s="9" t="s">
        <v>90</v>
      </c>
      <c r="I536" s="9" t="s">
        <v>40</v>
      </c>
      <c r="J536" s="9">
        <v>1529</v>
      </c>
      <c r="K536" s="9" t="s">
        <v>4395</v>
      </c>
      <c r="L536" s="9" t="s">
        <v>42</v>
      </c>
      <c r="M536" s="10">
        <v>7.013888888888889E-3</v>
      </c>
      <c r="N536" s="9" t="s">
        <v>65</v>
      </c>
      <c r="O536" s="9" t="s">
        <v>4396</v>
      </c>
      <c r="P536" s="9" t="s">
        <v>45</v>
      </c>
      <c r="Q536" s="10">
        <v>1.388888888888889E-2</v>
      </c>
      <c r="R536" s="9" t="s">
        <v>56</v>
      </c>
      <c r="S536" s="10">
        <v>0.31243055555555549</v>
      </c>
      <c r="T536" s="9">
        <v>16.675000000000001</v>
      </c>
      <c r="U536" s="9">
        <v>3.26</v>
      </c>
      <c r="V536" s="10">
        <v>0.2129861111111111</v>
      </c>
      <c r="W536" s="10">
        <v>0.18839120370370371</v>
      </c>
      <c r="X536" s="10">
        <v>0</v>
      </c>
      <c r="Y536" s="9">
        <v>0</v>
      </c>
      <c r="Z536" s="9">
        <v>0</v>
      </c>
      <c r="AA536" s="9">
        <v>0</v>
      </c>
      <c r="AB536" s="9">
        <v>0</v>
      </c>
      <c r="AC536" s="9">
        <v>0</v>
      </c>
      <c r="AD536" s="9">
        <v>0</v>
      </c>
      <c r="AE536" s="9" t="s">
        <v>67</v>
      </c>
      <c r="AF536" s="9" t="s">
        <v>4397</v>
      </c>
      <c r="AG536" s="9" t="s">
        <v>4398</v>
      </c>
      <c r="AH536" s="9">
        <v>6.2266620000000001</v>
      </c>
      <c r="AI536" s="9">
        <v>-75.599292000000005</v>
      </c>
      <c r="AJ536" s="9" t="s">
        <v>4399</v>
      </c>
      <c r="AK536" s="9">
        <v>6.2466369999999998</v>
      </c>
      <c r="AL536" s="9">
        <v>-75.570026999999996</v>
      </c>
      <c r="AM536" s="26">
        <f t="shared" si="9"/>
        <v>1.388888888888889E-2</v>
      </c>
    </row>
    <row r="537" spans="1:40" ht="15" x14ac:dyDescent="0.25">
      <c r="A537" s="9" t="s">
        <v>4400</v>
      </c>
      <c r="B537" s="9" t="s">
        <v>4401</v>
      </c>
      <c r="C537" s="9" t="s">
        <v>4402</v>
      </c>
      <c r="D537" s="9" t="s">
        <v>4362</v>
      </c>
      <c r="E537" s="9" t="s">
        <v>2619</v>
      </c>
      <c r="F537" s="9" t="s">
        <v>508</v>
      </c>
      <c r="G537" s="9" t="s">
        <v>105</v>
      </c>
      <c r="H537" s="9" t="s">
        <v>106</v>
      </c>
      <c r="I537" s="9" t="s">
        <v>40</v>
      </c>
      <c r="J537" s="9">
        <v>4278</v>
      </c>
      <c r="K537" s="9" t="s">
        <v>4403</v>
      </c>
      <c r="L537" s="9" t="s">
        <v>42</v>
      </c>
      <c r="M537" s="10">
        <v>8.9733796296296298E-2</v>
      </c>
      <c r="N537" s="9" t="s">
        <v>43</v>
      </c>
      <c r="O537" s="9" t="s">
        <v>4404</v>
      </c>
      <c r="P537" s="9" t="s">
        <v>45</v>
      </c>
      <c r="Q537" s="10">
        <v>6.958333333333333E-2</v>
      </c>
      <c r="R537" s="9" t="s">
        <v>56</v>
      </c>
      <c r="S537" s="10">
        <v>0.17401620370370369</v>
      </c>
      <c r="T537" s="9">
        <v>70.099999999999994</v>
      </c>
      <c r="U537" s="9">
        <v>21.01</v>
      </c>
      <c r="V537" s="10">
        <v>0.13900462962962959</v>
      </c>
      <c r="W537" s="10">
        <v>5.8738425925925923E-2</v>
      </c>
      <c r="X537" s="10">
        <v>4.6412037037037038E-3</v>
      </c>
      <c r="Y537" s="9">
        <v>0</v>
      </c>
      <c r="Z537" s="9">
        <v>0</v>
      </c>
      <c r="AA537" s="9">
        <v>0</v>
      </c>
      <c r="AB537" s="9">
        <v>0</v>
      </c>
      <c r="AC537" s="9">
        <v>0</v>
      </c>
      <c r="AD537" s="9">
        <v>1</v>
      </c>
      <c r="AE537" s="9" t="s">
        <v>57</v>
      </c>
      <c r="AF537" s="9" t="s">
        <v>4405</v>
      </c>
      <c r="AG537" s="9" t="s">
        <v>4406</v>
      </c>
      <c r="AH537" s="9">
        <v>6.258375</v>
      </c>
      <c r="AI537" s="9">
        <v>-75.615757000000002</v>
      </c>
      <c r="AJ537" s="9" t="s">
        <v>4407</v>
      </c>
      <c r="AK537" s="9">
        <v>6.2585220000000001</v>
      </c>
      <c r="AL537" s="9">
        <v>-75.616169999999997</v>
      </c>
      <c r="AM537" s="26">
        <f t="shared" si="9"/>
        <v>0.15931712962962963</v>
      </c>
    </row>
    <row r="538" spans="1:40" ht="15" x14ac:dyDescent="0.25">
      <c r="A538" s="9" t="s">
        <v>4408</v>
      </c>
      <c r="B538" s="9" t="s">
        <v>4409</v>
      </c>
      <c r="C538" s="9" t="s">
        <v>4410</v>
      </c>
      <c r="D538" s="9" t="s">
        <v>4362</v>
      </c>
      <c r="E538" s="9" t="s">
        <v>2619</v>
      </c>
      <c r="F538" s="9" t="s">
        <v>508</v>
      </c>
      <c r="G538" s="9" t="s">
        <v>113</v>
      </c>
      <c r="H538" s="9" t="s">
        <v>114</v>
      </c>
      <c r="I538" s="9" t="s">
        <v>115</v>
      </c>
      <c r="J538" s="9">
        <v>2123</v>
      </c>
      <c r="K538" s="9" t="s">
        <v>4411</v>
      </c>
      <c r="L538" s="9" t="s">
        <v>117</v>
      </c>
      <c r="M538" s="10">
        <v>2.8009259259259259E-3</v>
      </c>
      <c r="N538" s="9" t="s">
        <v>65</v>
      </c>
      <c r="O538" s="9" t="s">
        <v>4412</v>
      </c>
      <c r="P538" s="9" t="s">
        <v>119</v>
      </c>
      <c r="Q538" s="10">
        <v>7.2789351851851855E-2</v>
      </c>
      <c r="R538" s="9" t="s">
        <v>56</v>
      </c>
      <c r="S538" s="10">
        <v>0.1744097222222222</v>
      </c>
      <c r="T538" s="9">
        <v>26.995000000000001</v>
      </c>
      <c r="U538" s="9">
        <v>10.23</v>
      </c>
      <c r="V538" s="10">
        <v>0.10998842592592591</v>
      </c>
      <c r="W538" s="10">
        <v>5.8229166666666672E-2</v>
      </c>
      <c r="X538" s="10">
        <v>0</v>
      </c>
      <c r="Y538" s="9">
        <v>0</v>
      </c>
      <c r="Z538" s="9">
        <v>0</v>
      </c>
      <c r="AA538" s="9">
        <v>0</v>
      </c>
      <c r="AB538" s="9">
        <v>0</v>
      </c>
      <c r="AC538" s="9">
        <v>0</v>
      </c>
      <c r="AD538" s="9">
        <v>0</v>
      </c>
      <c r="AE538" s="9" t="s">
        <v>67</v>
      </c>
      <c r="AF538" s="9" t="s">
        <v>4413</v>
      </c>
      <c r="AG538" s="9" t="s">
        <v>4414</v>
      </c>
      <c r="AH538" s="9">
        <v>6.2503349999999998</v>
      </c>
      <c r="AI538" s="9">
        <v>-75.600363999999999</v>
      </c>
      <c r="AJ538" s="9" t="s">
        <v>4415</v>
      </c>
      <c r="AK538" s="9">
        <v>6.2506919999999999</v>
      </c>
      <c r="AL538" s="9">
        <v>-75.60154</v>
      </c>
      <c r="AM538" s="26">
        <f t="shared" si="9"/>
        <v>7.2789351851851855E-2</v>
      </c>
      <c r="AN538" s="1" t="s">
        <v>4061</v>
      </c>
    </row>
    <row r="539" spans="1:40" ht="15" x14ac:dyDescent="0.25">
      <c r="A539" s="9" t="s">
        <v>4416</v>
      </c>
      <c r="B539" s="9" t="s">
        <v>4417</v>
      </c>
      <c r="C539" s="9" t="s">
        <v>4418</v>
      </c>
      <c r="D539" s="9" t="s">
        <v>4362</v>
      </c>
      <c r="E539" s="9" t="s">
        <v>2619</v>
      </c>
      <c r="F539" s="9" t="s">
        <v>508</v>
      </c>
      <c r="G539" s="9" t="s">
        <v>124</v>
      </c>
      <c r="H539" s="9" t="s">
        <v>125</v>
      </c>
      <c r="I539" s="9" t="s">
        <v>115</v>
      </c>
      <c r="J539" s="9">
        <v>5852</v>
      </c>
      <c r="K539" s="9" t="s">
        <v>4419</v>
      </c>
      <c r="L539" s="9" t="s">
        <v>117</v>
      </c>
      <c r="M539" s="10">
        <v>5.9409722222222218E-2</v>
      </c>
      <c r="N539" s="9" t="s">
        <v>127</v>
      </c>
      <c r="O539" s="9" t="s">
        <v>4420</v>
      </c>
      <c r="P539" s="9" t="s">
        <v>119</v>
      </c>
      <c r="Q539" s="10">
        <v>1.0949074074074069E-2</v>
      </c>
      <c r="R539" s="9" t="s">
        <v>129</v>
      </c>
      <c r="S539" s="10">
        <v>0.32035879629629632</v>
      </c>
      <c r="T539" s="9">
        <v>74.962999999999994</v>
      </c>
      <c r="U539" s="9">
        <v>12.45</v>
      </c>
      <c r="V539" s="10">
        <v>0.25081018518518522</v>
      </c>
      <c r="W539" s="10">
        <v>9.9386574074074072E-2</v>
      </c>
      <c r="X539" s="10">
        <v>1.525462962962963E-2</v>
      </c>
      <c r="Y539" s="9">
        <v>1</v>
      </c>
      <c r="Z539" s="9">
        <v>1</v>
      </c>
      <c r="AA539" s="9">
        <v>0</v>
      </c>
      <c r="AB539" s="9">
        <v>0</v>
      </c>
      <c r="AC539" s="9">
        <v>0</v>
      </c>
      <c r="AD539" s="9">
        <v>0</v>
      </c>
      <c r="AE539" s="9" t="s">
        <v>130</v>
      </c>
      <c r="AF539" s="9" t="s">
        <v>4421</v>
      </c>
      <c r="AG539" s="9" t="s">
        <v>4422</v>
      </c>
      <c r="AH539" s="9">
        <v>6.2254690000000004</v>
      </c>
      <c r="AI539" s="9">
        <v>-75.599356</v>
      </c>
      <c r="AJ539" s="9" t="s">
        <v>4423</v>
      </c>
      <c r="AK539" s="9">
        <v>6.2726179999999996</v>
      </c>
      <c r="AL539" s="9">
        <v>-75.601983000000004</v>
      </c>
      <c r="AM539" s="26">
        <f t="shared" si="9"/>
        <v>0</v>
      </c>
      <c r="AN539" s="1" t="s">
        <v>4061</v>
      </c>
    </row>
    <row r="540" spans="1:40" ht="15" x14ac:dyDescent="0.25">
      <c r="A540" s="9" t="s">
        <v>4424</v>
      </c>
      <c r="B540" s="9" t="s">
        <v>4425</v>
      </c>
      <c r="C540" s="9" t="s">
        <v>4426</v>
      </c>
      <c r="D540" s="9" t="s">
        <v>4362</v>
      </c>
      <c r="E540" s="9" t="s">
        <v>2619</v>
      </c>
      <c r="F540" s="9" t="s">
        <v>508</v>
      </c>
      <c r="G540" s="9" t="s">
        <v>135</v>
      </c>
      <c r="H540" s="9" t="s">
        <v>136</v>
      </c>
      <c r="I540" s="9" t="s">
        <v>115</v>
      </c>
      <c r="J540" s="9">
        <v>1179</v>
      </c>
      <c r="K540" s="9" t="s">
        <v>4427</v>
      </c>
      <c r="L540" s="9" t="s">
        <v>117</v>
      </c>
      <c r="M540" s="10">
        <v>7.526620370370371E-2</v>
      </c>
      <c r="N540" s="9" t="s">
        <v>127</v>
      </c>
      <c r="O540" s="9" t="s">
        <v>4428</v>
      </c>
      <c r="P540" s="9" t="s">
        <v>119</v>
      </c>
      <c r="Q540" s="10">
        <v>2.0023148148148148E-3</v>
      </c>
      <c r="R540" s="9" t="s">
        <v>46</v>
      </c>
      <c r="S540" s="10">
        <v>0.32326388888888891</v>
      </c>
      <c r="T540" s="9">
        <v>37.79</v>
      </c>
      <c r="U540" s="9">
        <v>20.78</v>
      </c>
      <c r="V540" s="10">
        <v>7.5775462962962961E-2</v>
      </c>
      <c r="W540" s="10">
        <v>3.8530092592592588E-2</v>
      </c>
      <c r="X540" s="10">
        <v>0</v>
      </c>
      <c r="Y540" s="9">
        <v>0</v>
      </c>
      <c r="Z540" s="9">
        <v>0</v>
      </c>
      <c r="AA540" s="9">
        <v>0</v>
      </c>
      <c r="AB540" s="9">
        <v>0</v>
      </c>
      <c r="AC540" s="9">
        <v>0</v>
      </c>
      <c r="AD540" s="9">
        <v>3</v>
      </c>
      <c r="AE540" s="9" t="s">
        <v>139</v>
      </c>
      <c r="AF540" s="9" t="s">
        <v>4429</v>
      </c>
      <c r="AG540" s="9" t="s">
        <v>4430</v>
      </c>
      <c r="AH540" s="9">
        <v>6.2257619999999996</v>
      </c>
      <c r="AI540" s="9">
        <v>-75.599109999999996</v>
      </c>
      <c r="AJ540" s="9" t="s">
        <v>4431</v>
      </c>
      <c r="AK540" s="9">
        <v>6.2250120000000004</v>
      </c>
      <c r="AL540" s="9">
        <v>-75.599492999999995</v>
      </c>
      <c r="AM540" s="26">
        <f t="shared" si="9"/>
        <v>0</v>
      </c>
      <c r="AN540" s="1" t="s">
        <v>4061</v>
      </c>
    </row>
    <row r="541" spans="1:40" ht="15" x14ac:dyDescent="0.25">
      <c r="A541" s="9" t="s">
        <v>4432</v>
      </c>
      <c r="B541" s="9" t="s">
        <v>4433</v>
      </c>
      <c r="C541" s="9" t="s">
        <v>4434</v>
      </c>
      <c r="D541" s="9" t="s">
        <v>4362</v>
      </c>
      <c r="E541" s="9" t="s">
        <v>2619</v>
      </c>
      <c r="F541" s="9" t="s">
        <v>508</v>
      </c>
      <c r="G541" s="9" t="s">
        <v>72</v>
      </c>
      <c r="H541" s="9" t="s">
        <v>73</v>
      </c>
      <c r="I541" s="9" t="s">
        <v>115</v>
      </c>
      <c r="J541" s="9">
        <v>2109</v>
      </c>
      <c r="K541" s="9" t="s">
        <v>4435</v>
      </c>
      <c r="L541" s="9" t="s">
        <v>117</v>
      </c>
      <c r="M541" s="10">
        <v>4.1562500000000002E-2</v>
      </c>
      <c r="N541" s="9" t="s">
        <v>127</v>
      </c>
      <c r="O541" s="9" t="s">
        <v>4436</v>
      </c>
      <c r="P541" s="9" t="s">
        <v>119</v>
      </c>
      <c r="Q541" s="10">
        <v>6.1145833333333337E-2</v>
      </c>
      <c r="R541" s="9" t="s">
        <v>56</v>
      </c>
      <c r="S541" s="10">
        <v>0.23041666666666669</v>
      </c>
      <c r="T541" s="9">
        <v>29.806000000000001</v>
      </c>
      <c r="U541" s="9">
        <v>10.25</v>
      </c>
      <c r="V541" s="10">
        <v>0.1211805555555556</v>
      </c>
      <c r="W541" s="10">
        <v>8.0706018518518524E-2</v>
      </c>
      <c r="X541" s="10">
        <v>0</v>
      </c>
      <c r="Y541" s="9">
        <v>0</v>
      </c>
      <c r="Z541" s="9">
        <v>0</v>
      </c>
      <c r="AA541" s="9">
        <v>0</v>
      </c>
      <c r="AB541" s="9">
        <v>0</v>
      </c>
      <c r="AC541" s="9">
        <v>0</v>
      </c>
      <c r="AD541" s="9">
        <v>1</v>
      </c>
      <c r="AE541" s="9" t="s">
        <v>139</v>
      </c>
      <c r="AF541" s="9" t="s">
        <v>4437</v>
      </c>
      <c r="AG541" s="9" t="s">
        <v>4438</v>
      </c>
      <c r="AH541" s="9">
        <v>6.2253780000000001</v>
      </c>
      <c r="AI541" s="9">
        <v>-75.599435</v>
      </c>
      <c r="AJ541" s="9" t="s">
        <v>4439</v>
      </c>
      <c r="AK541" s="9">
        <v>6.2369779999999997</v>
      </c>
      <c r="AL541" s="9">
        <v>-75.558823000000004</v>
      </c>
      <c r="AM541" s="26">
        <f t="shared" si="9"/>
        <v>6.1145833333333337E-2</v>
      </c>
      <c r="AN541" s="1" t="s">
        <v>4061</v>
      </c>
    </row>
    <row r="542" spans="1:40" ht="15" x14ac:dyDescent="0.25">
      <c r="A542" s="9" t="s">
        <v>4440</v>
      </c>
      <c r="B542" s="9" t="s">
        <v>4441</v>
      </c>
      <c r="C542" s="9" t="s">
        <v>4442</v>
      </c>
      <c r="D542" s="9" t="s">
        <v>4362</v>
      </c>
      <c r="E542" s="9" t="s">
        <v>2619</v>
      </c>
      <c r="F542" s="9" t="s">
        <v>508</v>
      </c>
      <c r="G542" s="9" t="s">
        <v>80</v>
      </c>
      <c r="H542" s="9" t="s">
        <v>81</v>
      </c>
      <c r="I542" s="9" t="s">
        <v>115</v>
      </c>
      <c r="J542" s="9">
        <v>5789</v>
      </c>
      <c r="K542" s="9" t="s">
        <v>4443</v>
      </c>
      <c r="L542" s="9" t="s">
        <v>117</v>
      </c>
      <c r="M542" s="10">
        <v>6.564386574074074E-3</v>
      </c>
      <c r="N542" s="9" t="s">
        <v>65</v>
      </c>
      <c r="O542" s="9" t="s">
        <v>4444</v>
      </c>
      <c r="P542" s="9" t="s">
        <v>119</v>
      </c>
      <c r="Q542" s="10">
        <v>5.3287962962962968E-3</v>
      </c>
      <c r="R542" s="9" t="s">
        <v>46</v>
      </c>
      <c r="S542" s="10">
        <v>0.23810681712962961</v>
      </c>
      <c r="T542" s="9">
        <v>48.529000000000003</v>
      </c>
      <c r="U542" s="9">
        <v>23.12</v>
      </c>
      <c r="V542" s="10">
        <v>8.7473287037036968E-2</v>
      </c>
      <c r="W542" s="10">
        <v>2.789581018518519E-2</v>
      </c>
      <c r="X542" s="10">
        <v>0</v>
      </c>
      <c r="Y542" s="9">
        <v>0</v>
      </c>
      <c r="Z542" s="9">
        <v>0</v>
      </c>
      <c r="AA542" s="9">
        <v>0</v>
      </c>
      <c r="AB542" s="9">
        <v>0</v>
      </c>
      <c r="AC542" s="9">
        <v>0</v>
      </c>
      <c r="AD542" s="9">
        <v>7</v>
      </c>
      <c r="AE542" s="9" t="s">
        <v>84</v>
      </c>
      <c r="AF542" s="9" t="s">
        <v>2832</v>
      </c>
      <c r="AG542" s="9" t="s">
        <v>4445</v>
      </c>
      <c r="AH542" s="9">
        <v>6.1904450000000004</v>
      </c>
      <c r="AI542" s="9">
        <v>-75.577248999999995</v>
      </c>
      <c r="AJ542" s="9" t="s">
        <v>4446</v>
      </c>
      <c r="AK542" s="9">
        <v>6.2556419999999999</v>
      </c>
      <c r="AL542" s="9">
        <v>-75.620604</v>
      </c>
      <c r="AM542" s="26">
        <f t="shared" si="9"/>
        <v>0</v>
      </c>
      <c r="AN542" s="1" t="s">
        <v>4061</v>
      </c>
    </row>
    <row r="543" spans="1:40" ht="15" x14ac:dyDescent="0.25">
      <c r="A543" s="9" t="s">
        <v>4447</v>
      </c>
      <c r="B543" s="9" t="s">
        <v>4448</v>
      </c>
      <c r="C543" s="9" t="s">
        <v>4449</v>
      </c>
      <c r="D543" s="9" t="s">
        <v>4362</v>
      </c>
      <c r="E543" s="9" t="s">
        <v>2619</v>
      </c>
      <c r="F543" s="9" t="s">
        <v>508</v>
      </c>
      <c r="G543" s="9" t="s">
        <v>160</v>
      </c>
      <c r="H543" s="9" t="s">
        <v>161</v>
      </c>
      <c r="I543" s="9" t="s">
        <v>115</v>
      </c>
      <c r="J543" s="9">
        <v>15127</v>
      </c>
      <c r="K543" s="9" t="s">
        <v>4450</v>
      </c>
      <c r="L543" s="9" t="s">
        <v>117</v>
      </c>
      <c r="M543" s="10">
        <v>6.2735798611111102E-2</v>
      </c>
      <c r="N543" s="9" t="s">
        <v>127</v>
      </c>
      <c r="O543" s="9" t="s">
        <v>4451</v>
      </c>
      <c r="P543" s="9" t="s">
        <v>119</v>
      </c>
      <c r="Q543" s="10">
        <v>8.884513888888888E-3</v>
      </c>
      <c r="R543" s="9" t="s">
        <v>46</v>
      </c>
      <c r="S543" s="10">
        <v>0.32162031250000001</v>
      </c>
      <c r="T543" s="9">
        <v>90.927999999999997</v>
      </c>
      <c r="U543" s="9">
        <v>17.809999999999999</v>
      </c>
      <c r="V543" s="10">
        <v>0.21276561342592579</v>
      </c>
      <c r="W543" s="10">
        <v>0.1150462847222222</v>
      </c>
      <c r="X543" s="10">
        <v>0</v>
      </c>
      <c r="Y543" s="9">
        <v>0</v>
      </c>
      <c r="Z543" s="9">
        <v>0</v>
      </c>
      <c r="AA543" s="9">
        <v>0</v>
      </c>
      <c r="AB543" s="9">
        <v>0</v>
      </c>
      <c r="AC543" s="9">
        <v>0</v>
      </c>
      <c r="AD543" s="9">
        <v>3</v>
      </c>
      <c r="AE543" s="9" t="s">
        <v>139</v>
      </c>
      <c r="AF543" s="9" t="s">
        <v>4452</v>
      </c>
      <c r="AG543" s="9" t="s">
        <v>4453</v>
      </c>
      <c r="AH543" s="9">
        <v>6.2266300000000001</v>
      </c>
      <c r="AI543" s="9">
        <v>-75.599256999999994</v>
      </c>
      <c r="AJ543" s="9" t="s">
        <v>4454</v>
      </c>
      <c r="AK543" s="9">
        <v>6.2574920000000001</v>
      </c>
      <c r="AL543" s="9">
        <v>-75.583867999999995</v>
      </c>
      <c r="AM543" s="26">
        <f t="shared" si="9"/>
        <v>0</v>
      </c>
      <c r="AN543" s="1" t="s">
        <v>4061</v>
      </c>
    </row>
    <row r="544" spans="1:40" ht="15" x14ac:dyDescent="0.25">
      <c r="A544" s="9" t="s">
        <v>4455</v>
      </c>
      <c r="B544" s="9" t="s">
        <v>4456</v>
      </c>
      <c r="C544" s="9" t="s">
        <v>4457</v>
      </c>
      <c r="D544" s="9" t="s">
        <v>4362</v>
      </c>
      <c r="E544" s="9" t="s">
        <v>2619</v>
      </c>
      <c r="F544" s="9" t="s">
        <v>508</v>
      </c>
      <c r="G544" s="9" t="s">
        <v>97</v>
      </c>
      <c r="H544" s="9" t="s">
        <v>98</v>
      </c>
      <c r="I544" s="9" t="s">
        <v>115</v>
      </c>
      <c r="J544" s="9">
        <v>1859</v>
      </c>
      <c r="K544" s="9" t="s">
        <v>4458</v>
      </c>
      <c r="L544" s="9" t="s">
        <v>117</v>
      </c>
      <c r="M544" s="10">
        <v>4.4120370370370372E-2</v>
      </c>
      <c r="N544" s="9" t="s">
        <v>43</v>
      </c>
      <c r="O544" s="9" t="s">
        <v>4459</v>
      </c>
      <c r="P544" s="9" t="s">
        <v>119</v>
      </c>
      <c r="Q544" s="10">
        <v>1.068287037037037E-2</v>
      </c>
      <c r="R544" s="9" t="s">
        <v>56</v>
      </c>
      <c r="S544" s="10">
        <v>0.19519675925925931</v>
      </c>
      <c r="T544" s="9">
        <v>24.123999999999999</v>
      </c>
      <c r="U544" s="9">
        <v>8.67</v>
      </c>
      <c r="V544" s="10">
        <v>0.1159953703703704</v>
      </c>
      <c r="W544" s="10">
        <v>7.0023148148148154E-2</v>
      </c>
      <c r="X544" s="10">
        <v>0</v>
      </c>
      <c r="Y544" s="9">
        <v>0</v>
      </c>
      <c r="Z544" s="9">
        <v>0</v>
      </c>
      <c r="AA544" s="9">
        <v>0</v>
      </c>
      <c r="AB544" s="9">
        <v>0</v>
      </c>
      <c r="AC544" s="9">
        <v>0</v>
      </c>
      <c r="AD544" s="9">
        <v>0</v>
      </c>
      <c r="AE544" s="9" t="s">
        <v>57</v>
      </c>
      <c r="AF544" s="9" t="s">
        <v>4460</v>
      </c>
      <c r="AG544" s="9" t="s">
        <v>4461</v>
      </c>
      <c r="AH544" s="9">
        <v>6.2227949999999996</v>
      </c>
      <c r="AI544" s="9">
        <v>-75.598664999999997</v>
      </c>
      <c r="AJ544" s="9" t="s">
        <v>4462</v>
      </c>
      <c r="AK544" s="9">
        <v>6.3079090000000004</v>
      </c>
      <c r="AL544" s="9">
        <v>-75.582012000000006</v>
      </c>
      <c r="AM544" s="26">
        <f t="shared" si="9"/>
        <v>5.4803240740740743E-2</v>
      </c>
      <c r="AN544" s="1" t="s">
        <v>4061</v>
      </c>
    </row>
    <row r="545" spans="1:40" ht="15" x14ac:dyDescent="0.25">
      <c r="A545" s="9" t="s">
        <v>4463</v>
      </c>
      <c r="B545" s="9" t="s">
        <v>4464</v>
      </c>
      <c r="C545" s="9" t="s">
        <v>4465</v>
      </c>
      <c r="D545" s="9" t="s">
        <v>4466</v>
      </c>
      <c r="E545" s="9" t="s">
        <v>2619</v>
      </c>
      <c r="F545" s="9" t="s">
        <v>37</v>
      </c>
      <c r="G545" s="9" t="s">
        <v>62</v>
      </c>
      <c r="H545" s="9" t="s">
        <v>63</v>
      </c>
      <c r="I545" s="9" t="s">
        <v>40</v>
      </c>
      <c r="J545" s="9">
        <v>2253</v>
      </c>
      <c r="K545" s="9" t="s">
        <v>4467</v>
      </c>
      <c r="L545" s="9" t="s">
        <v>42</v>
      </c>
      <c r="M545" s="10">
        <v>3.7962962962962959E-3</v>
      </c>
      <c r="N545" s="9" t="s">
        <v>65</v>
      </c>
      <c r="O545" s="9" t="s">
        <v>4468</v>
      </c>
      <c r="P545" s="9" t="s">
        <v>45</v>
      </c>
      <c r="Q545" s="10">
        <v>0.1106712962962963</v>
      </c>
      <c r="R545" s="9" t="s">
        <v>56</v>
      </c>
      <c r="S545" s="10">
        <v>0.21886574074074069</v>
      </c>
      <c r="T545" s="9">
        <v>28.928999999999998</v>
      </c>
      <c r="U545" s="9">
        <v>8.5</v>
      </c>
      <c r="V545" s="10">
        <v>0.1418402777777778</v>
      </c>
      <c r="W545" s="10">
        <v>9.284722222222222E-2</v>
      </c>
      <c r="X545" s="10">
        <v>0</v>
      </c>
      <c r="Y545" s="9">
        <v>0</v>
      </c>
      <c r="Z545" s="9">
        <v>0</v>
      </c>
      <c r="AA545" s="9">
        <v>0</v>
      </c>
      <c r="AB545" s="9">
        <v>0</v>
      </c>
      <c r="AC545" s="9">
        <v>0</v>
      </c>
      <c r="AD545" s="9">
        <v>1</v>
      </c>
      <c r="AE545" s="9" t="s">
        <v>67</v>
      </c>
      <c r="AF545" s="9" t="s">
        <v>4469</v>
      </c>
      <c r="AG545" s="9" t="s">
        <v>4470</v>
      </c>
      <c r="AH545" s="9">
        <v>6.2346060000000003</v>
      </c>
      <c r="AI545" s="9">
        <v>-75.608090000000004</v>
      </c>
      <c r="AJ545" s="9" t="s">
        <v>4471</v>
      </c>
      <c r="AK545" s="9">
        <v>6.2874600000000003</v>
      </c>
      <c r="AL545" s="9">
        <v>-75.567243000000005</v>
      </c>
      <c r="AM545" s="26">
        <f t="shared" si="9"/>
        <v>0.1106712962962963</v>
      </c>
    </row>
    <row r="546" spans="1:40" ht="15" x14ac:dyDescent="0.25">
      <c r="A546" s="9" t="s">
        <v>4472</v>
      </c>
      <c r="B546" s="9" t="s">
        <v>4473</v>
      </c>
      <c r="C546" s="9" t="s">
        <v>4474</v>
      </c>
      <c r="D546" s="9" t="s">
        <v>4466</v>
      </c>
      <c r="E546" s="9" t="s">
        <v>2619</v>
      </c>
      <c r="F546" s="9" t="s">
        <v>37</v>
      </c>
      <c r="G546" s="9" t="s">
        <v>144</v>
      </c>
      <c r="H546" s="9" t="s">
        <v>145</v>
      </c>
      <c r="I546" s="9" t="s">
        <v>40</v>
      </c>
      <c r="J546" s="9">
        <v>2148</v>
      </c>
      <c r="K546" s="9" t="s">
        <v>4475</v>
      </c>
      <c r="L546" s="9" t="s">
        <v>42</v>
      </c>
      <c r="M546" s="10">
        <v>0.14432870370370371</v>
      </c>
      <c r="N546" s="9" t="s">
        <v>43</v>
      </c>
      <c r="O546" s="9" t="s">
        <v>4476</v>
      </c>
      <c r="P546" s="9" t="s">
        <v>45</v>
      </c>
      <c r="Q546" s="10">
        <v>5.5324074074074078E-3</v>
      </c>
      <c r="R546" s="9" t="s">
        <v>46</v>
      </c>
      <c r="S546" s="10">
        <v>0.19453703703703701</v>
      </c>
      <c r="T546" s="9">
        <v>26.943999999999999</v>
      </c>
      <c r="U546" s="9">
        <v>8.5399999999999991</v>
      </c>
      <c r="V546" s="10">
        <v>0.1315162037037037</v>
      </c>
      <c r="W546" s="10">
        <v>7.7546296296296294E-2</v>
      </c>
      <c r="X546" s="10">
        <v>0</v>
      </c>
      <c r="Y546" s="9">
        <v>0</v>
      </c>
      <c r="Z546" s="9">
        <v>0</v>
      </c>
      <c r="AA546" s="9">
        <v>0</v>
      </c>
      <c r="AB546" s="9">
        <v>0</v>
      </c>
      <c r="AC546" s="9">
        <v>0</v>
      </c>
      <c r="AD546" s="9">
        <v>0</v>
      </c>
      <c r="AE546" s="9" t="s">
        <v>47</v>
      </c>
      <c r="AF546" s="9" t="s">
        <v>4477</v>
      </c>
      <c r="AG546" s="9" t="s">
        <v>4478</v>
      </c>
      <c r="AH546" s="9">
        <v>6.1932229999999997</v>
      </c>
      <c r="AI546" s="9">
        <v>-75.581580000000002</v>
      </c>
      <c r="AJ546" s="9" t="s">
        <v>4479</v>
      </c>
      <c r="AK546" s="9">
        <v>6.2904340000000003</v>
      </c>
      <c r="AL546" s="9">
        <v>-75.546554999999998</v>
      </c>
      <c r="AM546" s="26">
        <f t="shared" si="9"/>
        <v>0.14432870370370371</v>
      </c>
      <c r="AN546" s="1" t="s">
        <v>4512</v>
      </c>
    </row>
    <row r="547" spans="1:40" ht="15" x14ac:dyDescent="0.25">
      <c r="A547" s="9" t="s">
        <v>4480</v>
      </c>
      <c r="B547" s="9" t="s">
        <v>4481</v>
      </c>
      <c r="C547" s="9" t="s">
        <v>4482</v>
      </c>
      <c r="D547" s="9" t="s">
        <v>4466</v>
      </c>
      <c r="E547" s="9" t="s">
        <v>2619</v>
      </c>
      <c r="F547" s="9" t="s">
        <v>37</v>
      </c>
      <c r="G547" s="9" t="s">
        <v>152</v>
      </c>
      <c r="H547" s="9" t="s">
        <v>153</v>
      </c>
      <c r="I547" s="9" t="s">
        <v>40</v>
      </c>
      <c r="J547" s="9">
        <v>3431</v>
      </c>
      <c r="K547" s="9" t="s">
        <v>4483</v>
      </c>
      <c r="L547" s="9" t="s">
        <v>42</v>
      </c>
      <c r="M547" s="10">
        <v>1.4999999999999999E-2</v>
      </c>
      <c r="N547" s="9" t="s">
        <v>127</v>
      </c>
      <c r="O547" s="9" t="s">
        <v>4484</v>
      </c>
      <c r="P547" s="9" t="s">
        <v>45</v>
      </c>
      <c r="Q547" s="10">
        <v>7.5752314814814814E-2</v>
      </c>
      <c r="R547" s="9" t="s">
        <v>56</v>
      </c>
      <c r="S547" s="10">
        <v>0.27258101851851851</v>
      </c>
      <c r="T547" s="9">
        <v>44.609000000000002</v>
      </c>
      <c r="U547" s="9">
        <v>7.56</v>
      </c>
      <c r="V547" s="10">
        <v>0.2459722222222222</v>
      </c>
      <c r="W547" s="10">
        <v>0.16136574074074081</v>
      </c>
      <c r="X547" s="10">
        <v>0</v>
      </c>
      <c r="Y547" s="9">
        <v>0</v>
      </c>
      <c r="Z547" s="9">
        <v>0</v>
      </c>
      <c r="AA547" s="9">
        <v>0</v>
      </c>
      <c r="AB547" s="9">
        <v>0</v>
      </c>
      <c r="AC547" s="9">
        <v>0</v>
      </c>
      <c r="AD547" s="9">
        <v>1</v>
      </c>
      <c r="AE547" s="9" t="s">
        <v>139</v>
      </c>
      <c r="AF547" s="9" t="s">
        <v>4485</v>
      </c>
      <c r="AG547" s="9" t="s">
        <v>4486</v>
      </c>
      <c r="AH547" s="9">
        <v>6.2256749999999998</v>
      </c>
      <c r="AI547" s="9">
        <v>-75.599542999999997</v>
      </c>
      <c r="AJ547" s="9" t="s">
        <v>4487</v>
      </c>
      <c r="AK547" s="9">
        <v>6.2518649999999996</v>
      </c>
      <c r="AL547" s="9">
        <v>-75.551807999999994</v>
      </c>
      <c r="AM547" s="26">
        <f t="shared" si="9"/>
        <v>7.5752314814814814E-2</v>
      </c>
    </row>
    <row r="548" spans="1:40" ht="15" x14ac:dyDescent="0.25">
      <c r="A548" s="9" t="s">
        <v>4488</v>
      </c>
      <c r="B548" s="9" t="s">
        <v>4489</v>
      </c>
      <c r="C548" s="9" t="s">
        <v>4490</v>
      </c>
      <c r="D548" s="9" t="s">
        <v>4466</v>
      </c>
      <c r="E548" s="9" t="s">
        <v>2619</v>
      </c>
      <c r="F548" s="9" t="s">
        <v>37</v>
      </c>
      <c r="G548" s="9" t="s">
        <v>89</v>
      </c>
      <c r="H548" s="9" t="s">
        <v>90</v>
      </c>
      <c r="I548" s="9" t="s">
        <v>40</v>
      </c>
      <c r="J548" s="9">
        <v>2563</v>
      </c>
      <c r="K548" s="9" t="s">
        <v>4491</v>
      </c>
      <c r="L548" s="9" t="s">
        <v>42</v>
      </c>
      <c r="M548" s="10">
        <v>1.655092592592593E-3</v>
      </c>
      <c r="N548" s="9" t="s">
        <v>65</v>
      </c>
      <c r="O548" s="9" t="s">
        <v>4492</v>
      </c>
      <c r="P548" s="9" t="s">
        <v>45</v>
      </c>
      <c r="Q548" s="10">
        <v>6.7280092592592586E-2</v>
      </c>
      <c r="R548" s="9" t="s">
        <v>56</v>
      </c>
      <c r="S548" s="10">
        <v>0.26770833333333333</v>
      </c>
      <c r="T548" s="9">
        <v>30.376999999999999</v>
      </c>
      <c r="U548" s="9">
        <v>5.75</v>
      </c>
      <c r="V548" s="10">
        <v>0.22009259259259259</v>
      </c>
      <c r="W548" s="10">
        <v>0.16950231481481479</v>
      </c>
      <c r="X548" s="10">
        <v>0</v>
      </c>
      <c r="Y548" s="9">
        <v>0</v>
      </c>
      <c r="Z548" s="9">
        <v>0</v>
      </c>
      <c r="AA548" s="9">
        <v>0</v>
      </c>
      <c r="AB548" s="9">
        <v>0</v>
      </c>
      <c r="AC548" s="9">
        <v>0</v>
      </c>
      <c r="AD548" s="9">
        <v>0</v>
      </c>
      <c r="AE548" s="9" t="s">
        <v>67</v>
      </c>
      <c r="AF548" s="9" t="s">
        <v>4493</v>
      </c>
      <c r="AG548" s="9" t="s">
        <v>4494</v>
      </c>
      <c r="AH548" s="9">
        <v>6.2266750000000002</v>
      </c>
      <c r="AI548" s="9">
        <v>-75.599328</v>
      </c>
      <c r="AJ548" s="9" t="s">
        <v>4495</v>
      </c>
      <c r="AK548" s="9">
        <v>6.2255830000000003</v>
      </c>
      <c r="AL548" s="9">
        <v>-75.599237000000002</v>
      </c>
      <c r="AM548" s="26">
        <f t="shared" si="9"/>
        <v>6.7280092592592586E-2</v>
      </c>
    </row>
    <row r="549" spans="1:40" ht="15" x14ac:dyDescent="0.25">
      <c r="A549" s="9" t="s">
        <v>4496</v>
      </c>
      <c r="B549" s="9" t="s">
        <v>4497</v>
      </c>
      <c r="C549" s="9" t="s">
        <v>4498</v>
      </c>
      <c r="D549" s="9" t="s">
        <v>4466</v>
      </c>
      <c r="E549" s="9" t="s">
        <v>2619</v>
      </c>
      <c r="F549" s="9" t="s">
        <v>37</v>
      </c>
      <c r="G549" s="9" t="s">
        <v>105</v>
      </c>
      <c r="H549" s="9" t="s">
        <v>106</v>
      </c>
      <c r="I549" s="9" t="s">
        <v>40</v>
      </c>
      <c r="J549" s="9">
        <v>2639</v>
      </c>
      <c r="K549" s="9" t="s">
        <v>4499</v>
      </c>
      <c r="L549" s="9" t="s">
        <v>42</v>
      </c>
      <c r="M549" s="10">
        <v>2.072916666666667E-2</v>
      </c>
      <c r="N549" s="9" t="s">
        <v>127</v>
      </c>
      <c r="O549" s="9" t="s">
        <v>4500</v>
      </c>
      <c r="P549" s="9" t="s">
        <v>45</v>
      </c>
      <c r="Q549" s="10">
        <v>2.6944444444444441E-2</v>
      </c>
      <c r="R549" s="9" t="s">
        <v>56</v>
      </c>
      <c r="S549" s="10">
        <v>0.32711805555555562</v>
      </c>
      <c r="T549" s="9">
        <v>34.475999999999999</v>
      </c>
      <c r="U549" s="9">
        <v>7.8</v>
      </c>
      <c r="V549" s="10">
        <v>0.1842708333333333</v>
      </c>
      <c r="W549" s="10">
        <v>0.12942129629629631</v>
      </c>
      <c r="X549" s="10">
        <v>0</v>
      </c>
      <c r="Y549" s="9">
        <v>0</v>
      </c>
      <c r="Z549" s="9">
        <v>0</v>
      </c>
      <c r="AA549" s="9">
        <v>0</v>
      </c>
      <c r="AB549" s="9">
        <v>0</v>
      </c>
      <c r="AC549" s="9">
        <v>0</v>
      </c>
      <c r="AD549" s="9">
        <v>2</v>
      </c>
      <c r="AE549" s="9" t="s">
        <v>139</v>
      </c>
      <c r="AF549" s="9" t="s">
        <v>4501</v>
      </c>
      <c r="AG549" s="9" t="s">
        <v>4502</v>
      </c>
      <c r="AH549" s="9">
        <v>6.2256169999999997</v>
      </c>
      <c r="AI549" s="9">
        <v>-75.59939</v>
      </c>
      <c r="AJ549" s="9" t="s">
        <v>4503</v>
      </c>
      <c r="AK549" s="9">
        <v>6.2583659999999997</v>
      </c>
      <c r="AL549" s="9">
        <v>-75.615859999999998</v>
      </c>
      <c r="AM549" s="26">
        <f t="shared" si="9"/>
        <v>2.6944444444444441E-2</v>
      </c>
    </row>
    <row r="550" spans="1:40" ht="15" x14ac:dyDescent="0.25">
      <c r="A550" s="9" t="s">
        <v>4504</v>
      </c>
      <c r="B550" s="9" t="s">
        <v>4505</v>
      </c>
      <c r="C550" s="9" t="s">
        <v>4506</v>
      </c>
      <c r="D550" s="9" t="s">
        <v>4466</v>
      </c>
      <c r="E550" s="9" t="s">
        <v>2619</v>
      </c>
      <c r="F550" s="9" t="s">
        <v>37</v>
      </c>
      <c r="G550" s="9" t="s">
        <v>52</v>
      </c>
      <c r="H550" s="9" t="s">
        <v>53</v>
      </c>
      <c r="I550" s="9" t="s">
        <v>40</v>
      </c>
      <c r="J550" s="9">
        <v>3149</v>
      </c>
      <c r="K550" s="9" t="s">
        <v>4507</v>
      </c>
      <c r="L550" s="9" t="s">
        <v>42</v>
      </c>
      <c r="M550" s="10">
        <v>2.015046296296296E-2</v>
      </c>
      <c r="N550" s="9" t="s">
        <v>127</v>
      </c>
      <c r="O550" s="9" t="s">
        <v>4508</v>
      </c>
      <c r="P550" s="9" t="s">
        <v>45</v>
      </c>
      <c r="Q550" s="10">
        <v>3.5879629629629629E-3</v>
      </c>
      <c r="R550" s="9" t="s">
        <v>46</v>
      </c>
      <c r="S550" s="10">
        <v>0.35707175925925932</v>
      </c>
      <c r="T550" s="9">
        <v>40.28</v>
      </c>
      <c r="U550" s="9">
        <v>7.22</v>
      </c>
      <c r="V550" s="10">
        <v>0.23243055555555561</v>
      </c>
      <c r="W550" s="10">
        <v>0.16241898148148151</v>
      </c>
      <c r="X550" s="10">
        <v>6.7534722222222218E-2</v>
      </c>
      <c r="Y550" s="9">
        <v>1</v>
      </c>
      <c r="Z550" s="9">
        <v>1</v>
      </c>
      <c r="AA550" s="9">
        <v>1</v>
      </c>
      <c r="AB550" s="9">
        <v>1</v>
      </c>
      <c r="AC550" s="9">
        <v>1</v>
      </c>
      <c r="AD550" s="9">
        <v>2</v>
      </c>
      <c r="AE550" s="9" t="s">
        <v>139</v>
      </c>
      <c r="AF550" s="9" t="s">
        <v>4509</v>
      </c>
      <c r="AG550" s="9" t="s">
        <v>4510</v>
      </c>
      <c r="AH550" s="9">
        <v>6.2257259999999999</v>
      </c>
      <c r="AI550" s="9">
        <v>-75.599491999999998</v>
      </c>
      <c r="AJ550" s="9" t="s">
        <v>4511</v>
      </c>
      <c r="AK550" s="9">
        <v>6.2256710000000002</v>
      </c>
      <c r="AL550" s="9">
        <v>-75.599393000000006</v>
      </c>
      <c r="AM550" s="26">
        <f t="shared" si="9"/>
        <v>0</v>
      </c>
    </row>
    <row r="551" spans="1:40" ht="15" x14ac:dyDescent="0.25">
      <c r="A551" s="9" t="s">
        <v>4513</v>
      </c>
      <c r="B551" s="9" t="s">
        <v>4514</v>
      </c>
      <c r="C551" s="9" t="s">
        <v>4515</v>
      </c>
      <c r="D551" s="9" t="s">
        <v>4466</v>
      </c>
      <c r="E551" s="9" t="s">
        <v>2619</v>
      </c>
      <c r="F551" s="9" t="s">
        <v>37</v>
      </c>
      <c r="G551" s="9" t="s">
        <v>38</v>
      </c>
      <c r="H551" s="9" t="s">
        <v>39</v>
      </c>
      <c r="I551" s="9" t="s">
        <v>40</v>
      </c>
      <c r="J551" s="9">
        <v>2544</v>
      </c>
      <c r="K551" s="9" t="s">
        <v>4516</v>
      </c>
      <c r="L551" s="9" t="s">
        <v>42</v>
      </c>
      <c r="M551" s="10">
        <v>5.9027777777777778E-4</v>
      </c>
      <c r="N551" s="9" t="s">
        <v>65</v>
      </c>
      <c r="O551" s="9" t="s">
        <v>4517</v>
      </c>
      <c r="P551" s="9" t="s">
        <v>45</v>
      </c>
      <c r="Q551" s="10">
        <v>1.8981481481481479E-3</v>
      </c>
      <c r="R551" s="9" t="s">
        <v>46</v>
      </c>
      <c r="S551" s="10">
        <v>0.3346412037037037</v>
      </c>
      <c r="T551" s="9">
        <v>34.115000000000002</v>
      </c>
      <c r="U551" s="9">
        <v>6.04</v>
      </c>
      <c r="V551" s="10">
        <v>0.23518518518518519</v>
      </c>
      <c r="W551" s="10">
        <v>0.17627314814814821</v>
      </c>
      <c r="X551" s="10">
        <v>6.3078703703703708E-3</v>
      </c>
      <c r="Y551" s="9">
        <v>0</v>
      </c>
      <c r="Z551" s="9">
        <v>0</v>
      </c>
      <c r="AA551" s="9">
        <v>0</v>
      </c>
      <c r="AB551" s="9">
        <v>0</v>
      </c>
      <c r="AC551" s="9">
        <v>0</v>
      </c>
      <c r="AD551" s="9">
        <v>0</v>
      </c>
      <c r="AE551" s="9" t="s">
        <v>84</v>
      </c>
      <c r="AF551" s="9" t="s">
        <v>3016</v>
      </c>
      <c r="AG551" s="9" t="s">
        <v>4518</v>
      </c>
      <c r="AH551" s="9">
        <v>6.2033079999999998</v>
      </c>
      <c r="AI551" s="9">
        <v>-75.600774999999999</v>
      </c>
      <c r="AJ551" s="9" t="s">
        <v>4519</v>
      </c>
      <c r="AK551" s="9">
        <v>6.2256330000000002</v>
      </c>
      <c r="AL551" s="9">
        <v>-75.599179000000007</v>
      </c>
      <c r="AM551" s="26">
        <f t="shared" si="9"/>
        <v>0</v>
      </c>
    </row>
    <row r="552" spans="1:40" ht="15" x14ac:dyDescent="0.25">
      <c r="A552" s="9" t="s">
        <v>4520</v>
      </c>
      <c r="B552" s="9" t="s">
        <v>4521</v>
      </c>
      <c r="C552" s="9" t="s">
        <v>4522</v>
      </c>
      <c r="D552" s="9" t="s">
        <v>4466</v>
      </c>
      <c r="E552" s="9" t="s">
        <v>2619</v>
      </c>
      <c r="F552" s="9" t="s">
        <v>37</v>
      </c>
      <c r="G552" s="9" t="s">
        <v>113</v>
      </c>
      <c r="H552" s="9" t="s">
        <v>114</v>
      </c>
      <c r="I552" s="9" t="s">
        <v>115</v>
      </c>
      <c r="J552" s="9">
        <v>4539</v>
      </c>
      <c r="K552" s="9" t="s">
        <v>4523</v>
      </c>
      <c r="L552" s="9" t="s">
        <v>117</v>
      </c>
      <c r="M552" s="10">
        <v>2.476851851851852E-3</v>
      </c>
      <c r="N552" s="9" t="s">
        <v>65</v>
      </c>
      <c r="O552" s="9" t="s">
        <v>4524</v>
      </c>
      <c r="P552" s="9" t="s">
        <v>119</v>
      </c>
      <c r="Q552" s="10">
        <v>5.2662037037037026E-3</v>
      </c>
      <c r="R552" s="9" t="s">
        <v>46</v>
      </c>
      <c r="S552" s="10">
        <v>0.24225694444444451</v>
      </c>
      <c r="T552" s="9">
        <v>61.779000000000003</v>
      </c>
      <c r="U552" s="9">
        <v>14.14</v>
      </c>
      <c r="V552" s="10">
        <v>0.182037037037037</v>
      </c>
      <c r="W552" s="10">
        <v>9.662037037037037E-2</v>
      </c>
      <c r="X552" s="10">
        <v>0</v>
      </c>
      <c r="Y552" s="9">
        <v>0</v>
      </c>
      <c r="Z552" s="9">
        <v>0</v>
      </c>
      <c r="AA552" s="9">
        <v>0</v>
      </c>
      <c r="AB552" s="9">
        <v>0</v>
      </c>
      <c r="AC552" s="9">
        <v>0</v>
      </c>
      <c r="AD552" s="9">
        <v>2</v>
      </c>
      <c r="AE552" s="9" t="s">
        <v>84</v>
      </c>
      <c r="AF552" s="9" t="s">
        <v>1384</v>
      </c>
      <c r="AG552" s="9" t="s">
        <v>4525</v>
      </c>
      <c r="AH552" s="9">
        <v>6.2139249999999997</v>
      </c>
      <c r="AI552" s="9">
        <v>-75.596495000000004</v>
      </c>
      <c r="AJ552" s="9" t="s">
        <v>4526</v>
      </c>
      <c r="AK552" s="9">
        <v>6.2253970000000001</v>
      </c>
      <c r="AL552" s="9">
        <v>-75.599834999999999</v>
      </c>
      <c r="AM552" s="26">
        <f t="shared" si="9"/>
        <v>0</v>
      </c>
    </row>
    <row r="553" spans="1:40" ht="15" x14ac:dyDescent="0.25">
      <c r="A553" s="9" t="s">
        <v>4527</v>
      </c>
      <c r="B553" s="9" t="s">
        <v>4528</v>
      </c>
      <c r="C553" s="9" t="s">
        <v>4529</v>
      </c>
      <c r="D553" s="9" t="s">
        <v>4466</v>
      </c>
      <c r="E553" s="9" t="s">
        <v>2619</v>
      </c>
      <c r="F553" s="9" t="s">
        <v>37</v>
      </c>
      <c r="G553" s="9" t="s">
        <v>124</v>
      </c>
      <c r="H553" s="9" t="s">
        <v>125</v>
      </c>
      <c r="I553" s="9" t="s">
        <v>115</v>
      </c>
      <c r="J553" s="9">
        <v>3744</v>
      </c>
      <c r="K553" s="9" t="s">
        <v>4530</v>
      </c>
      <c r="L553" s="9" t="s">
        <v>117</v>
      </c>
      <c r="M553" s="10">
        <v>4.7847222222222222E-2</v>
      </c>
      <c r="N553" s="9" t="s">
        <v>127</v>
      </c>
      <c r="O553" s="9" t="s">
        <v>4531</v>
      </c>
      <c r="P553" s="9" t="s">
        <v>119</v>
      </c>
      <c r="Q553" s="10">
        <v>9.5949074074074079E-3</v>
      </c>
      <c r="R553" s="9" t="s">
        <v>46</v>
      </c>
      <c r="S553" s="10">
        <v>0.30744212962962958</v>
      </c>
      <c r="T553" s="9">
        <v>44.134</v>
      </c>
      <c r="U553" s="9">
        <v>10.77</v>
      </c>
      <c r="V553" s="10">
        <v>0.17071759259259259</v>
      </c>
      <c r="W553" s="10">
        <v>7.9351851851851854E-2</v>
      </c>
      <c r="X553" s="10">
        <v>1.8599537037037039E-2</v>
      </c>
      <c r="Y553" s="9">
        <v>1</v>
      </c>
      <c r="Z553" s="9">
        <v>1</v>
      </c>
      <c r="AA553" s="9">
        <v>0</v>
      </c>
      <c r="AB553" s="9">
        <v>0</v>
      </c>
      <c r="AC553" s="9">
        <v>0</v>
      </c>
      <c r="AD553" s="9">
        <v>1</v>
      </c>
      <c r="AE553" s="9" t="s">
        <v>139</v>
      </c>
      <c r="AF553" s="9" t="s">
        <v>4532</v>
      </c>
      <c r="AG553" s="9" t="s">
        <v>4533</v>
      </c>
      <c r="AH553" s="9">
        <v>6.2267070000000002</v>
      </c>
      <c r="AI553" s="9">
        <v>-75.599355000000003</v>
      </c>
      <c r="AJ553" s="9" t="s">
        <v>4534</v>
      </c>
      <c r="AK553" s="9">
        <v>6.272748</v>
      </c>
      <c r="AL553" s="9">
        <v>-75.601923999999997</v>
      </c>
      <c r="AM553" s="26">
        <f t="shared" si="9"/>
        <v>0</v>
      </c>
    </row>
    <row r="554" spans="1:40" ht="15" x14ac:dyDescent="0.25">
      <c r="A554" s="9" t="s">
        <v>4535</v>
      </c>
      <c r="B554" s="9" t="s">
        <v>4536</v>
      </c>
      <c r="C554" s="9" t="s">
        <v>4537</v>
      </c>
      <c r="D554" s="9" t="s">
        <v>4466</v>
      </c>
      <c r="E554" s="9" t="s">
        <v>2619</v>
      </c>
      <c r="F554" s="9" t="s">
        <v>37</v>
      </c>
      <c r="G554" s="9" t="s">
        <v>135</v>
      </c>
      <c r="H554" s="9" t="s">
        <v>136</v>
      </c>
      <c r="I554" s="9" t="s">
        <v>115</v>
      </c>
      <c r="J554" s="9">
        <v>1359</v>
      </c>
      <c r="K554" s="9" t="s">
        <v>4538</v>
      </c>
      <c r="L554" s="9" t="s">
        <v>117</v>
      </c>
      <c r="M554" s="10">
        <v>5.8923611111111107E-2</v>
      </c>
      <c r="N554" s="9" t="s">
        <v>127</v>
      </c>
      <c r="O554" s="9" t="s">
        <v>4539</v>
      </c>
      <c r="P554" s="9" t="s">
        <v>119</v>
      </c>
      <c r="Q554" s="10">
        <v>4.6631944444444441E-2</v>
      </c>
      <c r="R554" s="9" t="s">
        <v>56</v>
      </c>
      <c r="S554" s="10">
        <v>0.26229166666666659</v>
      </c>
      <c r="T554" s="9">
        <v>40.345999999999997</v>
      </c>
      <c r="U554" s="9">
        <v>7.64</v>
      </c>
      <c r="V554" s="10">
        <v>0.21995370370370371</v>
      </c>
      <c r="W554" s="10">
        <v>0.18287037037037041</v>
      </c>
      <c r="X554" s="10">
        <v>0</v>
      </c>
      <c r="Y554" s="9">
        <v>0</v>
      </c>
      <c r="Z554" s="9">
        <v>0</v>
      </c>
      <c r="AA554" s="9">
        <v>0</v>
      </c>
      <c r="AB554" s="9">
        <v>0</v>
      </c>
      <c r="AC554" s="9">
        <v>0</v>
      </c>
      <c r="AD554" s="9">
        <v>3</v>
      </c>
      <c r="AE554" s="9" t="s">
        <v>139</v>
      </c>
      <c r="AF554" s="9" t="s">
        <v>4540</v>
      </c>
      <c r="AG554" s="9" t="s">
        <v>4541</v>
      </c>
      <c r="AH554" s="9">
        <v>6.2256070000000001</v>
      </c>
      <c r="AI554" s="9">
        <v>-75.599148999999997</v>
      </c>
      <c r="AJ554" s="9" t="s">
        <v>4542</v>
      </c>
      <c r="AK554" s="9">
        <v>6.2616579999999997</v>
      </c>
      <c r="AL554" s="9">
        <v>-75.556608999999995</v>
      </c>
      <c r="AM554" s="26">
        <f t="shared" si="9"/>
        <v>4.6631944444444441E-2</v>
      </c>
    </row>
    <row r="555" spans="1:40" ht="15" x14ac:dyDescent="0.25">
      <c r="A555" s="9" t="s">
        <v>4543</v>
      </c>
      <c r="B555" s="9" t="s">
        <v>4544</v>
      </c>
      <c r="C555" s="9" t="s">
        <v>4545</v>
      </c>
      <c r="D555" s="9" t="s">
        <v>4466</v>
      </c>
      <c r="E555" s="9" t="s">
        <v>2619</v>
      </c>
      <c r="F555" s="9" t="s">
        <v>37</v>
      </c>
      <c r="G555" s="9" t="s">
        <v>72</v>
      </c>
      <c r="H555" s="9" t="s">
        <v>73</v>
      </c>
      <c r="I555" s="9" t="s">
        <v>115</v>
      </c>
      <c r="J555" s="9">
        <v>4026</v>
      </c>
      <c r="K555" s="9" t="s">
        <v>4546</v>
      </c>
      <c r="L555" s="9" t="s">
        <v>117</v>
      </c>
      <c r="M555" s="10">
        <v>5.8576388888888893E-2</v>
      </c>
      <c r="N555" s="9" t="s">
        <v>127</v>
      </c>
      <c r="O555" s="9" t="s">
        <v>4547</v>
      </c>
      <c r="P555" s="9" t="s">
        <v>119</v>
      </c>
      <c r="Q555" s="10">
        <v>6.7314814814814813E-2</v>
      </c>
      <c r="R555" s="9" t="s">
        <v>56</v>
      </c>
      <c r="S555" s="10">
        <v>0.24126157407407409</v>
      </c>
      <c r="T555" s="9">
        <v>55</v>
      </c>
      <c r="U555" s="9">
        <v>13.72</v>
      </c>
      <c r="V555" s="10">
        <v>0.16703703703703701</v>
      </c>
      <c r="W555" s="10">
        <v>9.4247685185185184E-2</v>
      </c>
      <c r="X555" s="10">
        <v>0</v>
      </c>
      <c r="Y555" s="9">
        <v>0</v>
      </c>
      <c r="Z555" s="9">
        <v>0</v>
      </c>
      <c r="AA555" s="9">
        <v>0</v>
      </c>
      <c r="AB555" s="9">
        <v>0</v>
      </c>
      <c r="AC555" s="9">
        <v>0</v>
      </c>
      <c r="AD555" s="9">
        <v>0</v>
      </c>
      <c r="AE555" s="9" t="s">
        <v>139</v>
      </c>
      <c r="AF555" s="9" t="s">
        <v>4548</v>
      </c>
      <c r="AG555" s="9" t="s">
        <v>4549</v>
      </c>
      <c r="AH555" s="9">
        <v>6.2255330000000004</v>
      </c>
      <c r="AI555" s="9">
        <v>-75.599143999999995</v>
      </c>
      <c r="AJ555" s="9" t="s">
        <v>4550</v>
      </c>
      <c r="AK555" s="9">
        <v>6.2369719999999997</v>
      </c>
      <c r="AL555" s="9">
        <v>-75.558848999999995</v>
      </c>
      <c r="AM555" s="26">
        <f t="shared" si="9"/>
        <v>6.7314814814814813E-2</v>
      </c>
    </row>
    <row r="556" spans="1:40" ht="15" x14ac:dyDescent="0.25">
      <c r="A556" s="9" t="s">
        <v>4551</v>
      </c>
      <c r="B556" s="9" t="s">
        <v>4552</v>
      </c>
      <c r="C556" s="9" t="s">
        <v>4553</v>
      </c>
      <c r="D556" s="9" t="s">
        <v>4466</v>
      </c>
      <c r="E556" s="9" t="s">
        <v>2619</v>
      </c>
      <c r="F556" s="9" t="s">
        <v>37</v>
      </c>
      <c r="G556" s="9" t="s">
        <v>80</v>
      </c>
      <c r="H556" s="9" t="s">
        <v>81</v>
      </c>
      <c r="I556" s="9" t="s">
        <v>115</v>
      </c>
      <c r="J556" s="9">
        <v>6866</v>
      </c>
      <c r="K556" s="9" t="s">
        <v>4554</v>
      </c>
      <c r="L556" s="9" t="s">
        <v>117</v>
      </c>
      <c r="M556" s="10">
        <v>4.7093217592592593E-2</v>
      </c>
      <c r="N556" s="9" t="s">
        <v>127</v>
      </c>
      <c r="O556" s="9" t="s">
        <v>4555</v>
      </c>
      <c r="P556" s="9" t="s">
        <v>119</v>
      </c>
      <c r="Q556" s="10">
        <v>4.7962037037037036E-3</v>
      </c>
      <c r="R556" s="9" t="s">
        <v>46</v>
      </c>
      <c r="S556" s="10">
        <v>0.2922970138888889</v>
      </c>
      <c r="T556" s="9">
        <v>56.264000000000003</v>
      </c>
      <c r="U556" s="9">
        <v>20.69</v>
      </c>
      <c r="V556" s="10">
        <v>0.1132882175925925</v>
      </c>
      <c r="W556" s="10">
        <v>4.4533043981481488E-2</v>
      </c>
      <c r="X556" s="10">
        <v>0</v>
      </c>
      <c r="Y556" s="9">
        <v>0</v>
      </c>
      <c r="Z556" s="9">
        <v>0</v>
      </c>
      <c r="AA556" s="9">
        <v>0</v>
      </c>
      <c r="AB556" s="9">
        <v>0</v>
      </c>
      <c r="AC556" s="9">
        <v>0</v>
      </c>
      <c r="AD556" s="9">
        <v>9</v>
      </c>
      <c r="AE556" s="9" t="s">
        <v>139</v>
      </c>
      <c r="AF556" s="9" t="s">
        <v>4556</v>
      </c>
      <c r="AG556" s="9" t="s">
        <v>4557</v>
      </c>
      <c r="AH556" s="9">
        <v>6.2256169999999997</v>
      </c>
      <c r="AI556" s="9">
        <v>-75.599435999999997</v>
      </c>
      <c r="AJ556" s="9" t="s">
        <v>4558</v>
      </c>
      <c r="AK556" s="9">
        <v>6.2554189999999998</v>
      </c>
      <c r="AL556" s="9">
        <v>-75.620418999999998</v>
      </c>
      <c r="AM556" s="26">
        <f t="shared" si="9"/>
        <v>0</v>
      </c>
    </row>
    <row r="557" spans="1:40" ht="15" x14ac:dyDescent="0.25">
      <c r="A557" s="9" t="s">
        <v>4559</v>
      </c>
      <c r="B557" s="9" t="s">
        <v>4560</v>
      </c>
      <c r="C557" s="9" t="s">
        <v>4561</v>
      </c>
      <c r="D557" s="9" t="s">
        <v>4466</v>
      </c>
      <c r="E557" s="9" t="s">
        <v>2619</v>
      </c>
      <c r="F557" s="9" t="s">
        <v>37</v>
      </c>
      <c r="G557" s="9" t="s">
        <v>160</v>
      </c>
      <c r="H557" s="9" t="s">
        <v>161</v>
      </c>
      <c r="I557" s="9" t="s">
        <v>115</v>
      </c>
      <c r="J557" s="9">
        <v>12106</v>
      </c>
      <c r="K557" s="9" t="s">
        <v>4562</v>
      </c>
      <c r="L557" s="9" t="s">
        <v>117</v>
      </c>
      <c r="M557" s="10">
        <v>5.8488194444444447E-2</v>
      </c>
      <c r="N557" s="9" t="s">
        <v>127</v>
      </c>
      <c r="O557" s="9" t="s">
        <v>4563</v>
      </c>
      <c r="P557" s="9" t="s">
        <v>119</v>
      </c>
      <c r="Q557" s="10">
        <v>1.8749999999999998E-5</v>
      </c>
      <c r="R557" s="9" t="s">
        <v>46</v>
      </c>
      <c r="S557" s="10">
        <v>0.30850694444444438</v>
      </c>
      <c r="T557" s="9">
        <v>70.143000000000001</v>
      </c>
      <c r="U557" s="9">
        <v>14.11</v>
      </c>
      <c r="V557" s="10">
        <v>0.2070945833333333</v>
      </c>
      <c r="W557" s="10">
        <v>0.14151591435185179</v>
      </c>
      <c r="X557" s="10">
        <v>0</v>
      </c>
      <c r="Y557" s="9">
        <v>0</v>
      </c>
      <c r="Z557" s="9">
        <v>0</v>
      </c>
      <c r="AA557" s="9">
        <v>0</v>
      </c>
      <c r="AB557" s="9">
        <v>0</v>
      </c>
      <c r="AC557" s="9">
        <v>0</v>
      </c>
      <c r="AD557" s="9">
        <v>4</v>
      </c>
      <c r="AE557" s="9" t="s">
        <v>139</v>
      </c>
      <c r="AF557" s="9" t="s">
        <v>4564</v>
      </c>
      <c r="AG557" s="9" t="s">
        <v>4565</v>
      </c>
      <c r="AH557" s="9">
        <v>6.2255070000000003</v>
      </c>
      <c r="AI557" s="9">
        <v>-75.599450000000004</v>
      </c>
      <c r="AJ557" s="9" t="s">
        <v>4566</v>
      </c>
      <c r="AK557" s="9">
        <v>6.219703</v>
      </c>
      <c r="AL557" s="9">
        <v>-75.576880000000003</v>
      </c>
      <c r="AM557" s="26">
        <f t="shared" si="9"/>
        <v>0</v>
      </c>
    </row>
    <row r="558" spans="1:40" ht="15" x14ac:dyDescent="0.25">
      <c r="A558" s="9" t="s">
        <v>4567</v>
      </c>
      <c r="B558" s="9" t="s">
        <v>4568</v>
      </c>
      <c r="C558" s="9" t="s">
        <v>4569</v>
      </c>
      <c r="D558" s="9" t="s">
        <v>4466</v>
      </c>
      <c r="E558" s="9" t="s">
        <v>2619</v>
      </c>
      <c r="F558" s="9" t="s">
        <v>37</v>
      </c>
      <c r="G558" s="9" t="s">
        <v>97</v>
      </c>
      <c r="H558" s="9" t="s">
        <v>98</v>
      </c>
      <c r="I558" s="9" t="s">
        <v>115</v>
      </c>
      <c r="J558" s="9">
        <v>2679</v>
      </c>
      <c r="K558" s="9" t="s">
        <v>4570</v>
      </c>
      <c r="L558" s="9" t="s">
        <v>117</v>
      </c>
      <c r="M558" s="10">
        <v>5.1793981481481483E-2</v>
      </c>
      <c r="N558" s="9" t="s">
        <v>127</v>
      </c>
      <c r="O558" s="9" t="s">
        <v>4571</v>
      </c>
      <c r="P558" s="9" t="s">
        <v>119</v>
      </c>
      <c r="Q558" s="10">
        <v>4.1087962962962962E-3</v>
      </c>
      <c r="R558" s="9" t="s">
        <v>46</v>
      </c>
      <c r="S558" s="10">
        <v>0.29768518518518522</v>
      </c>
      <c r="T558" s="9">
        <v>35.963000000000001</v>
      </c>
      <c r="U558" s="9">
        <v>8.99</v>
      </c>
      <c r="V558" s="10">
        <v>0.16667824074074081</v>
      </c>
      <c r="W558" s="10">
        <v>0.1171180555555556</v>
      </c>
      <c r="X558" s="10">
        <v>0</v>
      </c>
      <c r="Y558" s="9">
        <v>0</v>
      </c>
      <c r="Z558" s="9">
        <v>0</v>
      </c>
      <c r="AA558" s="9">
        <v>0</v>
      </c>
      <c r="AB558" s="9">
        <v>0</v>
      </c>
      <c r="AC558" s="9">
        <v>0</v>
      </c>
      <c r="AD558" s="9">
        <v>1</v>
      </c>
      <c r="AE558" s="9" t="s">
        <v>139</v>
      </c>
      <c r="AF558" s="9" t="s">
        <v>4572</v>
      </c>
      <c r="AG558" s="9" t="s">
        <v>4573</v>
      </c>
      <c r="AH558" s="9">
        <v>6.2255779999999996</v>
      </c>
      <c r="AI558" s="9">
        <v>-75.599444000000005</v>
      </c>
      <c r="AJ558" s="9" t="s">
        <v>4574</v>
      </c>
      <c r="AK558" s="9">
        <v>6.3078640000000004</v>
      </c>
      <c r="AL558" s="9">
        <v>-75.582019000000003</v>
      </c>
      <c r="AM558" s="26">
        <f t="shared" si="9"/>
        <v>0</v>
      </c>
    </row>
    <row r="559" spans="1:40" ht="15" x14ac:dyDescent="0.25">
      <c r="A559" s="9" t="s">
        <v>4575</v>
      </c>
      <c r="B559" s="9" t="s">
        <v>4576</v>
      </c>
      <c r="C559" s="9" t="s">
        <v>4577</v>
      </c>
      <c r="D559" s="9" t="s">
        <v>4578</v>
      </c>
      <c r="E559" s="9" t="s">
        <v>2619</v>
      </c>
      <c r="F559" s="9" t="s">
        <v>169</v>
      </c>
      <c r="G559" s="9" t="s">
        <v>52</v>
      </c>
      <c r="H559" s="9" t="s">
        <v>53</v>
      </c>
      <c r="I559" s="9" t="s">
        <v>40</v>
      </c>
      <c r="J559" s="9">
        <v>2284</v>
      </c>
      <c r="K559" s="9" t="s">
        <v>4579</v>
      </c>
      <c r="L559" s="9" t="s">
        <v>42</v>
      </c>
      <c r="M559" s="10">
        <v>2.0810185185185189E-2</v>
      </c>
      <c r="N559" s="9" t="s">
        <v>127</v>
      </c>
      <c r="O559" s="9" t="s">
        <v>4580</v>
      </c>
      <c r="P559" s="9" t="s">
        <v>45</v>
      </c>
      <c r="Q559" s="10">
        <v>1.168981481481482E-3</v>
      </c>
      <c r="R559" s="9" t="s">
        <v>46</v>
      </c>
      <c r="S559" s="10">
        <v>0.35531249999999998</v>
      </c>
      <c r="T559" s="9">
        <v>28.311</v>
      </c>
      <c r="U559" s="9">
        <v>4.91</v>
      </c>
      <c r="V559" s="10">
        <v>0.240474537037037</v>
      </c>
      <c r="W559" s="10">
        <v>0.19496527777777781</v>
      </c>
      <c r="X559" s="10">
        <v>0</v>
      </c>
      <c r="Y559" s="9">
        <v>0</v>
      </c>
      <c r="Z559" s="9">
        <v>0</v>
      </c>
      <c r="AA559" s="9">
        <v>0</v>
      </c>
      <c r="AB559" s="9">
        <v>0</v>
      </c>
      <c r="AC559" s="9">
        <v>0</v>
      </c>
      <c r="AD559" s="9">
        <v>2</v>
      </c>
      <c r="AE559" s="9" t="s">
        <v>139</v>
      </c>
      <c r="AF559" s="9" t="s">
        <v>4581</v>
      </c>
      <c r="AG559" s="9" t="s">
        <v>4582</v>
      </c>
      <c r="AH559" s="9">
        <v>6.2256970000000003</v>
      </c>
      <c r="AI559" s="9">
        <v>-75.599361000000002</v>
      </c>
      <c r="AJ559" s="9" t="s">
        <v>4583</v>
      </c>
      <c r="AK559" s="9">
        <v>6.2477960000000001</v>
      </c>
      <c r="AL559" s="9">
        <v>-75.615071999999998</v>
      </c>
      <c r="AM559" s="26">
        <f t="shared" si="9"/>
        <v>0</v>
      </c>
    </row>
    <row r="560" spans="1:40" ht="15" x14ac:dyDescent="0.25">
      <c r="A560" s="9" t="s">
        <v>4584</v>
      </c>
      <c r="B560" s="9" t="s">
        <v>4585</v>
      </c>
      <c r="C560" s="9" t="s">
        <v>4586</v>
      </c>
      <c r="D560" s="9" t="s">
        <v>4578</v>
      </c>
      <c r="E560" s="9" t="s">
        <v>2619</v>
      </c>
      <c r="F560" s="9" t="s">
        <v>169</v>
      </c>
      <c r="G560" s="9" t="s">
        <v>62</v>
      </c>
      <c r="H560" s="9" t="s">
        <v>63</v>
      </c>
      <c r="I560" s="9" t="s">
        <v>40</v>
      </c>
      <c r="J560" s="9">
        <v>1296</v>
      </c>
      <c r="K560" s="9" t="s">
        <v>4587</v>
      </c>
      <c r="L560" s="9" t="s">
        <v>42</v>
      </c>
      <c r="M560" s="10">
        <v>9.4444444444444445E-3</v>
      </c>
      <c r="N560" s="9" t="s">
        <v>65</v>
      </c>
      <c r="O560" s="9" t="s">
        <v>4588</v>
      </c>
      <c r="P560" s="9" t="s">
        <v>45</v>
      </c>
      <c r="Q560" s="10">
        <v>0.1170601851851852</v>
      </c>
      <c r="R560" s="9" t="s">
        <v>56</v>
      </c>
      <c r="S560" s="10">
        <v>0.20682870370370371</v>
      </c>
      <c r="T560" s="9">
        <v>17.535</v>
      </c>
      <c r="U560" s="9">
        <v>4.12</v>
      </c>
      <c r="V560" s="10">
        <v>0.1774189814814815</v>
      </c>
      <c r="W560" s="10">
        <v>0.14685185185185179</v>
      </c>
      <c r="X560" s="10">
        <v>0</v>
      </c>
      <c r="Y560" s="9">
        <v>0</v>
      </c>
      <c r="Z560" s="9">
        <v>0</v>
      </c>
      <c r="AA560" s="9">
        <v>0</v>
      </c>
      <c r="AB560" s="9">
        <v>0</v>
      </c>
      <c r="AC560" s="9">
        <v>0</v>
      </c>
      <c r="AD560" s="9">
        <v>4</v>
      </c>
      <c r="AE560" s="9" t="s">
        <v>67</v>
      </c>
      <c r="AF560" s="9" t="s">
        <v>4589</v>
      </c>
      <c r="AG560" s="9" t="s">
        <v>4590</v>
      </c>
      <c r="AH560" s="9">
        <v>6.2257410000000002</v>
      </c>
      <c r="AI560" s="9">
        <v>-75.599435999999997</v>
      </c>
      <c r="AJ560" s="9" t="s">
        <v>4591</v>
      </c>
      <c r="AK560" s="9">
        <v>6.2495240000000001</v>
      </c>
      <c r="AL560" s="9">
        <v>-75.553972999999999</v>
      </c>
      <c r="AM560" s="26">
        <f t="shared" si="9"/>
        <v>0.1170601851851852</v>
      </c>
    </row>
    <row r="561" spans="1:39" ht="15" x14ac:dyDescent="0.25">
      <c r="A561" s="9" t="s">
        <v>4592</v>
      </c>
      <c r="B561" s="9" t="s">
        <v>4593</v>
      </c>
      <c r="C561" s="9" t="s">
        <v>4594</v>
      </c>
      <c r="D561" s="9" t="s">
        <v>4578</v>
      </c>
      <c r="E561" s="9" t="s">
        <v>2619</v>
      </c>
      <c r="F561" s="9" t="s">
        <v>169</v>
      </c>
      <c r="G561" s="9" t="s">
        <v>144</v>
      </c>
      <c r="H561" s="9" t="s">
        <v>145</v>
      </c>
      <c r="I561" s="9" t="s">
        <v>40</v>
      </c>
      <c r="J561" s="9">
        <v>3765</v>
      </c>
      <c r="K561" s="9" t="s">
        <v>4595</v>
      </c>
      <c r="L561" s="9" t="s">
        <v>42</v>
      </c>
      <c r="M561" s="10">
        <v>4.2372685185185187E-2</v>
      </c>
      <c r="N561" s="9" t="s">
        <v>127</v>
      </c>
      <c r="O561" s="9" t="s">
        <v>4596</v>
      </c>
      <c r="P561" s="9" t="s">
        <v>45</v>
      </c>
      <c r="Q561" s="10">
        <v>1.545138888888889E-2</v>
      </c>
      <c r="R561" s="9" t="s">
        <v>56</v>
      </c>
      <c r="S561" s="10">
        <v>0.36025462962962962</v>
      </c>
      <c r="T561" s="9">
        <v>47.948</v>
      </c>
      <c r="U561" s="9">
        <v>7.79</v>
      </c>
      <c r="V561" s="10">
        <v>0.2565972222222222</v>
      </c>
      <c r="W561" s="10">
        <v>0.1600694444444444</v>
      </c>
      <c r="X561" s="10">
        <v>1.0092592592592591E-2</v>
      </c>
      <c r="Y561" s="9">
        <v>1</v>
      </c>
      <c r="Z561" s="9">
        <v>0</v>
      </c>
      <c r="AA561" s="9">
        <v>0</v>
      </c>
      <c r="AB561" s="9">
        <v>0</v>
      </c>
      <c r="AC561" s="9">
        <v>0</v>
      </c>
      <c r="AD561" s="9">
        <v>0</v>
      </c>
      <c r="AE561" s="9" t="s">
        <v>139</v>
      </c>
      <c r="AF561" s="9" t="s">
        <v>4597</v>
      </c>
      <c r="AG561" s="9" t="s">
        <v>4598</v>
      </c>
      <c r="AH561" s="9">
        <v>6.2905069999999998</v>
      </c>
      <c r="AI561" s="9">
        <v>-75.546367000000004</v>
      </c>
      <c r="AJ561" s="9" t="s">
        <v>4599</v>
      </c>
      <c r="AK561" s="9">
        <v>6.2728479999999998</v>
      </c>
      <c r="AL561" s="9">
        <v>-75.574400999999995</v>
      </c>
      <c r="AM561" s="26">
        <f t="shared" si="9"/>
        <v>1.545138888888889E-2</v>
      </c>
    </row>
    <row r="562" spans="1:39" ht="15" x14ac:dyDescent="0.25">
      <c r="A562" s="9" t="s">
        <v>4605</v>
      </c>
      <c r="B562" s="9" t="s">
        <v>4606</v>
      </c>
      <c r="C562" s="9" t="s">
        <v>4607</v>
      </c>
      <c r="D562" s="9" t="s">
        <v>4578</v>
      </c>
      <c r="E562" s="9" t="s">
        <v>2619</v>
      </c>
      <c r="F562" s="9" t="s">
        <v>169</v>
      </c>
      <c r="G562" s="9" t="s">
        <v>152</v>
      </c>
      <c r="H562" s="9" t="s">
        <v>153</v>
      </c>
      <c r="I562" s="9" t="s">
        <v>40</v>
      </c>
      <c r="J562" s="9">
        <v>2490</v>
      </c>
      <c r="K562" s="9" t="s">
        <v>4608</v>
      </c>
      <c r="L562" s="9" t="s">
        <v>42</v>
      </c>
      <c r="M562" s="10">
        <v>4.9652777777777777E-3</v>
      </c>
      <c r="N562" s="9" t="s">
        <v>65</v>
      </c>
      <c r="O562" s="9" t="s">
        <v>4609</v>
      </c>
      <c r="P562" s="9" t="s">
        <v>45</v>
      </c>
      <c r="Q562" s="10">
        <v>1.699074074074074E-2</v>
      </c>
      <c r="R562" s="9" t="s">
        <v>56</v>
      </c>
      <c r="S562" s="10">
        <v>0.3213078703703704</v>
      </c>
      <c r="T562" s="9">
        <v>33.531999999999996</v>
      </c>
      <c r="U562" s="9">
        <v>6.03</v>
      </c>
      <c r="V562" s="10">
        <v>0.23166666666666669</v>
      </c>
      <c r="W562" s="10">
        <v>0.1847569444444444</v>
      </c>
      <c r="X562" s="10">
        <v>0</v>
      </c>
      <c r="Y562" s="9">
        <v>0</v>
      </c>
      <c r="Z562" s="9">
        <v>0</v>
      </c>
      <c r="AA562" s="9">
        <v>0</v>
      </c>
      <c r="AB562" s="9">
        <v>0</v>
      </c>
      <c r="AC562" s="9">
        <v>0</v>
      </c>
      <c r="AD562" s="9">
        <v>0</v>
      </c>
      <c r="AE562" s="9" t="s">
        <v>67</v>
      </c>
      <c r="AF562" s="9" t="s">
        <v>4610</v>
      </c>
      <c r="AG562" s="9" t="s">
        <v>4611</v>
      </c>
      <c r="AH562" s="9">
        <v>6.2256720000000003</v>
      </c>
      <c r="AI562" s="9">
        <v>-75.599391999999995</v>
      </c>
      <c r="AJ562" s="9" t="s">
        <v>4612</v>
      </c>
      <c r="AK562" s="9">
        <v>6.2517230000000001</v>
      </c>
      <c r="AL562" s="9">
        <v>-75.551834999999997</v>
      </c>
      <c r="AM562" s="26">
        <f t="shared" si="9"/>
        <v>1.699074074074074E-2</v>
      </c>
    </row>
    <row r="563" spans="1:39" ht="15" x14ac:dyDescent="0.25">
      <c r="A563" s="9" t="s">
        <v>4613</v>
      </c>
      <c r="B563" s="9" t="s">
        <v>4614</v>
      </c>
      <c r="C563" s="9" t="s">
        <v>4615</v>
      </c>
      <c r="D563" s="9" t="s">
        <v>4578</v>
      </c>
      <c r="E563" s="9" t="s">
        <v>2619</v>
      </c>
      <c r="F563" s="9" t="s">
        <v>169</v>
      </c>
      <c r="G563" s="9" t="s">
        <v>89</v>
      </c>
      <c r="H563" s="9" t="s">
        <v>90</v>
      </c>
      <c r="I563" s="9" t="s">
        <v>40</v>
      </c>
      <c r="J563" s="9">
        <v>2791</v>
      </c>
      <c r="K563" s="9" t="s">
        <v>4616</v>
      </c>
      <c r="L563" s="9" t="s">
        <v>42</v>
      </c>
      <c r="M563" s="10">
        <v>7.9861111111111105E-3</v>
      </c>
      <c r="N563" s="9" t="s">
        <v>65</v>
      </c>
      <c r="O563" s="9" t="s">
        <v>4617</v>
      </c>
      <c r="P563" s="9" t="s">
        <v>45</v>
      </c>
      <c r="Q563" s="10">
        <v>1.3472222222222221E-2</v>
      </c>
      <c r="R563" s="9" t="s">
        <v>56</v>
      </c>
      <c r="S563" s="10">
        <v>0.31187500000000001</v>
      </c>
      <c r="T563" s="9">
        <v>38.94</v>
      </c>
      <c r="U563" s="9">
        <v>6.99</v>
      </c>
      <c r="V563" s="10">
        <v>0.23203703703703699</v>
      </c>
      <c r="W563" s="10">
        <v>0.1537847222222222</v>
      </c>
      <c r="X563" s="10">
        <v>0</v>
      </c>
      <c r="Y563" s="9">
        <v>0</v>
      </c>
      <c r="Z563" s="9">
        <v>0</v>
      </c>
      <c r="AA563" s="9">
        <v>0</v>
      </c>
      <c r="AB563" s="9">
        <v>0</v>
      </c>
      <c r="AC563" s="9">
        <v>0</v>
      </c>
      <c r="AD563" s="9">
        <v>1</v>
      </c>
      <c r="AE563" s="9" t="s">
        <v>67</v>
      </c>
      <c r="AF563" s="9" t="s">
        <v>4618</v>
      </c>
      <c r="AG563" s="9" t="s">
        <v>4619</v>
      </c>
      <c r="AH563" s="9">
        <v>6.2256520000000002</v>
      </c>
      <c r="AI563" s="9">
        <v>-75.599468000000002</v>
      </c>
      <c r="AJ563" s="9" t="s">
        <v>4620</v>
      </c>
      <c r="AK563" s="9">
        <v>6.2469130000000002</v>
      </c>
      <c r="AL563" s="9">
        <v>-75.569755999999998</v>
      </c>
      <c r="AM563" s="26">
        <f t="shared" si="9"/>
        <v>1.3472222222222221E-2</v>
      </c>
    </row>
    <row r="564" spans="1:39" ht="15" x14ac:dyDescent="0.25">
      <c r="A564" s="9" t="s">
        <v>4621</v>
      </c>
      <c r="B564" s="9" t="s">
        <v>4622</v>
      </c>
      <c r="C564" s="9" t="s">
        <v>4623</v>
      </c>
      <c r="D564" s="9" t="s">
        <v>4578</v>
      </c>
      <c r="E564" s="9" t="s">
        <v>2619</v>
      </c>
      <c r="F564" s="9" t="s">
        <v>169</v>
      </c>
      <c r="G564" s="9" t="s">
        <v>38</v>
      </c>
      <c r="H564" s="9" t="s">
        <v>39</v>
      </c>
      <c r="I564" s="9" t="s">
        <v>40</v>
      </c>
      <c r="J564" s="9">
        <v>2030</v>
      </c>
      <c r="K564" s="9" t="s">
        <v>4600</v>
      </c>
      <c r="L564" s="9" t="s">
        <v>42</v>
      </c>
      <c r="M564" s="10">
        <v>3.0381944444444441E-2</v>
      </c>
      <c r="N564" s="9" t="s">
        <v>43</v>
      </c>
      <c r="O564" s="9" t="s">
        <v>4601</v>
      </c>
      <c r="P564" s="9" t="s">
        <v>45</v>
      </c>
      <c r="Q564" s="10">
        <v>1.4004629629629629E-3</v>
      </c>
      <c r="R564" s="9" t="s">
        <v>46</v>
      </c>
      <c r="S564" s="10">
        <v>0.30435185185185187</v>
      </c>
      <c r="T564" s="9">
        <v>30.99</v>
      </c>
      <c r="U564" s="9">
        <v>6.09</v>
      </c>
      <c r="V564" s="10">
        <v>0.212037037037037</v>
      </c>
      <c r="W564" s="10">
        <v>0.16943287037037039</v>
      </c>
      <c r="X564" s="10">
        <v>5.3379629629629631E-2</v>
      </c>
      <c r="Y564" s="9">
        <v>1</v>
      </c>
      <c r="Z564" s="9">
        <v>1</v>
      </c>
      <c r="AA564" s="9">
        <v>1</v>
      </c>
      <c r="AB564" s="9">
        <v>1</v>
      </c>
      <c r="AC564" s="9">
        <v>1</v>
      </c>
      <c r="AD564" s="9">
        <v>0</v>
      </c>
      <c r="AE564" s="9" t="s">
        <v>47</v>
      </c>
      <c r="AF564" s="9" t="s">
        <v>4602</v>
      </c>
      <c r="AG564" s="9" t="s">
        <v>4603</v>
      </c>
      <c r="AH564" s="9">
        <v>6.2032860000000003</v>
      </c>
      <c r="AI564" s="9">
        <v>-75.600714999999994</v>
      </c>
      <c r="AJ564" s="9" t="s">
        <v>4604</v>
      </c>
      <c r="AK564" s="9">
        <v>6.2217269999999996</v>
      </c>
      <c r="AL564" s="9">
        <v>-75.593839000000003</v>
      </c>
      <c r="AM564" s="26">
        <f t="shared" si="9"/>
        <v>3.0381944444444441E-2</v>
      </c>
    </row>
    <row r="565" spans="1:39" ht="15" x14ac:dyDescent="0.25">
      <c r="A565" s="9" t="s">
        <v>4624</v>
      </c>
      <c r="B565" s="9" t="s">
        <v>4625</v>
      </c>
      <c r="C565" s="9" t="s">
        <v>4626</v>
      </c>
      <c r="D565" s="9" t="s">
        <v>4578</v>
      </c>
      <c r="E565" s="9" t="s">
        <v>2619</v>
      </c>
      <c r="F565" s="9" t="s">
        <v>169</v>
      </c>
      <c r="G565" s="9" t="s">
        <v>113</v>
      </c>
      <c r="H565" s="9" t="s">
        <v>114</v>
      </c>
      <c r="I565" s="9" t="s">
        <v>115</v>
      </c>
      <c r="J565" s="9">
        <v>3053</v>
      </c>
      <c r="K565" s="9" t="s">
        <v>4627</v>
      </c>
      <c r="L565" s="9" t="s">
        <v>117</v>
      </c>
      <c r="M565" s="10">
        <v>9.3749999999999997E-4</v>
      </c>
      <c r="N565" s="9" t="s">
        <v>65</v>
      </c>
      <c r="O565" s="9" t="s">
        <v>4628</v>
      </c>
      <c r="P565" s="9" t="s">
        <v>119</v>
      </c>
      <c r="Q565" s="10">
        <v>5.6250000000000001E-2</v>
      </c>
      <c r="R565" s="9" t="s">
        <v>56</v>
      </c>
      <c r="S565" s="10">
        <v>0.1928125</v>
      </c>
      <c r="T565" s="9">
        <v>39.712000000000003</v>
      </c>
      <c r="U565" s="9">
        <v>13.32</v>
      </c>
      <c r="V565" s="10">
        <v>0.12418981481481479</v>
      </c>
      <c r="W565" s="10">
        <v>4.449074074074074E-2</v>
      </c>
      <c r="X565" s="10">
        <v>0</v>
      </c>
      <c r="Y565" s="9">
        <v>0</v>
      </c>
      <c r="Z565" s="9">
        <v>0</v>
      </c>
      <c r="AA565" s="9">
        <v>0</v>
      </c>
      <c r="AB565" s="9">
        <v>0</v>
      </c>
      <c r="AC565" s="9">
        <v>0</v>
      </c>
      <c r="AD565" s="9">
        <v>0</v>
      </c>
      <c r="AE565" s="9" t="s">
        <v>67</v>
      </c>
      <c r="AF565" s="9" t="s">
        <v>4629</v>
      </c>
      <c r="AG565" s="9" t="s">
        <v>4630</v>
      </c>
      <c r="AH565" s="9">
        <v>6.2542609999999996</v>
      </c>
      <c r="AI565" s="9">
        <v>-75.610567000000003</v>
      </c>
      <c r="AJ565" s="9" t="s">
        <v>4631</v>
      </c>
      <c r="AK565" s="9">
        <v>6.2786530000000003</v>
      </c>
      <c r="AL565" s="9">
        <v>-75.630520000000004</v>
      </c>
      <c r="AM565" s="26">
        <f t="shared" si="9"/>
        <v>5.6250000000000001E-2</v>
      </c>
    </row>
    <row r="566" spans="1:39" ht="15" x14ac:dyDescent="0.25">
      <c r="A566" s="9" t="s">
        <v>4632</v>
      </c>
      <c r="B566" s="9" t="s">
        <v>4633</v>
      </c>
      <c r="C566" s="9" t="s">
        <v>4634</v>
      </c>
      <c r="D566" s="9" t="s">
        <v>4578</v>
      </c>
      <c r="E566" s="9" t="s">
        <v>2619</v>
      </c>
      <c r="F566" s="9" t="s">
        <v>169</v>
      </c>
      <c r="G566" s="9" t="s">
        <v>124</v>
      </c>
      <c r="H566" s="9" t="s">
        <v>125</v>
      </c>
      <c r="I566" s="9" t="s">
        <v>115</v>
      </c>
      <c r="J566" s="9">
        <v>5857</v>
      </c>
      <c r="K566" s="9" t="s">
        <v>4635</v>
      </c>
      <c r="L566" s="9" t="s">
        <v>117</v>
      </c>
      <c r="M566" s="10">
        <v>4.7870370370370369E-2</v>
      </c>
      <c r="N566" s="9" t="s">
        <v>127</v>
      </c>
      <c r="O566" s="9" t="s">
        <v>4636</v>
      </c>
      <c r="P566" s="9" t="s">
        <v>119</v>
      </c>
      <c r="Q566" s="10">
        <v>1.9155092592592592E-2</v>
      </c>
      <c r="R566" s="9" t="s">
        <v>129</v>
      </c>
      <c r="S566" s="10">
        <v>0.31702546296296302</v>
      </c>
      <c r="T566" s="9">
        <v>72.325999999999993</v>
      </c>
      <c r="U566" s="9">
        <v>13.86</v>
      </c>
      <c r="V566" s="10">
        <v>0.2175</v>
      </c>
      <c r="W566" s="10">
        <v>9.4386574074074067E-2</v>
      </c>
      <c r="X566" s="10">
        <v>2.164351851851852E-2</v>
      </c>
      <c r="Y566" s="9">
        <v>1</v>
      </c>
      <c r="Z566" s="9">
        <v>1</v>
      </c>
      <c r="AA566" s="9">
        <v>1</v>
      </c>
      <c r="AB566" s="9">
        <v>0</v>
      </c>
      <c r="AC566" s="9">
        <v>0</v>
      </c>
      <c r="AD566" s="9">
        <v>0</v>
      </c>
      <c r="AE566" s="9" t="s">
        <v>130</v>
      </c>
      <c r="AF566" s="9" t="s">
        <v>4637</v>
      </c>
      <c r="AG566" s="9" t="s">
        <v>4638</v>
      </c>
      <c r="AH566" s="9">
        <v>6.226731</v>
      </c>
      <c r="AI566" s="9">
        <v>-75.599260999999998</v>
      </c>
      <c r="AJ566" s="9" t="s">
        <v>4639</v>
      </c>
      <c r="AK566" s="9">
        <v>6.2725070000000001</v>
      </c>
      <c r="AL566" s="9">
        <v>-75.602221</v>
      </c>
      <c r="AM566" s="26">
        <f t="shared" si="9"/>
        <v>0</v>
      </c>
    </row>
    <row r="567" spans="1:39" ht="15" x14ac:dyDescent="0.25">
      <c r="A567" s="9" t="s">
        <v>4640</v>
      </c>
      <c r="B567" s="9" t="s">
        <v>4641</v>
      </c>
      <c r="C567" s="9" t="s">
        <v>4642</v>
      </c>
      <c r="D567" s="9" t="s">
        <v>4578</v>
      </c>
      <c r="E567" s="9" t="s">
        <v>2619</v>
      </c>
      <c r="F567" s="9" t="s">
        <v>169</v>
      </c>
      <c r="G567" s="9" t="s">
        <v>135</v>
      </c>
      <c r="H567" s="9" t="s">
        <v>136</v>
      </c>
      <c r="I567" s="9" t="s">
        <v>115</v>
      </c>
      <c r="J567" s="9">
        <v>1920</v>
      </c>
      <c r="K567" s="9" t="s">
        <v>4643</v>
      </c>
      <c r="L567" s="9" t="s">
        <v>117</v>
      </c>
      <c r="M567" s="10">
        <v>8.6793981481481486E-2</v>
      </c>
      <c r="N567" s="9" t="s">
        <v>127</v>
      </c>
      <c r="O567" s="9" t="s">
        <v>4644</v>
      </c>
      <c r="P567" s="9" t="s">
        <v>119</v>
      </c>
      <c r="Q567" s="10">
        <v>7.3958333333333333E-3</v>
      </c>
      <c r="R567" s="9" t="s">
        <v>46</v>
      </c>
      <c r="S567" s="10">
        <v>0.32939814814814822</v>
      </c>
      <c r="T567" s="9">
        <v>33.055</v>
      </c>
      <c r="U567" s="9">
        <v>9.39</v>
      </c>
      <c r="V567" s="10">
        <v>0.14673611111111109</v>
      </c>
      <c r="W567" s="10">
        <v>0.1091782407407407</v>
      </c>
      <c r="X567" s="10">
        <v>0</v>
      </c>
      <c r="Y567" s="9">
        <v>0</v>
      </c>
      <c r="Z567" s="9">
        <v>0</v>
      </c>
      <c r="AA567" s="9">
        <v>0</v>
      </c>
      <c r="AB567" s="9">
        <v>0</v>
      </c>
      <c r="AC567" s="9">
        <v>0</v>
      </c>
      <c r="AD567" s="9">
        <v>2</v>
      </c>
      <c r="AE567" s="9" t="s">
        <v>139</v>
      </c>
      <c r="AF567" s="9" t="s">
        <v>4645</v>
      </c>
      <c r="AG567" s="9" t="s">
        <v>4646</v>
      </c>
      <c r="AH567" s="9">
        <v>6.2256830000000001</v>
      </c>
      <c r="AI567" s="9">
        <v>-75.599108999999999</v>
      </c>
      <c r="AJ567" s="9" t="s">
        <v>4647</v>
      </c>
      <c r="AK567" s="9">
        <v>6.2759070000000001</v>
      </c>
      <c r="AL567" s="9">
        <v>-75.603696999999997</v>
      </c>
      <c r="AM567" s="26">
        <f t="shared" si="9"/>
        <v>0</v>
      </c>
    </row>
    <row r="568" spans="1:39" ht="15" x14ac:dyDescent="0.25">
      <c r="A568" s="9" t="s">
        <v>4648</v>
      </c>
      <c r="B568" s="9" t="s">
        <v>4649</v>
      </c>
      <c r="C568" s="9" t="s">
        <v>4650</v>
      </c>
      <c r="D568" s="9" t="s">
        <v>4578</v>
      </c>
      <c r="E568" s="9" t="s">
        <v>2619</v>
      </c>
      <c r="F568" s="9" t="s">
        <v>169</v>
      </c>
      <c r="G568" s="9" t="s">
        <v>72</v>
      </c>
      <c r="H568" s="9" t="s">
        <v>73</v>
      </c>
      <c r="I568" s="9" t="s">
        <v>115</v>
      </c>
      <c r="J568" s="9">
        <v>2654</v>
      </c>
      <c r="K568" s="9" t="s">
        <v>4651</v>
      </c>
      <c r="L568" s="9" t="s">
        <v>117</v>
      </c>
      <c r="M568" s="10">
        <v>5.4745370370370368E-2</v>
      </c>
      <c r="N568" s="9" t="s">
        <v>127</v>
      </c>
      <c r="O568" s="9" t="s">
        <v>4652</v>
      </c>
      <c r="P568" s="9" t="s">
        <v>119</v>
      </c>
      <c r="Q568" s="10">
        <v>4.4537037037037028E-2</v>
      </c>
      <c r="R568" s="9" t="s">
        <v>56</v>
      </c>
      <c r="S568" s="10">
        <v>0.26020833333333332</v>
      </c>
      <c r="T568" s="9">
        <v>38.084000000000003</v>
      </c>
      <c r="U568" s="9">
        <v>8.34</v>
      </c>
      <c r="V568" s="10">
        <v>0.19018518518518521</v>
      </c>
      <c r="W568" s="10">
        <v>0.143587962962963</v>
      </c>
      <c r="X568" s="10">
        <v>0</v>
      </c>
      <c r="Y568" s="9">
        <v>0</v>
      </c>
      <c r="Z568" s="9">
        <v>0</v>
      </c>
      <c r="AA568" s="9">
        <v>0</v>
      </c>
      <c r="AB568" s="9">
        <v>0</v>
      </c>
      <c r="AC568" s="9">
        <v>0</v>
      </c>
      <c r="AD568" s="9">
        <v>2</v>
      </c>
      <c r="AE568" s="9" t="s">
        <v>139</v>
      </c>
      <c r="AF568" s="9" t="s">
        <v>4653</v>
      </c>
      <c r="AG568" s="9" t="s">
        <v>4654</v>
      </c>
      <c r="AH568" s="9">
        <v>6.2256020000000003</v>
      </c>
      <c r="AI568" s="9">
        <v>-75.599429999999998</v>
      </c>
      <c r="AJ568" s="9" t="s">
        <v>4655</v>
      </c>
      <c r="AK568" s="9">
        <v>6.2370289999999997</v>
      </c>
      <c r="AL568" s="9">
        <v>-75.558806000000004</v>
      </c>
      <c r="AM568" s="26">
        <f t="shared" si="9"/>
        <v>4.4537037037037028E-2</v>
      </c>
    </row>
    <row r="569" spans="1:39" ht="15" x14ac:dyDescent="0.25">
      <c r="A569" s="9" t="s">
        <v>4656</v>
      </c>
      <c r="B569" s="9" t="s">
        <v>4657</v>
      </c>
      <c r="C569" s="9" t="s">
        <v>4658</v>
      </c>
      <c r="D569" s="9" t="s">
        <v>4578</v>
      </c>
      <c r="E569" s="9" t="s">
        <v>2619</v>
      </c>
      <c r="F569" s="9" t="s">
        <v>169</v>
      </c>
      <c r="G569" s="9" t="s">
        <v>80</v>
      </c>
      <c r="H569" s="9" t="s">
        <v>81</v>
      </c>
      <c r="I569" s="9" t="s">
        <v>115</v>
      </c>
      <c r="J569" s="9">
        <v>5763</v>
      </c>
      <c r="K569" s="9" t="s">
        <v>4659</v>
      </c>
      <c r="L569" s="9" t="s">
        <v>117</v>
      </c>
      <c r="M569" s="10">
        <v>2.4879166666666661E-3</v>
      </c>
      <c r="N569" s="9" t="s">
        <v>65</v>
      </c>
      <c r="O569" s="9" t="s">
        <v>4660</v>
      </c>
      <c r="P569" s="9" t="s">
        <v>119</v>
      </c>
      <c r="Q569" s="10">
        <v>6.0653009259259262E-3</v>
      </c>
      <c r="R569" s="9" t="s">
        <v>46</v>
      </c>
      <c r="S569" s="10">
        <v>0.24642261574074081</v>
      </c>
      <c r="T569" s="9">
        <v>48.384</v>
      </c>
      <c r="U569" s="9">
        <v>13.58</v>
      </c>
      <c r="V569" s="10">
        <v>0.1484798379629631</v>
      </c>
      <c r="W569" s="10">
        <v>9.0937037037037011E-2</v>
      </c>
      <c r="X569" s="10">
        <v>0</v>
      </c>
      <c r="Y569" s="9">
        <v>0</v>
      </c>
      <c r="Z569" s="9">
        <v>0</v>
      </c>
      <c r="AA569" s="9">
        <v>0</v>
      </c>
      <c r="AB569" s="9">
        <v>0</v>
      </c>
      <c r="AC569" s="9">
        <v>0</v>
      </c>
      <c r="AD569" s="9">
        <v>4</v>
      </c>
      <c r="AE569" s="9" t="s">
        <v>84</v>
      </c>
      <c r="AF569" s="9" t="s">
        <v>1602</v>
      </c>
      <c r="AG569" s="9" t="s">
        <v>4661</v>
      </c>
      <c r="AH569" s="9">
        <v>6.2124959999999998</v>
      </c>
      <c r="AI569" s="9">
        <v>-75.594095999999993</v>
      </c>
      <c r="AJ569" s="9" t="s">
        <v>4662</v>
      </c>
      <c r="AK569" s="9">
        <v>6.2592239999999997</v>
      </c>
      <c r="AL569" s="9">
        <v>-75.620929000000004</v>
      </c>
      <c r="AM569" s="26">
        <f t="shared" si="9"/>
        <v>0</v>
      </c>
    </row>
    <row r="570" spans="1:39" ht="15" x14ac:dyDescent="0.25">
      <c r="A570" s="9" t="s">
        <v>4663</v>
      </c>
      <c r="B570" s="9" t="s">
        <v>4664</v>
      </c>
      <c r="C570" s="9" t="s">
        <v>4665</v>
      </c>
      <c r="D570" s="9" t="s">
        <v>4578</v>
      </c>
      <c r="E570" s="9" t="s">
        <v>2619</v>
      </c>
      <c r="F570" s="9" t="s">
        <v>169</v>
      </c>
      <c r="G570" s="9" t="s">
        <v>97</v>
      </c>
      <c r="H570" s="9" t="s">
        <v>98</v>
      </c>
      <c r="I570" s="9" t="s">
        <v>115</v>
      </c>
      <c r="J570" s="9">
        <v>2700</v>
      </c>
      <c r="K570" s="9" t="s">
        <v>4666</v>
      </c>
      <c r="L570" s="9" t="s">
        <v>117</v>
      </c>
      <c r="M570" s="10">
        <v>5.4120370370370367E-2</v>
      </c>
      <c r="N570" s="9" t="s">
        <v>127</v>
      </c>
      <c r="O570" s="9" t="s">
        <v>4667</v>
      </c>
      <c r="P570" s="9" t="s">
        <v>119</v>
      </c>
      <c r="Q570" s="10">
        <v>3.1909722222222221E-2</v>
      </c>
      <c r="R570" s="9" t="s">
        <v>56</v>
      </c>
      <c r="S570" s="10">
        <v>0.27221064814814822</v>
      </c>
      <c r="T570" s="9">
        <v>35.438000000000002</v>
      </c>
      <c r="U570" s="9">
        <v>9.61</v>
      </c>
      <c r="V570" s="10">
        <v>0.15357638888888889</v>
      </c>
      <c r="W570" s="10">
        <v>8.6539351851851853E-2</v>
      </c>
      <c r="X570" s="10">
        <v>0</v>
      </c>
      <c r="Y570" s="9">
        <v>0</v>
      </c>
      <c r="Z570" s="9">
        <v>0</v>
      </c>
      <c r="AA570" s="9">
        <v>0</v>
      </c>
      <c r="AB570" s="9">
        <v>0</v>
      </c>
      <c r="AC570" s="9">
        <v>0</v>
      </c>
      <c r="AD570" s="9">
        <v>0</v>
      </c>
      <c r="AE570" s="9" t="s">
        <v>139</v>
      </c>
      <c r="AF570" s="9" t="s">
        <v>4668</v>
      </c>
      <c r="AG570" s="9" t="s">
        <v>4669</v>
      </c>
      <c r="AH570" s="9">
        <v>6.2257110000000004</v>
      </c>
      <c r="AI570" s="9">
        <v>-75.599411000000003</v>
      </c>
      <c r="AJ570" s="9" t="s">
        <v>4670</v>
      </c>
      <c r="AK570" s="9">
        <v>6.3069509999999998</v>
      </c>
      <c r="AL570" s="9">
        <v>-75.576644000000002</v>
      </c>
      <c r="AM570" s="26">
        <f t="shared" si="9"/>
        <v>3.1909722222222221E-2</v>
      </c>
    </row>
    <row r="571" spans="1:39" ht="15" x14ac:dyDescent="0.25">
      <c r="A571" s="1" t="s">
        <v>4675</v>
      </c>
      <c r="B571" s="1" t="s">
        <v>4676</v>
      </c>
      <c r="C571" s="1" t="s">
        <v>4677</v>
      </c>
      <c r="D571" s="1" t="s">
        <v>4578</v>
      </c>
      <c r="E571" s="1" t="s">
        <v>2619</v>
      </c>
      <c r="F571" s="1" t="s">
        <v>169</v>
      </c>
      <c r="G571" s="1" t="s">
        <v>160</v>
      </c>
      <c r="H571" s="1" t="s">
        <v>161</v>
      </c>
      <c r="I571" s="1" t="s">
        <v>115</v>
      </c>
      <c r="J571" s="1">
        <v>12598</v>
      </c>
      <c r="K571" s="1" t="s">
        <v>4671</v>
      </c>
      <c r="L571" s="1" t="s">
        <v>117</v>
      </c>
      <c r="M571" s="38">
        <v>5.2816886574074073E-2</v>
      </c>
      <c r="N571" s="1" t="s">
        <v>127</v>
      </c>
      <c r="O571" s="1" t="s">
        <v>4672</v>
      </c>
      <c r="P571" s="1" t="s">
        <v>119</v>
      </c>
      <c r="Q571" s="38">
        <v>5.743171296296297E-4</v>
      </c>
      <c r="R571" s="1" t="s">
        <v>46</v>
      </c>
      <c r="S571" s="38">
        <v>0.3033912037037037</v>
      </c>
      <c r="T571" s="1">
        <v>86.429000000000002</v>
      </c>
      <c r="U571" s="1">
        <v>16.690000000000001</v>
      </c>
      <c r="V571" s="38">
        <v>0.215773912037037</v>
      </c>
      <c r="W571" s="38">
        <v>0.12236144675925931</v>
      </c>
      <c r="X571" s="38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2</v>
      </c>
      <c r="AE571" s="1" t="s">
        <v>139</v>
      </c>
      <c r="AF571" s="1" t="s">
        <v>4678</v>
      </c>
      <c r="AG571" s="1" t="s">
        <v>4673</v>
      </c>
      <c r="AH571" s="1">
        <v>6.2262820000000003</v>
      </c>
      <c r="AI571" s="1">
        <v>-75.599327000000002</v>
      </c>
      <c r="AJ571" s="1" t="s">
        <v>4674</v>
      </c>
      <c r="AK571" s="1">
        <v>6.2525130000000004</v>
      </c>
      <c r="AL571" s="1">
        <v>-75.582629999999995</v>
      </c>
      <c r="AM571" s="26">
        <f t="shared" si="9"/>
        <v>0</v>
      </c>
    </row>
    <row r="572" spans="1:39" ht="15" x14ac:dyDescent="0.25">
      <c r="A572" s="9" t="s">
        <v>4679</v>
      </c>
      <c r="B572" s="9" t="s">
        <v>4680</v>
      </c>
      <c r="C572" s="9" t="s">
        <v>4681</v>
      </c>
      <c r="D572" s="9" t="s">
        <v>4682</v>
      </c>
      <c r="E572" s="9" t="s">
        <v>2619</v>
      </c>
      <c r="F572" s="9" t="s">
        <v>315</v>
      </c>
      <c r="G572" s="9" t="s">
        <v>52</v>
      </c>
      <c r="H572" s="9" t="s">
        <v>53</v>
      </c>
      <c r="I572" s="9" t="s">
        <v>40</v>
      </c>
      <c r="J572" s="9">
        <v>3570</v>
      </c>
      <c r="K572" s="9" t="s">
        <v>4683</v>
      </c>
      <c r="L572" s="9" t="s">
        <v>42</v>
      </c>
      <c r="M572" s="10">
        <v>1.7824074074074079E-2</v>
      </c>
      <c r="N572" s="9" t="s">
        <v>127</v>
      </c>
      <c r="O572" s="9" t="s">
        <v>4684</v>
      </c>
      <c r="P572" s="9" t="s">
        <v>45</v>
      </c>
      <c r="Q572" s="10">
        <v>1.724537037037037E-3</v>
      </c>
      <c r="R572" s="9" t="s">
        <v>46</v>
      </c>
      <c r="S572" s="10">
        <v>0.35288194444444437</v>
      </c>
      <c r="T572" s="9">
        <v>43.883000000000003</v>
      </c>
      <c r="U572" s="9">
        <v>7.5</v>
      </c>
      <c r="V572" s="10">
        <v>0.2436342592592593</v>
      </c>
      <c r="W572" s="10">
        <v>0.16972222222222219</v>
      </c>
      <c r="X572" s="10">
        <v>0</v>
      </c>
      <c r="Y572" s="9">
        <v>0</v>
      </c>
      <c r="Z572" s="9">
        <v>0</v>
      </c>
      <c r="AA572" s="9">
        <v>0</v>
      </c>
      <c r="AB572" s="9">
        <v>0</v>
      </c>
      <c r="AC572" s="9">
        <v>0</v>
      </c>
      <c r="AD572" s="9">
        <v>2</v>
      </c>
      <c r="AE572" s="9" t="s">
        <v>139</v>
      </c>
      <c r="AF572" s="9" t="s">
        <v>4685</v>
      </c>
      <c r="AG572" s="9" t="s">
        <v>4686</v>
      </c>
      <c r="AH572" s="9">
        <v>6.2256879999999999</v>
      </c>
      <c r="AI572" s="9">
        <v>-75.599429000000001</v>
      </c>
      <c r="AJ572" s="9" t="s">
        <v>4687</v>
      </c>
      <c r="AK572" s="9">
        <v>6.2477479999999996</v>
      </c>
      <c r="AL572" s="9">
        <v>-75.615020999999999</v>
      </c>
      <c r="AM572" s="26">
        <f t="shared" si="9"/>
        <v>0</v>
      </c>
    </row>
    <row r="573" spans="1:39" ht="15" x14ac:dyDescent="0.25">
      <c r="A573" s="9" t="s">
        <v>4688</v>
      </c>
      <c r="B573" s="9" t="s">
        <v>4689</v>
      </c>
      <c r="C573" s="9" t="s">
        <v>4690</v>
      </c>
      <c r="D573" s="9" t="s">
        <v>4682</v>
      </c>
      <c r="E573" s="9" t="s">
        <v>2619</v>
      </c>
      <c r="F573" s="9" t="s">
        <v>315</v>
      </c>
      <c r="G573" s="9" t="s">
        <v>62</v>
      </c>
      <c r="H573" s="9" t="s">
        <v>63</v>
      </c>
      <c r="I573" s="9" t="s">
        <v>40</v>
      </c>
      <c r="J573" s="9">
        <v>1783</v>
      </c>
      <c r="K573" s="9" t="s">
        <v>4691</v>
      </c>
      <c r="L573" s="9" t="s">
        <v>42</v>
      </c>
      <c r="M573" s="10">
        <v>7.6157407407407406E-3</v>
      </c>
      <c r="N573" s="9" t="s">
        <v>65</v>
      </c>
      <c r="O573" s="9" t="s">
        <v>4692</v>
      </c>
      <c r="P573" s="9" t="s">
        <v>45</v>
      </c>
      <c r="Q573" s="10">
        <v>0.14846064814814819</v>
      </c>
      <c r="R573" s="9" t="s">
        <v>56</v>
      </c>
      <c r="S573" s="10">
        <v>0.19248842592592591</v>
      </c>
      <c r="T573" s="9">
        <v>22.878</v>
      </c>
      <c r="U573" s="9">
        <v>6.03</v>
      </c>
      <c r="V573" s="10">
        <v>0.157962962962963</v>
      </c>
      <c r="W573" s="10">
        <v>0.11630787037037039</v>
      </c>
      <c r="X573" s="10">
        <v>0</v>
      </c>
      <c r="Y573" s="9">
        <v>0</v>
      </c>
      <c r="Z573" s="9">
        <v>0</v>
      </c>
      <c r="AA573" s="9">
        <v>0</v>
      </c>
      <c r="AB573" s="9">
        <v>0</v>
      </c>
      <c r="AC573" s="9">
        <v>0</v>
      </c>
      <c r="AD573" s="9">
        <v>0</v>
      </c>
      <c r="AE573" s="9" t="s">
        <v>67</v>
      </c>
      <c r="AF573" s="9" t="s">
        <v>4693</v>
      </c>
      <c r="AG573" s="9" t="s">
        <v>4694</v>
      </c>
      <c r="AH573" s="9">
        <v>6.2256479999999996</v>
      </c>
      <c r="AI573" s="9">
        <v>-75.599158000000003</v>
      </c>
      <c r="AJ573" s="9" t="s">
        <v>4695</v>
      </c>
      <c r="AK573" s="9">
        <v>6.2505369999999996</v>
      </c>
      <c r="AL573" s="9">
        <v>-75.540068000000005</v>
      </c>
      <c r="AM573" s="26">
        <f t="shared" si="9"/>
        <v>0.14846064814814819</v>
      </c>
    </row>
    <row r="574" spans="1:39" ht="15" x14ac:dyDescent="0.25">
      <c r="A574" s="9" t="s">
        <v>4696</v>
      </c>
      <c r="B574" s="9" t="s">
        <v>4697</v>
      </c>
      <c r="C574" s="9" t="s">
        <v>4698</v>
      </c>
      <c r="D574" s="9" t="s">
        <v>4682</v>
      </c>
      <c r="E574" s="9" t="s">
        <v>2619</v>
      </c>
      <c r="F574" s="9" t="s">
        <v>315</v>
      </c>
      <c r="G574" s="9" t="s">
        <v>144</v>
      </c>
      <c r="H574" s="9" t="s">
        <v>145</v>
      </c>
      <c r="I574" s="9" t="s">
        <v>40</v>
      </c>
      <c r="J574" s="9">
        <v>6635</v>
      </c>
      <c r="K574" s="9" t="s">
        <v>4699</v>
      </c>
      <c r="L574" s="9" t="s">
        <v>42</v>
      </c>
      <c r="M574" s="10">
        <v>3.5613425925925923E-2</v>
      </c>
      <c r="N574" s="9" t="s">
        <v>127</v>
      </c>
      <c r="O574" s="9" t="s">
        <v>4700</v>
      </c>
      <c r="P574" s="9" t="s">
        <v>45</v>
      </c>
      <c r="Q574" s="10">
        <v>6.8171296296296296E-3</v>
      </c>
      <c r="R574" s="9" t="s">
        <v>46</v>
      </c>
      <c r="S574" s="10">
        <v>0.36212962962962958</v>
      </c>
      <c r="T574" s="9">
        <v>87.411000000000001</v>
      </c>
      <c r="U574" s="9">
        <v>13.86</v>
      </c>
      <c r="V574" s="10">
        <v>0.26269675925925928</v>
      </c>
      <c r="W574" s="10">
        <v>0.12953703703703701</v>
      </c>
      <c r="X574" s="10">
        <v>0</v>
      </c>
      <c r="Y574" s="9">
        <v>0</v>
      </c>
      <c r="Z574" s="9">
        <v>0</v>
      </c>
      <c r="AA574" s="9">
        <v>0</v>
      </c>
      <c r="AB574" s="9">
        <v>0</v>
      </c>
      <c r="AC574" s="9">
        <v>0</v>
      </c>
      <c r="AD574" s="9">
        <v>0</v>
      </c>
      <c r="AE574" s="9" t="s">
        <v>139</v>
      </c>
      <c r="AF574" s="9" t="s">
        <v>4701</v>
      </c>
      <c r="AG574" s="9" t="s">
        <v>4702</v>
      </c>
      <c r="AH574" s="9">
        <v>6.2906019999999998</v>
      </c>
      <c r="AI574" s="9">
        <v>-75.546312999999998</v>
      </c>
      <c r="AJ574" s="9" t="s">
        <v>4703</v>
      </c>
      <c r="AK574" s="9">
        <v>6.2905090000000001</v>
      </c>
      <c r="AL574" s="9">
        <v>-75.546456000000006</v>
      </c>
      <c r="AM574" s="26">
        <f t="shared" si="9"/>
        <v>0</v>
      </c>
    </row>
    <row r="575" spans="1:39" ht="15" x14ac:dyDescent="0.25">
      <c r="A575" s="9" t="s">
        <v>4704</v>
      </c>
      <c r="B575" s="9" t="s">
        <v>4705</v>
      </c>
      <c r="C575" s="9" t="s">
        <v>4706</v>
      </c>
      <c r="D575" s="9" t="s">
        <v>4682</v>
      </c>
      <c r="E575" s="9" t="s">
        <v>2619</v>
      </c>
      <c r="F575" s="9" t="s">
        <v>315</v>
      </c>
      <c r="G575" s="9" t="s">
        <v>152</v>
      </c>
      <c r="H575" s="9" t="s">
        <v>153</v>
      </c>
      <c r="I575" s="9" t="s">
        <v>40</v>
      </c>
      <c r="J575" s="9">
        <v>3054</v>
      </c>
      <c r="K575" s="9" t="s">
        <v>4707</v>
      </c>
      <c r="L575" s="9" t="s">
        <v>42</v>
      </c>
      <c r="M575" s="10">
        <v>6.9791666666666674E-3</v>
      </c>
      <c r="N575" s="9" t="s">
        <v>65</v>
      </c>
      <c r="O575" s="9" t="s">
        <v>4708</v>
      </c>
      <c r="P575" s="9" t="s">
        <v>45</v>
      </c>
      <c r="Q575" s="10">
        <v>6.8831018518518514E-2</v>
      </c>
      <c r="R575" s="9" t="s">
        <v>56</v>
      </c>
      <c r="S575" s="10">
        <v>0.25752314814814808</v>
      </c>
      <c r="T575" s="9">
        <v>40.926000000000002</v>
      </c>
      <c r="U575" s="9">
        <v>8.35</v>
      </c>
      <c r="V575" s="10">
        <v>0.20429398148148151</v>
      </c>
      <c r="W575" s="10">
        <v>0.14049768518518521</v>
      </c>
      <c r="X575" s="10">
        <v>0</v>
      </c>
      <c r="Y575" s="9">
        <v>0</v>
      </c>
      <c r="Z575" s="9">
        <v>0</v>
      </c>
      <c r="AA575" s="9">
        <v>0</v>
      </c>
      <c r="AB575" s="9">
        <v>0</v>
      </c>
      <c r="AC575" s="9">
        <v>0</v>
      </c>
      <c r="AD575" s="9">
        <v>1</v>
      </c>
      <c r="AE575" s="9" t="s">
        <v>67</v>
      </c>
      <c r="AF575" s="9" t="s">
        <v>4709</v>
      </c>
      <c r="AG575" s="9" t="s">
        <v>4710</v>
      </c>
      <c r="AH575" s="9">
        <v>6.2255820000000002</v>
      </c>
      <c r="AI575" s="9">
        <v>-75.599328</v>
      </c>
      <c r="AJ575" s="9" t="s">
        <v>4711</v>
      </c>
      <c r="AK575" s="9">
        <v>6.2517180000000003</v>
      </c>
      <c r="AL575" s="9">
        <v>-75.551829999999995</v>
      </c>
      <c r="AM575" s="26">
        <f t="shared" si="9"/>
        <v>6.8831018518518514E-2</v>
      </c>
    </row>
    <row r="576" spans="1:39" ht="15" x14ac:dyDescent="0.25">
      <c r="A576" s="9" t="s">
        <v>4712</v>
      </c>
      <c r="B576" s="9" t="s">
        <v>4713</v>
      </c>
      <c r="C576" s="9" t="s">
        <v>4714</v>
      </c>
      <c r="D576" s="9" t="s">
        <v>4682</v>
      </c>
      <c r="E576" s="9" t="s">
        <v>2619</v>
      </c>
      <c r="F576" s="9" t="s">
        <v>315</v>
      </c>
      <c r="G576" s="9" t="s">
        <v>89</v>
      </c>
      <c r="H576" s="9" t="s">
        <v>90</v>
      </c>
      <c r="I576" s="9" t="s">
        <v>40</v>
      </c>
      <c r="J576" s="9">
        <v>1142</v>
      </c>
      <c r="K576" s="9" t="s">
        <v>4715</v>
      </c>
      <c r="L576" s="9" t="s">
        <v>42</v>
      </c>
      <c r="M576" s="10">
        <v>0.12857638888888889</v>
      </c>
      <c r="N576" s="9" t="s">
        <v>43</v>
      </c>
      <c r="O576" s="9" t="s">
        <v>4716</v>
      </c>
      <c r="P576" s="9" t="s">
        <v>45</v>
      </c>
      <c r="Q576" s="10">
        <v>2.05787037037037E-2</v>
      </c>
      <c r="R576" s="9" t="s">
        <v>56</v>
      </c>
      <c r="S576" s="10">
        <v>0.18417824074074071</v>
      </c>
      <c r="T576" s="9">
        <v>12.564</v>
      </c>
      <c r="U576" s="9">
        <v>4.04</v>
      </c>
      <c r="V576" s="10">
        <v>0.12956018518518519</v>
      </c>
      <c r="W576" s="10">
        <v>0.1113773148148148</v>
      </c>
      <c r="X576" s="10">
        <v>0</v>
      </c>
      <c r="Y576" s="9">
        <v>0</v>
      </c>
      <c r="Z576" s="9">
        <v>0</v>
      </c>
      <c r="AA576" s="9">
        <v>0</v>
      </c>
      <c r="AB576" s="9">
        <v>0</v>
      </c>
      <c r="AC576" s="9">
        <v>0</v>
      </c>
      <c r="AD576" s="9">
        <v>0</v>
      </c>
      <c r="AE576" s="9" t="s">
        <v>57</v>
      </c>
      <c r="AF576" s="9" t="s">
        <v>4717</v>
      </c>
      <c r="AG576" s="9" t="s">
        <v>4718</v>
      </c>
      <c r="AH576" s="9">
        <v>6.2263849999999996</v>
      </c>
      <c r="AI576" s="9">
        <v>-75.599298000000005</v>
      </c>
      <c r="AJ576" s="9" t="s">
        <v>4719</v>
      </c>
      <c r="AK576" s="9">
        <v>6.2633169999999998</v>
      </c>
      <c r="AL576" s="9">
        <v>-75.563404000000006</v>
      </c>
      <c r="AM576" s="26">
        <f t="shared" si="9"/>
        <v>0.1491550925925926</v>
      </c>
    </row>
    <row r="577" spans="1:39" ht="15" x14ac:dyDescent="0.25">
      <c r="A577" s="9" t="s">
        <v>4720</v>
      </c>
      <c r="B577" s="9" t="s">
        <v>4721</v>
      </c>
      <c r="C577" s="9" t="s">
        <v>4722</v>
      </c>
      <c r="D577" s="9" t="s">
        <v>4682</v>
      </c>
      <c r="E577" s="9" t="s">
        <v>2619</v>
      </c>
      <c r="F577" s="9" t="s">
        <v>315</v>
      </c>
      <c r="G577" s="9" t="s">
        <v>105</v>
      </c>
      <c r="H577" s="9" t="s">
        <v>106</v>
      </c>
      <c r="I577" s="9" t="s">
        <v>40</v>
      </c>
      <c r="J577" s="9">
        <v>4138</v>
      </c>
      <c r="K577" s="9" t="s">
        <v>4723</v>
      </c>
      <c r="L577" s="9" t="s">
        <v>42</v>
      </c>
      <c r="M577" s="10">
        <v>2.0995370370370369E-2</v>
      </c>
      <c r="N577" s="9" t="s">
        <v>43</v>
      </c>
      <c r="O577" s="9" t="s">
        <v>4724</v>
      </c>
      <c r="P577" s="9" t="s">
        <v>45</v>
      </c>
      <c r="Q577" s="10">
        <v>2.7152777777777779E-2</v>
      </c>
      <c r="R577" s="9" t="s">
        <v>56</v>
      </c>
      <c r="S577" s="10">
        <v>0.28518518518518521</v>
      </c>
      <c r="T577" s="9">
        <v>56.564</v>
      </c>
      <c r="U577" s="9">
        <v>14.31</v>
      </c>
      <c r="V577" s="10">
        <v>0.1647453703703704</v>
      </c>
      <c r="W577" s="10">
        <v>7.9074074074074074E-2</v>
      </c>
      <c r="X577" s="10">
        <v>0</v>
      </c>
      <c r="Y577" s="9">
        <v>0</v>
      </c>
      <c r="Z577" s="9">
        <v>0</v>
      </c>
      <c r="AA577" s="9">
        <v>0</v>
      </c>
      <c r="AB577" s="9">
        <v>0</v>
      </c>
      <c r="AC577" s="9">
        <v>0</v>
      </c>
      <c r="AD577" s="9">
        <v>0</v>
      </c>
      <c r="AE577" s="9" t="s">
        <v>57</v>
      </c>
      <c r="AF577" s="9" t="s">
        <v>4725</v>
      </c>
      <c r="AG577" s="9" t="s">
        <v>4726</v>
      </c>
      <c r="AH577" s="9">
        <v>6.2258380000000004</v>
      </c>
      <c r="AI577" s="9">
        <v>-75.598921000000004</v>
      </c>
      <c r="AJ577" s="9" t="s">
        <v>4727</v>
      </c>
      <c r="AK577" s="9">
        <v>6.2585090000000001</v>
      </c>
      <c r="AL577" s="9">
        <v>-75.616451999999995</v>
      </c>
      <c r="AM577" s="26">
        <f t="shared" si="9"/>
        <v>4.8148148148148148E-2</v>
      </c>
    </row>
    <row r="578" spans="1:39" ht="15" x14ac:dyDescent="0.25">
      <c r="A578" s="9" t="s">
        <v>4728</v>
      </c>
      <c r="B578" s="9" t="s">
        <v>4729</v>
      </c>
      <c r="C578" s="9" t="s">
        <v>4730</v>
      </c>
      <c r="D578" s="9" t="s">
        <v>4682</v>
      </c>
      <c r="E578" s="9" t="s">
        <v>2619</v>
      </c>
      <c r="F578" s="9" t="s">
        <v>315</v>
      </c>
      <c r="G578" s="9" t="s">
        <v>113</v>
      </c>
      <c r="H578" s="9" t="s">
        <v>114</v>
      </c>
      <c r="I578" s="9" t="s">
        <v>115</v>
      </c>
      <c r="J578" s="9">
        <v>1258</v>
      </c>
      <c r="K578" s="9" t="s">
        <v>4731</v>
      </c>
      <c r="L578" s="9" t="s">
        <v>117</v>
      </c>
      <c r="M578" s="10">
        <v>1.4606481481481481E-2</v>
      </c>
      <c r="N578" s="9" t="s">
        <v>43</v>
      </c>
      <c r="O578" s="9" t="s">
        <v>4732</v>
      </c>
      <c r="P578" s="9" t="s">
        <v>119</v>
      </c>
      <c r="Q578" s="10">
        <v>0.1531828703703704</v>
      </c>
      <c r="R578" s="9" t="s">
        <v>56</v>
      </c>
      <c r="S578" s="10">
        <v>8.2210648148148144E-2</v>
      </c>
      <c r="T578" s="9">
        <v>16.428000000000001</v>
      </c>
      <c r="U578" s="9">
        <v>9.64</v>
      </c>
      <c r="V578" s="10">
        <v>7.1006944444444442E-2</v>
      </c>
      <c r="W578" s="10">
        <v>3.9131944444444441E-2</v>
      </c>
      <c r="X578" s="10">
        <v>0</v>
      </c>
      <c r="Y578" s="9">
        <v>0</v>
      </c>
      <c r="Z578" s="9">
        <v>0</v>
      </c>
      <c r="AA578" s="9">
        <v>0</v>
      </c>
      <c r="AB578" s="9">
        <v>0</v>
      </c>
      <c r="AC578" s="9">
        <v>0</v>
      </c>
      <c r="AD578" s="9">
        <v>0</v>
      </c>
      <c r="AE578" s="9" t="s">
        <v>57</v>
      </c>
      <c r="AF578" s="9" t="s">
        <v>4733</v>
      </c>
      <c r="AG578" s="9" t="s">
        <v>4734</v>
      </c>
      <c r="AH578" s="9">
        <v>6.2375350000000003</v>
      </c>
      <c r="AI578" s="9">
        <v>-75.604569999999995</v>
      </c>
      <c r="AJ578" s="9" t="s">
        <v>4735</v>
      </c>
      <c r="AK578" s="9">
        <v>6.2479760000000004</v>
      </c>
      <c r="AL578" s="9">
        <v>-75.588992000000005</v>
      </c>
      <c r="AM578" s="26">
        <f t="shared" si="9"/>
        <v>0.16778935185185187</v>
      </c>
    </row>
    <row r="579" spans="1:39" ht="15" x14ac:dyDescent="0.25">
      <c r="A579" s="9" t="s">
        <v>4736</v>
      </c>
      <c r="B579" s="9" t="s">
        <v>4737</v>
      </c>
      <c r="C579" s="9" t="s">
        <v>4738</v>
      </c>
      <c r="D579" s="9" t="s">
        <v>4682</v>
      </c>
      <c r="E579" s="9" t="s">
        <v>2619</v>
      </c>
      <c r="F579" s="9" t="s">
        <v>315</v>
      </c>
      <c r="G579" s="9" t="s">
        <v>124</v>
      </c>
      <c r="H579" s="9" t="s">
        <v>125</v>
      </c>
      <c r="I579" s="9" t="s">
        <v>115</v>
      </c>
      <c r="J579" s="9">
        <v>6148</v>
      </c>
      <c r="K579" s="9" t="s">
        <v>4739</v>
      </c>
      <c r="L579" s="9" t="s">
        <v>117</v>
      </c>
      <c r="M579" s="10">
        <v>3.8391203703703712E-2</v>
      </c>
      <c r="N579" s="9" t="s">
        <v>127</v>
      </c>
      <c r="O579" s="9" t="s">
        <v>4740</v>
      </c>
      <c r="P579" s="9" t="s">
        <v>119</v>
      </c>
      <c r="Q579" s="10">
        <v>3.0833333333333331E-2</v>
      </c>
      <c r="R579" s="9" t="s">
        <v>129</v>
      </c>
      <c r="S579" s="10">
        <v>0.31922453703703701</v>
      </c>
      <c r="T579" s="9">
        <v>78.242999999999995</v>
      </c>
      <c r="U579" s="9">
        <v>15.14</v>
      </c>
      <c r="V579" s="10">
        <v>0.21538194444444439</v>
      </c>
      <c r="W579" s="10">
        <v>7.4629629629629629E-2</v>
      </c>
      <c r="X579" s="10">
        <v>2.9409722222222219E-2</v>
      </c>
      <c r="Y579" s="9">
        <v>1</v>
      </c>
      <c r="Z579" s="9">
        <v>1</v>
      </c>
      <c r="AA579" s="9">
        <v>1</v>
      </c>
      <c r="AB579" s="9">
        <v>1</v>
      </c>
      <c r="AC579" s="9">
        <v>0</v>
      </c>
      <c r="AD579" s="9">
        <v>0</v>
      </c>
      <c r="AE579" s="9" t="s">
        <v>130</v>
      </c>
      <c r="AF579" s="9" t="s">
        <v>4741</v>
      </c>
      <c r="AG579" s="9" t="s">
        <v>4742</v>
      </c>
      <c r="AH579" s="9">
        <v>6.2267970000000004</v>
      </c>
      <c r="AI579" s="9">
        <v>-75.599386999999993</v>
      </c>
      <c r="AJ579" s="9" t="s">
        <v>4743</v>
      </c>
      <c r="AK579" s="9">
        <v>6.2727680000000001</v>
      </c>
      <c r="AL579" s="9">
        <v>-75.601980999999995</v>
      </c>
      <c r="AM579" s="26">
        <f t="shared" si="9"/>
        <v>0</v>
      </c>
    </row>
    <row r="580" spans="1:39" ht="15" x14ac:dyDescent="0.25">
      <c r="A580" s="9" t="s">
        <v>4744</v>
      </c>
      <c r="B580" s="9" t="s">
        <v>4745</v>
      </c>
      <c r="C580" s="9" t="s">
        <v>4746</v>
      </c>
      <c r="D580" s="9" t="s">
        <v>4682</v>
      </c>
      <c r="E580" s="9" t="s">
        <v>2619</v>
      </c>
      <c r="F580" s="9" t="s">
        <v>315</v>
      </c>
      <c r="G580" s="9" t="s">
        <v>135</v>
      </c>
      <c r="H580" s="9" t="s">
        <v>136</v>
      </c>
      <c r="I580" s="9" t="s">
        <v>115</v>
      </c>
      <c r="J580" s="9">
        <v>1874</v>
      </c>
      <c r="K580" s="9" t="s">
        <v>4747</v>
      </c>
      <c r="L580" s="9" t="s">
        <v>117</v>
      </c>
      <c r="M580" s="10">
        <v>6.491898148148148E-2</v>
      </c>
      <c r="N580" s="9" t="s">
        <v>127</v>
      </c>
      <c r="O580" s="9" t="s">
        <v>4748</v>
      </c>
      <c r="P580" s="9" t="s">
        <v>119</v>
      </c>
      <c r="Q580" s="10">
        <v>1.209490740740741E-2</v>
      </c>
      <c r="R580" s="9" t="s">
        <v>56</v>
      </c>
      <c r="S580" s="10">
        <v>0.30282407407407408</v>
      </c>
      <c r="T580" s="9">
        <v>32.290999999999997</v>
      </c>
      <c r="U580" s="9">
        <v>16.22</v>
      </c>
      <c r="V580" s="10">
        <v>8.2939814814814813E-2</v>
      </c>
      <c r="W580" s="10">
        <v>4.5115740740740741E-2</v>
      </c>
      <c r="X580" s="10">
        <v>0</v>
      </c>
      <c r="Y580" s="9">
        <v>0</v>
      </c>
      <c r="Z580" s="9">
        <v>0</v>
      </c>
      <c r="AA580" s="9">
        <v>0</v>
      </c>
      <c r="AB580" s="9">
        <v>0</v>
      </c>
      <c r="AC580" s="9">
        <v>0</v>
      </c>
      <c r="AD580" s="9">
        <v>4</v>
      </c>
      <c r="AE580" s="9" t="s">
        <v>139</v>
      </c>
      <c r="AF580" s="9" t="s">
        <v>4749</v>
      </c>
      <c r="AG580" s="9" t="s">
        <v>4750</v>
      </c>
      <c r="AH580" s="9">
        <v>6.2255750000000001</v>
      </c>
      <c r="AI580" s="9">
        <v>-75.599029000000002</v>
      </c>
      <c r="AJ580" s="9" t="s">
        <v>4751</v>
      </c>
      <c r="AK580" s="9">
        <v>6.2691660000000002</v>
      </c>
      <c r="AL580" s="9">
        <v>-75.544392000000002</v>
      </c>
      <c r="AM580" s="26">
        <f t="shared" si="9"/>
        <v>1.209490740740741E-2</v>
      </c>
    </row>
    <row r="581" spans="1:39" ht="15" x14ac:dyDescent="0.25">
      <c r="A581" s="9" t="s">
        <v>4752</v>
      </c>
      <c r="B581" s="9" t="s">
        <v>4753</v>
      </c>
      <c r="C581" s="9" t="s">
        <v>4754</v>
      </c>
      <c r="D581" s="9" t="s">
        <v>4682</v>
      </c>
      <c r="E581" s="9" t="s">
        <v>2619</v>
      </c>
      <c r="F581" s="9" t="s">
        <v>315</v>
      </c>
      <c r="G581" s="9" t="s">
        <v>72</v>
      </c>
      <c r="H581" s="9" t="s">
        <v>73</v>
      </c>
      <c r="I581" s="9" t="s">
        <v>115</v>
      </c>
      <c r="J581" s="9">
        <v>2519</v>
      </c>
      <c r="K581" s="9" t="s">
        <v>4755</v>
      </c>
      <c r="L581" s="9" t="s">
        <v>117</v>
      </c>
      <c r="M581" s="10">
        <v>6.1342592592592587E-2</v>
      </c>
      <c r="N581" s="9" t="s">
        <v>127</v>
      </c>
      <c r="O581" s="9" t="s">
        <v>4756</v>
      </c>
      <c r="P581" s="9" t="s">
        <v>119</v>
      </c>
      <c r="Q581" s="10">
        <v>0.15174768518518519</v>
      </c>
      <c r="R581" s="9" t="s">
        <v>56</v>
      </c>
      <c r="S581" s="10">
        <v>0.15959490740740739</v>
      </c>
      <c r="T581" s="9">
        <v>33.572000000000003</v>
      </c>
      <c r="U581" s="9">
        <v>12.04</v>
      </c>
      <c r="V581" s="10">
        <v>0.11618055555555561</v>
      </c>
      <c r="W581" s="10">
        <v>5.6273148148148149E-2</v>
      </c>
      <c r="X581" s="10">
        <v>0</v>
      </c>
      <c r="Y581" s="9">
        <v>0</v>
      </c>
      <c r="Z581" s="9">
        <v>0</v>
      </c>
      <c r="AA581" s="9">
        <v>0</v>
      </c>
      <c r="AB581" s="9">
        <v>0</v>
      </c>
      <c r="AC581" s="9">
        <v>0</v>
      </c>
      <c r="AD581" s="9">
        <v>0</v>
      </c>
      <c r="AE581" s="9" t="s">
        <v>139</v>
      </c>
      <c r="AF581" s="9" t="s">
        <v>4757</v>
      </c>
      <c r="AG581" s="9" t="s">
        <v>4758</v>
      </c>
      <c r="AH581" s="9">
        <v>6.2257220000000002</v>
      </c>
      <c r="AI581" s="9">
        <v>-75.599215000000001</v>
      </c>
      <c r="AJ581" s="9" t="s">
        <v>4759</v>
      </c>
      <c r="AK581" s="9">
        <v>6.2370260000000002</v>
      </c>
      <c r="AL581" s="9">
        <v>-75.558909999999997</v>
      </c>
      <c r="AM581" s="26">
        <f t="shared" si="9"/>
        <v>0.15174768518518519</v>
      </c>
    </row>
    <row r="582" spans="1:39" ht="15" x14ac:dyDescent="0.25">
      <c r="A582" s="9" t="s">
        <v>4760</v>
      </c>
      <c r="B582" s="9" t="s">
        <v>4761</v>
      </c>
      <c r="C582" s="9" t="s">
        <v>4762</v>
      </c>
      <c r="D582" s="9" t="s">
        <v>4682</v>
      </c>
      <c r="E582" s="9" t="s">
        <v>2619</v>
      </c>
      <c r="F582" s="9" t="s">
        <v>315</v>
      </c>
      <c r="G582" s="9" t="s">
        <v>160</v>
      </c>
      <c r="H582" s="9" t="s">
        <v>161</v>
      </c>
      <c r="I582" s="9" t="s">
        <v>115</v>
      </c>
      <c r="J582" s="9">
        <v>14255</v>
      </c>
      <c r="K582" s="9" t="s">
        <v>4763</v>
      </c>
      <c r="L582" s="9" t="s">
        <v>117</v>
      </c>
      <c r="M582" s="10">
        <v>5.7319189814814812E-2</v>
      </c>
      <c r="N582" s="9" t="s">
        <v>127</v>
      </c>
      <c r="O582" s="9" t="s">
        <v>4764</v>
      </c>
      <c r="P582" s="9" t="s">
        <v>119</v>
      </c>
      <c r="Q582" s="10">
        <v>1.0447013888888889E-2</v>
      </c>
      <c r="R582" s="9" t="s">
        <v>129</v>
      </c>
      <c r="S582" s="10">
        <v>0.31776620370370368</v>
      </c>
      <c r="T582" s="9">
        <v>102.783</v>
      </c>
      <c r="U582" s="9">
        <v>19.170000000000002</v>
      </c>
      <c r="V582" s="10">
        <v>0.22344593750000011</v>
      </c>
      <c r="W582" s="10">
        <v>0.1134590393518518</v>
      </c>
      <c r="X582" s="10">
        <v>0</v>
      </c>
      <c r="Y582" s="9">
        <v>0</v>
      </c>
      <c r="Z582" s="9">
        <v>0</v>
      </c>
      <c r="AA582" s="9">
        <v>0</v>
      </c>
      <c r="AB582" s="9">
        <v>0</v>
      </c>
      <c r="AC582" s="9">
        <v>0</v>
      </c>
      <c r="AD582" s="9">
        <v>1</v>
      </c>
      <c r="AE582" s="9" t="s">
        <v>130</v>
      </c>
      <c r="AF582" s="9" t="s">
        <v>4765</v>
      </c>
      <c r="AG582" s="9" t="s">
        <v>4766</v>
      </c>
      <c r="AH582" s="9">
        <v>6.2262930000000001</v>
      </c>
      <c r="AI582" s="9">
        <v>-75.599213000000006</v>
      </c>
      <c r="AJ582" s="9" t="s">
        <v>4767</v>
      </c>
      <c r="AK582" s="9">
        <v>6.2655269999999996</v>
      </c>
      <c r="AL582" s="9">
        <v>-75.598107999999996</v>
      </c>
      <c r="AM582" s="26">
        <f t="shared" ref="AM582:AM583" si="10">IF(N582="INICIO TARDÍO",M582,0)+IF(R582="TERMINÓ ANTES",Q582,0)</f>
        <v>0</v>
      </c>
    </row>
    <row r="583" spans="1:39" ht="15" x14ac:dyDescent="0.25">
      <c r="A583" s="9" t="s">
        <v>4768</v>
      </c>
      <c r="B583" s="9" t="s">
        <v>4769</v>
      </c>
      <c r="C583" s="9" t="s">
        <v>4770</v>
      </c>
      <c r="D583" s="9" t="s">
        <v>4682</v>
      </c>
      <c r="E583" s="9" t="s">
        <v>2619</v>
      </c>
      <c r="F583" s="9" t="s">
        <v>315</v>
      </c>
      <c r="G583" s="9" t="s">
        <v>97</v>
      </c>
      <c r="H583" s="9" t="s">
        <v>98</v>
      </c>
      <c r="I583" s="9" t="s">
        <v>115</v>
      </c>
      <c r="J583" s="9">
        <v>2082</v>
      </c>
      <c r="K583" s="9" t="s">
        <v>4771</v>
      </c>
      <c r="L583" s="9" t="s">
        <v>117</v>
      </c>
      <c r="M583" s="10">
        <v>1.087962962962963E-2</v>
      </c>
      <c r="N583" s="9" t="s">
        <v>127</v>
      </c>
      <c r="O583" s="9" t="s">
        <v>4772</v>
      </c>
      <c r="P583" s="9" t="s">
        <v>119</v>
      </c>
      <c r="Q583" s="10">
        <v>2.0231481481481479E-2</v>
      </c>
      <c r="R583" s="9" t="s">
        <v>56</v>
      </c>
      <c r="S583" s="10">
        <v>0.24064814814814811</v>
      </c>
      <c r="T583" s="9">
        <v>27.265000000000001</v>
      </c>
      <c r="U583" s="9">
        <v>9.09</v>
      </c>
      <c r="V583" s="10">
        <v>0.12501157407407409</v>
      </c>
      <c r="W583" s="10">
        <v>7.4328703703703702E-2</v>
      </c>
      <c r="X583" s="10">
        <v>1.3854166666666669E-2</v>
      </c>
      <c r="Y583" s="9">
        <v>1</v>
      </c>
      <c r="Z583" s="9">
        <v>1</v>
      </c>
      <c r="AA583" s="9">
        <v>0</v>
      </c>
      <c r="AB583" s="9">
        <v>0</v>
      </c>
      <c r="AC583" s="9">
        <v>0</v>
      </c>
      <c r="AD583" s="9">
        <v>0</v>
      </c>
      <c r="AE583" s="9" t="s">
        <v>139</v>
      </c>
      <c r="AF583" s="9" t="s">
        <v>4773</v>
      </c>
      <c r="AG583" s="9" t="s">
        <v>4774</v>
      </c>
      <c r="AH583" s="9">
        <v>6.2227430000000004</v>
      </c>
      <c r="AI583" s="9">
        <v>-75.598595000000003</v>
      </c>
      <c r="AJ583" s="9" t="s">
        <v>4775</v>
      </c>
      <c r="AK583" s="9">
        <v>6.3082269999999996</v>
      </c>
      <c r="AL583" s="9">
        <v>-75.581603999999999</v>
      </c>
      <c r="AM583" s="26">
        <f t="shared" si="10"/>
        <v>2.0231481481481479E-2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5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2026-10-30T17:58:34Z</dcterms:modified>
</cp:coreProperties>
</file>