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3BFB433C-6FAC-4002-8F8D-4B1C90D2F36F}" xr6:coauthVersionLast="47" xr6:coauthVersionMax="47" xr10:uidLastSave="{00000000-0000-0000-0000-000000000000}"/>
  <bookViews>
    <workbookView xWindow="20370" yWindow="-120" windowWidth="29040" windowHeight="157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 iterateDelta="1E-4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38" i="2" l="1"/>
  <c r="AM539" i="2"/>
  <c r="AM540" i="2"/>
  <c r="AM541" i="2"/>
  <c r="AM542" i="2"/>
  <c r="AM543" i="2"/>
  <c r="AM544" i="2"/>
  <c r="AM532" i="2"/>
  <c r="AM533" i="2"/>
  <c r="AM534" i="2"/>
  <c r="AM535" i="2"/>
  <c r="AM536" i="2"/>
  <c r="AM537" i="2"/>
  <c r="AM526" i="2"/>
  <c r="AM527" i="2"/>
  <c r="AM528" i="2"/>
  <c r="AM529" i="2"/>
  <c r="AM530" i="2"/>
  <c r="AM531" i="2"/>
  <c r="AM521" i="2"/>
  <c r="AM522" i="2"/>
  <c r="AM523" i="2"/>
  <c r="AM524" i="2"/>
  <c r="AM525" i="2"/>
  <c r="AM514" i="2"/>
  <c r="AM515" i="2"/>
  <c r="AM516" i="2"/>
  <c r="AM517" i="2"/>
  <c r="AM518" i="2"/>
  <c r="AM519" i="2"/>
  <c r="AM520" i="2"/>
  <c r="AM507" i="2"/>
  <c r="AM508" i="2"/>
  <c r="AM509" i="2"/>
  <c r="AM510" i="2"/>
  <c r="AM511" i="2"/>
  <c r="AM512" i="2"/>
  <c r="AM513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486" i="2"/>
  <c r="AM487" i="2"/>
  <c r="AM488" i="2"/>
  <c r="AM489" i="2"/>
  <c r="AM490" i="2"/>
  <c r="AM491" i="2"/>
  <c r="AM492" i="2"/>
  <c r="AM493" i="2"/>
  <c r="AM494" i="2"/>
  <c r="AM482" i="2"/>
  <c r="AM483" i="2"/>
  <c r="AM484" i="2"/>
  <c r="AM485" i="2"/>
  <c r="AM473" i="2"/>
  <c r="AM474" i="2"/>
  <c r="AM475" i="2"/>
  <c r="AM476" i="2"/>
  <c r="AM477" i="2"/>
  <c r="AM478" i="2"/>
  <c r="AM479" i="2"/>
  <c r="AM480" i="2"/>
  <c r="AM481" i="2"/>
  <c r="AM468" i="2"/>
  <c r="AM469" i="2"/>
  <c r="AM470" i="2"/>
  <c r="AM471" i="2"/>
  <c r="AM472" i="2"/>
  <c r="AM467" i="2"/>
  <c r="AM461" i="2"/>
  <c r="AM462" i="2"/>
  <c r="AM463" i="2"/>
  <c r="AM464" i="2"/>
  <c r="AM465" i="2"/>
  <c r="AM466" i="2"/>
  <c r="AM459" i="2"/>
  <c r="AM460" i="2"/>
  <c r="AM458" i="2"/>
  <c r="AM453" i="2"/>
  <c r="AM454" i="2"/>
  <c r="AM455" i="2"/>
  <c r="AM456" i="2"/>
  <c r="AM457" i="2"/>
  <c r="AM448" i="2"/>
  <c r="AM449" i="2"/>
  <c r="AM450" i="2"/>
  <c r="AM451" i="2"/>
  <c r="AM452" i="2"/>
  <c r="AM447" i="2"/>
  <c r="AM439" i="2"/>
  <c r="AM440" i="2"/>
  <c r="AM441" i="2"/>
  <c r="AM442" i="2"/>
  <c r="AM443" i="2"/>
  <c r="AM444" i="2"/>
  <c r="AM445" i="2"/>
  <c r="AM446" i="2"/>
  <c r="AM434" i="2"/>
  <c r="AM435" i="2"/>
  <c r="AM436" i="2"/>
  <c r="AM437" i="2"/>
  <c r="AM438" i="2"/>
  <c r="AM425" i="2"/>
  <c r="AM426" i="2"/>
  <c r="AM427" i="2"/>
  <c r="AM428" i="2"/>
  <c r="AM429" i="2"/>
  <c r="AM430" i="2"/>
  <c r="AM431" i="2"/>
  <c r="AM432" i="2"/>
  <c r="AM433" i="2"/>
  <c r="AM420" i="2"/>
  <c r="AM421" i="2"/>
  <c r="AM422" i="2"/>
  <c r="AM423" i="2"/>
  <c r="AM424" i="2"/>
  <c r="AM412" i="2"/>
  <c r="AM413" i="2"/>
  <c r="AM414" i="2"/>
  <c r="AM415" i="2"/>
  <c r="AM416" i="2"/>
  <c r="AM417" i="2"/>
  <c r="AM418" i="2"/>
  <c r="AM419" i="2"/>
  <c r="AM406" i="2"/>
  <c r="AM407" i="2"/>
  <c r="AM408" i="2"/>
  <c r="AM409" i="2"/>
  <c r="AM410" i="2"/>
  <c r="AM411" i="2"/>
  <c r="AM404" i="2"/>
  <c r="AM405" i="2"/>
  <c r="AM397" i="2"/>
  <c r="AM398" i="2"/>
  <c r="AM399" i="2"/>
  <c r="AM400" i="2"/>
  <c r="AM401" i="2"/>
  <c r="AM402" i="2"/>
  <c r="AM403" i="2"/>
  <c r="AM392" i="2" l="1"/>
  <c r="AM393" i="2"/>
  <c r="AM394" i="2"/>
  <c r="AM395" i="2"/>
  <c r="AM396" i="2"/>
  <c r="AM391" i="2"/>
  <c r="AM382" i="2"/>
  <c r="AM383" i="2"/>
  <c r="AM384" i="2"/>
  <c r="AM385" i="2"/>
  <c r="AM386" i="2"/>
  <c r="AM387" i="2"/>
  <c r="AM388" i="2"/>
  <c r="AM389" i="2"/>
  <c r="AM390" i="2"/>
  <c r="AM377" i="2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<sst xmlns="http://schemas.openxmlformats.org/spreadsheetml/2006/main" count="11320" uniqueCount="4463">
  <si>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</si>
  <si>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</si>
  <si>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</si>
  <si>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</si>
  <si>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</si>
  <si>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</si>
  <si>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</si>
  <si>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</si>
  <si>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</si>
  <si>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</si>
  <si>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</si>
  <si>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</si>
  <si>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</si>
  <si>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</si>
  <si>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</si>
  <si>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</si>
  <si>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</si>
  <si>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</si>
  <si>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</si>
  <si>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</si>
  <si>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</si>
  <si>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</si>
  <si>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</si>
  <si>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</si>
  <si>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</si>
  <si>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</si>
  <si>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</si>
  <si>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</si>
  <si>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</si>
  <si>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</si>
  <si>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</si>
  <si>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</si>
  <si>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</si>
  <si>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</si>
  <si>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</si>
  <si>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</si>
  <si>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</si>
  <si>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</si>
  <si>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</si>
  <si>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</si>
  <si>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</si>
  <si>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</si>
  <si>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</si>
  <si>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</si>
  <si>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</si>
  <si>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</si>
  <si>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</si>
  <si>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</si>
  <si>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</si>
  <si>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</si>
  <si>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</si>
  <si>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</si>
  <si>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</si>
  <si>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</si>
  <si>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</si>
  <si>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</si>
  <si>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</si>
  <si>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</si>
  <si>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</si>
  <si>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</si>
  <si>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</si>
  <si>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</si>
  <si>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</si>
  <si>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</si>
  <si>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</si>
  <si>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</si>
  <si>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</si>
  <si>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</si>
  <si>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</si>
  <si>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</si>
  <si>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</si>
  <si>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</si>
  <si>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</si>
  <si>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</si>
  <si>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</si>
  <si>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</si>
  <si>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</si>
  <si>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</si>
  <si>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</si>
  <si>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</si>
  <si>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</si>
  <si>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</si>
  <si>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</si>
  <si>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</si>
  <si>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</si>
  <si>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</si>
  <si>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</si>
  <si>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</si>
  <si>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</si>
  <si>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</si>
  <si>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</si>
  <si>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</si>
  <si>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</si>
  <si>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</si>
  <si>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</si>
  <si>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</si>
  <si>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</si>
  <si>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</si>
  <si>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</si>
  <si>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</si>
  <si>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</si>
  <si>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</si>
  <si>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</si>
  <si>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</si>
  <si>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</si>
  <si>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</si>
  <si>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</si>
  <si>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</si>
  <si>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</si>
  <si>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</si>
  <si>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</si>
  <si>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</si>
  <si>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</si>
  <si>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</si>
  <si>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</si>
  <si>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</si>
  <si>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</si>
  <si>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</si>
  <si>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</si>
  <si>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</si>
  <si>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</si>
  <si>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</si>
  <si>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</si>
  <si>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</si>
  <si>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</si>
  <si>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</si>
  <si>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</si>
  <si>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</si>
  <si>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</si>
  <si>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</si>
  <si>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</si>
  <si>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</si>
  <si>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</si>
  <si>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</si>
  <si>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</si>
  <si>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</si>
  <si>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</si>
  <si>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</si>
  <si>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</si>
  <si>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</si>
  <si>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</si>
  <si>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</si>
  <si>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</si>
  <si>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</si>
  <si>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</si>
  <si>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</si>
  <si>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</si>
  <si>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</si>
  <si>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</si>
  <si>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</si>
  <si>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</si>
  <si>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</si>
  <si>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</si>
  <si>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</si>
  <si>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</si>
  <si>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</si>
  <si>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</si>
  <si>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</si>
  <si>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</si>
  <si>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</si>
  <si>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</si>
  <si>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</si>
  <si>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</si>
  <si>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</si>
  <si>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</si>
  <si>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</si>
  <si>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</si>
  <si>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</si>
  <si>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</si>
  <si>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</si>
  <si>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</si>
  <si>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</si>
  <si>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</si>
  <si>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</si>
  <si>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</si>
  <si>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</si>
  <si>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</si>
  <si>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</si>
  <si>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</si>
  <si>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</si>
  <si>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</si>
  <si>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</si>
  <si>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</si>
  <si>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</si>
  <si>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</si>
  <si>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</si>
  <si>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</si>
  <si>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</si>
  <si>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</si>
  <si>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</si>
  <si>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</si>
  <si>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</si>
  <si>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</si>
  <si>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</si>
  <si>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</si>
  <si>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</si>
  <si>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</si>
  <si>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</si>
  <si>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</si>
  <si>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</si>
  <si>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</si>
  <si>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</si>
  <si>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</si>
  <si>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</si>
  <si>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</si>
  <si>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</si>
  <si>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</si>
  <si>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</si>
  <si>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</si>
  <si>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</si>
  <si>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</si>
  <si>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</si>
  <si>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</si>
  <si>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</si>
  <si>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</si>
  <si>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</si>
  <si>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</si>
  <si>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</si>
  <si>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</si>
  <si>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</si>
  <si>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</si>
  <si>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</si>
  <si>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</si>
  <si>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</si>
  <si>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</si>
  <si>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</si>
  <si>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</si>
  <si>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</si>
  <si>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</si>
  <si>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</si>
  <si>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</si>
  <si>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</si>
  <si>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</si>
  <si>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</si>
  <si>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</si>
  <si>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</si>
  <si>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</si>
  <si>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</si>
  <si>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</si>
  <si>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</si>
  <si>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</si>
  <si>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</si>
  <si>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</si>
  <si>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</si>
  <si>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</si>
  <si>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</si>
  <si>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</si>
  <si>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</si>
  <si>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</si>
  <si>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</si>
  <si>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</si>
  <si>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</si>
  <si>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</si>
  <si>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</si>
  <si>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</si>
  <si>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</si>
  <si>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</si>
  <si>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</si>
  <si>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</si>
  <si>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</si>
  <si>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</si>
  <si>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</si>
  <si>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</si>
  <si>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</si>
  <si>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</si>
  <si>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</si>
  <si>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</si>
  <si>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</si>
  <si>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</si>
  <si>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</si>
  <si>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</si>
  <si>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</si>
  <si>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</si>
  <si>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</si>
  <si>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</si>
  <si>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</si>
  <si>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</si>
  <si>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</si>
  <si>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</si>
  <si>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</si>
  <si>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</si>
  <si>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</si>
  <si>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</si>
  <si>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</si>
  <si>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</si>
  <si>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</si>
  <si>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</si>
  <si>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</si>
  <si>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</si>
  <si>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</si>
  <si>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</si>
  <si>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</si>
  <si>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</si>
  <si>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</si>
  <si>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</si>
  <si>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</si>
  <si>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</si>
  <si>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</si>
  <si>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</si>
  <si>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</si>
  <si>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</si>
  <si>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</si>
  <si>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</si>
  <si>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</si>
  <si>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</si>
  <si>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</si>
  <si>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</si>
  <si>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</si>
  <si>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</si>
  <si>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</si>
  <si>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</si>
  <si>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</si>
  <si>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</si>
  <si>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</si>
  <si>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</si>
  <si>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</si>
  <si>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</si>
  <si>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</si>
  <si>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</si>
  <si>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</si>
  <si>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</si>
  <si>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</si>
  <si>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</si>
  <si>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</si>
  <si>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</si>
  <si>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</si>
  <si>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</si>
  <si>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</si>
  <si>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</si>
  <si>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</si>
  <si>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</si>
  <si>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</si>
  <si>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</si>
  <si>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</si>
  <si>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</si>
  <si>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</si>
  <si>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</si>
  <si>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</si>
  <si>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</si>
  <si>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</si>
  <si>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</si>
  <si>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</si>
  <si>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</si>
  <si>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</si>
  <si>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</si>
  <si>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</si>
  <si>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</si>
  <si>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</si>
  <si>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</si>
  <si>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</si>
  <si>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</si>
  <si>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</si>
  <si>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</si>
  <si>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</si>
  <si>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</si>
  <si>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</si>
  <si>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</si>
  <si>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</si>
  <si>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</si>
  <si>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</si>
  <si>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</si>
  <si>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</si>
  <si>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</si>
  <si>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</si>
  <si>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</si>
  <si>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</si>
  <si>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</si>
  <si>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</si>
  <si>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</si>
  <si>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</si>
  <si>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</si>
  <si>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</si>
  <si>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</si>
  <si>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</si>
  <si>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</si>
  <si>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</si>
  <si>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</si>
  <si>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</si>
  <si>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</si>
  <si>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</si>
  <si>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</si>
  <si>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</si>
  <si>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</si>
  <si>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</si>
  <si>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</si>
  <si>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</si>
  <si>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</si>
  <si>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</si>
  <si>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</si>
  <si>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</si>
  <si>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</si>
  <si>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</si>
  <si>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</si>
  <si>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</si>
  <si>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</si>
  <si>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</si>
  <si>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</si>
  <si>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</si>
  <si>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</si>
  <si>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</si>
  <si>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</si>
  <si>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</si>
  <si>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</si>
  <si>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</si>
  <si>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</si>
  <si>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</si>
  <si>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</si>
  <si>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</si>
  <si>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</si>
  <si>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</si>
  <si>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</si>
  <si>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</si>
  <si>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</si>
  <si>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</si>
  <si>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</si>
  <si>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</si>
  <si>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</si>
  <si>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</si>
  <si>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</si>
  <si>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</si>
  <si>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</si>
  <si>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</si>
  <si>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</si>
  <si>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</si>
  <si>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</si>
  <si>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</si>
  <si>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</si>
  <si>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</si>
  <si>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</si>
  <si>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</si>
  <si>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</si>
  <si>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</si>
  <si>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</si>
  <si>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</si>
  <si>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</si>
  <si>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</si>
  <si>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</si>
  <si>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</si>
  <si>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</si>
  <si>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</si>
  <si>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</si>
  <si>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</si>
  <si>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</si>
  <si>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</si>
  <si>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</si>
  <si>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</si>
  <si>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</si>
  <si>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</si>
  <si>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</si>
  <si>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</si>
  <si>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</si>
  <si>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</si>
  <si>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</si>
  <si>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</si>
  <si>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</si>
  <si>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</si>
  <si>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</si>
  <si>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</si>
  <si>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</si>
  <si>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</si>
  <si>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</si>
  <si>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</si>
  <si>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</si>
  <si>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</si>
  <si>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</si>
  <si>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</si>
  <si>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</si>
  <si>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</si>
  <si>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</si>
  <si>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</si>
  <si>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</si>
  <si>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</si>
  <si>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</si>
  <si>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</si>
  <si>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</si>
  <si>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</si>
  <si>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</si>
  <si>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</si>
  <si>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</si>
  <si>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</si>
  <si>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</si>
  <si>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</si>
  <si>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</si>
  <si>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</si>
  <si>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</si>
  <si>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</si>
  <si>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</si>
  <si>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</si>
  <si>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</si>
  <si>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</si>
  <si>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</si>
  <si>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</si>
  <si>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</si>
  <si>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</si>
  <si>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</si>
  <si>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</si>
  <si>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</si>
  <si>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</si>
  <si>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</si>
  <si>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</si>
  <si>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</si>
  <si>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</si>
  <si>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</si>
  <si>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</si>
  <si>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</si>
  <si>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</si>
  <si>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</si>
  <si>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</si>
  <si>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</si>
  <si>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</si>
  <si>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</si>
  <si>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</si>
  <si>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</si>
  <si>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</si>
  <si>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</si>
  <si>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</si>
  <si>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</si>
  <si>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</si>
  <si>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</si>
  <si>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</si>
  <si>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</si>
  <si>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</si>
  <si>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</si>
  <si>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</si>
  <si>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</si>
  <si>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</si>
  <si>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</si>
  <si>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</si>
  <si>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</si>
  <si>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</si>
  <si>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</si>
  <si>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</si>
  <si>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</si>
  <si>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</si>
  <si>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</si>
  <si>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</si>
  <si>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</si>
  <si>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</si>
  <si>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</si>
  <si>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</si>
  <si>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</si>
  <si>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</si>
  <si>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</si>
  <si>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</si>
  <si>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</si>
  <si>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</si>
  <si>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</si>
  <si>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</si>
  <si>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</si>
  <si>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</si>
  <si>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</si>
  <si>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</si>
  <si>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</si>
  <si>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</si>
  <si>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</si>
  <si>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</si>
  <si>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</si>
  <si>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</si>
  <si>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</si>
  <si>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</si>
  <si>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</si>
  <si>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</si>
  <si>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</si>
  <si>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</si>
  <si>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</si>
  <si>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</si>
  <si>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</si>
  <si>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</si>
  <si>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</si>
  <si>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</si>
  <si>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</si>
  <si>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</si>
  <si>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</si>
  <si>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</si>
  <si>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</si>
  <si>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</si>
  <si>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</si>
  <si>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</si>
  <si>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</si>
  <si>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</si>
  <si>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</si>
  <si>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</si>
  <si>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</si>
  <si>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</si>
  <si>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</si>
  <si>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</si>
  <si>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</si>
  <si>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</si>
  <si>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</si>
  <si>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</si>
  <si>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</si>
  <si>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</si>
  <si>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</si>
  <si>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</si>
  <si>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</si>
  <si>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</si>
  <si>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</si>
  <si>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</si>
  <si>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</si>
  <si>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</si>
  <si>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</si>
  <si>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</si>
  <si>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</si>
  <si>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</si>
  <si>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</si>
  <si>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</si>
  <si>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</si>
  <si>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</si>
  <si>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</si>
  <si>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</si>
  <si>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</si>
  <si>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</si>
  <si>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</si>
  <si>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</si>
  <si>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</si>
  <si>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</si>
  <si>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</si>
  <si>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</si>
  <si>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</si>
  <si>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</si>
  <si>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</si>
  <si>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</si>
  <si>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</si>
  <si>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</si>
  <si>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</si>
  <si>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</si>
  <si>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</si>
  <si>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</si>
  <si>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</si>
  <si>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</si>
  <si>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</si>
  <si>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</si>
  <si>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</si>
  <si>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</si>
  <si>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</si>
  <si>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</si>
  <si>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</si>
  <si>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</si>
  <si>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</si>
  <si>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</si>
  <si>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</si>
  <si>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</si>
  <si>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</si>
  <si>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</si>
  <si>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</si>
  <si>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</si>
  <si>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</si>
  <si>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</si>
  <si>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</si>
  <si>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</si>
  <si>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</si>
  <si>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</si>
  <si>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</si>
  <si>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</si>
  <si>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</si>
  <si>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</si>
  <si>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</si>
  <si>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</si>
  <si>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</si>
  <si>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</si>
  <si>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</si>
  <si>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</si>
  <si>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</si>
  <si>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</si>
  <si>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</si>
  <si>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</si>
  <si>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</si>
  <si>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</si>
  <si>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</si>
  <si>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</si>
  <si>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</si>
  <si>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</si>
  <si>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</si>
  <si>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</si>
  <si>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</si>
  <si>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</si>
  <si>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</si>
  <si>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</si>
  <si>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</si>
  <si>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</si>
  <si>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</si>
  <si>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</si>
  <si>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</si>
  <si>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</si>
  <si>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</si>
  <si>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</si>
  <si>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</si>
  <si>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</si>
  <si>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</si>
  <si>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</si>
  <si>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</si>
  <si>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</si>
  <si>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</si>
  <si>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</si>
  <si>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</si>
  <si>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</si>
  <si>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</si>
  <si>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</si>
  <si>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</si>
  <si>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</si>
  <si>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</si>
  <si>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</si>
  <si>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</si>
  <si>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</si>
  <si>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</si>
  <si>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</si>
  <si>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</si>
  <si>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</si>
  <si>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</si>
  <si>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</si>
  <si>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</si>
  <si>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</si>
  <si>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</si>
  <si>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</si>
  <si>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</si>
  <si>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</si>
  <si>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</si>
  <si>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</si>
  <si>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</si>
  <si>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</si>
  <si>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</si>
  <si>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</si>
  <si>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</si>
  <si>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</si>
  <si>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</si>
  <si>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</si>
  <si>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</si>
  <si>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</si>
  <si>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</si>
  <si>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</si>
  <si>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</si>
  <si>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</si>
  <si>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</si>
  <si>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</si>
  <si>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</si>
  <si>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</si>
  <si>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</si>
  <si>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</si>
  <si>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</si>
  <si>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</si>
  <si>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</si>
  <si>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</si>
  <si>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</si>
  <si>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</si>
  <si>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</si>
  <si>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</si>
  <si>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</si>
  <si>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</si>
  <si>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</si>
  <si>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</si>
  <si>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</si>
  <si>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</si>
  <si>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</si>
  <si>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</si>
  <si>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</si>
  <si>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</si>
  <si>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</si>
  <si>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</si>
  <si>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</si>
  <si>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</si>
  <si>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</si>
  <si>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</si>
  <si>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</si>
  <si>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</si>
  <si>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</si>
  <si>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</si>
  <si>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</si>
  <si>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</si>
  <si>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</si>
  <si>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</si>
  <si>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</si>
  <si>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</si>
  <si>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</si>
  <si>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</si>
  <si>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</si>
  <si>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</si>
  <si>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</si>
  <si>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</si>
  <si>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</si>
  <si>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</si>
  <si>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</si>
  <si>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</si>
  <si>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</si>
  <si>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</si>
  <si>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</si>
  <si>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</si>
  <si>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</si>
  <si>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</si>
  <si>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</si>
  <si>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</si>
  <si>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</si>
  <si>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</si>
  <si>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</si>
  <si>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</si>
  <si>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</si>
  <si>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</si>
  <si>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</si>
  <si>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</si>
  <si>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</si>
  <si>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</si>
  <si>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</si>
  <si>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</si>
  <si>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</si>
  <si>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</si>
  <si>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</si>
  <si>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</si>
  <si>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</si>
  <si>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</si>
  <si>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</si>
  <si>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</si>
  <si>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</si>
  <si>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</si>
  <si>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</si>
  <si>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</si>
  <si>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</si>
  <si>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</si>
  <si>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</si>
  <si>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</si>
  <si>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</si>
  <si>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</si>
  <si>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</si>
  <si>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</si>
  <si>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</si>
  <si>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</si>
  <si>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</si>
  <si>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</si>
  <si>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</si>
  <si>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</si>
  <si>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</si>
  <si>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</si>
  <si>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</si>
  <si>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</si>
  <si>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</si>
  <si>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</si>
  <si>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</si>
  <si>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</si>
  <si>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</si>
  <si>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</si>
  <si>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</si>
  <si>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</si>
  <si>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</si>
  <si>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</si>
  <si>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</si>
  <si>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</si>
  <si>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</si>
  <si>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</si>
  <si>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</si>
  <si>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</si>
  <si>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</si>
  <si>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</si>
  <si>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</si>
  <si>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</si>
  <si>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</si>
  <si>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</si>
  <si>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</si>
  <si>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</si>
  <si>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</si>
  <si>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</si>
  <si>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</si>
  <si>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</si>
  <si>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</si>
  <si>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</si>
  <si>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</si>
  <si>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</si>
  <si>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</si>
  <si>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</si>
  <si>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</si>
  <si>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</si>
  <si>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</si>
  <si>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</si>
  <si>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</si>
  <si>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</si>
  <si>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</si>
  <si>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</si>
  <si>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</si>
  <si>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</si>
  <si>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</si>
  <si>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</si>
  <si>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</si>
  <si>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</si>
  <si>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</si>
  <si>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</si>
  <si>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</si>
  <si>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</si>
  <si>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</si>
  <si>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</si>
  <si>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</si>
  <si>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</si>
  <si>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</si>
  <si>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</si>
  <si>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</si>
  <si>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</si>
  <si>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</si>
  <si>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</si>
  <si>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</si>
  <si>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</si>
  <si>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</si>
  <si>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</si>
  <si>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</si>
  <si>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</si>
  <si>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</si>
  <si>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</si>
  <si>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</si>
  <si>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</si>
  <si>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</si>
  <si>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</si>
  <si>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</si>
  <si>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</si>
  <si>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</si>
  <si>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</si>
  <si>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</si>
  <si>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</si>
  <si>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</si>
  <si>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</si>
  <si>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</si>
  <si>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</si>
  <si>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</si>
  <si>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</si>
  <si>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</si>
  <si>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</si>
  <si>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</si>
  <si>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</si>
  <si>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</si>
  <si>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</si>
  <si>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</si>
  <si>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</si>
  <si>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</si>
  <si>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</si>
  <si>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</si>
  <si>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</si>
  <si>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</si>
  <si>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</si>
  <si>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</si>
  <si>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</si>
  <si>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</si>
  <si>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</si>
  <si>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</si>
  <si>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</si>
  <si>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</si>
  <si>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</si>
  <si>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</si>
  <si>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</si>
  <si>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</si>
  <si>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</si>
  <si>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</si>
  <si>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</si>
  <si>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</si>
  <si>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</si>
  <si>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</si>
  <si>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</si>
  <si>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</si>
  <si>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</si>
  <si>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</si>
  <si>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</si>
  <si>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</si>
  <si>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</si>
  <si>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</si>
  <si>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</si>
  <si>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</si>
  <si>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</si>
  <si>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</si>
  <si>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</si>
  <si>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</si>
  <si>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</si>
  <si>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</si>
  <si>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</si>
  <si>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</si>
  <si>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</si>
  <si>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</si>
  <si>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</si>
  <si>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</si>
  <si>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</si>
  <si>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</si>
  <si>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</si>
  <si>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</si>
  <si>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</si>
  <si>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</si>
  <si>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</si>
  <si>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</si>
  <si>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</si>
  <si>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</si>
  <si>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</si>
  <si>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</si>
  <si>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</si>
  <si>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</si>
  <si>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</si>
  <si>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</si>
  <si>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</si>
  <si>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</si>
  <si>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</si>
  <si>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</si>
  <si>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</si>
  <si>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</si>
  <si>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</si>
  <si>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</si>
  <si>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</si>
  <si>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</si>
  <si>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</si>
  <si>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</si>
  <si>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</si>
  <si>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</si>
  <si>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</si>
  <si>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</si>
  <si>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</si>
  <si>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</si>
  <si>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</si>
  <si>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</si>
  <si>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</si>
  <si>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</si>
  <si>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</si>
  <si>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</si>
  <si>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</si>
  <si>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</si>
  <si>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</si>
  <si>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</si>
  <si>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</si>
  <si>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</si>
  <si>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</si>
  <si>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</si>
  <si>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</si>
  <si>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</si>
  <si>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</si>
  <si>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</si>
  <si>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</si>
  <si>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</si>
  <si>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</si>
  <si>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</si>
  <si>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</si>
  <si>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</si>
  <si>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</si>
  <si>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</si>
  <si>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</si>
  <si>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</si>
  <si>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</si>
  <si>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</si>
  <si>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</si>
  <si>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</si>
  <si>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</si>
  <si>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</si>
  <si>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</si>
  <si>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</si>
  <si>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</si>
  <si>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</si>
  <si>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</si>
  <si>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</si>
  <si>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</si>
  <si>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</si>
  <si>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</si>
  <si>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</si>
  <si>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</si>
  <si>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</si>
  <si>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</si>
  <si>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</si>
  <si>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</si>
  <si>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</si>
  <si>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</si>
  <si>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</si>
  <si>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</si>
  <si>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</si>
  <si>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</si>
  <si>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</si>
  <si>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</si>
  <si>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</si>
  <si>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</si>
  <si>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</si>
  <si>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</si>
  <si>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</si>
  <si>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</si>
  <si>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</si>
  <si>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</si>
  <si>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</si>
  <si>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</si>
  <si>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</si>
  <si>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</si>
  <si>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</si>
  <si>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</si>
  <si>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</si>
  <si>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</si>
  <si>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</si>
  <si>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</si>
  <si>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</si>
  <si>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</si>
  <si>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</si>
  <si>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</si>
  <si>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</si>
  <si>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</si>
  <si>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</si>
  <si>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</si>
  <si>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</si>
  <si>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</si>
  <si>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</si>
  <si>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</si>
  <si>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</si>
  <si>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</si>
  <si>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</si>
  <si>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</si>
  <si>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</si>
  <si>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</si>
  <si>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</si>
  <si>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</si>
  <si>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</si>
  <si>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</si>
  <si>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</si>
  <si>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</si>
  <si>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</si>
  <si>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</si>
  <si>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</si>
  <si>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</si>
  <si>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</si>
  <si>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</si>
  <si>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</si>
  <si>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</si>
  <si>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</si>
  <si>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</si>
  <si>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</si>
  <si>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</si>
  <si>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</si>
  <si>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</si>
  <si>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</si>
  <si>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</si>
  <si>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</si>
  <si>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</si>
  <si>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</si>
  <si>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</si>
  <si>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</si>
  <si>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</si>
  <si>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</si>
  <si>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</si>
  <si>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</si>
  <si>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</si>
  <si>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</si>
  <si>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</si>
  <si>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</si>
  <si>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</si>
  <si>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</si>
  <si>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</si>
  <si>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</si>
  <si>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</si>
  <si>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</si>
  <si>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</si>
  <si>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</si>
  <si>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</si>
  <si>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</si>
  <si>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</si>
  <si>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</si>
  <si>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</si>
  <si>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</si>
  <si>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</si>
  <si>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</si>
  <si>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</si>
  <si>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</si>
  <si>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</si>
  <si>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</si>
  <si>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</si>
  <si>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</si>
  <si>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</si>
  <si>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</si>
  <si>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</si>
  <si>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</si>
  <si>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</si>
  <si>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</si>
  <si>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</si>
  <si>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</si>
  <si>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</si>
  <si>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</si>
  <si>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</si>
  <si>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</si>
  <si>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</si>
  <si>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</si>
  <si>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</si>
  <si>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</si>
  <si>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</si>
  <si>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</si>
  <si>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</si>
  <si>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</si>
  <si>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</si>
  <si>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</si>
  <si>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</si>
  <si>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</si>
  <si>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</si>
  <si>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</si>
  <si>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</si>
  <si>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</si>
  <si>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</si>
  <si>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</si>
  <si>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</si>
  <si>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</si>
  <si>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</si>
  <si>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</si>
  <si>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</si>
  <si>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</si>
  <si>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</si>
  <si>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</si>
  <si>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</si>
  <si>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</si>
  <si>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</si>
  <si>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</si>
  <si>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</si>
  <si>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</si>
  <si>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</si>
  <si>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</si>
  <si>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</si>
  <si>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</si>
  <si>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</si>
  <si>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</si>
  <si>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</si>
  <si>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</si>
  <si>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</si>
  <si>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</si>
  <si>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</si>
  <si>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</si>
  <si>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</si>
  <si>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</si>
  <si>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</si>
  <si>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</si>
  <si>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</si>
  <si>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</si>
  <si>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</si>
  <si>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</si>
  <si>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</si>
  <si>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</si>
  <si>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</si>
  <si>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</si>
  <si>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</si>
  <si>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</si>
  <si>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</si>
  <si>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</si>
  <si>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</si>
  <si>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</si>
  <si>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</si>
  <si>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</si>
  <si>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</si>
  <si>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</si>
  <si>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</si>
  <si>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</si>
  <si>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</si>
  <si>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</si>
  <si>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</si>
  <si>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</si>
  <si>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</si>
  <si>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</si>
  <si>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</si>
  <si>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</si>
  <si>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</si>
  <si>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</si>
  <si>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</si>
  <si>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</si>
  <si>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</si>
  <si>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</si>
  <si>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</si>
  <si>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</si>
  <si>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</si>
  <si>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</si>
  <si>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</si>
  <si>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</si>
  <si>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</si>
  <si>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</si>
  <si>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</si>
  <si>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</si>
  <si>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</si>
  <si>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</si>
  <si>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</si>
  <si>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</si>
  <si>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</si>
  <si>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</si>
  <si>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</si>
  <si>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</si>
  <si>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</si>
  <si>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</si>
  <si>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</si>
  <si>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</si>
  <si>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</si>
  <si>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</si>
  <si>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</si>
  <si>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</si>
  <si>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</si>
  <si>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</si>
  <si>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</si>
  <si>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</si>
  <si>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</si>
  <si>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</si>
  <si>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</si>
  <si>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</si>
  <si>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</si>
  <si>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</si>
  <si>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</si>
  <si>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</si>
  <si>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</si>
  <si>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</si>
  <si>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</si>
  <si>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</si>
  <si>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</si>
  <si>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</si>
  <si>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</si>
  <si>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</si>
  <si>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</si>
  <si>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</si>
  <si>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</si>
  <si>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</si>
  <si>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</si>
  <si>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</si>
  <si>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</si>
  <si>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</si>
  <si>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</si>
  <si>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</si>
  <si>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</si>
  <si>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</si>
  <si>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</si>
  <si>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</si>
  <si>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</si>
  <si>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</si>
  <si>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</si>
  <si>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</si>
  <si>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</si>
  <si>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</si>
  <si>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</si>
  <si>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</si>
  <si>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</si>
  <si>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</si>
  <si>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</si>
  <si>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</si>
  <si>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</si>
  <si>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</si>
  <si>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</si>
  <si>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</si>
  <si>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</si>
  <si>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</si>
  <si>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</si>
  <si>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</si>
  <si>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</si>
  <si>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</si>
  <si>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</si>
  <si>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</si>
  <si>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</si>
  <si>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</si>
  <si>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</si>
  <si>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</si>
  <si>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</si>
  <si>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</si>
  <si>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</si>
  <si>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</si>
  <si>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</si>
  <si>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</si>
  <si>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</si>
  <si>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</si>
  <si>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</si>
  <si>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</si>
  <si>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</si>
  <si>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</si>
  <si>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</si>
  <si>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</si>
  <si>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</si>
  <si>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</si>
  <si>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</si>
  <si>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</si>
  <si>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</si>
  <si>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</si>
  <si>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</si>
  <si>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</si>
  <si>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</si>
  <si>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</si>
  <si>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</si>
  <si>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</si>
  <si>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</si>
  <si>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</si>
  <si>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</si>
  <si>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</si>
  <si>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</si>
  <si>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</si>
  <si>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</si>
  <si>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</si>
  <si>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</si>
  <si>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</si>
  <si>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</si>
  <si>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</si>
  <si>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</si>
  <si>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</si>
  <si>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</si>
  <si>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</si>
  <si>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</si>
  <si>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</si>
  <si>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</si>
  <si>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</si>
  <si>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</si>
  <si>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</si>
  <si>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</si>
  <si>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</si>
  <si>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</si>
  <si>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</si>
  <si>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</si>
  <si>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</si>
  <si>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</si>
  <si>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</si>
  <si>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</si>
  <si>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</si>
  <si>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</si>
  <si>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</si>
  <si>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</si>
  <si>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</si>
  <si>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</si>
  <si>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</si>
  <si>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</si>
  <si>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</si>
  <si>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</si>
  <si>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</si>
  <si>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</si>
  <si>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</si>
  <si>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</si>
  <si>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</si>
  <si>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</si>
  <si>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</si>
  <si>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</si>
  <si>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</si>
  <si>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</si>
  <si>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</si>
  <si>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</si>
  <si>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</si>
  <si>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</si>
  <si>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</si>
  <si>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</si>
  <si>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</si>
  <si>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</si>
  <si>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</si>
  <si>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</si>
  <si>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</si>
  <si>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</si>
  <si>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</si>
  <si>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</si>
  <si>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</si>
  <si>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</si>
  <si>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</si>
  <si>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</si>
  <si>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</si>
  <si>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</si>
  <si>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</si>
  <si>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</si>
  <si>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</si>
  <si>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</si>
  <si>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</si>
  <si>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</si>
  <si>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</si>
  <si>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</si>
  <si>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</si>
  <si>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</si>
  <si>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</si>
  <si>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</si>
  <si>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</si>
  <si>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</si>
  <si>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</si>
  <si>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</si>
  <si>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</si>
  <si>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</si>
  <si>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</si>
  <si>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</si>
  <si>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</si>
  <si>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</si>
  <si>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</si>
  <si>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</si>
  <si>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</si>
  <si>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</si>
  <si>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</si>
  <si>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</si>
  <si>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</si>
  <si>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</si>
  <si>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</si>
  <si>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</si>
  <si>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</si>
  <si>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</si>
  <si>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</si>
  <si>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</si>
  <si>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</si>
  <si>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</si>
  <si>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</si>
  <si>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</si>
  <si>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</si>
  <si>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</si>
  <si>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</si>
  <si>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</si>
  <si>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</si>
  <si>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</si>
  <si>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</si>
  <si>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</si>
  <si>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</si>
  <si>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</si>
  <si>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</si>
  <si>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</si>
  <si>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</si>
  <si>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</si>
  <si>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</si>
  <si>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</si>
  <si>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</si>
  <si>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</si>
  <si>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</si>
  <si>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</si>
  <si>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</si>
  <si>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</si>
  <si>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</si>
  <si>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</si>
  <si>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</si>
  <si>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</si>
  <si>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</si>
  <si>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</si>
  <si>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</si>
  <si>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</si>
  <si>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</si>
  <si>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</si>
  <si>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</si>
  <si>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</si>
  <si>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</si>
  <si>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</si>
  <si>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</si>
  <si>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</si>
  <si>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</si>
  <si>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</si>
  <si>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</si>
  <si>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</si>
  <si>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</si>
  <si>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</si>
  <si>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</si>
  <si>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</si>
  <si>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</si>
  <si>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</si>
  <si>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</si>
  <si>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</si>
  <si>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</si>
  <si>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</si>
  <si>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</si>
  <si>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</si>
  <si>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</si>
  <si>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</si>
  <si>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</si>
  <si>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</si>
  <si>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</si>
  <si>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</si>
  <si>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</si>
  <si>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</si>
  <si>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</si>
  <si>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</si>
  <si>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</si>
  <si>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</si>
  <si>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</si>
  <si>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</si>
  <si>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</si>
  <si>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</si>
  <si>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</si>
  <si>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</si>
  <si>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</si>
  <si>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</si>
  <si>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</si>
  <si>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</si>
  <si>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</si>
  <si>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</si>
  <si>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</si>
  <si>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</si>
  <si>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</si>
  <si>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</si>
  <si>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</si>
  <si>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</si>
  <si>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</si>
  <si>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</si>
  <si>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</si>
  <si>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</si>
  <si>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</si>
  <si>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</si>
  <si>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</si>
  <si>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</si>
  <si>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</si>
  <si>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</si>
  <si>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</si>
  <si>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</si>
  <si>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</si>
  <si>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</si>
  <si>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</si>
  <si>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</si>
  <si>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</si>
  <si>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</si>
  <si>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</si>
  <si>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</si>
  <si>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</si>
  <si>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</si>
  <si>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</si>
  <si>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</si>
  <si>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</si>
  <si>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</si>
  <si>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</si>
  <si>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</si>
  <si>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</si>
  <si>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</si>
  <si>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</si>
  <si>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</si>
  <si>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</si>
  <si>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</si>
  <si>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</si>
  <si>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</si>
  <si>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</si>
  <si>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</si>
  <si>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</si>
  <si>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</si>
  <si>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</si>
  <si>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</si>
  <si>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</si>
  <si>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</si>
  <si>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</si>
  <si>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</si>
  <si>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</si>
  <si>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</si>
  <si>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</si>
  <si>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</si>
  <si>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</si>
  <si>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</si>
  <si>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</si>
  <si>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</si>
  <si>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</si>
  <si>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</si>
  <si>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</si>
  <si>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</si>
  <si>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</si>
  <si>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</si>
  <si>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</si>
  <si>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</si>
  <si>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</si>
  <si>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</si>
  <si>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</si>
  <si>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</si>
  <si>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</si>
  <si>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</si>
  <si>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</si>
  <si>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</si>
  <si>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</si>
  <si>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</si>
  <si>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</si>
  <si>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</si>
  <si>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</si>
  <si>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</si>
  <si>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</si>
  <si>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</si>
  <si>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</si>
  <si>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</si>
  <si>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</si>
  <si>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</si>
  <si>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</si>
  <si>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</si>
  <si>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</si>
  <si>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</si>
  <si>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</si>
  <si>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</si>
  <si>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</si>
  <si>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</si>
  <si>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</si>
  <si>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</si>
  <si>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</si>
  <si>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</si>
  <si>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</si>
  <si>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</si>
  <si>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</si>
  <si>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</si>
  <si>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</si>
  <si>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</si>
  <si>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</si>
  <si>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</si>
  <si>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</si>
  <si>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</si>
  <si>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</si>
  <si>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</si>
  <si>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</si>
  <si>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</si>
  <si>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</si>
  <si>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</si>
  <si>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</si>
  <si>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</si>
  <si>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</si>
  <si>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</si>
  <si>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</si>
  <si>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</si>
  <si>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</si>
  <si>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</si>
  <si>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</si>
  <si>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</si>
  <si>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</si>
  <si>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</si>
  <si>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</si>
  <si>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</si>
  <si>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</si>
  <si>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</si>
  <si>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</si>
  <si>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</si>
  <si>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</si>
  <si>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</si>
  <si>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</si>
  <si>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</si>
  <si>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</si>
  <si>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</si>
  <si>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</si>
  <si>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</si>
  <si>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</si>
  <si>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</si>
  <si>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</si>
  <si>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</si>
  <si>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</si>
  <si>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</si>
  <si>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</si>
  <si>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</si>
  <si>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</si>
  <si>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</si>
  <si>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</si>
  <si>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</si>
  <si>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</si>
  <si>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</si>
  <si>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</si>
  <si>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</si>
  <si>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</si>
  <si>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</si>
  <si>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</si>
  <si>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</si>
  <si>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</si>
  <si>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</si>
  <si>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</si>
  <si>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</si>
  <si>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</si>
  <si>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</si>
  <si>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</si>
  <si>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</si>
  <si>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</si>
  <si>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</si>
  <si>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</si>
  <si>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</si>
  <si>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</si>
  <si>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</si>
  <si>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</si>
  <si>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</si>
  <si>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</si>
  <si>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</si>
  <si>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</si>
  <si>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</si>
  <si>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</si>
  <si>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</si>
  <si>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</si>
  <si>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</si>
  <si>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</si>
  <si>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</si>
  <si>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</si>
  <si>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</si>
  <si>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</si>
  <si>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</si>
  <si>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</si>
  <si>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</si>
  <si>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</si>
  <si>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</si>
  <si>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</si>
  <si>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</si>
  <si>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</si>
  <si>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</si>
  <si>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</si>
  <si>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</si>
  <si>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</si>
  <si>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</si>
  <si>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</si>
  <si>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</si>
  <si>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</si>
  <si>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</si>
  <si>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</si>
  <si>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</si>
  <si>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</si>
  <si>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</si>
  <si>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</si>
  <si>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</si>
  <si>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</si>
  <si>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</si>
  <si>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</si>
  <si>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</si>
  <si>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</si>
  <si>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</si>
  <si>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</si>
  <si>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</si>
  <si>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</si>
  <si>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</si>
  <si>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</si>
  <si>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</si>
  <si>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</si>
  <si>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</si>
  <si>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</si>
  <si>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</si>
  <si>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</si>
  <si>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</si>
  <si>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</si>
  <si>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</si>
  <si>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</si>
  <si>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</si>
  <si>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</si>
  <si>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</si>
  <si>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</si>
  <si>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</si>
  <si>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</si>
  <si>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</si>
  <si>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</si>
  <si>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</si>
  <si>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</si>
  <si>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</si>
  <si>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</si>
  <si>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</si>
  <si>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</si>
  <si>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</si>
  <si>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</si>
  <si>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</si>
  <si>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</si>
  <si>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</si>
  <si>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</si>
  <si>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</si>
  <si>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</si>
  <si>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</si>
  <si>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</si>
  <si>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</si>
  <si>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</si>
  <si>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</si>
  <si>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</si>
  <si>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</si>
  <si>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</si>
  <si>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</si>
  <si>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</si>
  <si>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</si>
  <si>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</si>
  <si>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</si>
  <si>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</si>
  <si>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</si>
  <si>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</si>
  <si>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</si>
  <si>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</si>
  <si>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</si>
  <si>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</si>
  <si>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</si>
  <si>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</si>
  <si>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</si>
  <si>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</si>
  <si>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</si>
  <si>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</si>
  <si>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</si>
  <si>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</si>
  <si>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</si>
  <si>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</si>
  <si>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</si>
  <si>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</si>
  <si>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</si>
  <si>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</si>
  <si>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</si>
  <si>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</si>
  <si>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</si>
  <si>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</si>
  <si>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</si>
  <si>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</si>
  <si>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</si>
  <si>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</si>
  <si>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</si>
  <si>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</si>
  <si>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</si>
  <si>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</si>
  <si>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</si>
  <si>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</si>
  <si>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</si>
  <si>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</si>
  <si>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</si>
  <si>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</si>
  <si>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</si>
  <si>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</si>
  <si>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</si>
  <si>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</si>
  <si>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</si>
  <si>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</si>
  <si>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</si>
  <si>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</si>
  <si>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</si>
  <si>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</si>
  <si>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</si>
  <si>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</si>
  <si>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</si>
  <si>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</si>
  <si>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</si>
  <si>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</si>
  <si>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</si>
  <si>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</si>
  <si>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</si>
  <si>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</si>
  <si>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</si>
  <si>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</si>
  <si>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</si>
  <si>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</si>
  <si>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</si>
  <si>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</si>
  <si>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</si>
  <si>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</si>
  <si>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</si>
  <si>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</si>
  <si>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</si>
  <si>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</si>
  <si>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</si>
  <si>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</si>
  <si>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</si>
  <si>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</si>
  <si>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</si>
  <si>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</si>
  <si>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</si>
  <si>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</si>
  <si>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</si>
  <si>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</si>
  <si>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</si>
  <si>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</si>
  <si>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</si>
  <si>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</si>
  <si>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</si>
  <si>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</si>
  <si>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</si>
  <si>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</si>
  <si>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</si>
  <si>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</si>
  <si>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</si>
  <si>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</si>
  <si>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</si>
  <si>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</si>
  <si>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</si>
  <si>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</si>
  <si>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</si>
  <si>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</si>
  <si>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</si>
  <si>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</si>
  <si>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</si>
  <si>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</si>
  <si>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</si>
  <si>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</si>
  <si>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</si>
  <si>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</si>
  <si>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</si>
  <si>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</si>
  <si>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</si>
  <si>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</si>
  <si>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</si>
  <si>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</si>
  <si>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</si>
  <si>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</si>
  <si>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</si>
  <si>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</si>
  <si>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</si>
  <si>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</si>
  <si>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</si>
  <si>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</si>
  <si>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</si>
  <si>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</si>
  <si>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</si>
  <si>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</si>
  <si>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</si>
  <si>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</si>
  <si>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</si>
  <si>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</si>
  <si>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</si>
  <si>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</si>
  <si>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</si>
  <si>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</si>
  <si>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</si>
  <si>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</si>
  <si>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</si>
  <si>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</si>
  <si>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</si>
  <si>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</si>
  <si>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</si>
  <si>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</si>
  <si>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</si>
  <si>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</si>
  <si>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</si>
  <si>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</si>
  <si>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</si>
  <si>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</si>
  <si>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</si>
  <si>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</si>
  <si>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</si>
  <si>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</si>
  <si>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</si>
  <si>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</si>
  <si>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</si>
  <si>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</si>
  <si>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</si>
  <si>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</si>
  <si>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</si>
  <si>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</si>
  <si>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</si>
  <si>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</si>
  <si>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</si>
  <si>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</si>
  <si>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</si>
  <si>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</si>
  <si>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</si>
  <si>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</si>
  <si>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</si>
  <si>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</si>
  <si>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</si>
  <si>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</si>
  <si>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</si>
  <si>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</si>
  <si>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</si>
  <si>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</si>
  <si>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</si>
  <si>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</si>
  <si>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</si>
  <si>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</si>
  <si>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</si>
  <si>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</si>
  <si>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</si>
  <si>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</si>
  <si>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</si>
  <si>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</si>
  <si>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</si>
  <si>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</si>
  <si>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</si>
  <si>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</si>
  <si>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</si>
  <si>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</si>
  <si>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</si>
  <si>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</si>
  <si>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</si>
  <si>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</si>
  <si>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</si>
  <si>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</si>
  <si>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</si>
  <si>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</si>
  <si>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</si>
  <si>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</si>
  <si>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</si>
  <si>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</si>
  <si>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</si>
  <si>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</si>
  <si>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</si>
  <si>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</si>
  <si>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</si>
  <si>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</si>
  <si>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</si>
  <si>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</si>
  <si>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</si>
  <si>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</si>
  <si>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</si>
  <si>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</si>
  <si>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</si>
  <si>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</si>
  <si>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</si>
  <si>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</si>
  <si>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</si>
  <si>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</si>
  <si>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</si>
  <si>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</si>
  <si>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</si>
  <si>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</si>
  <si>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</si>
  <si>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</si>
  <si>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</si>
  <si>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</si>
  <si>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</si>
  <si>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</si>
  <si>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</si>
  <si>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</si>
  <si>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</si>
  <si>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</si>
  <si>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</si>
  <si>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</si>
  <si>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</si>
  <si>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</si>
  <si>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</si>
  <si>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</si>
  <si>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</si>
  <si>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</si>
  <si>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</si>
  <si>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</si>
  <si>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</si>
  <si>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</si>
  <si>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</si>
  <si>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</si>
  <si>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</si>
  <si>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</si>
  <si>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</si>
  <si>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</si>
  <si>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</si>
  <si>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</si>
  <si>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</si>
  <si>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</si>
  <si>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</si>
  <si>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</si>
  <si>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</si>
  <si>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</si>
  <si>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</si>
  <si>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</si>
  <si>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</si>
  <si>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</si>
  <si>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</si>
  <si>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</si>
  <si>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</si>
  <si>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</si>
  <si>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</si>
  <si>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</si>
  <si>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</si>
  <si>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</si>
  <si>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</si>
  <si>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</si>
  <si>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</si>
  <si>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</si>
  <si>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</si>
  <si>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</si>
  <si>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</si>
  <si>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</si>
  <si>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</si>
  <si>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</si>
  <si>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</si>
  <si>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</si>
  <si>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</si>
  <si>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</si>
  <si>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</si>
  <si>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</si>
  <si>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</si>
  <si>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</si>
  <si>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</si>
  <si>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</si>
  <si>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</si>
  <si>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</si>
  <si>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</si>
  <si>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</si>
  <si>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</si>
  <si>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</si>
  <si>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</si>
  <si>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</si>
  <si>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</si>
  <si>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</si>
  <si>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</si>
  <si>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</si>
  <si>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</si>
  <si>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</si>
  <si>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</si>
  <si>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</si>
  <si>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</si>
  <si>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</si>
  <si>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</si>
  <si>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</si>
  <si>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</si>
  <si>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</si>
  <si>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</si>
  <si>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</si>
  <si>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</si>
  <si>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</si>
  <si>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</si>
  <si>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</si>
  <si>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</si>
  <si>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</si>
  <si>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</si>
  <si>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</si>
  <si>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</si>
  <si>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</si>
  <si>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</si>
  <si>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</si>
  <si>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</si>
  <si>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</si>
  <si>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</si>
  <si>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</si>
  <si>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</si>
  <si>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</si>
  <si>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</si>
  <si>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</si>
  <si>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</si>
  <si>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</si>
  <si>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</si>
  <si>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</si>
  <si>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</si>
  <si>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</si>
  <si>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</si>
  <si>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</si>
  <si>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</si>
  <si>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</si>
  <si>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</si>
  <si>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</si>
  <si>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</si>
  <si>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</si>
  <si>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</si>
  <si>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</si>
  <si>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</si>
  <si>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</si>
  <si>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</si>
  <si>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</si>
  <si>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</si>
  <si>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</si>
  <si>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</si>
  <si>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</si>
  <si>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</si>
  <si>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</si>
  <si>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</si>
  <si>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</si>
  <si>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</si>
  <si>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</si>
  <si>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</si>
  <si>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</si>
  <si>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</si>
  <si>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</si>
  <si>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</si>
  <si>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</si>
  <si>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</si>
  <si>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</si>
  <si>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</si>
  <si>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</si>
  <si>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</si>
  <si>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</si>
  <si>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</si>
  <si>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</si>
  <si>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</si>
  <si>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</si>
  <si>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</si>
  <si>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</si>
  <si>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</si>
  <si>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</si>
  <si>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</si>
  <si>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</si>
  <si>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</si>
  <si>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</si>
  <si>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</si>
  <si>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</si>
  <si>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</si>
  <si>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</si>
  <si>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</si>
  <si>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</si>
  <si>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</si>
  <si>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</si>
  <si>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</si>
  <si>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</si>
  <si>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</si>
  <si>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</si>
  <si>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</si>
  <si>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</si>
  <si>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</si>
  <si>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</si>
  <si>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</si>
  <si>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</si>
  <si>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</si>
  <si>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</si>
  <si>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</si>
  <si>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</si>
  <si>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</si>
  <si>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</si>
  <si>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</si>
  <si>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</si>
  <si>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</si>
  <si>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</si>
  <si>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</si>
  <si>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</si>
  <si>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</si>
  <si>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</si>
  <si>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</si>
  <si>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</si>
  <si>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</si>
  <si>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</si>
  <si>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</si>
  <si>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</si>
  <si>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</si>
  <si>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</si>
  <si>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</si>
  <si>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</si>
  <si>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</si>
  <si>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</si>
  <si>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</si>
  <si>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</si>
  <si>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</si>
  <si>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</si>
  <si>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</si>
  <si>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</si>
  <si>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</si>
  <si>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</si>
  <si>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</si>
  <si>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</si>
  <si>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</si>
  <si>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</si>
  <si>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</si>
  <si>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</si>
  <si>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</si>
  <si>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</si>
  <si>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</si>
  <si>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</si>
  <si>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</si>
  <si>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</si>
  <si>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</si>
  <si>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</si>
  <si>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</si>
  <si>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</si>
  <si>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</si>
  <si>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</si>
  <si>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</si>
  <si>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</si>
  <si>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</si>
  <si>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</si>
  <si>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</si>
  <si>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</si>
  <si>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</si>
  <si>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</si>
  <si>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</si>
  <si>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</si>
  <si>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</si>
  <si>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</si>
  <si>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</si>
  <si>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</si>
  <si>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</si>
  <si>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</si>
  <si>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</si>
  <si>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</si>
  <si>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</si>
  <si>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</si>
  <si>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</si>
  <si>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</si>
  <si>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</si>
  <si>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</si>
  <si>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</si>
  <si>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</si>
  <si>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</si>
  <si>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</si>
  <si>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</si>
  <si>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</si>
  <si>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</si>
  <si>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</si>
  <si>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</si>
  <si>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</si>
  <si>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</si>
  <si>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</si>
  <si>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</si>
  <si>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</si>
  <si>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</si>
  <si>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</si>
  <si>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</si>
  <si>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</si>
  <si>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</si>
  <si>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</si>
  <si>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</si>
  <si>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</si>
  <si>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</si>
  <si>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</si>
  <si>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</si>
  <si>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</si>
  <si>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</si>
  <si>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</si>
  <si>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</si>
  <si>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</si>
  <si>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</si>
  <si>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</si>
  <si>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</si>
  <si>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</si>
  <si>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</si>
  <si>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</si>
  <si>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</si>
  <si>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</si>
  <si>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</si>
  <si>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</si>
  <si>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</si>
  <si>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</si>
  <si>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</si>
  <si>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</si>
  <si>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</si>
  <si>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</si>
  <si>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</si>
  <si>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</si>
  <si>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</si>
  <si>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</si>
  <si>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</si>
  <si>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</si>
  <si>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</si>
  <si>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</si>
  <si>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</si>
  <si>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</si>
  <si>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</si>
  <si>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</si>
  <si>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</si>
  <si>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</si>
  <si>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</si>
  <si>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</si>
  <si>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</si>
  <si>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</si>
  <si>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</si>
  <si>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</si>
  <si>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</si>
  <si>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</si>
  <si>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</si>
  <si>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</si>
  <si>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</si>
  <si>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</si>
  <si>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</si>
  <si>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</si>
  <si>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</si>
  <si>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</si>
  <si>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</si>
  <si>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</si>
  <si>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</si>
  <si>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</si>
  <si>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</si>
  <si>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</si>
  <si>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</si>
  <si>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</si>
  <si>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</si>
  <si>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</si>
  <si>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</si>
  <si>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</si>
  <si>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</si>
  <si>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</si>
  <si>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</si>
  <si>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</si>
  <si>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</si>
  <si>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</si>
  <si>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</si>
  <si>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</si>
  <si>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</si>
  <si>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</si>
  <si>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</si>
  <si>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</si>
  <si>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</si>
  <si>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</si>
  <si>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</si>
  <si>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</si>
  <si>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</si>
  <si>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</si>
  <si>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</si>
  <si>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</si>
  <si>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</si>
  <si>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</si>
  <si>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</si>
  <si>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</si>
  <si>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</si>
  <si>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</si>
  <si>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</si>
  <si>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</si>
  <si>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</si>
  <si>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</si>
  <si>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</si>
  <si>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</si>
  <si>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</si>
  <si>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</si>
  <si>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</si>
  <si>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</si>
  <si>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</si>
  <si>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</si>
  <si>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</si>
  <si>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</si>
  <si>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</si>
  <si>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</si>
  <si>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</si>
  <si>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</si>
  <si>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</si>
  <si>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</si>
  <si>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</si>
  <si>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</si>
  <si>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</si>
  <si>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</si>
  <si>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</si>
  <si>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</si>
  <si>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</si>
  <si>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</si>
  <si>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</si>
  <si>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</si>
  <si>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</si>
  <si>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</si>
  <si>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</si>
  <si>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</si>
  <si>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</si>
  <si>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</si>
  <si>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</si>
  <si>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</si>
  <si>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</si>
  <si>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</si>
  <si>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</si>
  <si>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</si>
  <si>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</si>
  <si>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</si>
  <si>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</si>
  <si>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</si>
  <si>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</si>
  <si>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</si>
  <si>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</si>
  <si>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</si>
  <si>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</si>
  <si>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</si>
  <si>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</si>
  <si>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</si>
  <si>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</si>
  <si>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</si>
  <si>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</si>
  <si>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</si>
  <si>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</si>
  <si>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</si>
  <si>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</si>
  <si>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</si>
  <si>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</si>
  <si>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</si>
  <si>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</si>
  <si>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</si>
  <si>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</si>
  <si>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</si>
  <si>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</si>
  <si>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</si>
  <si>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</si>
  <si>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</si>
  <si>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</si>
  <si>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</si>
  <si>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</si>
  <si>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</si>
  <si>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</si>
  <si>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</si>
  <si>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</si>
  <si>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</si>
  <si>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</si>
  <si>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</si>
  <si>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</si>
  <si>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</si>
  <si>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</si>
  <si>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</si>
  <si>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</si>
  <si>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</si>
  <si>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</si>
  <si>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</si>
  <si>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</si>
  <si>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</si>
  <si>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</si>
  <si>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</si>
  <si>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</si>
  <si>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</si>
  <si>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</si>
  <si>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</si>
  <si>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</si>
  <si>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</si>
  <si>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</si>
  <si>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</si>
  <si>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</si>
  <si>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</si>
  <si>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</si>
  <si>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</si>
  <si>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</si>
  <si>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</si>
  <si>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</si>
  <si>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</si>
  <si>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</si>
  <si>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</si>
  <si>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</si>
  <si>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</si>
  <si>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</si>
  <si>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</si>
  <si>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</si>
  <si>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</si>
  <si>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</si>
  <si>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</si>
  <si>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</si>
  <si>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</si>
  <si>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</si>
  <si>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</si>
  <si>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</si>
  <si>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</si>
  <si>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</si>
  <si>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</si>
  <si>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</si>
  <si>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</si>
  <si>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</si>
  <si>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</si>
  <si>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</si>
  <si>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</si>
  <si>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</si>
  <si>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</si>
  <si>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</si>
  <si>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</si>
  <si>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</si>
  <si>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</si>
  <si>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</si>
  <si>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</si>
  <si>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</si>
  <si>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</si>
  <si>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</si>
  <si>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</si>
  <si>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</si>
  <si>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</si>
  <si>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</si>
  <si>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</si>
  <si>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</si>
  <si>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</si>
  <si>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</si>
  <si>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</si>
  <si>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</si>
  <si>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</si>
  <si>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</si>
  <si>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</si>
  <si>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</si>
  <si>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</si>
  <si>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</si>
  <si>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</si>
  <si>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</si>
  <si>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</si>
  <si>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</si>
  <si>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</si>
  <si>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</si>
  <si>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</si>
  <si>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</si>
  <si>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</si>
  <si>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</si>
  <si>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</si>
  <si>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</si>
  <si>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</si>
  <si>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</si>
  <si>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</si>
  <si>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</si>
  <si>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</si>
  <si>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</si>
  <si>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</si>
  <si>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</si>
  <si>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</si>
  <si>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</si>
  <si>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</si>
  <si>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</si>
  <si>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</si>
  <si>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</si>
  <si>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</si>
  <si>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</si>
  <si>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</si>
  <si>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</si>
  <si>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</si>
  <si>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</si>
  <si>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</si>
  <si>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</si>
  <si>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</si>
  <si>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</si>
  <si>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</si>
  <si>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</si>
  <si>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</si>
  <si>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</si>
  <si>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</si>
  <si>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</si>
  <si>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</si>
  <si>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</si>
  <si>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</si>
  <si>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</si>
  <si>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</si>
  <si>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</si>
  <si>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</si>
  <si>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</si>
  <si>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</si>
  <si>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</si>
  <si>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</si>
  <si>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</si>
  <si>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</si>
  <si>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</si>
  <si>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</si>
  <si>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</si>
  <si>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</si>
  <si>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</si>
  <si>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</si>
  <si>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</si>
  <si>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</si>
  <si>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</si>
  <si>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</si>
  <si>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</si>
  <si>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</si>
  <si>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</si>
  <si>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</si>
  <si>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</si>
  <si>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</si>
  <si>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</si>
  <si>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</si>
  <si>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</si>
  <si>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</si>
  <si>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</si>
  <si>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</si>
  <si>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</si>
  <si>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</si>
  <si>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</si>
  <si>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</si>
  <si>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</si>
  <si>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</si>
  <si>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</si>
  <si>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</si>
  <si>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</si>
  <si>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</si>
  <si>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</si>
  <si>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</si>
  <si>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</si>
  <si>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</si>
  <si>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</si>
  <si>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</si>
  <si>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</si>
  <si>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</si>
  <si>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</si>
  <si>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</si>
  <si>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</si>
  <si>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</si>
  <si>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</si>
  <si>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</si>
  <si>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</si>
  <si>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</si>
  <si>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</si>
  <si>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</si>
  <si>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</si>
  <si>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</si>
  <si>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</si>
  <si>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</si>
  <si>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</si>
  <si>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</si>
  <si>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</si>
  <si>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</si>
  <si>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</si>
  <si>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</si>
  <si>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</si>
  <si>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</si>
  <si>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</si>
  <si>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</si>
  <si>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</si>
  <si>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</si>
  <si>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</si>
  <si>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</si>
  <si>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</si>
  <si>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</si>
  <si>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</si>
  <si>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</si>
  <si>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</si>
  <si>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</si>
  <si>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</si>
  <si>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</si>
  <si>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</si>
  <si>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</si>
  <si>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</si>
  <si>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</si>
  <si>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</si>
  <si>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</si>
  <si>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</si>
  <si>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</si>
  <si>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</si>
  <si>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</si>
  <si>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</si>
  <si>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</si>
  <si>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</si>
  <si>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</si>
  <si>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</si>
  <si>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</si>
  <si>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</si>
  <si>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</si>
  <si>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</si>
  <si>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</si>
  <si>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</si>
  <si>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</si>
  <si>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</si>
  <si>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</si>
  <si>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</si>
  <si>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</si>
  <si>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</si>
  <si>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</si>
  <si>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</si>
  <si>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</si>
  <si>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</si>
  <si>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</si>
  <si>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</si>
  <si>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</si>
  <si>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</si>
  <si>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</si>
  <si>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</si>
  <si>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</si>
  <si>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</si>
  <si>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</si>
  <si>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</si>
  <si>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</si>
  <si>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</si>
  <si>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</si>
  <si>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</si>
  <si>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</si>
  <si>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</si>
  <si>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</si>
  <si>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</si>
  <si>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</si>
  <si>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</si>
  <si>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</si>
  <si>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</si>
  <si>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</si>
  <si>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</si>
  <si>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</si>
  <si>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</si>
  <si>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</si>
  <si>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</si>
  <si>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</si>
  <si>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</si>
  <si>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</si>
  <si>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</si>
  <si>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</si>
  <si>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</si>
  <si>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</si>
  <si>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</si>
  <si>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</si>
  <si>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</si>
  <si>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</si>
  <si>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</si>
  <si>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</si>
  <si>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</si>
  <si>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</si>
  <si>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</si>
  <si>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</si>
  <si>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</si>
  <si>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</si>
  <si>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</si>
  <si>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</si>
  <si>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</si>
  <si>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</si>
  <si>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</si>
  <si>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</si>
  <si>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</si>
  <si>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</si>
  <si>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</si>
  <si>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</si>
  <si>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</si>
  <si>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</si>
  <si>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</si>
  <si>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</si>
  <si>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</si>
  <si>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</si>
  <si>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</si>
  <si>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</si>
  <si>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</si>
  <si>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</si>
  <si>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</si>
  <si>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</si>
  <si>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</si>
  <si>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</si>
  <si>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</si>
  <si>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</si>
  <si>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</si>
  <si>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</si>
  <si>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</si>
  <si>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</si>
  <si>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</si>
  <si>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</si>
  <si>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</si>
  <si>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</si>
  <si>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</si>
  <si>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</si>
  <si>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</si>
  <si>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</si>
  <si>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</si>
  <si>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</si>
  <si>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</si>
  <si>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</si>
  <si>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</si>
  <si>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</si>
  <si>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</si>
  <si>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</si>
  <si>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</si>
  <si>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</si>
  <si>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</si>
  <si>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</si>
  <si>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</si>
  <si>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</si>
  <si>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</si>
  <si>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</si>
  <si>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</si>
  <si>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</si>
  <si>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</si>
  <si>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</si>
  <si>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</si>
  <si>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</si>
  <si>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</si>
  <si>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</si>
  <si>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</si>
  <si>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</si>
  <si>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</si>
  <si>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</si>
  <si>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</si>
  <si>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</si>
  <si>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</si>
  <si>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</si>
  <si>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</si>
  <si>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</si>
  <si>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</si>
  <si>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</si>
  <si>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</si>
  <si>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</si>
  <si>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</si>
  <si>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</si>
  <si>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</si>
  <si>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</si>
  <si>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</si>
  <si>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</si>
  <si>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</si>
  <si>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</si>
  <si>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</si>
  <si>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</si>
  <si>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</si>
  <si>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</si>
  <si>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</si>
  <si>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</si>
  <si>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</si>
  <si>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</si>
  <si>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</si>
  <si>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</si>
  <si>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</si>
  <si>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</si>
  <si>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</si>
  <si>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</si>
  <si>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</si>
  <si>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</si>
  <si>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</si>
  <si>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</si>
  <si>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</si>
  <si>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</si>
  <si>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</si>
  <si>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</si>
  <si>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</si>
  <si>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</si>
  <si>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</si>
  <si>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</si>
  <si>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</si>
  <si>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</si>
  <si>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</si>
  <si>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</si>
  <si>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</si>
  <si>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</si>
  <si>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</si>
  <si>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</si>
  <si>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</si>
  <si>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</si>
  <si>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</si>
  <si>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</si>
  <si>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</si>
  <si>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</si>
  <si>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</si>
  <si>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</si>
  <si>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</si>
  <si>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</si>
  <si>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</si>
  <si>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</si>
  <si>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</si>
  <si>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</si>
  <si>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</si>
  <si>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</si>
  <si>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</si>
  <si>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</si>
  <si>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</si>
  <si>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</si>
  <si>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</si>
  <si>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</si>
  <si>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</si>
  <si>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</si>
  <si>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</si>
  <si>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</si>
  <si>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</si>
  <si>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</si>
  <si>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</si>
  <si>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</si>
  <si>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</si>
  <si>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</si>
  <si>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</si>
  <si>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</si>
  <si>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</si>
  <si>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</si>
  <si>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</si>
  <si>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</si>
  <si>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</si>
  <si>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</si>
  <si>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</si>
  <si>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</si>
  <si>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</si>
  <si>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</si>
  <si>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</si>
  <si>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</si>
  <si>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</si>
  <si>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</si>
  <si>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</si>
  <si>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</si>
  <si>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</si>
  <si>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</si>
  <si>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</si>
  <si>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</si>
  <si>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</si>
  <si>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</si>
  <si>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</si>
  <si>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</si>
  <si>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</si>
  <si>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</si>
  <si>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</si>
  <si>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</si>
  <si>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</si>
  <si>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</si>
  <si>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</si>
  <si>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</si>
  <si>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</si>
  <si>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</si>
  <si>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</si>
  <si>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</si>
  <si>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</si>
  <si>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</si>
  <si>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</si>
  <si>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</si>
  <si>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</si>
  <si>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</si>
  <si>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</si>
  <si>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</si>
  <si>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</si>
  <si>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</si>
  <si>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</si>
  <si>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</si>
  <si>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</si>
  <si>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</si>
  <si>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</si>
  <si>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</si>
  <si>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</si>
  <si>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</si>
  <si>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</si>
  <si>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</si>
  <si>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</si>
  <si>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</si>
  <si>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</si>
  <si>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</si>
  <si>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</si>
  <si>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</si>
  <si>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</si>
  <si>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</si>
  <si>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</si>
  <si>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</si>
  <si>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</si>
  <si>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</si>
  <si>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</si>
  <si>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</si>
  <si>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</si>
  <si>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</si>
  <si>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</si>
  <si>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</si>
  <si>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</si>
  <si>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</si>
  <si>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</si>
  <si>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</si>
  <si>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</si>
  <si>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</si>
  <si>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</si>
  <si>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</si>
  <si>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</si>
  <si>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</si>
  <si>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</si>
  <si>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</si>
  <si>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</si>
  <si>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</si>
  <si>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</si>
  <si>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</si>
  <si>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</si>
  <si>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</si>
  <si>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</si>
  <si>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</si>
  <si>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</si>
  <si>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</si>
  <si>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</si>
  <si>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</si>
  <si>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</si>
  <si>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</si>
  <si>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</si>
  <si>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</si>
  <si>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</si>
  <si>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</si>
  <si>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</si>
  <si>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</si>
  <si>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</si>
  <si>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</si>
  <si>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</si>
  <si>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</si>
  <si>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</si>
  <si>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</si>
  <si>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</si>
  <si>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</si>
  <si>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</si>
  <si>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</si>
  <si>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</si>
  <si>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</si>
  <si>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</si>
  <si>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</si>
  <si>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</si>
  <si>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</si>
  <si>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</si>
  <si>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</si>
  <si>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</si>
  <si>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</si>
  <si>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</si>
  <si>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</si>
  <si>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</si>
  <si>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</si>
  <si>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</si>
  <si>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</si>
  <si>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</si>
  <si>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</si>
  <si>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</si>
  <si>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</si>
  <si>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</si>
  <si>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</si>
  <si>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</si>
  <si>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</si>
  <si>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</si>
  <si>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</si>
  <si>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</si>
  <si>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</si>
  <si>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</si>
  <si>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</si>
  <si>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</si>
  <si>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</si>
  <si>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</si>
  <si>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</si>
  <si>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</si>
  <si>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</si>
  <si>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</si>
  <si>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</si>
  <si>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</si>
  <si>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</si>
  <si>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</si>
  <si>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</si>
  <si>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</si>
  <si>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</si>
  <si>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</si>
  <si>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</si>
  <si>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</si>
  <si>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</si>
  <si>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</si>
  <si>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</si>
  <si>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</si>
  <si>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</si>
  <si>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</si>
  <si>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</si>
  <si>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</si>
  <si>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</si>
  <si>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</si>
  <si>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</si>
  <si>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</si>
  <si>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</si>
  <si>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</si>
  <si>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</si>
  <si>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</si>
  <si>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</si>
  <si>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</si>
  <si>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</si>
  <si>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</si>
  <si>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</si>
  <si>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</si>
  <si>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</si>
  <si>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</si>
  <si>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</si>
  <si>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</si>
  <si>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</si>
  <si>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</si>
  <si>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</si>
  <si>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</si>
  <si>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</si>
  <si>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</si>
  <si>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</si>
  <si>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</si>
  <si>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</si>
  <si>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</si>
  <si>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</si>
  <si>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</si>
  <si>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</si>
  <si>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</si>
  <si>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</si>
  <si>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</si>
  <si>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</si>
  <si>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</si>
  <si>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</si>
  <si>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</si>
  <si>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</si>
  <si>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</si>
  <si>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</si>
  <si>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</si>
  <si>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</si>
  <si>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</si>
  <si>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</si>
  <si>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</si>
  <si>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</si>
  <si>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</si>
  <si>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</si>
  <si>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</si>
  <si>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</si>
  <si>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</si>
  <si>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</si>
  <si>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</si>
  <si>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</si>
  <si>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</si>
  <si>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</si>
  <si>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</si>
  <si>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</si>
  <si>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</si>
  <si>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</si>
  <si>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</si>
  <si>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</si>
  <si>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</si>
  <si>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</si>
  <si>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</si>
  <si>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</si>
  <si>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</si>
  <si>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</si>
  <si>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</si>
  <si>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</si>
  <si>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</si>
  <si>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</si>
  <si>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</si>
  <si>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</si>
  <si>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</si>
  <si>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</si>
  <si>
    <t>08/10/2026</t>
  </si>
  <si>
    <t>08/10/2026 08:48:26</t>
  </si>
  <si>
    <t>08/10/2026 15:02:54</t>
  </si>
  <si>
    <t>6.203267, -75.600633</t>
  </si>
  <si>
    <t>6.221692, -75.593850</t>
  </si>
  <si>
    <t>590c443e9c66a229</t>
  </si>
  <si>
    <t>08_10_2026_AR_Diur.gpx</t>
  </si>
  <si>
    <t>590c443e9c66a2298264890ceac5572cfb45df810d0375c8aeb4b3e583cc6f0f</t>
  </si>
  <si>
    <t>08/10/2026 08:02:52</t>
  </si>
  <si>
    <t>08/10/2026 16:16:26</t>
  </si>
  <si>
    <t>Inicio GPS anterior al horario: 00:27:08 antes de las 08:30.; Fin GPS dentro de la tolerancia del horario programado.</t>
  </si>
  <si>
    <t>6.225623, -75.598982</t>
  </si>
  <si>
    <t>6.225378, -75.599234</t>
  </si>
  <si>
    <t>b1508af2adf005ea</t>
  </si>
  <si>
    <t>08_10_2026_DR_Diur.gpx</t>
  </si>
  <si>
    <t>b1508af2adf005ea0397de3cd5ae5a1c6dfecf3beb5abb9b21f62dfe3221f4ed</t>
  </si>
  <si>
    <t>08/10/2026 08:56:21</t>
  </si>
  <si>
    <t>08/10/2026 16:13:31</t>
  </si>
  <si>
    <t>Inicio GPS tardío: 00:26:21 después de las 08:30.; Fin GPS anticipado: 00:16:29 antes de las 16:30.; 1 hueco(s) GPS &gt;= 10 min.</t>
  </si>
  <si>
    <t>6.253106, -75.609551</t>
  </si>
  <si>
    <t>6.239077, -75.595442</t>
  </si>
  <si>
    <t>527a2627c2fd5878</t>
  </si>
  <si>
    <t>08_10_2026_HC_Diur.gpx</t>
  </si>
  <si>
    <t>527a2627c2fd5878e7cad623c710f044c447fcd5f102cee280fdc05b91e32dcf</t>
  </si>
  <si>
    <t>08/10/2026 08:13:25</t>
  </si>
  <si>
    <t>08/10/2026 13:54:36</t>
  </si>
  <si>
    <t>Inicio GPS anterior al horario: 00:16:35 antes de las 08:30.; Fin GPS anticipado: 02:35:24 antes de las 16:30.; 1 hueco(s) GPS &gt;= 10 min.</t>
  </si>
  <si>
    <t>6.225842, -75.599387</t>
  </si>
  <si>
    <t>6.233981, -75.606674</t>
  </si>
  <si>
    <t>4afd83cf55f5a5ab</t>
  </si>
  <si>
    <t>08_10_2026_IQ_Diur.gpx</t>
  </si>
  <si>
    <t>4afd83cf55f5a5ab366ee51362d723e2b9f16e517cf46e6187055cbbad5d521f</t>
  </si>
  <si>
    <t>08/10/2026 08:10:29</t>
  </si>
  <si>
    <t>08/10/2026 16:30:37</t>
  </si>
  <si>
    <t>Inicio GPS anterior al horario: 00:19:31 antes de las 08:30.; Fin GPS dentro de la tolerancia del horario programado.; 5 hueco(s) GPS &gt;= 10 min.</t>
  </si>
  <si>
    <t>6.238151, -75.547310</t>
  </si>
  <si>
    <t>4ab34065028f9e81</t>
  </si>
  <si>
    <t>08_10_2026_JHP_Diur.gpx</t>
  </si>
  <si>
    <t>4ab34065028f9e81d3bfe3b2fcbde33d2a62bb6b57932033f557e9e8a8cc9238</t>
  </si>
  <si>
    <t>08/10/2026 08:20:48</t>
  </si>
  <si>
    <t>08/10/2026 15:58:19</t>
  </si>
  <si>
    <t>Inicio GPS dentro de la tolerancia del horario programado.; Fin GPS anticipado: 00:31:41 antes de las 16:30.</t>
  </si>
  <si>
    <t>6.272743, -75.574470</t>
  </si>
  <si>
    <t>6.272839, -75.574418</t>
  </si>
  <si>
    <t>0c5e16ef8882f5bd</t>
  </si>
  <si>
    <t>08_10_2026_JP_Diur.gpx</t>
  </si>
  <si>
    <t>0c5e16ef8882f5bd2780eb8e4404fa50ef22b35c9f00e3c7d067a97cdb04e7aa</t>
  </si>
  <si>
    <t>08/10/2026 08:14:08</t>
  </si>
  <si>
    <t>08/10/2026 17:21:44</t>
  </si>
  <si>
    <t>Inicio GPS anterior al horario: 00:15:52 antes de las 08:30.; Fin GPS posterior: 00:51:44 después de las 16:30.; 1 hueco(s) GPS &gt;= 10 min.</t>
  </si>
  <si>
    <t>6.225590, -75.599425</t>
  </si>
  <si>
    <t>6.310872, -75.565312</t>
  </si>
  <si>
    <t>a4d7b38fe3acb415</t>
  </si>
  <si>
    <t>08_10_2026_JZ_Diur.gpx</t>
  </si>
  <si>
    <t>a4d7b38fe3acb415ac5969e32c852c8c5ead8a597a1cf16b3184841ef77123b2</t>
  </si>
  <si>
    <t>08/10/2026 08:20:19</t>
  </si>
  <si>
    <t>08/10/2026 16:16:45</t>
  </si>
  <si>
    <t>6.226574, -75.599341</t>
  </si>
  <si>
    <t>6.279683, -75.572063</t>
  </si>
  <si>
    <t>808a595e6ac309a9</t>
  </si>
  <si>
    <t>08_10_2026_YL_Diur.gpx</t>
  </si>
  <si>
    <t>808a595e6ac309a972a17e31ceed8e4adb85b67ed14f49a55817f12da88b5812</t>
  </si>
  <si>
    <t>08/10/2026 08:20:23</t>
  </si>
  <si>
    <t>08/10/2026 16:32:00</t>
  </si>
  <si>
    <t>6.225651, -75.599123</t>
  </si>
  <si>
    <t>6.191036, -75.583236</t>
  </si>
  <si>
    <t>2bfb5545f66db420</t>
  </si>
  <si>
    <t>08_10_2026_AO_Diur1.gpx + 08_10_2026_AO_Diur2.gpx</t>
  </si>
  <si>
    <t>2bfb5545f66db4207db196d45748bf7faddad47e8cf23a76aec954be2faa7c71</t>
  </si>
  <si>
    <t>Recorrido unificado: 2 tramos (08_10_2026_AO_Diur1.gpx + 08_10_2026_AO_Diur2.gpx).; Inicio GPS tardío: 00:18:26 después de las 08:30.; Fin GPS anticipado: 01:27:05 antes de las 16:30.; 5 hueco(s) GPS &gt;= 10 min.; 1 permanencia(s) GPS detectada(s); requiere contexto.</t>
  </si>
  <si>
    <t>c2d7af7422527a2d</t>
  </si>
  <si>
    <t>08_10_2026_DV_Noct.gpx</t>
  </si>
  <si>
    <t>c2d7af7422527a2d539f47c7323944474da227da53c44ea202de1f2391fcd71b</t>
  </si>
  <si>
    <t>08/10/2026 17:30:31</t>
  </si>
  <si>
    <t>09/10/2026 00:14:58</t>
  </si>
  <si>
    <t>Inicio GPS anterior al horario: 00:29:29 antes de las 18:00.; Fin GPS dentro de la tolerancia del horario programado.; 1 permanencia(s) GPS detectada(s); requiere contexto.</t>
  </si>
  <si>
    <t>6.226374, -75.599348</t>
  </si>
  <si>
    <t>6.272647, -75.601989</t>
  </si>
  <si>
    <t>16b4a0e62704ebe4</t>
  </si>
  <si>
    <t>08_10_2026_JA_Noct.gpx</t>
  </si>
  <si>
    <t>16b4a0e62704ebe4f47aa786934b4851863c265be4edfbd3e482feb72f0c005e</t>
  </si>
  <si>
    <t>08/10/2026 17:37:28</t>
  </si>
  <si>
    <t>08/10/2026 22:41:38</t>
  </si>
  <si>
    <t>Inicio GPS anterior al horario: 00:22:32 antes de las 18:00.; Fin GPS anticipado: 01:18:22 antes de las 00:00.</t>
  </si>
  <si>
    <t>6.226029, -75.599327</t>
  </si>
  <si>
    <t>6.237062, -75.558768</t>
  </si>
  <si>
    <t>860ab6dbd2ee19fb</t>
  </si>
  <si>
    <t>08_10_2026_JO_Noct.gpx</t>
  </si>
  <si>
    <t>860ab6dbd2ee19fb38115cd28dfcf7dca27f81d2a6b8420cf0777d4e061471a3</t>
  </si>
  <si>
    <t>08/10/2026 17:42:48</t>
  </si>
  <si>
    <t>08/10/2026 23:56:40</t>
  </si>
  <si>
    <t>Inicio GPS anterior al horario: 00:17:12 antes de las 18:00.; Fin GPS dentro de la tolerancia del horario programado.; 11 hueco(s) GPS &gt;= 10 min.</t>
  </si>
  <si>
    <t>6.225644, -75.599370</t>
  </si>
  <si>
    <t>6.255499, -75.620519</t>
  </si>
  <si>
    <t>1811fc9217948d2b</t>
  </si>
  <si>
    <t>08_10_2026_LA_Noct.gpx</t>
  </si>
  <si>
    <t>1811fc9217948d2bdad42b2eb790ad3e8f10ed603234244ff27969aa6eb923a9</t>
  </si>
  <si>
    <t>Inicio GPS anterior al horario: 72:53:47 antes de las 18:00.; Fin GPS anticipado: 72:01:29 antes de las 00:00.; 2 hueco(s) GPS &gt;= 10 min.</t>
  </si>
  <si>
    <t>bddcdd831d8754ec</t>
  </si>
  <si>
    <t>08_10_2026_SJ_Noct.gpx</t>
  </si>
  <si>
    <t>bddcdd831d8754ec57ec3cfa4f0f91ec65c39e479137bbf17ef90862ce987f40</t>
  </si>
  <si>
    <t>08/10/2026 17:41:23</t>
  </si>
  <si>
    <t>08/10/2026 23:58:35</t>
  </si>
  <si>
    <t>Inicio GPS anterior al horario: 00:18:37 antes de las 18:00.; Fin GPS dentro de la tolerancia del horario programado.</t>
  </si>
  <si>
    <t>6.225624, -75.599417</t>
  </si>
  <si>
    <t>6.295303, -75.582172</t>
  </si>
  <si>
    <t>09389234b1ec7d6c</t>
  </si>
  <si>
    <t>09_10_2026_AO_Diur.gpx</t>
  </si>
  <si>
    <t>09389234b1ec7d6ced9ae730b99ef70c32703e6da1a22ecb463addd8561de68e</t>
  </si>
  <si>
    <t>09/10/2026</t>
  </si>
  <si>
    <t>09/10/2026 08:37:31</t>
  </si>
  <si>
    <t>09/10/2026 15:04:36</t>
  </si>
  <si>
    <t>Inicio GPS dentro de la tolerancia del horario programado.; Fin GPS anticipado: 00:55:24 antes de las 16:00.; 2 hueco(s) GPS &gt;= 10 min.</t>
  </si>
  <si>
    <t>6.203452, -75.600986</t>
  </si>
  <si>
    <t>6.202893, -75.569177</t>
  </si>
  <si>
    <t>2fba0594909c0a76</t>
  </si>
  <si>
    <t>09_10_2026_AR_Diur.gpx</t>
  </si>
  <si>
    <t>2fba0594909c0a76dd048ed5ab4b3c0aa7f8c58d63fb642550bad8182b7ed9c0</t>
  </si>
  <si>
    <t>09/10/2026 08:23:28</t>
  </si>
  <si>
    <t>09/10/2026 15:52:19</t>
  </si>
  <si>
    <t>6.225671, -75.599407</t>
  </si>
  <si>
    <t>6.252252, -75.607341</t>
  </si>
  <si>
    <t>2f6b2fae8f42312c</t>
  </si>
  <si>
    <t>09_10_2026_HC_Diur.gpx</t>
  </si>
  <si>
    <t>2f6b2fae8f42312c288e049b6ec3ddc4cc9633a3d1a876d857083525e1fa65f3</t>
  </si>
  <si>
    <t>09/10/2026 08:39:35</t>
  </si>
  <si>
    <t>09/10/2026 13:13:06</t>
  </si>
  <si>
    <t>Inicio GPS dentro de la tolerancia del horario programado.; Fin GPS anticipado: 02:46:54 antes de las 16:00.; 1 permanencia(s) GPS detectada(s); requiere contexto.</t>
  </si>
  <si>
    <t>6.225833, -75.599429</t>
  </si>
  <si>
    <t>6.296168, -75.585224</t>
  </si>
  <si>
    <t>d676ab6efc0d3ba5</t>
  </si>
  <si>
    <t>09_10_2026_IQ_Diur.gpx</t>
  </si>
  <si>
    <t>d676ab6efc0d3ba523aba64c780a862bbea156db117e3cabf30e76ab4b36e839</t>
  </si>
  <si>
    <t>09/10/2026 08:06:08</t>
  </si>
  <si>
    <t>09/10/2026 16:02:08</t>
  </si>
  <si>
    <t>Inicio GPS anterior al horario: 00:23:52 antes de las 08:30.; Fin GPS dentro de la tolerancia del horario programado.; 4 hueco(s) GPS &gt;= 10 min.</t>
  </si>
  <si>
    <t>6.280985, -75.545736</t>
  </si>
  <si>
    <t>359b42f4e07bedbe</t>
  </si>
  <si>
    <t>09_10_2026_JHP_Diur.gpx</t>
  </si>
  <si>
    <t>359b42f4e07bedbea1c90460e714b345e0f28ada4c64411d5b510a99a21ee9e5</t>
  </si>
  <si>
    <t>09/10/2026 07:58:04</t>
  </si>
  <si>
    <t>09/10/2026 12:42:03</t>
  </si>
  <si>
    <t>Inicio GPS anterior al horario: 00:31:56 antes de las 08:30.; Fin GPS anticipado: 03:17:57 antes de las 16:00.</t>
  </si>
  <si>
    <t>6.272746, -75.574455</t>
  </si>
  <si>
    <t>6.239404, -75.583635</t>
  </si>
  <si>
    <t>052effd44b9f30f4</t>
  </si>
  <si>
    <t>09_10_2026_JP_Diur.gpx</t>
  </si>
  <si>
    <t>052effd44b9f30f4f188a36daeb60239ef566941210654a2187146f7d26c5f56</t>
  </si>
  <si>
    <t>09/10/2026 08:00:01</t>
  </si>
  <si>
    <t>09/10/2026 16:16:56</t>
  </si>
  <si>
    <t>Inicio GPS anterior al horario: 00:29:59 antes de las 08:30.; Fin GPS posterior: 00:16:56 después de las 16:00.; 2 hueco(s) GPS &gt;= 10 min.</t>
  </si>
  <si>
    <t>6.280113, -75.572572</t>
  </si>
  <si>
    <t>6.251818, -75.551773</t>
  </si>
  <si>
    <t>ad0aba94e3c964d8</t>
  </si>
  <si>
    <t>09_10_2026_JZ_Diur.gpx</t>
  </si>
  <si>
    <t>ad0aba94e3c964d85ce3c98fc60a62a3e2a1ad073fda58788984d6e29d5f20d1</t>
  </si>
  <si>
    <t>09/10/2026 08:12:32</t>
  </si>
  <si>
    <t>09/10/2026 15:42:09</t>
  </si>
  <si>
    <t>Inicio GPS anterior al horario: 00:17:28 antes de las 08:30.; Fin GPS anticipado: 00:17:51 antes de las 16:00.</t>
  </si>
  <si>
    <t>6.226885, -75.599195</t>
  </si>
  <si>
    <t>6.279457, -75.570402</t>
  </si>
  <si>
    <t>bc626f26908fb3df</t>
  </si>
  <si>
    <t>09_10_2026_YL_Diur.gpx</t>
  </si>
  <si>
    <t>bc626f26908fb3dfdc593c6ad495692b6db89a9da27f677e7217148ddeb3c674</t>
  </si>
  <si>
    <t>09/10/2026 08:33:44</t>
  </si>
  <si>
    <t>09/10/2026 16:03:24</t>
  </si>
  <si>
    <t>6.225966, -75.598782</t>
  </si>
  <si>
    <t>6.284467, -75.573380</t>
  </si>
  <si>
    <t>56cede1607155507</t>
  </si>
  <si>
    <t>09_10_2026_DR_Diur.gpx</t>
  </si>
  <si>
    <t>56cede16071555072206280bcb907a8c85519519779389efae9a659c1b82a3b5</t>
  </si>
  <si>
    <t>09/10/2026 08:28:28</t>
  </si>
  <si>
    <t>09/10/2026 15:17:50</t>
  </si>
  <si>
    <t>Inicio GPS dentro de la tolerancia del horario programado.; Fin GPS anticipado: 00:42:10 antes de las 16:00.; 3 hueco(s) GPS &gt;= 10 min.</t>
  </si>
  <si>
    <t>6.226796, -75.601369</t>
  </si>
  <si>
    <t>6.248041, -75.605261</t>
  </si>
  <si>
    <t>d26dca0de20163ca</t>
  </si>
  <si>
    <t>09_10_2026_DV_Noct.gpx</t>
  </si>
  <si>
    <t>d26dca0de20163cae767730e26f9c2bb51c0f0553de3e617246bb9f805932f3a</t>
  </si>
  <si>
    <t>09/10/2026 17:54:44</t>
  </si>
  <si>
    <t>10/10/2026 00:15:52</t>
  </si>
  <si>
    <t>Inicio GPS dentro de la tolerancia del horario programado.; Fin GPS posterior: 00:15:52 después de las 00:00.; 1 permanencia(s) GPS detectada(s); requiere contexto.</t>
  </si>
  <si>
    <t>6.270269, -75.601672</t>
  </si>
  <si>
    <t>6.272616, -75.602027</t>
  </si>
  <si>
    <t>da6b11e56a00da62</t>
  </si>
  <si>
    <t>09_10_2026_JA_Noct.gpx</t>
  </si>
  <si>
    <t>da6b11e56a00da622aa44021a4898e07cb85fb4b0b2adfc8493d24d70e3af8e2</t>
  </si>
  <si>
    <t>09/10/2026 18:23:22</t>
  </si>
  <si>
    <t>09/10/2026 20:53:56</t>
  </si>
  <si>
    <t>Inicio GPS tardío: 00:23:22 después de las 18:00.; Fin GPS anticipado: 03:06:04 antes de las 00:00.</t>
  </si>
  <si>
    <t>6.237800, -75.559727</t>
  </si>
  <si>
    <t>6.239370, -75.561121</t>
  </si>
  <si>
    <t>e070bde016e7b08f</t>
  </si>
  <si>
    <t>09_10_2026_JO_Noct.gpx</t>
  </si>
  <si>
    <t>e070bde016e7b08faa2f793faa252dad9ff39e5bdd0a1fc1991d9a6b8c91d530</t>
  </si>
  <si>
    <t>09/10/2026 18:08:14</t>
  </si>
  <si>
    <t>09/10/2026 23:59:18</t>
  </si>
  <si>
    <t>6.257081, -75.614457</t>
  </si>
  <si>
    <t>6.257280, -75.606199</t>
  </si>
  <si>
    <t>68b9f873d4dde1f9</t>
  </si>
  <si>
    <t>09_10_2026_LA_Noct.gpx</t>
  </si>
  <si>
    <t>68b9f873d4dde1f91618e944dcc316bcf8a322dc9aa245fa6e132a759b2ab1a3</t>
  </si>
  <si>
    <t>09/10/2026 18:02:45</t>
  </si>
  <si>
    <t>10/10/2026 00:02:11</t>
  </si>
  <si>
    <t>6.268047, -75.598333</t>
  </si>
  <si>
    <t>6.279743, -75.570715</t>
  </si>
  <si>
    <t>d80e33247c4b11c6</t>
  </si>
  <si>
    <t>09_10_2026_SJ_Noct.gpx</t>
  </si>
  <si>
    <t>d80e33247c4b11c6f4dd636d9c4ca5b8b37283fa2dff8b76f7dcf69c93783806</t>
  </si>
  <si>
    <t>09/10/2026 18:33:51</t>
  </si>
  <si>
    <t>09/10/2026 23:36:36</t>
  </si>
  <si>
    <t>Inicio GPS tardío: 00:33:51 después de las 18:00.; Fin GPS anticipado: 00:23:24 antes de las 00:00.</t>
  </si>
  <si>
    <t>6.306987, -75.576482</t>
  </si>
  <si>
    <t>6.306895, -75.582076</t>
  </si>
  <si>
    <t>400430859be5782e</t>
  </si>
  <si>
    <t>10_10_2026_DR_Noct.gpx</t>
  </si>
  <si>
    <t>400430859be5782eaca28ada188c2d963fb3896923359d2bf4b74d70d5c7b7be</t>
  </si>
  <si>
    <t>10/10/2026</t>
  </si>
  <si>
    <t>10/10/2026 18:45:32</t>
  </si>
  <si>
    <t>10/10/2026 23:49:21</t>
  </si>
  <si>
    <t>Inicio GPS tardío: 00:45:32 después de las 18:00.; Fin GPS dentro de la tolerancia del horario programado.; Sábado nocturno: verificar técnico asignado.</t>
  </si>
  <si>
    <t>6.246300, -75.613915</t>
  </si>
  <si>
    <t>6.247823, -75.615000</t>
  </si>
  <si>
    <t>32e547769a4f863b</t>
  </si>
  <si>
    <t>13_10_2026_AO_Diur.gpx</t>
  </si>
  <si>
    <t>32e547769a4f863b990fe51e644ca211980e2fed5aed80b38494b4bd58f61652</t>
  </si>
  <si>
    <t>13/10/2026</t>
  </si>
  <si>
    <t>13/10/2026 09:02:09</t>
  </si>
  <si>
    <t>13/10/2026 16:32:57</t>
  </si>
  <si>
    <t>Inicio GPS tardío: 00:32:09 después de las 08:30.; Fin GPS dentro de la tolerancia del horario programado.; 5 hueco(s) GPS &gt;= 10 min.</t>
  </si>
  <si>
    <t>6.203257, -75.600813</t>
  </si>
  <si>
    <t>6.204751, -75.581158</t>
  </si>
  <si>
    <t>4c113e365ed584be</t>
  </si>
  <si>
    <t>13_10_2026_AR_Diur.gpx</t>
  </si>
  <si>
    <t>4c113e365ed584be67b281c5555d584969289b11e501104ee4eaec08dae07c0c</t>
  </si>
  <si>
    <t>13/10/2026 08:28:59</t>
  </si>
  <si>
    <t>13/10/2026 16:36:26</t>
  </si>
  <si>
    <t>6.225394, -75.599215</t>
  </si>
  <si>
    <t>6.226732, -75.601241</t>
  </si>
  <si>
    <t>d9458e3c79778789</t>
  </si>
  <si>
    <t>13_10_2026_HC_Diur.gpx</t>
  </si>
  <si>
    <t>d9458e3c79778789981820cc0ab68d9f9dd77fee9561f198acd5597c896a366d</t>
  </si>
  <si>
    <t>13/10/2026 09:08:32</t>
  </si>
  <si>
    <t>13/10/2026 14:01:05</t>
  </si>
  <si>
    <t>Inicio GPS tardío: 00:38:32 después de las 08:30.; Fin GPS anticipado: 02:28:55 antes de las 16:30.; 1 permanencia(s) GPS detectada(s); requiere contexto.</t>
  </si>
  <si>
    <t>6.226195, -75.597046</t>
  </si>
  <si>
    <t>6.235937, -75.603783</t>
  </si>
  <si>
    <t>acf7769218f2342a</t>
  </si>
  <si>
    <t>13_10_2026_IQ_Diur.gpx</t>
  </si>
  <si>
    <t>acf7769218f2342a0901b65aa6e11fdc4a4334c169589c3eb736c85faa00c745</t>
  </si>
  <si>
    <t>13/10/2026 08:06:13</t>
  </si>
  <si>
    <t>13/10/2026 16:44:50</t>
  </si>
  <si>
    <t>Inicio GPS anterior al horario: 00:23:47 antes de las 08:30.; Fin GPS dentro de la tolerancia del horario programado.; 5 hueco(s) GPS &gt;= 10 min.; 1 permanencia(s) GPS detectada(s); requiere contexto.</t>
  </si>
  <si>
    <t>6.225930, -75.598502</t>
  </si>
  <si>
    <t>6.281515, -75.539471</t>
  </si>
  <si>
    <t>d5519d83e868c51d</t>
  </si>
  <si>
    <t>13_10_2026_JHP_Diur.gpx</t>
  </si>
  <si>
    <t>d5519d83e868c51de6bf17a2cac181c2f911fde732926be37cca2226bbe7ed3e</t>
  </si>
  <si>
    <t>13/10/2026 08:51:42</t>
  </si>
  <si>
    <t>13/10/2026 16:13:33</t>
  </si>
  <si>
    <t>Inicio GPS tardío: 00:21:42 después de las 08:30.; Fin GPS anticipado: 00:16:27 antes de las 16:30.</t>
  </si>
  <si>
    <t>6.225459, -75.598751</t>
  </si>
  <si>
    <t>6.225272, -75.599227</t>
  </si>
  <si>
    <t>bc525d9e6702a32a</t>
  </si>
  <si>
    <t>13_10_2026_JP_Diur.gpx</t>
  </si>
  <si>
    <t>bc525d9e6702a32a29e38faad9470f934d74b200588fee414267c8900755dd28</t>
  </si>
  <si>
    <t>13/10/2026 08:24:32</t>
  </si>
  <si>
    <t>13/10/2026 16:36:08</t>
  </si>
  <si>
    <t>6.225572, -75.599403</t>
  </si>
  <si>
    <t>6.251805, -75.551830</t>
  </si>
  <si>
    <t>bfece59965bbaeca</t>
  </si>
  <si>
    <t>13_10_2026_JZ_Diur.gpx</t>
  </si>
  <si>
    <t>bfece59965bbaeca99cdb11f6a15677811a26c22d8d743bf3ecd987a24084232</t>
  </si>
  <si>
    <t>13/10/2026 08:28:38</t>
  </si>
  <si>
    <t>13/10/2026 16:21:10</t>
  </si>
  <si>
    <t>6.226652, -75.598451</t>
  </si>
  <si>
    <t>6.278758, -75.569270</t>
  </si>
  <si>
    <t>dff8ea550e66bd33</t>
  </si>
  <si>
    <t>13_10_2026_YL_Diur.gpx</t>
  </si>
  <si>
    <t>dff8ea550e66bd3300bcb1bcf04c7f5daffd26c714bb52c19d6d2280db81c53e</t>
  </si>
  <si>
    <t>13/10/2026 08:27:42</t>
  </si>
  <si>
    <t>13/10/2026 16:32:03</t>
  </si>
  <si>
    <t>6.225090, -75.600031</t>
  </si>
  <si>
    <t>6.259476, -75.616858</t>
  </si>
  <si>
    <t>38277553e2aa48b3</t>
  </si>
  <si>
    <t>13_10_2026_DV_Noct.gpx</t>
  </si>
  <si>
    <t>38277553e2aa48b3b5192d5ffbfc84ae8ac7e51e06e978a6ef6df9d0b695439e</t>
  </si>
  <si>
    <t>13/10/2026 17:03:48</t>
  </si>
  <si>
    <t>14/10/2026 00:17:42</t>
  </si>
  <si>
    <t>Inicio GPS anterior al horario: 00:56:12 antes de las 18:00.; Fin GPS posterior: 00:17:42 después de las 00:00.; 1 permanencia(s) GPS detectada(s); requiere contexto.</t>
  </si>
  <si>
    <t>6.225995, -75.599416</t>
  </si>
  <si>
    <t>6.272586, -75.602054</t>
  </si>
  <si>
    <t>c7cc5df5a7914f2f</t>
  </si>
  <si>
    <t>13_10_2026_JA_Noct.gpx</t>
  </si>
  <si>
    <t>c7cc5df5a7914f2fcc883b2fd19059b55109a50e9775c18b17b6a96a76a5b4ea</t>
  </si>
  <si>
    <t>13/10/2026 16:28:35</t>
  </si>
  <si>
    <t>13/10/2026 22:11:04</t>
  </si>
  <si>
    <t>Inicio GPS anterior al horario: 01:31:25 antes de las 18:00.; Fin GPS anticipado: 01:48:56 antes de las 00:00.; 1 hueco(s) GPS &gt;= 10 min.</t>
  </si>
  <si>
    <t>6.225694, -75.598934</t>
  </si>
  <si>
    <t>6.237057, -75.558852</t>
  </si>
  <si>
    <t>c73c871c5c9d50a8</t>
  </si>
  <si>
    <t>13_10_2026_JO_Noct.gpx</t>
  </si>
  <si>
    <t>c73c871c5c9d50a87537491c35b545ad41741cd23f9558f4bb0327c0d4a85c03</t>
  </si>
  <si>
    <t>13/10/2026 18:04:56</t>
  </si>
  <si>
    <t>13/10/2026 23:51:26</t>
  </si>
  <si>
    <t>6.259285, -75.620910</t>
  </si>
  <si>
    <t>6.245555, -75.596427</t>
  </si>
  <si>
    <t>716d46e114e8e645</t>
  </si>
  <si>
    <t>13_10_2026_LA_Noct.gpx</t>
  </si>
  <si>
    <t>716d46e114e8e645e58d1dfa267483305deed064d322a310bf2ba0e2035b6ab2</t>
  </si>
  <si>
    <t>13/10/2026 17:18:50</t>
  </si>
  <si>
    <t>14/10/2026 00:01:56</t>
  </si>
  <si>
    <t>Inicio GPS anterior al horario: 00:41:09 antes de las 18:00.; Fin GPS dentro de la tolerancia del horario programado.; 3 hueco(s) GPS &gt;= 10 min.</t>
  </si>
  <si>
    <t>6.226548, -75.599262</t>
  </si>
  <si>
    <t>6.268820, -75.598403</t>
  </si>
  <si>
    <t>306a8e5e61d25a57</t>
  </si>
  <si>
    <t>13_10_2026_SJ_Noct.gpx</t>
  </si>
  <si>
    <t>306a8e5e61d25a573aa22bb5ff4ad0e256bc665512010477337e45dddce319f6</t>
  </si>
  <si>
    <t>13/10/2026 16:51:59</t>
  </si>
  <si>
    <t>13/10/2026 23:32:37</t>
  </si>
  <si>
    <t>Inicio GPS anterior al horario: 01:08:01 antes de las 18:00.; Fin GPS anticipado: 00:27:23 antes de las 00:00.</t>
  </si>
  <si>
    <t>6.228515, -75.598761</t>
  </si>
  <si>
    <t>6.306554, -75.576627</t>
  </si>
  <si>
    <t>8b7ce80fd10e1d3d</t>
  </si>
  <si>
    <t>14_10_2026_AO_Diur.gpx</t>
  </si>
  <si>
    <t>8b7ce80fd10e1d3d00c2d142cf1f7ab64e35b72658e4fe22a09b265b6f438b9e</t>
  </si>
  <si>
    <t>14/10/2026</t>
  </si>
  <si>
    <t>14/10/2026 08:56:18</t>
  </si>
  <si>
    <t>14/10/2026 16:51:50</t>
  </si>
  <si>
    <t>Inicio GPS tardío: 00:26:19 después de las 08:30.; Fin GPS posterior: 00:21:50 después de las 16:30.; 3 hueco(s) GPS &gt;= 10 min.; 1 permanencia(s) GPS detectada(s); requiere contexto.</t>
  </si>
  <si>
    <t>6.203227, -75.600756</t>
  </si>
  <si>
    <t>6.221865, -75.593827</t>
  </si>
  <si>
    <t>ffe5a9ed2891bbb4</t>
  </si>
  <si>
    <t>14_10_2026_AR_Diur.gpx</t>
  </si>
  <si>
    <t>ffe5a9ed2891bbb4c423992bf33168d6c5306b5804481a2ab13b050ed22d8325</t>
  </si>
  <si>
    <t>14/10/2026 08:13:30</t>
  </si>
  <si>
    <t>14/10/2026 17:39:45</t>
  </si>
  <si>
    <t>Inicio GPS anterior al horario: 00:16:30 antes de las 08:30.; Fin GPS posterior: 01:09:45 después de las 16:30.; 1 permanencia(s) GPS detectada(s); requiere contexto.</t>
  </si>
  <si>
    <t>6.225186, -75.599266</t>
  </si>
  <si>
    <t>6.247490, -75.615098</t>
  </si>
  <si>
    <t>88ae4a0bae4df545</t>
  </si>
  <si>
    <t>14_10_2026_DR_Diur.gpx</t>
  </si>
  <si>
    <t>88ae4a0bae4df54529d65dd2203e5abec6b30ab8f9345ba784c5ee5038670af4</t>
  </si>
  <si>
    <t>14/10/2026 08:37:22</t>
  </si>
  <si>
    <t>14/10/2026 16:21:41</t>
  </si>
  <si>
    <t>6.229101, -75.602048</t>
  </si>
  <si>
    <t>6.248697, -75.583498</t>
  </si>
  <si>
    <t>6d1cf52be27bce27</t>
  </si>
  <si>
    <t>14_10_2026_HC_Diur.gpx</t>
  </si>
  <si>
    <t>6d1cf52be27bce273e978163adb63d2ae5e1fd5885b55006deeb4649e22ac3d6</t>
  </si>
  <si>
    <t>14/10/2026 08:31:34</t>
  </si>
  <si>
    <t>14/10/2026 13:03:02</t>
  </si>
  <si>
    <t>Inicio GPS dentro de la tolerancia del horario programado.; Fin GPS anticipado: 03:26:58 antes de las 16:30.; 2 hueco(s) GPS &gt;= 10 min.; 1 permanencia(s) GPS detectada(s); requiere contexto.</t>
  </si>
  <si>
    <t>6.225642, -75.599112</t>
  </si>
  <si>
    <t>6.234715, -75.608236</t>
  </si>
  <si>
    <t>64509d321ef041bd</t>
  </si>
  <si>
    <t>14_10_2026_IQ_Diur.gpx</t>
  </si>
  <si>
    <t>64509d321ef041bde5da73f8c00e745c319e9fc405d1d03c584268f520093b2a</t>
  </si>
  <si>
    <t>14/10/2026 08:37:14</t>
  </si>
  <si>
    <t>14/10/2026 16:31:09</t>
  </si>
  <si>
    <t>6.225337, -75.599443</t>
  </si>
  <si>
    <t>6.250016, -75.556476</t>
  </si>
  <si>
    <t>f7d2441bb7475185</t>
  </si>
  <si>
    <t>14_10_2026_JHP_Diur.gpx</t>
  </si>
  <si>
    <t>f7d2441bb747518540529e28bca6efcb8bad3498ad8fdf4e5d3332896c719f8f</t>
  </si>
  <si>
    <t>14/10/2026 08:03:30</t>
  </si>
  <si>
    <t>14/10/2026 16:26:44</t>
  </si>
  <si>
    <t>Inicio GPS anterior al horario: 00:26:30 antes de las 08:30.; Fin GPS dentro de la tolerancia del horario programado.</t>
  </si>
  <si>
    <t>6.276895, -75.573033</t>
  </si>
  <si>
    <t>6.290654, -75.546259</t>
  </si>
  <si>
    <t>be7ef1cc7334a2cc</t>
  </si>
  <si>
    <t>14_10_2026_JP_Diur.gpx</t>
  </si>
  <si>
    <t>be7ef1cc7334a2cc001a50dc73afc51d329fbc4bf1a63fea64fa157b96de5863</t>
  </si>
  <si>
    <t>14/10/2026 08:29:59</t>
  </si>
  <si>
    <t>14/10/2026 17:07:32</t>
  </si>
  <si>
    <t>Inicio GPS dentro de la tolerancia del horario programado.; Fin GPS posterior: 00:37:32 después de las 16:30.; 2 hueco(s) GPS &gt;= 10 min.; 1 permanencia(s) GPS detectada(s); requiere contexto.</t>
  </si>
  <si>
    <t>6.225562, -75.599443</t>
  </si>
  <si>
    <t>6.251810, -75.551732</t>
  </si>
  <si>
    <t>8c543afda4b1ee42</t>
  </si>
  <si>
    <t>14_10_2026_JZ_Diur.gpx</t>
  </si>
  <si>
    <t>8c543afda4b1ee428c5e76172848f955062013ba9b88f800c4436d1222c12ae6</t>
  </si>
  <si>
    <t>14/10/2026 08:09:09</t>
  </si>
  <si>
    <t>14/10/2026 16:15:58</t>
  </si>
  <si>
    <t>Inicio GPS anterior al horario: 00:20:51 antes de las 08:30.; Fin GPS dentro de la tolerancia del horario programado.</t>
  </si>
  <si>
    <t>6.226667, -75.599209</t>
  </si>
  <si>
    <t>6.278609, -75.569281</t>
  </si>
  <si>
    <t>489a0fe801d49162</t>
  </si>
  <si>
    <t>14_10_2026_YL_Diur.gpx</t>
  </si>
  <si>
    <t>489a0fe801d49162410c678dd97aa168e1317a5ea6523061438649a3b0eca451</t>
  </si>
  <si>
    <t>14/10/2026 07:48:49</t>
  </si>
  <si>
    <t>14/10/2026 16:04:09</t>
  </si>
  <si>
    <t>Inicio GPS anterior al horario: 00:41:11 antes de las 08:30.; Fin GPS anticipado: 00:25:51 antes de las 16:30.; 4 hueco(s) GPS &gt;= 10 min.</t>
  </si>
  <si>
    <t>6.225636, -75.599136</t>
  </si>
  <si>
    <t>6.258233, -75.615764</t>
  </si>
  <si>
    <t>b9dcdc6b6293e815</t>
  </si>
  <si>
    <t>14_10_2026_DV_Noct.gpx</t>
  </si>
  <si>
    <t>b9dcdc6b6293e815883717ccbc59028d7b5215de3453006aca57554ee068132e</t>
  </si>
  <si>
    <t>14/10/2026 16:59:35</t>
  </si>
  <si>
    <t>15/10/2026 00:34:59</t>
  </si>
  <si>
    <t>Inicio GPS anterior al horario: 01:00:25 antes de las 18:00.; Fin GPS posterior: 00:34:59 después de las 00:00.; 1 permanencia(s) GPS detectada(s); requiere contexto.</t>
  </si>
  <si>
    <t>6.226742, -75.599953</t>
  </si>
  <si>
    <t>6.272717, -75.601748</t>
  </si>
  <si>
    <t>7ec49c8214a931c3</t>
  </si>
  <si>
    <t>14_10_2026_JA_Noct.gpx</t>
  </si>
  <si>
    <t>7ec49c8214a931c3be75085012d7e103f1fbd1c5f3c8771d97660ec9f51d1a1f</t>
  </si>
  <si>
    <t>14/10/2026 16:47:52</t>
  </si>
  <si>
    <t>14/10/2026 23:02:17</t>
  </si>
  <si>
    <t>Inicio GPS anterior al horario: 01:12:08 antes de las 18:00.; Fin GPS anticipado: 00:57:43 antes de las 00:00.; 1 hueco(s) GPS &gt;= 10 min.; 1 permanencia(s) GPS detectada(s); requiere contexto.</t>
  </si>
  <si>
    <t>6.225691, -75.599361</t>
  </si>
  <si>
    <t>6.237171, -75.558699</t>
  </si>
  <si>
    <t>2090423d82dc1cf0</t>
  </si>
  <si>
    <t>14_10_2026_JO_Noct.gpx</t>
  </si>
  <si>
    <t>2090423d82dc1cf03c36b79438baa95510dbea133ff7760546a23cdfe72ed0a9</t>
  </si>
  <si>
    <t>14/10/2026 18:10:21</t>
  </si>
  <si>
    <t>14/10/2026 22:48:24</t>
  </si>
  <si>
    <t>Inicio GPS dentro de la tolerancia del horario programado.; Fin GPS anticipado: 01:11:35 antes de las 00:00.; 11 hueco(s) GPS &gt;= 10 min.; 1 permanencia(s) GPS detectada(s); requiere contexto.</t>
  </si>
  <si>
    <t>6.259245, -75.621056</t>
  </si>
  <si>
    <t>6.269903, -75.653419</t>
  </si>
  <si>
    <t>6a051dfc98ca7b3a</t>
  </si>
  <si>
    <t>14_10_2026_LA_Noct.gpx</t>
  </si>
  <si>
    <t>6a051dfc98ca7b3a7bd711f6bf60a79a6a172902c331d5e644f28b2a4bfdb2bf</t>
  </si>
  <si>
    <t>14/10/2026 17:22:38</t>
  </si>
  <si>
    <t>15/10/2026 00:02:26</t>
  </si>
  <si>
    <t>Inicio GPS anterior al horario: 00:37:22 antes de las 18:00.; Fin GPS dentro de la tolerancia del horario programado.; 4 hueco(s) GPS &gt;= 10 min.</t>
  </si>
  <si>
    <t>6.260127, -75.597472</t>
  </si>
  <si>
    <t>6.273610, -75.593003</t>
  </si>
  <si>
    <t>8ec31d91e6fc1c86</t>
  </si>
  <si>
    <t>14_10_2026_SJ_Noct.gpx</t>
  </si>
  <si>
    <t>8ec31d91e6fc1c862c2a075d1ffcadede8b79a57bdd87a6af7602c6ab600fa74</t>
  </si>
  <si>
    <t>14/10/2026 17:11:45</t>
  </si>
  <si>
    <t>15/10/2026 00:08:22</t>
  </si>
  <si>
    <t>Inicio GPS anterior al horario: 00:48:15 antes de las 18:00.; Fin GPS dentro de la tolerancia del horario programado.; 1 hueco(s) GPS &gt;= 10 min.</t>
  </si>
  <si>
    <t>6.225633, -75.599464</t>
  </si>
  <si>
    <t>6.304074, -75.582063</t>
  </si>
  <si>
    <t>Presenta daño en la motocicleta, el tecnico hace el reporte a SST</t>
  </si>
  <si>
    <t>fc4d4f420452569e</t>
  </si>
  <si>
    <t>15_10_2026_AO_Diur.gpx</t>
  </si>
  <si>
    <t>fc4d4f420452569e41574436c0dec5d57e246a6a5716b6bec0749990104342f3</t>
  </si>
  <si>
    <t>15/10/2026</t>
  </si>
  <si>
    <t>15/10/2026 09:03:58</t>
  </si>
  <si>
    <t>15/10/2026 16:36:21</t>
  </si>
  <si>
    <t>Inicio GPS tardío: 00:33:58 después de las 08:30.; Fin GPS dentro de la tolerancia del horario programado.; 1 hueco(s) GPS &gt;= 10 min.</t>
  </si>
  <si>
    <t>6.203253, -75.600691</t>
  </si>
  <si>
    <t>6.230093, -75.599961</t>
  </si>
  <si>
    <t>a6bf47115fa091b5</t>
  </si>
  <si>
    <t>15_10_2026_AR_Diur.gpx</t>
  </si>
  <si>
    <t>a6bf47115fa091b5933f92eaf7aafd3df028660dc22f0bc5a83df9dc189446ef</t>
  </si>
  <si>
    <t>15/10/2026 08:03:37</t>
  </si>
  <si>
    <t>15/10/2026 16:54:11</t>
  </si>
  <si>
    <t>Inicio GPS anterior al horario: 00:26:23 antes de las 08:30.; Fin GPS posterior: 00:24:11 después de las 16:30.; 1 permanencia(s) GPS detectada(s); requiere contexto.</t>
  </si>
  <si>
    <t>6.225396, -75.599065</t>
  </si>
  <si>
    <t>6.247533, -75.614945</t>
  </si>
  <si>
    <t>7655e6052a0a5ede</t>
  </si>
  <si>
    <t>15_10_2026_HC_Diur.gpx</t>
  </si>
  <si>
    <t>7655e6052a0a5ede460859a31be94ccebd047828dcbd9b7c3f059c3b7685104d</t>
  </si>
  <si>
    <t>15/10/2026 08:21:19</t>
  </si>
  <si>
    <t>15/10/2026 14:11:34</t>
  </si>
  <si>
    <t>Inicio GPS dentro de la tolerancia del horario programado.; Fin GPS anticipado: 02:18:26 antes de las 16:30.; 1 hueco(s) GPS &gt;= 10 min.</t>
  </si>
  <si>
    <t>6.225870, -75.599430</t>
  </si>
  <si>
    <t>6.304631, -75.577947</t>
  </si>
  <si>
    <t>ef45c1c66bcabad8</t>
  </si>
  <si>
    <t>15_10_2026_IQ_Diur.gpx</t>
  </si>
  <si>
    <t>ef45c1c66bcabad82c768d0d579ad8a3ef63f817abd4061bf5994c75cc9cd5f7</t>
  </si>
  <si>
    <t>15/10/2026 08:28:23</t>
  </si>
  <si>
    <t>15/10/2026 16:33:10</t>
  </si>
  <si>
    <t>6.244765, -75.570938</t>
  </si>
  <si>
    <t>6.243089, -75.548853</t>
  </si>
  <si>
    <t>96084586681ba3af</t>
  </si>
  <si>
    <t>15_10_2026_JHP_Diur.gpx</t>
  </si>
  <si>
    <t>96084586681ba3aff069d9f83463bdfc1d1f2e43a890d7656d6014a6e8557e06</t>
  </si>
  <si>
    <t>15/10/2026 08:07:14</t>
  </si>
  <si>
    <t>15/10/2026 16:13:07</t>
  </si>
  <si>
    <t>Inicio GPS anterior al horario: 00:22:46 antes de las 08:30.; Fin GPS anticipado: 00:16:53 antes de las 16:30.</t>
  </si>
  <si>
    <t>6.272866, -75.574478</t>
  </si>
  <si>
    <t>6.272870, -75.574525</t>
  </si>
  <si>
    <t>146963c33a5f42de</t>
  </si>
  <si>
    <t>15_10_2026_JP_Diur.gpx</t>
  </si>
  <si>
    <t>146963c33a5f42de81af675ef15449ca6d5cde49fe26b7cbfa632412887d083e</t>
  </si>
  <si>
    <t>15/10/2026 08:31:26</t>
  </si>
  <si>
    <t>15/10/2026 12:39:14</t>
  </si>
  <si>
    <t>Inicio GPS dentro de la tolerancia del horario programado.; Fin GPS anticipado: 03:50:46 antes de las 16:30.; 1 hueco(s) GPS &gt;= 10 min.</t>
  </si>
  <si>
    <t>6.225523, -75.598997</t>
  </si>
  <si>
    <t>6.251848, -75.551895</t>
  </si>
  <si>
    <t>bbdfea9601347182</t>
  </si>
  <si>
    <t>15_10_2026_JZ_Diur.gpx</t>
  </si>
  <si>
    <t>bbdfea9601347182401cdbb59b104c2a898f2e0e3967ef3c7c12d8a3c0e1eea9</t>
  </si>
  <si>
    <t>15/10/2026 12:10:49</t>
  </si>
  <si>
    <t>15/10/2026 16:23:48</t>
  </si>
  <si>
    <t>Inicio GPS tardío: 03:40:49 después de las 08:30.; Fin GPS dentro de la tolerancia del horario programado.</t>
  </si>
  <si>
    <t>6.257584, -75.561883</t>
  </si>
  <si>
    <t>6.278348, -75.569460</t>
  </si>
  <si>
    <t>1be9f84d3523cfc0</t>
  </si>
  <si>
    <t>15_10_2026_YL_Diur.gpx</t>
  </si>
  <si>
    <t>1be9f84d3523cfc0a9fe805410531891200c0cf4c5692506fbab0ebcbf5e133f</t>
  </si>
  <si>
    <t>15/10/2026 08:54:57</t>
  </si>
  <si>
    <t>15/10/2026 16:35:09</t>
  </si>
  <si>
    <t>Inicio GPS tardío: 00:24:57 después de las 08:30.; Fin GPS dentro de la tolerancia del horario programado.; 1 hueco(s) GPS &gt;= 10 min.; 1 permanencia(s) GPS detectada(s); requiere contexto.</t>
  </si>
  <si>
    <t>6.225550, -75.599145</t>
  </si>
  <si>
    <t>6.258654, -75.616274</t>
  </si>
  <si>
    <t>0b39ab11a81c59c9</t>
  </si>
  <si>
    <t>15_10_2026_DR_Diur.gpx</t>
  </si>
  <si>
    <t>0b39ab11a81c59c9607a46375883355629dbaf816eda64d44ed1d7a4b87187bf</t>
  </si>
  <si>
    <t>15/10/2026 08:23:05</t>
  </si>
  <si>
    <t>15/10/2026 16:21:27</t>
  </si>
  <si>
    <t>6.233731, -75.602238</t>
  </si>
  <si>
    <t>6.247455, -75.578223</t>
  </si>
  <si>
    <t>eb34b7b8af8e9044</t>
  </si>
  <si>
    <t>15_10_2026_DV_Noct.gpx</t>
  </si>
  <si>
    <t>eb34b7b8af8e904464913c097384766186baa0e85b40d49ef5e2528081c3d7f8</t>
  </si>
  <si>
    <t>15/10/2026 17:08:22</t>
  </si>
  <si>
    <t>16/10/2026 00:09:48</t>
  </si>
  <si>
    <t>Inicio GPS anterior al horario: 00:51:38 antes de las 18:00.; Fin GPS dentro de la tolerancia del horario programado.; 1 permanencia(s) GPS detectada(s); requiere contexto.</t>
  </si>
  <si>
    <t>6.231068, -75.601835</t>
  </si>
  <si>
    <t>6.272533, -75.601931</t>
  </si>
  <si>
    <t>167151d2247dc5e4</t>
  </si>
  <si>
    <t>15_10_2026_JA_Noct.gpx</t>
  </si>
  <si>
    <t>167151d2247dc5e442e8bf88091f05a51cec8b09cf58456b6c0ce3df1d8d05e8</t>
  </si>
  <si>
    <t>15/10/2026 16:37:19</t>
  </si>
  <si>
    <t>15/10/2026 21:04:52</t>
  </si>
  <si>
    <t>Inicio GPS anterior al horario: 01:22:41 antes de las 18:00.; Fin GPS anticipado: 02:55:08 antes de las 00:00.</t>
  </si>
  <si>
    <t>6.225831, -75.599080</t>
  </si>
  <si>
    <t>6.236915, -75.558754</t>
  </si>
  <si>
    <t>15/10/2026 23:52:53</t>
  </si>
  <si>
    <t>6.259223, -75.620935</t>
  </si>
  <si>
    <t>89ca1c12a53072a4</t>
  </si>
  <si>
    <t>15_10_2026_LA_Noct.gpx</t>
  </si>
  <si>
    <t>89ca1c12a53072a4adb61143c9654995ac9b86a84cfd8b843f79e1962da0d318</t>
  </si>
  <si>
    <t>15/10/2026 17:07:44</t>
  </si>
  <si>
    <t>16/10/2026 00:03:50</t>
  </si>
  <si>
    <t>Inicio GPS anterior al horario: 00:52:15 antes de las 18:00.; Fin GPS dentro de la tolerancia del horario programado.; 2 hueco(s) GPS &gt;= 10 min.; 1 permanencia(s) GPS detectada(s); requiere contexto.</t>
  </si>
  <si>
    <t>6.226657, -75.599265</t>
  </si>
  <si>
    <t>6.268452, -75.599155</t>
  </si>
  <si>
    <t>084d33977dc47ca5</t>
  </si>
  <si>
    <t>15_10_2026_SJ_Noct.gpx</t>
  </si>
  <si>
    <t>084d33977dc47ca5c2950c7e49f75adb3afde090f824ed835864cb98262222c6</t>
  </si>
  <si>
    <t>15/10/2026 18:26:04</t>
  </si>
  <si>
    <t>15/10/2026 23:47:09</t>
  </si>
  <si>
    <t>Inicio GPS tardío: 00:26:04 después de las 18:00.; Fin GPS dentro de la tolerancia del horario programado.</t>
  </si>
  <si>
    <t>6.222780, -75.598580</t>
  </si>
  <si>
    <t>6.305086, -75.581832</t>
  </si>
  <si>
    <t>f855d1ec6c717787</t>
  </si>
  <si>
    <t>15_10_2026_JO_Noct.gpx</t>
  </si>
  <si>
    <t>f855d1ec6c7177870098c1a2eafb03d551db5067eca67f11d9705d793461248c</t>
  </si>
  <si>
    <t>15/10/2026 18:06:00</t>
  </si>
  <si>
    <t>6.238250, -75.602973</t>
  </si>
  <si>
    <t>63a08f884acccff8</t>
  </si>
  <si>
    <t>16_10_2026_AR_Diur.gpx</t>
  </si>
  <si>
    <t>63a08f884acccff82dc1cf38a3f5cbfd64d78f5f9dc47a4045f5d0b37b98662c</t>
  </si>
  <si>
    <t>16/10/2026</t>
  </si>
  <si>
    <t>16/10/2026 08:38:18</t>
  </si>
  <si>
    <t>16/10/2026 16:13:17</t>
  </si>
  <si>
    <t>6.225667, -75.599477</t>
  </si>
  <si>
    <t>6.228534, -75.577227</t>
  </si>
  <si>
    <t>2a96fa77753f7397</t>
  </si>
  <si>
    <t>16_10_2026_HC_Diur.gpx</t>
  </si>
  <si>
    <t>2a96fa77753f7397ac62e100b34fd859f1048c407d064988f8b5739d73385859</t>
  </si>
  <si>
    <t>16/10/2026 08:28:02</t>
  </si>
  <si>
    <t>16/10/2026 13:47:10</t>
  </si>
  <si>
    <t>Inicio GPS dentro de la tolerancia del horario programado.; Fin GPS anticipado: 02:12:50 antes de las 16:00.; 2 hueco(s) GPS &gt;= 10 min.</t>
  </si>
  <si>
    <t>6.225815, -75.599409</t>
  </si>
  <si>
    <t>6.290298, -75.558482</t>
  </si>
  <si>
    <t>6f5e4ab8829a2de0</t>
  </si>
  <si>
    <t>16_10_2026_JHP_Diur.gpx</t>
  </si>
  <si>
    <t>6f5e4ab8829a2de012b8871a4da8b122c39fae37e26edfc560afb3749c5b9be2</t>
  </si>
  <si>
    <t>16/10/2026 08:05:40</t>
  </si>
  <si>
    <t>16/10/2026 15:54:01</t>
  </si>
  <si>
    <t>Inicio GPS anterior al horario: 00:24:20 antes de las 08:30.; Fin GPS dentro de la tolerancia del horario programado.</t>
  </si>
  <si>
    <t>6.272756, -75.574512</t>
  </si>
  <si>
    <t>6.272789, -75.574416</t>
  </si>
  <si>
    <t>177a38854fe516fc</t>
  </si>
  <si>
    <t>16_10_2026_JP_Diur.gpx</t>
  </si>
  <si>
    <t>177a38854fe516fcf5f13d5ef86dd3fa1afa46189dc4525c0ccbb4dcac5baa8b</t>
  </si>
  <si>
    <t>16/10/2026 07:28:54</t>
  </si>
  <si>
    <t>16/10/2026 14:39:40</t>
  </si>
  <si>
    <t>Inicio GPS anterior al horario: 01:01:06 antes de las 08:30.; Fin GPS anticipado: 01:20:20 antes de las 16:00.</t>
  </si>
  <si>
    <t>6.253973, -75.588213</t>
  </si>
  <si>
    <t>6.251860, -75.551798</t>
  </si>
  <si>
    <t>5af2585f97579082</t>
  </si>
  <si>
    <t>16_10_2026_JZ_Diur.gpx</t>
  </si>
  <si>
    <t>5af2585f975790826052d08a4d4417429b51098e86e8f45b84dbd5721dd94261</t>
  </si>
  <si>
    <t>16/10/2026 08:17:52</t>
  </si>
  <si>
    <t>16/10/2026 15:58:25</t>
  </si>
  <si>
    <t>6.226635, -75.599202</t>
  </si>
  <si>
    <t>6.248627, -75.565271</t>
  </si>
  <si>
    <t>c4058691c0592d43</t>
  </si>
  <si>
    <t>17_10_2026_AR_Diur.gpx</t>
  </si>
  <si>
    <t>c4058691c0592d43d96214182456c8c9c41b88acb7745edcc49ada941f18453b</t>
  </si>
  <si>
    <t>17/10/2026</t>
  </si>
  <si>
    <t>17/10/2026 08:41:07</t>
  </si>
  <si>
    <t>17/10/2026 15:47:11</t>
  </si>
  <si>
    <t>6.247571, -75.614759</t>
  </si>
  <si>
    <t>6.246129, -75.609533</t>
  </si>
  <si>
    <t>22f6e4de52031af7</t>
  </si>
  <si>
    <t>16_10_2026_YL_Diur.gpx</t>
  </si>
  <si>
    <t>22f6e4de52031af7b8fb1e0615805d8b09d771dd35cda74617771c58e7bbcfd0</t>
  </si>
  <si>
    <t>16/10/2026 09:08:57</t>
  </si>
  <si>
    <t>16/10/2026 16:33:50</t>
  </si>
  <si>
    <t>Inicio GPS tardío: 00:38:57 después de las 08:30.; Fin GPS posterior: 00:33:50 después de las 16:00.; 1 hueco(s) GPS &gt;= 10 min.; 1 permanencia(s) GPS detectada(s); requiere contexto.</t>
  </si>
  <si>
    <t>6.225578, -75.599353</t>
  </si>
  <si>
    <t>6.258547, -75.616319</t>
  </si>
  <si>
    <t>7c074dbd9e384ac2</t>
  </si>
  <si>
    <t>16_10_2026_DR_Noct.gpx</t>
  </si>
  <si>
    <t>7c074dbd9e384ac2704dcdb53850e149f544807397a5646b4de4a20a68665fd1</t>
  </si>
  <si>
    <t>16/10/2026 18:33:45</t>
  </si>
  <si>
    <t>16/10/2026 23:21:03</t>
  </si>
  <si>
    <t>Inicio GPS tardío: 00:33:45 después de las 18:00.; Fin GPS anticipado: 00:38:57 antes de las 00:00.</t>
  </si>
  <si>
    <t>6.253186, -75.609389</t>
  </si>
  <si>
    <t>6.245612, -75.616992</t>
  </si>
  <si>
    <t>6f92dbbc23f7c69c</t>
  </si>
  <si>
    <t>16_10_2026_DV_Noct.gpx</t>
  </si>
  <si>
    <t>6f92dbbc23f7c69c6755e4b69b42369fe402dcf27036a58c3a5aa72586329d8a</t>
  </si>
  <si>
    <t>16/10/2026 17:45:31</t>
  </si>
  <si>
    <t>17/10/2026 00:09:12</t>
  </si>
  <si>
    <t>6.272485, -75.602200</t>
  </si>
  <si>
    <t>6.273327, -75.602161</t>
  </si>
  <si>
    <t>21f0c25e11476e13</t>
  </si>
  <si>
    <t>16_10_2026_IQ_Noct.gpx</t>
  </si>
  <si>
    <t>21f0c25e11476e13ffdb71147d0dffbd71108a40e47be43f503225d0fc174850</t>
  </si>
  <si>
    <t>16/10/2026 16:12:39</t>
  </si>
  <si>
    <t>16/10/2026 23:53:36</t>
  </si>
  <si>
    <t>Inicio GPS anterior al horario: 01:47:21 antes de las 18:00.; Fin GPS dentro de la tolerancia del horario programado.; 3 hueco(s) GPS &gt;= 10 min.</t>
  </si>
  <si>
    <t>6.274655, -75.540585</t>
  </si>
  <si>
    <t>6.252734, -75.556586</t>
  </si>
  <si>
    <t>438543b52fd9adbe</t>
  </si>
  <si>
    <t>16_10_2026_JA_Noct.gpx</t>
  </si>
  <si>
    <t>438543b52fd9adbe1580bd49cb5fe4a808fc432af83bd0c976f25ebccbfb161a</t>
  </si>
  <si>
    <t>16/10/2026 17:55:44</t>
  </si>
  <si>
    <t>16/10/2026 22:56:50</t>
  </si>
  <si>
    <t>Inicio GPS dentro de la tolerancia del horario programado.; Fin GPS anticipado: 01:03:10 antes de las 00:00.; 2 hueco(s) GPS &gt;= 10 min.; 1 permanencia(s) GPS detectada(s); requiere contexto.</t>
  </si>
  <si>
    <t>6.238265, -75.560160</t>
  </si>
  <si>
    <t>6.237090, -75.558795</t>
  </si>
  <si>
    <t>3a7a54da018aa3d8</t>
  </si>
  <si>
    <t>16_10_2026_JO_Noct.gpx</t>
  </si>
  <si>
    <t>3a7a54da018aa3d89116d4fe2e48e4fcd307d0cd9499396df427e651a6839750</t>
  </si>
  <si>
    <t>16/10/2026 18:13:38</t>
  </si>
  <si>
    <t>16/10/2026 23:53:06</t>
  </si>
  <si>
    <t>6.246878, -75.554066</t>
  </si>
  <si>
    <t>6.255427, -75.620604</t>
  </si>
  <si>
    <t>eb33a0ccdae538c5</t>
  </si>
  <si>
    <t>16_10_2026_LA_Noct.gpx</t>
  </si>
  <si>
    <t>eb33a0ccdae538c572e4bb01770f3dfc4d3e72d8f0428a65a3305a5df572e66d</t>
  </si>
  <si>
    <t>16/10/2026 17:49:23</t>
  </si>
  <si>
    <t>17/10/2026 00:23:46</t>
  </si>
  <si>
    <t>Inicio GPS dentro de la tolerancia del horario programado.; Fin GPS posterior: 00:23:47 después de las 00:00.; 1 hueco(s) GPS &gt;= 10 min.; 1 permanencia(s) GPS detectada(s); requiere contexto.</t>
  </si>
  <si>
    <t>6.267497, -75.598057</t>
  </si>
  <si>
    <t>6.279607, -75.570877</t>
  </si>
  <si>
    <t>020ac8ab1766c678</t>
  </si>
  <si>
    <t>16_10_2026_SJ_Noct.gpx</t>
  </si>
  <si>
    <t>020ac8ab1766c678a13dad4711a2861157e196dea630c0b76b610e97b90dd14e</t>
  </si>
  <si>
    <t>16/10/2026 18:09:24</t>
  </si>
  <si>
    <t>17/10/2026 00:18:04</t>
  </si>
  <si>
    <t>Inicio GPS dentro de la tolerancia del horario programado.; Fin GPS posterior: 00:18:04 después de las 00:00.</t>
  </si>
  <si>
    <t>6.306048, -75.581989</t>
  </si>
  <si>
    <t>6.306526, -75.581994</t>
  </si>
  <si>
    <t>5956d5b459e20741</t>
  </si>
  <si>
    <t>17_10_2026_JP_Noct.gpx</t>
  </si>
  <si>
    <t>5956d5b459e207417071618d368df2958d1d67c26020166a18cc9938ac7f6d66</t>
  </si>
  <si>
    <t>17/10/2026 18:06:54</t>
  </si>
  <si>
    <t>17/10/2026 23:28:39</t>
  </si>
  <si>
    <t>Inicio GPS dentro de la tolerancia del horario programado.; Fin GPS anticipado: 00:31:21 antes de las 00:00.; Sábado nocturno: verificar técnico asignado.</t>
  </si>
  <si>
    <t>6.251703, -75.551667</t>
  </si>
  <si>
    <t>6.310818, -75.566105</t>
  </si>
  <si>
    <t>a37c97e017d9bdd3</t>
  </si>
  <si>
    <t>19_10_2026_AO_Diur.gpx</t>
  </si>
  <si>
    <t>a37c97e017d9bdd3a3bc49947dc0f839a766f654e031a9401b1f762f137b4d44</t>
  </si>
  <si>
    <t>19/10/2026</t>
  </si>
  <si>
    <t>19/10/2026 08:54:44</t>
  </si>
  <si>
    <t>19/10/2026 16:31:50</t>
  </si>
  <si>
    <t>Inicio GPS tardío: 00:24:44 después de las 08:30.; Fin GPS dentro de la tolerancia del horario programado.; 1 permanencia(s) GPS detectada(s); requiere contexto.</t>
  </si>
  <si>
    <t>6.203423, -75.600455</t>
  </si>
  <si>
    <t>6.225669, -75.599111</t>
  </si>
  <si>
    <t>206e17caac91c772</t>
  </si>
  <si>
    <t>19_10_2026_AR_Diur.gpx</t>
  </si>
  <si>
    <t>206e17caac91c772f4b0264a04e5e36d696e48b901e5caac2c94acdaac4c93a1</t>
  </si>
  <si>
    <t>19/10/2026 08:40:23</t>
  </si>
  <si>
    <t>19/10/2026 16:33:35</t>
  </si>
  <si>
    <t>6.225639, -75.599331</t>
  </si>
  <si>
    <t>6.225685, -75.599348</t>
  </si>
  <si>
    <t>6c0c90c68aeeb583</t>
  </si>
  <si>
    <t>19_10_2026_HC_Diur.gpx</t>
  </si>
  <si>
    <t>6c0c90c68aeeb5832d831770358950e28210ab8469f559232f503fc9043e0764</t>
  </si>
  <si>
    <t>19/10/2026 08:47:23</t>
  </si>
  <si>
    <t>19/10/2026 18:45:43</t>
  </si>
  <si>
    <t>Inicio GPS tardío: 00:17:23 después de las 08:30.; Fin GPS posterior: 02:15:43 después de las 16:30.; 3 hueco(s) GPS &gt;= 10 min.; 1 permanencia(s) GPS detectada(s); requiere contexto.</t>
  </si>
  <si>
    <t>6.225630, -75.599422</t>
  </si>
  <si>
    <t>6.310233, -75.578072</t>
  </si>
  <si>
    <t>8a9002ee96de3999</t>
  </si>
  <si>
    <t>19_10_2026_JHP_Diur.gpx</t>
  </si>
  <si>
    <t>8a9002ee96de3999b0c2ebfc8bdcf992ff69f0a0c8ad2428991e9350de0cf57d</t>
  </si>
  <si>
    <t>19/10/2026 08:25:44</t>
  </si>
  <si>
    <t>19/10/2026 16:22:51</t>
  </si>
  <si>
    <t>6.225702, -75.599575</t>
  </si>
  <si>
    <t>6.290496, -75.546455</t>
  </si>
  <si>
    <t>db5bc8a0935fd218</t>
  </si>
  <si>
    <t>19_10_2026_JZ_Diur.gpx</t>
  </si>
  <si>
    <t>db5bc8a0935fd21811342322e937a9ced70020f8d90192cb108d8c52f0b2c5fd</t>
  </si>
  <si>
    <t>19/10/2026 08:39:18</t>
  </si>
  <si>
    <t>19/10/2026 14:00:30</t>
  </si>
  <si>
    <t>Inicio GPS dentro de la tolerancia del horario programado.; Fin GPS anticipado: 02:29:30 antes de las 16:30.; 1 permanencia(s) GPS detectada(s); requiere contexto.</t>
  </si>
  <si>
    <t>6.226946, -75.599124</t>
  </si>
  <si>
    <t>6.282292, -75.563463</t>
  </si>
  <si>
    <t>94dd49ec46fbb5c3</t>
  </si>
  <si>
    <t>19_10_2026_DR_Noct.gpx</t>
  </si>
  <si>
    <t>94dd49ec46fbb5c3b3819020e15be24041fa3f8a3b45868baf3f55035d07ac99</t>
  </si>
  <si>
    <t>19/10/2026 18:13:05</t>
  </si>
  <si>
    <t>19/10/2026 23:57:32</t>
  </si>
  <si>
    <t>6.259172, -75.600714</t>
  </si>
  <si>
    <t>6.247829, -75.615062</t>
  </si>
  <si>
    <t>f15385f877711fc4</t>
  </si>
  <si>
    <t>19_10_2026_DV_Noct.gpx</t>
  </si>
  <si>
    <t>f15385f877711fc4244872e44d807b3e46d2e940dba3239989670c83942f8d74</t>
  </si>
  <si>
    <t>19/10/2026 16:42:35</t>
  </si>
  <si>
    <t>20/10/2026 00:24:01</t>
  </si>
  <si>
    <t>Inicio GPS anterior al horario: 01:17:25 antes de las 18:00.; Fin GPS posterior: 00:24:01 después de las 00:00.; 1 permanencia(s) GPS detectada(s); requiere contexto.</t>
  </si>
  <si>
    <t>6.227892, -75.599327</t>
  </si>
  <si>
    <t>6.272698, -75.602052</t>
  </si>
  <si>
    <t>c93969b3eb2ce2fc</t>
  </si>
  <si>
    <t>19_10_2026_IQ_Noct.gpx</t>
  </si>
  <si>
    <t>c93969b3eb2ce2fc8cba6461776bf38728d936fbfaa9df12966046888982c98a</t>
  </si>
  <si>
    <t>19/10/2026 17:10:14</t>
  </si>
  <si>
    <t>19/10/2026 23:47:14</t>
  </si>
  <si>
    <t>Inicio GPS anterior al horario: 00:49:46 antes de las 18:00.; Fin GPS dentro de la tolerancia del horario programado.; 6 hueco(s) GPS &gt;= 10 min.</t>
  </si>
  <si>
    <t>6.228041, -75.596376</t>
  </si>
  <si>
    <t>6.272547, -75.540334</t>
  </si>
  <si>
    <t>d98aea1761399aac</t>
  </si>
  <si>
    <t>19_10_2026_JA_Noct.gpx</t>
  </si>
  <si>
    <t>d98aea1761399aace84d9ff09ac83c7056ebe96b4081003b66ee016b94129fb5</t>
  </si>
  <si>
    <t>19/10/2026 16:34:59</t>
  </si>
  <si>
    <t>19/10/2026 22:15:50</t>
  </si>
  <si>
    <t>Inicio GPS anterior al horario: 01:25:01 antes de las 18:00.; Fin GPS anticipado: 01:44:10 antes de las 00:00.; 1 hueco(s) GPS &gt;= 10 min.</t>
  </si>
  <si>
    <t>6.225938, -75.599412</t>
  </si>
  <si>
    <t>6.236962, -75.558886</t>
  </si>
  <si>
    <t>22bcbddd91965fc2</t>
  </si>
  <si>
    <t>19_10_2026_JO_Noct.gpx</t>
  </si>
  <si>
    <t>22bcbddd91965fc2669666fa8c990b466418ab992288e22493bfcf5a3c299e1c</t>
  </si>
  <si>
    <t>19/10/2026 16:59:11</t>
  </si>
  <si>
    <t>19/10/2026 23:52:40</t>
  </si>
  <si>
    <t>Inicio GPS anterior al horario: 01:00:49 antes de las 18:00.; Fin GPS dentro de la tolerancia del horario programado.; 13 hueco(s) GPS &gt;= 10 min.</t>
  </si>
  <si>
    <t>6.225730, -75.599359</t>
  </si>
  <si>
    <t>6.259324, -75.620675</t>
  </si>
  <si>
    <t>41cb733f7bfec6ab</t>
  </si>
  <si>
    <t>19_10_2026_JP_Noct.gpx</t>
  </si>
  <si>
    <t>41cb733f7bfec6ab745d7c97848ffbdc11d20b2736d6462960e2c5841bfe3c69</t>
  </si>
  <si>
    <t>19/10/2026 16:54:43</t>
  </si>
  <si>
    <t>20/10/2026 00:00:32</t>
  </si>
  <si>
    <t>Inicio GPS anterior al horario: 01:05:17 antes de las 18:00.; Fin GPS dentro de la tolerancia del horario programado.; 1 permanencia(s) GPS detectada(s); requiere contexto.</t>
  </si>
  <si>
    <t>6.225638, -75.599412</t>
  </si>
  <si>
    <t>6.251882, -75.551742</t>
  </si>
  <si>
    <t>619080a2d6cd6bc4</t>
  </si>
  <si>
    <t>19_10_2026_LA_Noct.gpx</t>
  </si>
  <si>
    <t>619080a2d6cd6bc470a919bac9bd6136c2446550ac402d435e16e46a9d03353d</t>
  </si>
  <si>
    <t>19/10/2026 17:08:54</t>
  </si>
  <si>
    <t>20/10/2026 00:04:28</t>
  </si>
  <si>
    <t>Inicio GPS anterior al horario: 00:51:05 antes de las 18:00.; Fin GPS dentro de la tolerancia del horario programado.; 4 hueco(s) GPS &gt;= 10 min.</t>
  </si>
  <si>
    <t>6.225610, -75.599925</t>
  </si>
  <si>
    <t>6.268615, -75.599490</t>
  </si>
  <si>
    <t>74da49ed217785c0</t>
  </si>
  <si>
    <t>19_10_2026_SJ_Noct.gpx</t>
  </si>
  <si>
    <t>74da49ed217785c013f7644b1b71bec3581e6ffc8e50ea470766bc794ff8bb36</t>
  </si>
  <si>
    <t>19/10/2026 18:25:25</t>
  </si>
  <si>
    <t>19/10/2026 23:09:42</t>
  </si>
  <si>
    <t>Inicio GPS tardío: 00:25:25 después de las 18:00.; Fin GPS anticipado: 00:50:18 antes de las 00:00.; 1 hueco(s) GPS &gt;= 10 min.</t>
  </si>
  <si>
    <t>6.222809, -75.598542</t>
  </si>
  <si>
    <t>6.305238, -75.577175</t>
  </si>
  <si>
    <t>1633ed32c2015c26</t>
  </si>
  <si>
    <t>19_10_2026_YL_Noct.gpx</t>
  </si>
  <si>
    <t>1633ed32c2015c267691176aca62a36315b860e859163992d42f95147e771b9b</t>
  </si>
  <si>
    <t>19/10/2026 18:30:18</t>
  </si>
  <si>
    <t>20/10/2026 00:01:27</t>
  </si>
  <si>
    <t>Inicio GPS tardío: 00:30:18 después de las 18:00.; Fin GPS dentro de la tolerancia del horario programado.; 1 hueco(s) GPS &gt;= 10 min.</t>
  </si>
  <si>
    <t>6.258216, -75.622232</t>
  </si>
  <si>
    <t>6.258461, -75.615835</t>
  </si>
  <si>
    <t>98478583703aad5d</t>
  </si>
  <si>
    <t>20_10_2026_AO_Diur.gpx</t>
  </si>
  <si>
    <t>98478583703aad5d6173f9bf117caeca9153eecd0356d37ae278ff0b8d3af577</t>
  </si>
  <si>
    <t>20/10/2026</t>
  </si>
  <si>
    <t>20/10/2026 07:51:03</t>
  </si>
  <si>
    <t>20/10/2026 16:27:00</t>
  </si>
  <si>
    <t>Inicio GPS anterior al horario: 00:38:57 antes de las 08:30.; Fin GPS dentro de la tolerancia del horario programado.; 3 hueco(s) GPS &gt;= 10 min.</t>
  </si>
  <si>
    <t>6.225719, -75.599437</t>
  </si>
  <si>
    <t>6.250304, -75.599764</t>
  </si>
  <si>
    <t>4c5568c0a9bb6c48</t>
  </si>
  <si>
    <t>20_10_2026_AR_Diur.gpx</t>
  </si>
  <si>
    <t>4c5568c0a9bb6c48f3d33c5b7670402d2ec0830f9cf06f35caa1cd4e527e8fb0</t>
  </si>
  <si>
    <t>15576b773796bb55</t>
  </si>
  <si>
    <t>20_10_2026_JHP_Diur.gpx</t>
  </si>
  <si>
    <t>15576b773796bb559d0a5747576c159745ac8bc6dacb8488fe82581ed6277195</t>
  </si>
  <si>
    <t>20/10/2026 07:37:52</t>
  </si>
  <si>
    <t>20/10/2026 16:27:20</t>
  </si>
  <si>
    <t>Inicio GPS anterior al horario: 00:52:08 antes de las 08:30.; Fin GPS dentro de la tolerancia del horario programado.; 1 hueco(s) GPS &gt;= 10 min.</t>
  </si>
  <si>
    <t>6.290575, -75.546309</t>
  </si>
  <si>
    <t>6.272812, -75.574382</t>
  </si>
  <si>
    <t>1b823eb540dccc7a</t>
  </si>
  <si>
    <t>20_10_2026_JZ_Diur.gpx</t>
  </si>
  <si>
    <t>1b823eb540dccc7afc8c0ae4ba9f7f8e4e3a16879c9b4b70d65222e273324a6b</t>
  </si>
  <si>
    <t>20/10/2026 08:22:19</t>
  </si>
  <si>
    <t>20/10/2026 16:37:39</t>
  </si>
  <si>
    <t>6.226664, -75.599210</t>
  </si>
  <si>
    <t>6.279660, -75.572286</t>
  </si>
  <si>
    <t>248defe511bdd3a1</t>
  </si>
  <si>
    <t>20_10_2026_DR_Noct.gpx</t>
  </si>
  <si>
    <t>248defe511bdd3a183e9adfa4f3c67d3bab23bbe6ec53e9b785dc2e0190128f5</t>
  </si>
  <si>
    <t>20/10/2026 18:05:11</t>
  </si>
  <si>
    <t>20/10/2026 21:38:00</t>
  </si>
  <si>
    <t>Inicio GPS dentro de la tolerancia del horario programado.; Fin GPS anticipado: 02:22:00 antes de las 00:00.</t>
  </si>
  <si>
    <t>6.247880, -75.615136</t>
  </si>
  <si>
    <t>6.208443, -75.591437</t>
  </si>
  <si>
    <t>6186a84439c8c69e</t>
  </si>
  <si>
    <t>20_10_2026_DV_Noct.gpx</t>
  </si>
  <si>
    <t>6186a84439c8c69e87695b3306c3a5e49fad2496c68c685d3c0e4d18aebe3629</t>
  </si>
  <si>
    <t>20/10/2026 17:05:54</t>
  </si>
  <si>
    <t>21/10/2026 00:44:59</t>
  </si>
  <si>
    <t>Inicio GPS anterior al horario: 00:54:06 antes de las 18:00.; Fin GPS posterior: 00:44:59 después de las 00:00.; 1 permanencia(s) GPS detectada(s); requiere contexto.</t>
  </si>
  <si>
    <t>6.239574, -75.576549</t>
  </si>
  <si>
    <t>6.272927, -75.601972</t>
  </si>
  <si>
    <t>1dc7d2f2b70fdd9a</t>
  </si>
  <si>
    <t>20_10_2026_IQ_Noct.gpx</t>
  </si>
  <si>
    <t>1dc7d2f2b70fdd9ac192b3f4efce97c653f2bd7a7acbd1e4ea4c123679bf72a3</t>
  </si>
  <si>
    <t>20/10/2026 16:40:35</t>
  </si>
  <si>
    <t>20/10/2026 23:44:12</t>
  </si>
  <si>
    <t>Inicio GPS anterior al horario: 01:19:25 antes de las 18:00.; Fin GPS anticipado: 00:15:48 antes de las 00:00.; 2 hueco(s) GPS &gt;= 10 min.</t>
  </si>
  <si>
    <t>6.225198, -75.599368</t>
  </si>
  <si>
    <t>6.278241, -75.538991</t>
  </si>
  <si>
    <t>9646c9a0277f38cd</t>
  </si>
  <si>
    <t>20_10_2026_JA_Noct.gpx</t>
  </si>
  <si>
    <t>9646c9a0277f38cda05b5c2cb6b50afbb272619036d65e710bb50ef9db426ece</t>
  </si>
  <si>
    <t>20/10/2026 16:38:49</t>
  </si>
  <si>
    <t>20/10/2026 22:15:29</t>
  </si>
  <si>
    <t>Inicio GPS anterior al horario: 01:21:11 antes de las 18:00.; Fin GPS anticipado: 01:44:31 antes de las 00:00.; 1 hueco(s) GPS &gt;= 10 min.</t>
  </si>
  <si>
    <t>6.225693, -75.599403</t>
  </si>
  <si>
    <t>6.236988, -75.558809</t>
  </si>
  <si>
    <t>7463b2c261c779a8</t>
  </si>
  <si>
    <t>20_10_2026_JO_Noct.gpx</t>
  </si>
  <si>
    <t>7463b2c261c779a890604e0cf64c70b53d6d7eb4266ad70f23594592286f37b0</t>
  </si>
  <si>
    <t>20/10/2026 18:09:58</t>
  </si>
  <si>
    <t>20/10/2026 23:49:19</t>
  </si>
  <si>
    <t>6.249794, -75.584761</t>
  </si>
  <si>
    <t>6.259491, -75.620589</t>
  </si>
  <si>
    <t>6d4cf9b91d3518f2</t>
  </si>
  <si>
    <t>20_10_2026_JP_Noct.gpx</t>
  </si>
  <si>
    <t>6d4cf9b91d3518f2235f7c7a23c161c17018fd1a0bdac1ffa0596eb1afdb63aa</t>
  </si>
  <si>
    <t>20/10/2026 18:35:22</t>
  </si>
  <si>
    <t>21/10/2026 00:01:47</t>
  </si>
  <si>
    <t>Inicio GPS tardío: 00:35:22 después de las 18:00.; Fin GPS dentro de la tolerancia del horario programado.; 1 permanencia(s) GPS detectada(s); requiere contexto.</t>
  </si>
  <si>
    <t>6.251730, -75.551740</t>
  </si>
  <si>
    <t>6.251750, -75.551732</t>
  </si>
  <si>
    <t>4946238f323fadef</t>
  </si>
  <si>
    <t>20_10_2026_LA_Noct.gpx</t>
  </si>
  <si>
    <t>4946238f323fadef5e5cbf466d229d2af710f4da3467c785fb950af880e0edf1</t>
  </si>
  <si>
    <t>20/10/2026 16:49:03</t>
  </si>
  <si>
    <t>21/10/2026 00:03:44</t>
  </si>
  <si>
    <t>Inicio GPS anterior al horario: 01:10:56 antes de las 18:00.; Fin GPS dentro de la tolerancia del horario programado.; 3 hueco(s) GPS &gt;= 10 min.</t>
  </si>
  <si>
    <t>6.226665, -75.599373</t>
  </si>
  <si>
    <t>6.268590, -75.599512</t>
  </si>
  <si>
    <t>8a1c26c83158132e</t>
  </si>
  <si>
    <t>20_10_2026_SJ_Noct.gpx</t>
  </si>
  <si>
    <t>8a1c26c83158132e1c7334ba2530189881a1cf0173724ffd3b7294dfce14195f</t>
  </si>
  <si>
    <t>20/10/2026 18:07:16</t>
  </si>
  <si>
    <t>20/10/2026 22:34:45</t>
  </si>
  <si>
    <t>Inicio GPS dentro de la tolerancia del horario programado.; Fin GPS anticipado: 01:25:15 antes de las 00:00.</t>
  </si>
  <si>
    <t>6.222747, -75.598646</t>
  </si>
  <si>
    <t>6.240515, -75.552285</t>
  </si>
  <si>
    <t>6f7473bcb6f540eb</t>
  </si>
  <si>
    <t>20_10_2026_YL_Noct.gpx</t>
  </si>
  <si>
    <t>6f7473bcb6f540eb20d21327f9459be15d21fa1d28472d9f86901dd5fabfe278</t>
  </si>
  <si>
    <t>20/10/2026 17:58:05</t>
  </si>
  <si>
    <t>20/10/2026 17:58:29</t>
  </si>
  <si>
    <t>Inicio GPS dentro de la tolerancia del horario programado.; Fin GPS anticipado: 06:01:31 antes de las 00:00.</t>
  </si>
  <si>
    <t>6.258146, -75.615331</t>
  </si>
  <si>
    <t>6.258648, -75.615716</t>
  </si>
  <si>
    <t>Fuertes lluvias en la Noche</t>
  </si>
  <si>
    <t>ab3556093ee7f70c</t>
  </si>
  <si>
    <t>21_10_2026_AO_Diur.gpx</t>
  </si>
  <si>
    <t>ab3556093ee7f70ce2cd7eaaa52f5717235927b6e28a56088d15b79e7452a3f4</t>
  </si>
  <si>
    <t>21/10/2026</t>
  </si>
  <si>
    <t>21/10/2026 09:16:50</t>
  </si>
  <si>
    <t>21/10/2026 16:31:57</t>
  </si>
  <si>
    <t>Inicio GPS tardío: 00:46:50 después de las 08:30.; Fin GPS dentro de la tolerancia del horario programado.; 1 hueco(s) GPS &gt;= 10 min.; 1 permanencia(s) GPS detectada(s); requiere contexto.</t>
  </si>
  <si>
    <t>6.203249, -75.600743</t>
  </si>
  <si>
    <t>6.232174, -75.596886</t>
  </si>
  <si>
    <t>225613b22775d1f1</t>
  </si>
  <si>
    <t>21_10_2026_AR_Diur.gpx</t>
  </si>
  <si>
    <t>225613b22775d1f18fe5fe897761fd6a293740d709d3c2a9f177f515d9c4be5a</t>
  </si>
  <si>
    <t>21/10/2026 08:25:28</t>
  </si>
  <si>
    <t>21/10/2026 16:21:46</t>
  </si>
  <si>
    <t>6.225682, -75.599463</t>
  </si>
  <si>
    <t>6.241786, -75.607846</t>
  </si>
  <si>
    <t>f9e505ade0e5f3f7</t>
  </si>
  <si>
    <t>21_10_2026_JHP_Diur.gpx</t>
  </si>
  <si>
    <t>f9e505ade0e5f3f73f8956f618341e7005d6728701331ce1e41bacadef0ad630</t>
  </si>
  <si>
    <t>21/10/2026 08:32:02</t>
  </si>
  <si>
    <t>21/10/2026 16:14:22</t>
  </si>
  <si>
    <t>Inicio GPS dentro de la tolerancia del horario programado.; Fin GPS anticipado: 00:15:38 antes de las 16:30.</t>
  </si>
  <si>
    <t>6.254234, -75.574907</t>
  </si>
  <si>
    <t>6.272834, -75.574435</t>
  </si>
  <si>
    <t>992c8da8aa659d28</t>
  </si>
  <si>
    <t>21_10_2026_JP_Diur.gpx</t>
  </si>
  <si>
    <t>992c8da8aa659d287329a9a9de489d11203398897e275d187777a08cc8e91416</t>
  </si>
  <si>
    <t>21/10/2026 08:41:38</t>
  </si>
  <si>
    <t>21/10/2026 15:49:33</t>
  </si>
  <si>
    <t>Inicio GPS dentro de la tolerancia del horario programado.; Fin GPS anticipado: 00:40:27 antes de las 16:30.; 2 hueco(s) GPS &gt;= 10 min.</t>
  </si>
  <si>
    <t>6.225603, -75.599320</t>
  </si>
  <si>
    <t>6.251692, -75.551850</t>
  </si>
  <si>
    <t>7d410b20b76a6f30</t>
  </si>
  <si>
    <t>21_10_2026_JZ_Diur.gpx</t>
  </si>
  <si>
    <t>7d410b20b76a6f3072493e8c5f156ee3ce6a8c198591f8e77b2cb2ad72db6922</t>
  </si>
  <si>
    <t>21/10/2026 08:29:52</t>
  </si>
  <si>
    <t>21/10/2026 12:18:13</t>
  </si>
  <si>
    <t>Inicio GPS dentro de la tolerancia del horario programado.; Fin GPS anticipado: 04:11:47 antes de las 16:30.; 2 hueco(s) GPS &gt;= 10 min.</t>
  </si>
  <si>
    <t>6.226722, -75.599195</t>
  </si>
  <si>
    <t>6.257584, -75.565866</t>
  </si>
  <si>
    <t>d59d56d97e79581e</t>
  </si>
  <si>
    <t>21_10_2026_DR_Noct.gpx</t>
  </si>
  <si>
    <t>d59d56d97e79581e4f891202526ecb850708e9d2b9e6455e296dbcd4da772967</t>
  </si>
  <si>
    <t>21/10/2026 18:14:31</t>
  </si>
  <si>
    <t>21/10/2026 23:29:34</t>
  </si>
  <si>
    <t>Inicio GPS dentro de la tolerancia del horario programado.; Fin GPS anticipado: 00:30:26 antes de las 00:00.; 1 hueco(s) GPS &gt;= 10 min.</t>
  </si>
  <si>
    <t>6.235968, -75.602344</t>
  </si>
  <si>
    <t>6.250646, -75.602125</t>
  </si>
  <si>
    <t>1354139f6a7c3f2f</t>
  </si>
  <si>
    <t>21_10_2026_DV_Noct.gpx</t>
  </si>
  <si>
    <t>1354139f6a7c3f2fb592a44a3becbf0afd14e73ff79fea5d49e2eb962b2691b1</t>
  </si>
  <si>
    <t>21/10/2026 17:09:36</t>
  </si>
  <si>
    <t>22/10/2026 00:31:23</t>
  </si>
  <si>
    <t>Inicio GPS anterior al horario: 00:50:24 antes de las 18:00.; Fin GPS posterior: 00:31:23 después de las 00:00.; 1 permanencia(s) GPS detectada(s); requiere contexto.</t>
  </si>
  <si>
    <t>6.258391, -75.578306</t>
  </si>
  <si>
    <t>6.272633, -75.602018</t>
  </si>
  <si>
    <t>197acc7645cd2954</t>
  </si>
  <si>
    <t>21_10_2026_IQ_Noct.gpx</t>
  </si>
  <si>
    <t>197acc7645cd2954a260e0eb4b4902ab7f2214641ed7b584c10a4cd32003f01c</t>
  </si>
  <si>
    <t>21/10/2026 17:18:22</t>
  </si>
  <si>
    <t>21/10/2026 23:47:47</t>
  </si>
  <si>
    <t>Inicio GPS anterior al horario: 00:41:38 antes de las 18:00.; Fin GPS dentro de la tolerancia del horario programado.; 4 hueco(s) GPS &gt;= 10 min.; 1 permanencia(s) GPS detectada(s); requiere contexto.</t>
  </si>
  <si>
    <t>6.242035, -75.619494</t>
  </si>
  <si>
    <t>6.272381, -75.540345</t>
  </si>
  <si>
    <t>e9a11ba1766753d1</t>
  </si>
  <si>
    <t>21_10_2026_JA_Noct.gpx</t>
  </si>
  <si>
    <t>e9a11ba1766753d13c25bc00e51132c6f3f549bde30b86ff3391ae2b398ca4b0</t>
  </si>
  <si>
    <t>21/10/2026 16:35:05</t>
  </si>
  <si>
    <t>21/10/2026 21:35:33</t>
  </si>
  <si>
    <t>Inicio GPS anterior al horario: 01:24:55 antes de las 18:00.; Fin GPS anticipado: 02:24:27 antes de las 00:00.; 1 hueco(s) GPS &gt;= 10 min.</t>
  </si>
  <si>
    <t>6.225616, -75.599319</t>
  </si>
  <si>
    <t>6.237010, -75.558870</t>
  </si>
  <si>
    <t>6209f37c363cca0d</t>
  </si>
  <si>
    <t>21_10_2026_JO_Noct.gpx</t>
  </si>
  <si>
    <t>6209f37c363cca0d63a68f8a1a48c925f4e6089b796c10b21b20f6b362d8d3cb</t>
  </si>
  <si>
    <t>21/10/2026 16:27:16</t>
  </si>
  <si>
    <t>21/10/2026 23:58:28</t>
  </si>
  <si>
    <t>Inicio GPS anterior al horario: 01:32:43 antes de las 18:00.; Fin GPS dentro de la tolerancia del horario programado.; 6 hueco(s) GPS &gt;= 10 min.; 1 permanencia(s) GPS detectada(s); requiere contexto.</t>
  </si>
  <si>
    <t>6.229325, -75.602059</t>
  </si>
  <si>
    <t>6.225607, -75.599417</t>
  </si>
  <si>
    <t>0851bb6589dd1069</t>
  </si>
  <si>
    <t>21_10_2026_LA_Noct.gpx</t>
  </si>
  <si>
    <t>0851bb6589dd106994b343c0587fee04e7009e87308598adf3c3e0105b060d3a</t>
  </si>
  <si>
    <t>21/10/2026 16:58:08</t>
  </si>
  <si>
    <t>22/10/2026 00:03:29</t>
  </si>
  <si>
    <t>Inicio GPS anterior al horario: 01:01:51 antes de las 18:00.; Fin GPS dentro de la tolerancia del horario programado.; 1 hueco(s) GPS &gt;= 10 min.</t>
  </si>
  <si>
    <t>6.226735, -75.599273</t>
  </si>
  <si>
    <t>6.268395, -75.599342</t>
  </si>
  <si>
    <t>1289e74894e3056c</t>
  </si>
  <si>
    <t>21_10_2026_SJ_Noct.gpx</t>
  </si>
  <si>
    <t>1289e74894e3056cc21f8944ea302dc8521be91b7636548a1ff574551b0751ba</t>
  </si>
  <si>
    <t>21/10/2026 16:36:28</t>
  </si>
  <si>
    <t>21/10/2026 23:53:14</t>
  </si>
  <si>
    <t>Inicio GPS anterior al horario: 01:23:32 antes de las 18:00.; Fin GPS dentro de la tolerancia del horario programado.; 1 permanencia(s) GPS detectada(s); requiere contexto.</t>
  </si>
  <si>
    <t>6.225704, -75.599408</t>
  </si>
  <si>
    <t>6.308258, -75.581629</t>
  </si>
  <si>
    <t>c4a4d894a147fb4f</t>
  </si>
  <si>
    <t>22_10_2026_AO_Diur1.gpx + 22_10_2026_AO_Diur2.gpx</t>
  </si>
  <si>
    <t>c4a4d894a147fb4f735b59397b7831b4267c5636e494888c0488e0d70a348af0</t>
  </si>
  <si>
    <t>22/10/2026</t>
  </si>
  <si>
    <t>22/10/2026 09:42:36</t>
  </si>
  <si>
    <t>22/10/2026 16:34:26</t>
  </si>
  <si>
    <t>Recorrido unificado: 2 tramos (22_10_2026_AO_Diur1.gpx + 22_10_2026_AO_Diur2.gpx).; Inicio GPS tardío: 01:12:36 después de las 08:30.; Fin GPS dentro de la tolerancia del horario programado.; 1 permanencia(s) GPS detectada(s); requiere contexto.</t>
  </si>
  <si>
    <t>6.203322, -75.600756</t>
  </si>
  <si>
    <t>6.225531, -75.599164</t>
  </si>
  <si>
    <t>b5397f62db97bfe5</t>
  </si>
  <si>
    <t>22_10_2026_AR_Diur.gpx</t>
  </si>
  <si>
    <t>b5397f62db97bfe56718066de5b47fbd4b0405ad4faf00e3bff34ad808ac79d8</t>
  </si>
  <si>
    <t>22/10/2026 08:00:28</t>
  </si>
  <si>
    <t>22/10/2026 16:35:43</t>
  </si>
  <si>
    <t>Inicio GPS anterior al horario: 00:29:32 antes de las 08:30.; Fin GPS dentro de la tolerancia del horario programado.; 6 hueco(s) GPS &gt;= 10 min.; 1 permanencia(s) GPS detectada(s); requiere contexto.</t>
  </si>
  <si>
    <t>6.225644, -75.599451</t>
  </si>
  <si>
    <t>6.225577, -75.599461</t>
  </si>
  <si>
    <t>4ef6de34eb8c5b66</t>
  </si>
  <si>
    <t>22_10_2026_HC_Diur.gpx</t>
  </si>
  <si>
    <t>4ef6de34eb8c5b66beb62eef4bc6c50f76d9da52034849890f86b1de9c866dcc</t>
  </si>
  <si>
    <t>22/10/2026 08:45:55</t>
  </si>
  <si>
    <t>22/10/2026 16:32:09</t>
  </si>
  <si>
    <t>Inicio GPS tardío: 00:15:55 después de las 08:30.; Fin GPS dentro de la tolerancia del horario programado.; 1 hueco(s) GPS &gt;= 10 min.; 1 permanencia(s) GPS detectada(s); requiere contexto.</t>
  </si>
  <si>
    <t>6.225718, -75.599188</t>
  </si>
  <si>
    <t>6.225569, -75.599455</t>
  </si>
  <si>
    <t>7c7e30d6fbca5ff5</t>
  </si>
  <si>
    <t>22_10_2026_JHP_Diur.gpx</t>
  </si>
  <si>
    <t>7c7e30d6fbca5ff5834039335b3033b5cb8049c61ee2e2d46aac1104ed4b4674</t>
  </si>
  <si>
    <t>22/10/2026 08:02:20</t>
  </si>
  <si>
    <t>22/10/2026 15:14:57</t>
  </si>
  <si>
    <t>Inicio GPS anterior al horario: 00:27:40 antes de las 08:30.; Fin GPS anticipado: 01:15:03 antes de las 16:30.</t>
  </si>
  <si>
    <t>6.272832, -75.574499</t>
  </si>
  <si>
    <t>6.272799, -75.574363</t>
  </si>
  <si>
    <t>457732f67e597f1a</t>
  </si>
  <si>
    <t>22_10_2026_JP_Diur.gpx</t>
  </si>
  <si>
    <t>457732f67e597f1afbd86fdc80bb47f4495d648dfe91defaebea8d23de0325ba</t>
  </si>
  <si>
    <t>22/10/2026 09:00:01</t>
  </si>
  <si>
    <t>22/10/2026 17:11:48</t>
  </si>
  <si>
    <t>Inicio GPS tardío: 00:30:01 después de las 08:30.; Fin GPS posterior: 00:41:48 después de las 16:30.; 2 hueco(s) GPS &gt;= 10 min.</t>
  </si>
  <si>
    <t>6.225553, -75.599447</t>
  </si>
  <si>
    <t>6.267455, -75.565623</t>
  </si>
  <si>
    <t>1b0bc9d9d6334eba</t>
  </si>
  <si>
    <t>22_10_2026_JZ_Diur.gpx</t>
  </si>
  <si>
    <t>1b0bc9d9d6334ebad9725317d177e9494244c9e84040a782d1cd0c325e3a9bba</t>
  </si>
  <si>
    <t>22/10/2026 08:37:37</t>
  </si>
  <si>
    <t>22/10/2026 13:34:20</t>
  </si>
  <si>
    <t>Inicio GPS dentro de la tolerancia del horario programado.; Fin GPS anticipado: 02:55:40 antes de las 16:30.; 4 hueco(s) GPS &gt;= 10 min.</t>
  </si>
  <si>
    <t>6.226677, -75.599300</t>
  </si>
  <si>
    <t>6.257500, -75.565846</t>
  </si>
  <si>
    <t>a5000db86e0cd5fb</t>
  </si>
  <si>
    <t>22_10_2026_YL_Diur.gpx</t>
  </si>
  <si>
    <t>a5000db86e0cd5fb04f96fda4f952f5e54813a6d6e5048ce642a8e313dd0d38f</t>
  </si>
  <si>
    <t>22/10/2026 10:31:53</t>
  </si>
  <si>
    <t>22/10/2026 16:53:35</t>
  </si>
  <si>
    <t>Inicio GPS tardío: 02:01:53 después de las 08:30.; Fin GPS posterior: 00:23:35 después de las 16:30.; 3 hueco(s) GPS &gt;= 10 min.</t>
  </si>
  <si>
    <t>6.288652, -75.563944</t>
  </si>
  <si>
    <t>6.258216, -75.615898</t>
  </si>
  <si>
    <t>22/10/2026 16:47:55</t>
  </si>
  <si>
    <t>22/10/2026 23:12:25</t>
  </si>
  <si>
    <t>6.225819, -75.599403</t>
  </si>
  <si>
    <t>6.308513, -75.580482</t>
  </si>
  <si>
    <t>fec13d9827ac4bbd</t>
  </si>
  <si>
    <t>22_10_2026_DR_Noct.gpx</t>
  </si>
  <si>
    <t>fec13d9827ac4bbd25cd36e0e29a7ce4cd0d8cce5118f34bce6351e87f9397d4</t>
  </si>
  <si>
    <t>22/10/2026 18:13:09</t>
  </si>
  <si>
    <t>22/10/2026 21:14:33</t>
  </si>
  <si>
    <t>Inicio GPS dentro de la tolerancia del horario programado.; Fin GPS anticipado: 02:45:27 antes de las 00:00.</t>
  </si>
  <si>
    <t>6.235181, -75.602222</t>
  </si>
  <si>
    <t>6.238955, -75.603150</t>
  </si>
  <si>
    <t>6f1cd742758e3714</t>
  </si>
  <si>
    <t>22_10_2026_DV_Noct.gpx</t>
  </si>
  <si>
    <t>6f1cd742758e3714fb27c5381f493fee38b7fc993b34d08d6312097a038ea85f</t>
  </si>
  <si>
    <t>22/10/2026 16:44:01</t>
  </si>
  <si>
    <t>23/10/2026 00:12:41</t>
  </si>
  <si>
    <t>Inicio GPS anterior al horario: 01:15:59 antes de las 18:00.; Fin GPS dentro de la tolerancia del horario programado.</t>
  </si>
  <si>
    <t>6.230051, -75.596048</t>
  </si>
  <si>
    <t>6.272487, -75.602132</t>
  </si>
  <si>
    <t>244c7b7e853d401c</t>
  </si>
  <si>
    <t>22_10_2026_IQ_Noct.gpx</t>
  </si>
  <si>
    <t>244c7b7e853d401caf9298138240b83529692a5497815150c68b00c3ff887f91</t>
  </si>
  <si>
    <t>22/10/2026 16:13:30</t>
  </si>
  <si>
    <t>22/10/2026 23:58:34</t>
  </si>
  <si>
    <t>Inicio GPS anterior al horario: 01:46:30 antes de las 18:00.; Fin GPS dentro de la tolerancia del horario programado.; 3 hueco(s) GPS &gt;= 10 min.; 1 permanencia(s) GPS detectada(s); requiere contexto.</t>
  </si>
  <si>
    <t>6.225638, -75.599180</t>
  </si>
  <si>
    <t>6.272383, -75.540240</t>
  </si>
  <si>
    <t>af9a11ccacfc6b78</t>
  </si>
  <si>
    <t>22_10_2026_JA_Noct.gpx</t>
  </si>
  <si>
    <t>af9a11ccacfc6b787a8214a1184a24dc5cd438aa28dc63c58279de45cdb6bbf1</t>
  </si>
  <si>
    <t>22/10/2026 19:23:23</t>
  </si>
  <si>
    <t>22/10/2026 22:52:12</t>
  </si>
  <si>
    <t>Inicio GPS tardío: 01:23:23 después de las 18:00.; Fin GPS anticipado: 01:07:48 antes de las 00:00.</t>
  </si>
  <si>
    <t>6.225596, -75.599459</t>
  </si>
  <si>
    <t>6.237056, -75.558815</t>
  </si>
  <si>
    <t>715f8e799e3e66b3</t>
  </si>
  <si>
    <t>22_10_2026_JO_Noct.gpx</t>
  </si>
  <si>
    <t>715f8e799e3e66b3e9fc1703ef4db94c6d8937d094ae93b760fce5eb75f8b036</t>
  </si>
  <si>
    <t>22/10/2026 16:54:07</t>
  </si>
  <si>
    <t>23/10/2026 00:08:39</t>
  </si>
  <si>
    <t>Inicio GPS anterior al horario: 01:05:53 antes de las 18:00.; Fin GPS dentro de la tolerancia del horario programado.; 4 hueco(s) GPS &gt;= 10 min.</t>
  </si>
  <si>
    <t>6.234650, -75.594518</t>
  </si>
  <si>
    <t>6.225614, -75.599328</t>
  </si>
  <si>
    <t>3f6cc728699e1857</t>
  </si>
  <si>
    <t>22_10_2026_LA_Noct.gpx</t>
  </si>
  <si>
    <t>3f6cc728699e18575dd3e7777e4329a66a008ccc2a0174680f3f6b4ecd10999e</t>
  </si>
  <si>
    <t>22/10/2026 17:23:51</t>
  </si>
  <si>
    <t>23/10/2026 00:10:13</t>
  </si>
  <si>
    <t>Inicio GPS anterior al horario: 00:36:08 antes de las 18:00.; Fin GPS dentro de la tolerancia del horario programado.; 2 hueco(s) GPS &gt;= 10 min.</t>
  </si>
  <si>
    <t>6.268215, -75.598905</t>
  </si>
  <si>
    <t>6.278360, -75.570973</t>
  </si>
  <si>
    <t>065a7066fc38d85b</t>
  </si>
  <si>
    <t>22_10_2026_SJ_Noct.gpx</t>
  </si>
  <si>
    <t>065a7066fc38d85be0978dcc7abc0d5434d83d5be17ab9e233d099a39b7047f7</t>
  </si>
  <si>
    <t>Inicio GPS anterior al horario: 01:12:05 antes de las 18:00.; Fin GPS anticipado: 00:47:35 antes de las 00:00.</t>
  </si>
  <si>
    <t>eeb6b2db921c7e18</t>
  </si>
  <si>
    <t>23_10_2026_AO_Diur.gpx</t>
  </si>
  <si>
    <t>eeb6b2db921c7e187d9700cd1da50ee0218b4cf7ca8368cb2fcfaf919f59c6ff</t>
  </si>
  <si>
    <t>23/10/2026</t>
  </si>
  <si>
    <t>23/10/2026 08:42:12</t>
  </si>
  <si>
    <t>23/10/2026 15:38:27</t>
  </si>
  <si>
    <t>Inicio GPS dentro de la tolerancia del horario programado.; Fin GPS anticipado: 00:21:33 antes de las 16:00.</t>
  </si>
  <si>
    <t>6.203305, -75.600919</t>
  </si>
  <si>
    <t>6.232104, -75.596869</t>
  </si>
  <si>
    <t>d23e943a6b1d641d</t>
  </si>
  <si>
    <t>23_10_2026_AR_Diur.gpx</t>
  </si>
  <si>
    <t>d23e943a6b1d641dab93d0b85df487a1a37a552fce5141d3b31987b60dbdc64c</t>
  </si>
  <si>
    <t>23/10/2026 08:30:56</t>
  </si>
  <si>
    <t>23/10/2026 13:13:27</t>
  </si>
  <si>
    <t>Inicio GPS dentro de la tolerancia del horario programado.; Fin GPS anticipado: 02:46:33 antes de las 16:00.; 1 hueco(s) GPS &gt;= 10 min.; 1 permanencia(s) GPS detectada(s); requiere contexto.</t>
  </si>
  <si>
    <t>6.247260, -75.614570</t>
  </si>
  <si>
    <t>6.198179, -75.593791</t>
  </si>
  <si>
    <t>9293b34a3cbaa9c8</t>
  </si>
  <si>
    <t>23_10_2026_HC_Diur.gpx</t>
  </si>
  <si>
    <t>9293b34a3cbaa9c8fd38c0433c9b0ced70cb8ce3a2b186d0dc41f01832224759</t>
  </si>
  <si>
    <t>23/10/2026 08:28:45</t>
  </si>
  <si>
    <t>23/10/2026 12:20:35</t>
  </si>
  <si>
    <t>Inicio GPS dentro de la tolerancia del horario programado.; Fin GPS anticipado: 03:39:25 antes de las 16:00.</t>
  </si>
  <si>
    <t>6.243092, -75.562022</t>
  </si>
  <si>
    <t>6.237416, -75.514167</t>
  </si>
  <si>
    <t>9db05e96e61b46f9</t>
  </si>
  <si>
    <t>23_10_2026_JP_Diur.gpx</t>
  </si>
  <si>
    <t>9db05e96e61b46f9bfc9c8639c1217766698effa57a9d115b474bd697241a78d</t>
  </si>
  <si>
    <t>23/10/2026 08:13:20</t>
  </si>
  <si>
    <t>23/10/2026 14:33:53</t>
  </si>
  <si>
    <t>Inicio GPS anterior al horario: 00:16:40 antes de las 08:30.; Fin GPS anticipado: 01:26:07 antes de las 16:00.</t>
  </si>
  <si>
    <t>6.250513, -75.551883</t>
  </si>
  <si>
    <t>6.251840, -75.551847</t>
  </si>
  <si>
    <t>98d5a43b6c6229b2</t>
  </si>
  <si>
    <t>23_10_2026_JZ_Diur.gpx</t>
  </si>
  <si>
    <t>98d5a43b6c6229b2ffe1028f23ef4d26a9fb7943ede762cfc491f7ef92b0654a</t>
  </si>
  <si>
    <t>23/10/2026 08:27:55</t>
  </si>
  <si>
    <t>23/10/2026 15:30:17</t>
  </si>
  <si>
    <t>Inicio GPS dentro de la tolerancia del horario programado.; Fin GPS anticipado: 00:29:43 antes de las 16:00.; 2 hueco(s) GPS &gt;= 10 min.</t>
  </si>
  <si>
    <t>6.226517, -75.599257</t>
  </si>
  <si>
    <t>6.279390, -75.571443</t>
  </si>
  <si>
    <t>418651478afed977</t>
  </si>
  <si>
    <t>23_10_2026_DR_Noct.gpx</t>
  </si>
  <si>
    <t>418651478afed9779a0a65c0fb25fd60fbb44f8273f7df2272164fc29c0e9e5d</t>
  </si>
  <si>
    <t>23/10/2026 18:14:21</t>
  </si>
  <si>
    <t>23/10/2026 21:21:13</t>
  </si>
  <si>
    <t>Inicio GPS dentro de la tolerancia del horario programado.; Fin GPS anticipado: 02:38:47 antes de las 00:00.; 1 hueco(s) GPS &gt;= 10 min.</t>
  </si>
  <si>
    <t>6.200710, -75.579486</t>
  </si>
  <si>
    <t>6.263677, -75.597064</t>
  </si>
  <si>
    <t>859e8f435a5fe3f5</t>
  </si>
  <si>
    <t>23_10_2026_DV_Noct.gpx</t>
  </si>
  <si>
    <t>859e8f435a5fe3f5ea4f167758f839a9ce65733571e60a3938a2b75385afcab6</t>
  </si>
  <si>
    <t>23/10/2026 18:37:57</t>
  </si>
  <si>
    <t>26/10/2026 14:59:07</t>
  </si>
  <si>
    <t>Inicio GPS tardío: 00:37:57 después de las 18:00.; Fin GPS posterior: 62:59:07 después de las 00:00.; 1 hueco(s) GPS &gt;= 10 min.</t>
  </si>
  <si>
    <t>6.250121, -75.556875</t>
  </si>
  <si>
    <t>6.225588, -75.598989</t>
  </si>
  <si>
    <t>9caf4ceabc1f0e3d</t>
  </si>
  <si>
    <t>23_10_2026_IQ_Noct.gpx</t>
  </si>
  <si>
    <t>9caf4ceabc1f0e3dc77f86f662929a87e802211ae7d60beeef79d9bcf07a2aee</t>
  </si>
  <si>
    <t>23/10/2026 18:37:07</t>
  </si>
  <si>
    <t>23/10/2026 23:37:14</t>
  </si>
  <si>
    <t>Inicio GPS tardío: 00:37:07 después de las 18:00.; Fin GPS anticipado: 00:22:46 antes de las 00:00.; 6 hueco(s) GPS &gt;= 10 min.; 1 permanencia(s) GPS detectada(s); requiere contexto.</t>
  </si>
  <si>
    <t>6.272572, -75.540537</t>
  </si>
  <si>
    <t>6.217133, -75.595055</t>
  </si>
  <si>
    <t>b2a5144033ad4778</t>
  </si>
  <si>
    <t>23_10_2026_JA_Noct.gpx</t>
  </si>
  <si>
    <t>b2a5144033ad4778640cf6e1d5c776b1ddc0159368b398c0690eafcf9af307b5</t>
  </si>
  <si>
    <t>23/10/2026 19:49:39</t>
  </si>
  <si>
    <t>23/10/2026 23:31:28</t>
  </si>
  <si>
    <t>Inicio GPS tardío: 01:49:39 después de las 18:00.; Fin GPS anticipado: 00:28:32 antes de las 00:00.</t>
  </si>
  <si>
    <t>6.238649, -75.573252</t>
  </si>
  <si>
    <t>6.235418, -75.554733</t>
  </si>
  <si>
    <t>dd7ee214f66c9202</t>
  </si>
  <si>
    <t>23_10_2026_JO_Noct.gpx</t>
  </si>
  <si>
    <t>dd7ee214f66c920293f73d63fce7399cf6494c569bb01d08e66bef63e60469d9</t>
  </si>
  <si>
    <t>23/10/2026 18:02:29</t>
  </si>
  <si>
    <t>23/10/2026 23:58:14</t>
  </si>
  <si>
    <t>6.255766, -75.619711</t>
  </si>
  <si>
    <t>6.246984, -75.554087</t>
  </si>
  <si>
    <t>94cf76720408085f</t>
  </si>
  <si>
    <t>23_10_2026_SJ_Noct.gpx</t>
  </si>
  <si>
    <t>94cf76720408085f9d47177175ed1a707ae9efca3190d4468fd1054a2fc39578</t>
  </si>
  <si>
    <t>23/10/2026 17:26:53</t>
  </si>
  <si>
    <t>23/10/2026 22:13:50</t>
  </si>
  <si>
    <t>Inicio GPS anterior al horario: 00:33:07 antes de las 18:00.; Fin GPS anticipado: 01:46:10 antes de las 00:00.</t>
  </si>
  <si>
    <t>6.309248, -75.575904</t>
  </si>
  <si>
    <t>6.309014, -75.576319</t>
  </si>
  <si>
    <t>f5bc49f5b3486d3e</t>
  </si>
  <si>
    <t>26_10_2026_AO_Diur.gpx</t>
  </si>
  <si>
    <t>f5bc49f5b3486d3e90f042084577ccf61fe2cf630df163c6335c8944351f6ba2</t>
  </si>
  <si>
    <t>26/10/2026</t>
  </si>
  <si>
    <t>26/10/2026 08:53:47</t>
  </si>
  <si>
    <t>26/10/2026 16:35:09</t>
  </si>
  <si>
    <t>Inicio GPS tardío: 00:23:47 después de las 08:30.; Fin GPS dentro de la tolerancia del horario programado.; 1 hueco(s) GPS &gt;= 10 min.; 1 permanencia(s) GPS detectada(s); requiere contexto.</t>
  </si>
  <si>
    <t>6.203407, -75.600692</t>
  </si>
  <si>
    <t>6.221575, -75.593853</t>
  </si>
  <si>
    <t>2f37f3e26aa73ba3</t>
  </si>
  <si>
    <t>26_10_2026_AR_Diur.gpx</t>
  </si>
  <si>
    <t>2f37f3e26aa73ba32b31361189c6050d4ab7e665d08762a944f110275e2eeee5</t>
  </si>
  <si>
    <t>26/10/2026 08:03:48</t>
  </si>
  <si>
    <t>26/10/2026 16:32:27</t>
  </si>
  <si>
    <t>Inicio GPS anterior al horario: 00:26:12 antes de las 08:30.; Fin GPS dentro de la tolerancia del horario programado.; 1 hueco(s) GPS &gt;= 10 min.</t>
  </si>
  <si>
    <t>6.225613, -75.599300</t>
  </si>
  <si>
    <t>6.247712, -75.615081</t>
  </si>
  <si>
    <t>68ec9dddc7482a0a</t>
  </si>
  <si>
    <t>26_10_2026_HC_Diurn.gpx</t>
  </si>
  <si>
    <t>68ec9dddc7482a0a1afb3c4bfe3decc2d126b931dc4ce2d383d01cf4b2a3e00a</t>
  </si>
  <si>
    <t>26/10/2026 08:17:48</t>
  </si>
  <si>
    <t>26/10/2026 13:34:01</t>
  </si>
  <si>
    <t>Inicio GPS dentro de la tolerancia del horario programado.; Fin GPS anticipado: 02:55:59 antes de las 16:30.; 1 hueco(s) GPS &gt;= 10 min.</t>
  </si>
  <si>
    <t>6.225761, -75.599428</t>
  </si>
  <si>
    <t>6.290553, -75.569750</t>
  </si>
  <si>
    <t>5d7ff907a7dc2568</t>
  </si>
  <si>
    <t>26_10_2026_JHP_Diur.gpx</t>
  </si>
  <si>
    <t>5d7ff907a7dc2568bb86b85b5abf48062924583c042c47986667b8a8723c9ee8</t>
  </si>
  <si>
    <t>26/10/2026 08:22:00</t>
  </si>
  <si>
    <t>26/10/2026 16:07:11</t>
  </si>
  <si>
    <t>Inicio GPS dentro de la tolerancia del horario programado.; Fin GPS anticipado: 00:22:49 antes de las 16:30.</t>
  </si>
  <si>
    <t>6.225609, -75.599515</t>
  </si>
  <si>
    <t>6.263744, -75.567603</t>
  </si>
  <si>
    <t>9f015df92ab14f27</t>
  </si>
  <si>
    <t>26_10_2026_JZ_Diur.gpx</t>
  </si>
  <si>
    <t>9f015df92ab14f2743c016b69f1a16ec3ba26916eef88a258e66e9d30f42b9f7</t>
  </si>
  <si>
    <t>26/10/2026 08:40:06</t>
  </si>
  <si>
    <t>26/10/2026 16:10:00</t>
  </si>
  <si>
    <t>Inicio GPS dentro de la tolerancia del horario programado.; Fin GPS anticipado: 00:20:00 antes de las 16:30.</t>
  </si>
  <si>
    <t>6.226662, -75.599292</t>
  </si>
  <si>
    <t>6.246637, -75.570027</t>
  </si>
  <si>
    <t>1be3bb4ef0db85ed</t>
  </si>
  <si>
    <t>26_10_2026_YL_Diur.gpx</t>
  </si>
  <si>
    <t>1be3bb4ef0db85ed86c14eef4f8a7688efe4cf0c0e704b688a884db0a9f7b50f</t>
  </si>
  <si>
    <t>26/10/2026 10:39:13</t>
  </si>
  <si>
    <t>26/10/2026 14:49:48</t>
  </si>
  <si>
    <t>Inicio GPS tardío: 02:09:13 después de las 08:30.; Fin GPS anticipado: 01:40:12 antes de las 16:30.; 1 hueco(s) GPS &gt;= 10 min.; 1 permanencia(s) GPS detectada(s); requiere contexto.</t>
  </si>
  <si>
    <t>6.258375, -75.615757</t>
  </si>
  <si>
    <t>6.258522, -75.616170</t>
  </si>
  <si>
    <t>3c08d80696826ea4</t>
  </si>
  <si>
    <t>26_10_2026_DR_Noct.gpx</t>
  </si>
  <si>
    <t>3c08d80696826ea4111a73260545d6e9bedbe4365926ba41eefaa907cb34f370</t>
  </si>
  <si>
    <t>26/10/2026 18:04:02</t>
  </si>
  <si>
    <t>26/10/2026 22:15:11</t>
  </si>
  <si>
    <t>Inicio GPS dentro de la tolerancia del horario programado.; Fin GPS anticipado: 01:44:49 antes de las 00:00.</t>
  </si>
  <si>
    <t>6.250335, -75.600364</t>
  </si>
  <si>
    <t>6.250692, -75.601540</t>
  </si>
  <si>
    <t>84789c3cdfbfb174</t>
  </si>
  <si>
    <t>26_10_2026_DV_Noct.gpx</t>
  </si>
  <si>
    <t>84789c3cdfbfb17449ce6a6feb5d7920c8f88117947df1d2d3c8c0de3d2e6aa3</t>
  </si>
  <si>
    <t>26/10/2026 16:34:27</t>
  </si>
  <si>
    <t>27/10/2026 00:15:46</t>
  </si>
  <si>
    <t>Inicio GPS anterior al horario: 01:25:33 antes de las 18:00.; Fin GPS posterior: 00:15:46 después de las 00:00.; 1 permanencia(s) GPS detectada(s); requiere contexto.</t>
  </si>
  <si>
    <t>6.225469, -75.599356</t>
  </si>
  <si>
    <t>6.272618, -75.601983</t>
  </si>
  <si>
    <t>71f709fdb7ad25ec</t>
  </si>
  <si>
    <t>26_10_2026_IQ_Noct.gpx</t>
  </si>
  <si>
    <t>71f709fdb7ad25ec7a087bb68f523dfed90cc6fe2f1c3913dd8cca33a903dbf8</t>
  </si>
  <si>
    <t>26/10/2026 16:11:37</t>
  </si>
  <si>
    <t>26/10/2026 23:57:07</t>
  </si>
  <si>
    <t>Inicio GPS anterior al horario: 01:48:23 antes de las 18:00.; Fin GPS dentro de la tolerancia del horario programado.; 3 hueco(s) GPS &gt;= 10 min.</t>
  </si>
  <si>
    <t>6.225762, -75.599110</t>
  </si>
  <si>
    <t>6.225012, -75.599493</t>
  </si>
  <si>
    <t>b80e84b4e668586e</t>
  </si>
  <si>
    <t>26_10_2026_JA_Noct.gpx</t>
  </si>
  <si>
    <t>b80e84b4e668586ec862efa9e9c7fb4d8f0a0d6732d56d15238a4f3a0a71936a</t>
  </si>
  <si>
    <t>26/10/2026 17:00:09</t>
  </si>
  <si>
    <t>26/10/2026 22:31:57</t>
  </si>
  <si>
    <t>Inicio GPS anterior al horario: 00:59:51 antes de las 18:00.; Fin GPS anticipado: 01:28:03 antes de las 00:00.; 1 hueco(s) GPS &gt;= 10 min.</t>
  </si>
  <si>
    <t>6.225378, -75.599435</t>
  </si>
  <si>
    <t>6.236978, -75.558823</t>
  </si>
  <si>
    <t>2c6a2dcea75ea8be</t>
  </si>
  <si>
    <t>26_10_2026_JO_Noct.gpx</t>
  </si>
  <si>
    <t>2c6a2dcea75ea8be1a4a155b55531d2529e3c3ae2c9e1467ea2b159fda9a148a</t>
  </si>
  <si>
    <t>26/10/2026 18:09:27</t>
  </si>
  <si>
    <t>26/10/2026 23:52:19</t>
  </si>
  <si>
    <t>6.190445, -75.577249</t>
  </si>
  <si>
    <t>6.255642, -75.620604</t>
  </si>
  <si>
    <t>e28e4030f79b6545</t>
  </si>
  <si>
    <t>26_10_2026_LA_Noct.gpx</t>
  </si>
  <si>
    <t>e28e4030f79b6545948e9445744b9519633964fe59234953505229bf072683ff</t>
  </si>
  <si>
    <t>26/10/2026 16:29:39</t>
  </si>
  <si>
    <t>27/10/2026 00:12:47</t>
  </si>
  <si>
    <t>Inicio GPS anterior al horario: 01:30:20 antes de las 18:00.; Fin GPS dentro de la tolerancia del horario programado.; 3 hueco(s) GPS &gt;= 10 min.</t>
  </si>
  <si>
    <t>6.226630, -75.599257</t>
  </si>
  <si>
    <t>6.257492, -75.583868</t>
  </si>
  <si>
    <t>07712bb524c11411</t>
  </si>
  <si>
    <t>26_10_2026_SJ_Noct.gpx</t>
  </si>
  <si>
    <t>07712bb524c114114ccbd139d9d66469a9e89d32030003483cf11212a3bc95f3</t>
  </si>
  <si>
    <t>26/10/2026 19:03:32</t>
  </si>
  <si>
    <t>26/10/2026 23:44:37</t>
  </si>
  <si>
    <t>Inicio GPS tardío: 01:03:32 después de las 18:00.; Fin GPS anticipado: 00:15:23 antes de las 00:00.</t>
  </si>
  <si>
    <t>6.222795, -75.598665</t>
  </si>
  <si>
    <t>6.307909, -75.582012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</si>
</sst>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2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1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26">
      <pivotArea outline="0" collapsedLevelsAreSubtotals="1" fieldPosition="0"/>
    </format>
    <format dxfId="25">
      <pivotArea field="6" type="button" dataOnly="0" labelOnly="1" outline="0" axis="axisRow" fieldPosition="0"/>
    </format>
    <format dxfId="2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3">
      <pivotArea dataOnly="0" labelOnly="1" grandRow="1" outline="0" fieldPosition="0"/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1" totalsRowShown="0" headerRowDxfId="72" dataDxfId="71">
  <autoFilter ref="A1:AF1048561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544"/>
  <sheetViews>
    <sheetView tabSelected="1" zoomScale="80" zoomScaleNormal="80" workbookViewId="0">
      <pane ySplit="1" topLeftCell="A534" activePane="bottomLeft" state="frozen"/>
      <selection pane="bottomLeft" activeCell="AI550" sqref="AI550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8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ht="15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  <c r="AM382" s="26">
        <f t="shared" si="6"/>
        <v>4.0150462962962957E-2</v>
      </c>
    </row>
    <row r="383" spans="1:39" ht="15" x14ac:dyDescent="0.25">
      <c r="A383" s="9" t="s">
        <v>3196</v>
      </c>
      <c r="B383" s="9" t="s">
        <v>3197</v>
      </c>
      <c r="C383" s="9" t="s">
        <v>3198</v>
      </c>
      <c r="D383" s="9" t="s">
        <v>3191</v>
      </c>
      <c r="E383" s="9" t="s">
        <v>2619</v>
      </c>
      <c r="F383" s="9" t="s">
        <v>315</v>
      </c>
      <c r="G383" s="9" t="s">
        <v>52</v>
      </c>
      <c r="H383" s="9" t="s">
        <v>53</v>
      </c>
      <c r="I383" s="9" t="s">
        <v>40</v>
      </c>
      <c r="J383" s="9">
        <v>2487</v>
      </c>
      <c r="K383" s="9" t="s">
        <v>3199</v>
      </c>
      <c r="L383" s="9" t="s">
        <v>42</v>
      </c>
      <c r="M383" s="10">
        <v>1.8842592592592591E-2</v>
      </c>
      <c r="N383" s="9" t="s">
        <v>127</v>
      </c>
      <c r="O383" s="9" t="s">
        <v>3200</v>
      </c>
      <c r="P383" s="9" t="s">
        <v>45</v>
      </c>
      <c r="Q383" s="10">
        <v>9.4212962962962957E-3</v>
      </c>
      <c r="R383" s="9" t="s">
        <v>46</v>
      </c>
      <c r="S383" s="10">
        <v>0.3427546296296296</v>
      </c>
      <c r="T383" s="9">
        <v>31.291</v>
      </c>
      <c r="U383" s="9">
        <v>8.11</v>
      </c>
      <c r="V383" s="10">
        <v>0.16069444444444439</v>
      </c>
      <c r="W383" s="10">
        <v>0.1083564814814815</v>
      </c>
      <c r="X383" s="10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 t="s">
        <v>139</v>
      </c>
      <c r="AF383" s="9" t="s">
        <v>3201</v>
      </c>
      <c r="AG383" s="9" t="s">
        <v>3202</v>
      </c>
      <c r="AH383" s="9">
        <v>6.2256229999999997</v>
      </c>
      <c r="AI383" s="9">
        <v>-75.598982000000007</v>
      </c>
      <c r="AJ383" s="9" t="s">
        <v>3203</v>
      </c>
      <c r="AK383" s="9">
        <v>6.2253780000000001</v>
      </c>
      <c r="AL383" s="9">
        <v>-75.599233999999996</v>
      </c>
      <c r="AM383" s="26">
        <f t="shared" si="6"/>
        <v>0</v>
      </c>
    </row>
    <row r="384" spans="1:39" ht="15" x14ac:dyDescent="0.25">
      <c r="A384" s="9" t="s">
        <v>3204</v>
      </c>
      <c r="B384" s="9" t="s">
        <v>3205</v>
      </c>
      <c r="C384" s="9" t="s">
        <v>3206</v>
      </c>
      <c r="D384" s="9" t="s">
        <v>3191</v>
      </c>
      <c r="E384" s="9" t="s">
        <v>2619</v>
      </c>
      <c r="F384" s="9" t="s">
        <v>315</v>
      </c>
      <c r="G384" s="9" t="s">
        <v>113</v>
      </c>
      <c r="H384" s="9" t="s">
        <v>114</v>
      </c>
      <c r="I384" s="9" t="s">
        <v>40</v>
      </c>
      <c r="J384" s="9">
        <v>2696</v>
      </c>
      <c r="K384" s="9" t="s">
        <v>3207</v>
      </c>
      <c r="L384" s="9" t="s">
        <v>42</v>
      </c>
      <c r="M384" s="10">
        <v>1.8298611111111109E-2</v>
      </c>
      <c r="N384" s="9" t="s">
        <v>43</v>
      </c>
      <c r="O384" s="9" t="s">
        <v>3208</v>
      </c>
      <c r="P384" s="9" t="s">
        <v>45</v>
      </c>
      <c r="Q384" s="10">
        <v>1.1446759259259261E-2</v>
      </c>
      <c r="R384" s="9" t="s">
        <v>56</v>
      </c>
      <c r="S384" s="10">
        <v>0.30358796296296298</v>
      </c>
      <c r="T384" s="9">
        <v>33.587000000000003</v>
      </c>
      <c r="U384" s="9">
        <v>6.5</v>
      </c>
      <c r="V384" s="10">
        <v>0.21535879629629631</v>
      </c>
      <c r="W384" s="10">
        <v>0.1471064814814815</v>
      </c>
      <c r="X384" s="10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1</v>
      </c>
      <c r="AE384" s="9" t="s">
        <v>57</v>
      </c>
      <c r="AF384" s="9" t="s">
        <v>3209</v>
      </c>
      <c r="AG384" s="9" t="s">
        <v>3210</v>
      </c>
      <c r="AH384" s="9">
        <v>6.2531059999999998</v>
      </c>
      <c r="AI384" s="9">
        <v>-75.609550999999996</v>
      </c>
      <c r="AJ384" s="9" t="s">
        <v>3211</v>
      </c>
      <c r="AK384" s="9">
        <v>6.239077</v>
      </c>
      <c r="AL384" s="9">
        <v>-75.595442000000006</v>
      </c>
      <c r="AM384" s="26">
        <f t="shared" si="6"/>
        <v>2.974537037037037E-2</v>
      </c>
    </row>
    <row r="385" spans="1:39" ht="15" x14ac:dyDescent="0.25">
      <c r="A385" s="9" t="s">
        <v>3212</v>
      </c>
      <c r="B385" s="9" t="s">
        <v>3213</v>
      </c>
      <c r="C385" s="9" t="s">
        <v>3214</v>
      </c>
      <c r="D385" s="9" t="s">
        <v>3191</v>
      </c>
      <c r="E385" s="9" t="s">
        <v>2619</v>
      </c>
      <c r="F385" s="9" t="s">
        <v>315</v>
      </c>
      <c r="G385" s="9" t="s">
        <v>62</v>
      </c>
      <c r="H385" s="9" t="s">
        <v>63</v>
      </c>
      <c r="I385" s="9" t="s">
        <v>40</v>
      </c>
      <c r="J385" s="9">
        <v>2448</v>
      </c>
      <c r="K385" s="9" t="s">
        <v>3215</v>
      </c>
      <c r="L385" s="9" t="s">
        <v>42</v>
      </c>
      <c r="M385" s="10">
        <v>1.15162037037037E-2</v>
      </c>
      <c r="N385" s="9" t="s">
        <v>127</v>
      </c>
      <c r="O385" s="9" t="s">
        <v>3216</v>
      </c>
      <c r="P385" s="9" t="s">
        <v>45</v>
      </c>
      <c r="Q385" s="10">
        <v>0.1079166666666667</v>
      </c>
      <c r="R385" s="9" t="s">
        <v>56</v>
      </c>
      <c r="S385" s="10">
        <v>0.23693287037037039</v>
      </c>
      <c r="T385" s="9">
        <v>32.279000000000003</v>
      </c>
      <c r="U385" s="9">
        <v>8.56</v>
      </c>
      <c r="V385" s="10">
        <v>0.15710648148148151</v>
      </c>
      <c r="W385" s="10">
        <v>0.1052314814814815</v>
      </c>
      <c r="X385" s="10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1</v>
      </c>
      <c r="AE385" s="9" t="s">
        <v>139</v>
      </c>
      <c r="AF385" s="9" t="s">
        <v>3217</v>
      </c>
      <c r="AG385" s="9" t="s">
        <v>3218</v>
      </c>
      <c r="AH385" s="9">
        <v>6.2258420000000001</v>
      </c>
      <c r="AI385" s="9">
        <v>-75.599386999999993</v>
      </c>
      <c r="AJ385" s="9" t="s">
        <v>3219</v>
      </c>
      <c r="AK385" s="9">
        <v>6.233981</v>
      </c>
      <c r="AL385" s="9">
        <v>-75.606673999999998</v>
      </c>
      <c r="AM385" s="26">
        <f t="shared" si="6"/>
        <v>0.1079166666666667</v>
      </c>
    </row>
    <row r="386" spans="1:39" ht="15" x14ac:dyDescent="0.25">
      <c r="A386" s="9" t="s">
        <v>3220</v>
      </c>
      <c r="B386" s="9" t="s">
        <v>3221</v>
      </c>
      <c r="C386" s="9" t="s">
        <v>3222</v>
      </c>
      <c r="D386" s="9" t="s">
        <v>3191</v>
      </c>
      <c r="E386" s="9" t="s">
        <v>2619</v>
      </c>
      <c r="F386" s="9" t="s">
        <v>315</v>
      </c>
      <c r="G386" s="9" t="s">
        <v>135</v>
      </c>
      <c r="H386" s="9" t="s">
        <v>136</v>
      </c>
      <c r="I386" s="9" t="s">
        <v>40</v>
      </c>
      <c r="J386" s="9">
        <v>1569</v>
      </c>
      <c r="K386" s="9" t="s">
        <v>3223</v>
      </c>
      <c r="L386" s="9" t="s">
        <v>42</v>
      </c>
      <c r="M386" s="10">
        <v>1.3553240740740741E-2</v>
      </c>
      <c r="N386" s="9" t="s">
        <v>127</v>
      </c>
      <c r="O386" s="9" t="s">
        <v>3224</v>
      </c>
      <c r="P386" s="9" t="s">
        <v>45</v>
      </c>
      <c r="Q386" s="10">
        <v>4.2824074074074081E-4</v>
      </c>
      <c r="R386" s="9" t="s">
        <v>46</v>
      </c>
      <c r="S386" s="10">
        <v>0.3473148148148148</v>
      </c>
      <c r="T386" s="9">
        <v>26.782</v>
      </c>
      <c r="U386" s="9">
        <v>10.14</v>
      </c>
      <c r="V386" s="10">
        <v>0.1100347222222222</v>
      </c>
      <c r="W386" s="10">
        <v>8.1793981481481481E-2</v>
      </c>
      <c r="X386" s="10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5</v>
      </c>
      <c r="AE386" s="9" t="s">
        <v>139</v>
      </c>
      <c r="AF386" s="9" t="s">
        <v>3225</v>
      </c>
      <c r="AG386" s="9" t="s">
        <v>3112</v>
      </c>
      <c r="AH386" s="9">
        <v>6.2555730000000001</v>
      </c>
      <c r="AI386" s="9">
        <v>-75.571351000000007</v>
      </c>
      <c r="AJ386" s="9" t="s">
        <v>3226</v>
      </c>
      <c r="AK386" s="9">
        <v>6.2381510000000002</v>
      </c>
      <c r="AL386" s="9">
        <v>-75.547309999999996</v>
      </c>
      <c r="AM386" s="26">
        <f t="shared" si="6"/>
        <v>0</v>
      </c>
    </row>
    <row r="387" spans="1:39" ht="15" x14ac:dyDescent="0.25">
      <c r="A387" s="9" t="s">
        <v>3227</v>
      </c>
      <c r="B387" s="9" t="s">
        <v>3228</v>
      </c>
      <c r="C387" s="9" t="s">
        <v>3229</v>
      </c>
      <c r="D387" s="9" t="s">
        <v>3191</v>
      </c>
      <c r="E387" s="9" t="s">
        <v>2619</v>
      </c>
      <c r="F387" s="9" t="s">
        <v>315</v>
      </c>
      <c r="G387" s="9" t="s">
        <v>144</v>
      </c>
      <c r="H387" s="9" t="s">
        <v>145</v>
      </c>
      <c r="I387" s="9" t="s">
        <v>40</v>
      </c>
      <c r="J387" s="9">
        <v>5956</v>
      </c>
      <c r="K387" s="9" t="s">
        <v>3230</v>
      </c>
      <c r="L387" s="9" t="s">
        <v>42</v>
      </c>
      <c r="M387" s="10">
        <v>6.3888888888888893E-3</v>
      </c>
      <c r="N387" s="9" t="s">
        <v>65</v>
      </c>
      <c r="O387" s="9" t="s">
        <v>3231</v>
      </c>
      <c r="P387" s="9" t="s">
        <v>45</v>
      </c>
      <c r="Q387" s="10">
        <v>2.2002314814814811E-2</v>
      </c>
      <c r="R387" s="9" t="s">
        <v>56</v>
      </c>
      <c r="S387" s="10">
        <v>0.31771990740740741</v>
      </c>
      <c r="T387" s="9">
        <v>76.950999999999993</v>
      </c>
      <c r="U387" s="9">
        <v>13.64</v>
      </c>
      <c r="V387" s="10">
        <v>0.23508101851851851</v>
      </c>
      <c r="W387" s="10">
        <v>7.1747685185185192E-2</v>
      </c>
      <c r="X387" s="10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 t="s">
        <v>67</v>
      </c>
      <c r="AF387" s="9" t="s">
        <v>3232</v>
      </c>
      <c r="AG387" s="9" t="s">
        <v>3233</v>
      </c>
      <c r="AH387" s="9">
        <v>6.2727430000000002</v>
      </c>
      <c r="AI387" s="9">
        <v>-75.574470000000005</v>
      </c>
      <c r="AJ387" s="9" t="s">
        <v>3234</v>
      </c>
      <c r="AK387" s="9">
        <v>6.2728390000000003</v>
      </c>
      <c r="AL387" s="9">
        <v>-75.574417999999994</v>
      </c>
      <c r="AM387" s="26">
        <f t="shared" si="6"/>
        <v>2.2002314814814811E-2</v>
      </c>
    </row>
    <row r="388" spans="1:39" ht="15" x14ac:dyDescent="0.25">
      <c r="A388" s="9" t="s">
        <v>3235</v>
      </c>
      <c r="B388" s="9" t="s">
        <v>3236</v>
      </c>
      <c r="C388" s="9" t="s">
        <v>3237</v>
      </c>
      <c r="D388" s="9" t="s">
        <v>3191</v>
      </c>
      <c r="E388" s="9" t="s">
        <v>2619</v>
      </c>
      <c r="F388" s="9" t="s">
        <v>315</v>
      </c>
      <c r="G388" s="9" t="s">
        <v>152</v>
      </c>
      <c r="H388" s="9" t="s">
        <v>153</v>
      </c>
      <c r="I388" s="9" t="s">
        <v>40</v>
      </c>
      <c r="J388" s="9">
        <v>5865</v>
      </c>
      <c r="K388" s="9" t="s">
        <v>3238</v>
      </c>
      <c r="L388" s="9" t="s">
        <v>42</v>
      </c>
      <c r="M388" s="10">
        <v>1.101851851851852E-2</v>
      </c>
      <c r="N388" s="9" t="s">
        <v>127</v>
      </c>
      <c r="O388" s="9" t="s">
        <v>3239</v>
      </c>
      <c r="P388" s="9" t="s">
        <v>45</v>
      </c>
      <c r="Q388" s="10">
        <v>3.5925925925925917E-2</v>
      </c>
      <c r="R388" s="9" t="s">
        <v>129</v>
      </c>
      <c r="S388" s="10">
        <v>0.38027777777777783</v>
      </c>
      <c r="T388" s="9">
        <v>74.290000000000006</v>
      </c>
      <c r="U388" s="9">
        <v>9.93</v>
      </c>
      <c r="V388" s="10">
        <v>0.31165509259259261</v>
      </c>
      <c r="W388" s="10">
        <v>0.14983796296296301</v>
      </c>
      <c r="X388" s="10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1</v>
      </c>
      <c r="AE388" s="9" t="s">
        <v>130</v>
      </c>
      <c r="AF388" s="9" t="s">
        <v>3240</v>
      </c>
      <c r="AG388" s="9" t="s">
        <v>3241</v>
      </c>
      <c r="AH388" s="9">
        <v>6.2255900000000004</v>
      </c>
      <c r="AI388" s="9">
        <v>-75.599424999999997</v>
      </c>
      <c r="AJ388" s="9" t="s">
        <v>3242</v>
      </c>
      <c r="AK388" s="9">
        <v>6.3108719999999998</v>
      </c>
      <c r="AL388" s="9">
        <v>-75.565312000000006</v>
      </c>
      <c r="AM388" s="26">
        <f t="shared" si="6"/>
        <v>0</v>
      </c>
    </row>
    <row r="389" spans="1:39" ht="15" x14ac:dyDescent="0.25">
      <c r="A389" s="9" t="s">
        <v>3243</v>
      </c>
      <c r="B389" s="9" t="s">
        <v>3244</v>
      </c>
      <c r="C389" s="9" t="s">
        <v>3245</v>
      </c>
      <c r="D389" s="9" t="s">
        <v>3191</v>
      </c>
      <c r="E389" s="9" t="s">
        <v>2619</v>
      </c>
      <c r="F389" s="9" t="s">
        <v>315</v>
      </c>
      <c r="G389" s="9" t="s">
        <v>89</v>
      </c>
      <c r="H389" s="9" t="s">
        <v>90</v>
      </c>
      <c r="I389" s="9" t="s">
        <v>40</v>
      </c>
      <c r="J389" s="9">
        <v>5871</v>
      </c>
      <c r="K389" s="9" t="s">
        <v>3246</v>
      </c>
      <c r="L389" s="9" t="s">
        <v>42</v>
      </c>
      <c r="M389" s="10">
        <v>6.7245370370370367E-3</v>
      </c>
      <c r="N389" s="9" t="s">
        <v>65</v>
      </c>
      <c r="O389" s="9" t="s">
        <v>3247</v>
      </c>
      <c r="P389" s="9" t="s">
        <v>45</v>
      </c>
      <c r="Q389" s="10">
        <v>9.2013888888888892E-3</v>
      </c>
      <c r="R389" s="9" t="s">
        <v>46</v>
      </c>
      <c r="S389" s="10">
        <v>0.3308564814814815</v>
      </c>
      <c r="T389" s="9">
        <v>77.83</v>
      </c>
      <c r="U389" s="9">
        <v>13.44</v>
      </c>
      <c r="V389" s="10">
        <v>0.24122685185185189</v>
      </c>
      <c r="W389" s="10">
        <v>8.0300925925925928E-2</v>
      </c>
      <c r="X389" s="10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 t="s">
        <v>84</v>
      </c>
      <c r="AF389" s="9" t="s">
        <v>352</v>
      </c>
      <c r="AG389" s="9" t="s">
        <v>3248</v>
      </c>
      <c r="AH389" s="9">
        <v>6.2265740000000003</v>
      </c>
      <c r="AI389" s="9">
        <v>-75.599340999999995</v>
      </c>
      <c r="AJ389" s="9" t="s">
        <v>3249</v>
      </c>
      <c r="AK389" s="9">
        <v>6.2796830000000003</v>
      </c>
      <c r="AL389" s="9">
        <v>-75.572063</v>
      </c>
      <c r="AM389" s="26">
        <f t="shared" ref="AM389:AM453" si="7">IF(N389="INICIO TARDÍO",M389,0)+IF(R389="TERMINÓ ANTES",Q389,0)</f>
        <v>0</v>
      </c>
    </row>
    <row r="390" spans="1:39" ht="15" x14ac:dyDescent="0.25">
      <c r="A390" s="17" t="s">
        <v>3250</v>
      </c>
      <c r="B390" s="17" t="s">
        <v>3251</v>
      </c>
      <c r="C390" s="17" t="s">
        <v>3252</v>
      </c>
      <c r="D390" s="17" t="s">
        <v>3191</v>
      </c>
      <c r="E390" s="17" t="s">
        <v>2619</v>
      </c>
      <c r="F390" s="17" t="s">
        <v>315</v>
      </c>
      <c r="G390" s="17" t="s">
        <v>105</v>
      </c>
      <c r="H390" s="17" t="s">
        <v>106</v>
      </c>
      <c r="I390" s="17" t="s">
        <v>40</v>
      </c>
      <c r="J390" s="17">
        <v>4418</v>
      </c>
      <c r="K390" s="17" t="s">
        <v>3253</v>
      </c>
      <c r="L390" s="17" t="s">
        <v>42</v>
      </c>
      <c r="M390" s="18">
        <v>6.6782407407407407E-3</v>
      </c>
      <c r="N390" s="17" t="s">
        <v>65</v>
      </c>
      <c r="O390" s="17" t="s">
        <v>3254</v>
      </c>
      <c r="P390" s="17" t="s">
        <v>45</v>
      </c>
      <c r="Q390" s="18">
        <v>1.3888888888888889E-3</v>
      </c>
      <c r="R390" s="17" t="s">
        <v>46</v>
      </c>
      <c r="S390" s="18">
        <v>0.34140046296296289</v>
      </c>
      <c r="T390" s="17">
        <v>59.905000000000001</v>
      </c>
      <c r="U390" s="17">
        <v>12.75</v>
      </c>
      <c r="V390" s="18">
        <v>0.19575231481481481</v>
      </c>
      <c r="W390" s="18">
        <v>0.1122800925925926</v>
      </c>
      <c r="X390" s="18">
        <v>0</v>
      </c>
      <c r="Y390" s="17">
        <v>0</v>
      </c>
      <c r="Z390" s="17">
        <v>0</v>
      </c>
      <c r="AA390" s="17">
        <v>0</v>
      </c>
      <c r="AB390" s="17">
        <v>0</v>
      </c>
      <c r="AC390" s="17">
        <v>0</v>
      </c>
      <c r="AD390" s="17">
        <v>0</v>
      </c>
      <c r="AE390" s="17" t="s">
        <v>84</v>
      </c>
      <c r="AF390" s="17" t="s">
        <v>352</v>
      </c>
      <c r="AG390" s="17" t="s">
        <v>3255</v>
      </c>
      <c r="AH390" s="17">
        <v>6.225651</v>
      </c>
      <c r="AI390" s="17">
        <v>-75.599123000000006</v>
      </c>
      <c r="AJ390" s="17" t="s">
        <v>3256</v>
      </c>
      <c r="AK390" s="17">
        <v>6.1910360000000004</v>
      </c>
      <c r="AL390" s="17">
        <v>-75.583235999999999</v>
      </c>
      <c r="AM390" s="27">
        <f t="shared" si="7"/>
        <v>0</v>
      </c>
    </row>
    <row r="391" spans="1:39" s="9" customFormat="1" ht="15" x14ac:dyDescent="0.25">
      <c r="A391" s="9" t="s">
        <v>3257</v>
      </c>
      <c r="B391" s="9" t="s">
        <v>3258</v>
      </c>
      <c r="C391" s="9" t="s">
        <v>3259</v>
      </c>
      <c r="D391" s="9" t="s">
        <v>3191</v>
      </c>
      <c r="E391" s="9" t="s">
        <v>2619</v>
      </c>
      <c r="F391" s="9" t="s">
        <v>315</v>
      </c>
      <c r="G391" s="9" t="s">
        <v>38</v>
      </c>
      <c r="H391" s="9" t="s">
        <v>39</v>
      </c>
      <c r="I391" s="9" t="s">
        <v>40</v>
      </c>
      <c r="J391" s="9">
        <v>6165</v>
      </c>
      <c r="K391" s="9" t="s">
        <v>3192</v>
      </c>
      <c r="L391" s="9" t="s">
        <v>42</v>
      </c>
      <c r="M391" s="10">
        <v>1.280594907407407E-2</v>
      </c>
      <c r="N391" s="9" t="s">
        <v>43</v>
      </c>
      <c r="O391" s="9" t="s">
        <v>3193</v>
      </c>
      <c r="P391" s="9" t="s">
        <v>45</v>
      </c>
      <c r="Q391" s="10">
        <v>6.0477581018518523E-2</v>
      </c>
      <c r="R391" s="9" t="s">
        <v>56</v>
      </c>
      <c r="S391" s="10">
        <v>0.26004980324074067</v>
      </c>
      <c r="T391" s="9">
        <v>49.527999999999999</v>
      </c>
      <c r="U391" s="9">
        <v>23.45</v>
      </c>
      <c r="V391" s="10">
        <v>8.8019363425925659E-2</v>
      </c>
      <c r="W391" s="10">
        <v>2.843787037037037E-2</v>
      </c>
      <c r="X391" s="10">
        <v>7.543056712962963E-2</v>
      </c>
      <c r="Y391" s="9">
        <v>1</v>
      </c>
      <c r="Z391" s="9">
        <v>1</v>
      </c>
      <c r="AA391" s="9">
        <v>1</v>
      </c>
      <c r="AB391" s="9">
        <v>1</v>
      </c>
      <c r="AC391" s="9">
        <v>1</v>
      </c>
      <c r="AD391" s="9">
        <v>5</v>
      </c>
      <c r="AE391" s="9" t="s">
        <v>57</v>
      </c>
      <c r="AF391" s="9" t="s">
        <v>3260</v>
      </c>
      <c r="AG391" s="9" t="s">
        <v>3194</v>
      </c>
      <c r="AH391" s="9">
        <v>6.2032670000000003</v>
      </c>
      <c r="AI391" s="9">
        <v>-75.600633000000002</v>
      </c>
      <c r="AJ391" s="9" t="s">
        <v>3195</v>
      </c>
      <c r="AK391" s="9">
        <v>6.221692</v>
      </c>
      <c r="AL391" s="9">
        <v>-75.593850000000003</v>
      </c>
      <c r="AM391" s="26">
        <f t="shared" si="7"/>
        <v>7.3283530092592586E-2</v>
      </c>
    </row>
    <row r="392" spans="1:39" ht="15" x14ac:dyDescent="0.25">
      <c r="A392" s="9" t="s">
        <v>3261</v>
      </c>
      <c r="B392" s="9" t="s">
        <v>3262</v>
      </c>
      <c r="C392" s="9" t="s">
        <v>3263</v>
      </c>
      <c r="D392" s="9" t="s">
        <v>3191</v>
      </c>
      <c r="E392" s="9" t="s">
        <v>2619</v>
      </c>
      <c r="F392" s="9" t="s">
        <v>315</v>
      </c>
      <c r="G392" s="9" t="s">
        <v>124</v>
      </c>
      <c r="H392" s="9" t="s">
        <v>125</v>
      </c>
      <c r="I392" s="9" t="s">
        <v>115</v>
      </c>
      <c r="J392" s="9">
        <v>5047</v>
      </c>
      <c r="K392" s="9" t="s">
        <v>3264</v>
      </c>
      <c r="L392" s="9" t="s">
        <v>117</v>
      </c>
      <c r="M392" s="10">
        <v>2.0474537037037041E-2</v>
      </c>
      <c r="N392" s="9" t="s">
        <v>127</v>
      </c>
      <c r="O392" s="9" t="s">
        <v>3265</v>
      </c>
      <c r="P392" s="9" t="s">
        <v>119</v>
      </c>
      <c r="Q392" s="10">
        <v>1.0393518518518521E-2</v>
      </c>
      <c r="R392" s="9" t="s">
        <v>46</v>
      </c>
      <c r="S392" s="10">
        <v>0.28086805555555561</v>
      </c>
      <c r="T392" s="9">
        <v>63.121000000000002</v>
      </c>
      <c r="U392" s="9">
        <v>12.33</v>
      </c>
      <c r="V392" s="10">
        <v>0.21322916666666669</v>
      </c>
      <c r="W392" s="10">
        <v>5.7291666666666657E-2</v>
      </c>
      <c r="X392" s="10">
        <v>6.030092592592593E-3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 t="s">
        <v>139</v>
      </c>
      <c r="AF392" s="9" t="s">
        <v>3266</v>
      </c>
      <c r="AG392" s="9" t="s">
        <v>3267</v>
      </c>
      <c r="AH392" s="9">
        <v>6.2263739999999999</v>
      </c>
      <c r="AI392" s="9">
        <v>-75.599348000000006</v>
      </c>
      <c r="AJ392" s="9" t="s">
        <v>3268</v>
      </c>
      <c r="AK392" s="9">
        <v>6.2726470000000001</v>
      </c>
      <c r="AL392" s="9">
        <v>-75.601989000000003</v>
      </c>
      <c r="AM392" s="26">
        <f t="shared" si="7"/>
        <v>0</v>
      </c>
    </row>
    <row r="393" spans="1:39" ht="15" x14ac:dyDescent="0.25">
      <c r="A393" s="9" t="s">
        <v>3269</v>
      </c>
      <c r="B393" s="9" t="s">
        <v>3270</v>
      </c>
      <c r="C393" s="9" t="s">
        <v>3271</v>
      </c>
      <c r="D393" s="9" t="s">
        <v>3191</v>
      </c>
      <c r="E393" s="9" t="s">
        <v>2619</v>
      </c>
      <c r="F393" s="9" t="s">
        <v>315</v>
      </c>
      <c r="G393" s="9" t="s">
        <v>72</v>
      </c>
      <c r="H393" s="9" t="s">
        <v>73</v>
      </c>
      <c r="I393" s="9" t="s">
        <v>115</v>
      </c>
      <c r="J393" s="9">
        <v>1692</v>
      </c>
      <c r="K393" s="9" t="s">
        <v>3272</v>
      </c>
      <c r="L393" s="9" t="s">
        <v>117</v>
      </c>
      <c r="M393" s="10">
        <v>1.5648148148148151E-2</v>
      </c>
      <c r="N393" s="9" t="s">
        <v>127</v>
      </c>
      <c r="O393" s="9" t="s">
        <v>3273</v>
      </c>
      <c r="P393" s="9" t="s">
        <v>119</v>
      </c>
      <c r="Q393" s="10">
        <v>5.4421296296296287E-2</v>
      </c>
      <c r="R393" s="9" t="s">
        <v>56</v>
      </c>
      <c r="S393" s="10">
        <v>0.21122685185185189</v>
      </c>
      <c r="T393" s="9">
        <v>29.631</v>
      </c>
      <c r="U393" s="9">
        <v>8.25</v>
      </c>
      <c r="V393" s="10">
        <v>0.14960648148148151</v>
      </c>
      <c r="W393" s="10">
        <v>0.1054513888888889</v>
      </c>
      <c r="X393" s="10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 t="s">
        <v>139</v>
      </c>
      <c r="AF393" s="9" t="s">
        <v>3274</v>
      </c>
      <c r="AG393" s="9" t="s">
        <v>3275</v>
      </c>
      <c r="AH393" s="9">
        <v>6.2260289999999996</v>
      </c>
      <c r="AI393" s="9">
        <v>-75.599327000000002</v>
      </c>
      <c r="AJ393" s="9" t="s">
        <v>3276</v>
      </c>
      <c r="AK393" s="9">
        <v>6.2370619999999999</v>
      </c>
      <c r="AL393" s="9">
        <v>-75.558768000000001</v>
      </c>
      <c r="AM393" s="26">
        <f t="shared" si="7"/>
        <v>5.4421296296296287E-2</v>
      </c>
    </row>
    <row r="394" spans="1:39" ht="15" x14ac:dyDescent="0.25">
      <c r="A394" s="9" t="s">
        <v>3277</v>
      </c>
      <c r="B394" s="9" t="s">
        <v>3278</v>
      </c>
      <c r="C394" s="9" t="s">
        <v>3279</v>
      </c>
      <c r="D394" s="9" t="s">
        <v>3191</v>
      </c>
      <c r="E394" s="9" t="s">
        <v>2619</v>
      </c>
      <c r="F394" s="9" t="s">
        <v>315</v>
      </c>
      <c r="G394" s="9" t="s">
        <v>80</v>
      </c>
      <c r="H394" s="9" t="s">
        <v>81</v>
      </c>
      <c r="I394" s="9" t="s">
        <v>115</v>
      </c>
      <c r="J394" s="9">
        <v>5643</v>
      </c>
      <c r="K394" s="9" t="s">
        <v>3280</v>
      </c>
      <c r="L394" s="9" t="s">
        <v>117</v>
      </c>
      <c r="M394" s="10">
        <v>1.194197916666667E-2</v>
      </c>
      <c r="N394" s="9" t="s">
        <v>127</v>
      </c>
      <c r="O394" s="9" t="s">
        <v>3281</v>
      </c>
      <c r="P394" s="9" t="s">
        <v>119</v>
      </c>
      <c r="Q394" s="10">
        <v>2.3118402777777781E-3</v>
      </c>
      <c r="R394" s="9" t="s">
        <v>46</v>
      </c>
      <c r="S394" s="10">
        <v>0.25963013888888892</v>
      </c>
      <c r="T394" s="9">
        <v>40.811</v>
      </c>
      <c r="U394" s="9">
        <v>16.11</v>
      </c>
      <c r="V394" s="10">
        <v>0.10552721064814791</v>
      </c>
      <c r="W394" s="10">
        <v>5.2198252314814828E-2</v>
      </c>
      <c r="X394" s="10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11</v>
      </c>
      <c r="AE394" s="9" t="s">
        <v>139</v>
      </c>
      <c r="AF394" s="9" t="s">
        <v>3282</v>
      </c>
      <c r="AG394" s="9" t="s">
        <v>3283</v>
      </c>
      <c r="AH394" s="9">
        <v>6.225644</v>
      </c>
      <c r="AI394" s="9">
        <v>-75.599369999999993</v>
      </c>
      <c r="AJ394" s="9" t="s">
        <v>3284</v>
      </c>
      <c r="AK394" s="9">
        <v>6.2554990000000004</v>
      </c>
      <c r="AL394" s="9">
        <v>-75.620519000000002</v>
      </c>
      <c r="AM394" s="26">
        <f t="shared" si="7"/>
        <v>0</v>
      </c>
    </row>
    <row r="395" spans="1:39" ht="15" x14ac:dyDescent="0.25">
      <c r="A395" s="9" t="s">
        <v>3285</v>
      </c>
      <c r="B395" s="9" t="s">
        <v>3286</v>
      </c>
      <c r="C395" s="9" t="s">
        <v>3287</v>
      </c>
      <c r="D395" s="9" t="s">
        <v>3191</v>
      </c>
      <c r="E395" s="9" t="s">
        <v>2619</v>
      </c>
      <c r="F395" s="9" t="s">
        <v>315</v>
      </c>
      <c r="G395" s="9" t="s">
        <v>160</v>
      </c>
      <c r="H395" s="9" t="s">
        <v>161</v>
      </c>
      <c r="I395" s="9" t="s">
        <v>115</v>
      </c>
      <c r="J395" s="9">
        <v>12071</v>
      </c>
      <c r="K395" s="9" t="s">
        <v>2956</v>
      </c>
      <c r="L395" s="9" t="s">
        <v>117</v>
      </c>
      <c r="M395" s="10">
        <v>3.0373514699074078</v>
      </c>
      <c r="N395" s="9" t="s">
        <v>127</v>
      </c>
      <c r="O395" s="9" t="s">
        <v>2957</v>
      </c>
      <c r="P395" s="9" t="s">
        <v>119</v>
      </c>
      <c r="Q395" s="10">
        <v>3.0010320486111111</v>
      </c>
      <c r="R395" s="9" t="s">
        <v>56</v>
      </c>
      <c r="S395" s="10">
        <v>0.28631942129629628</v>
      </c>
      <c r="T395" s="9">
        <v>70.233000000000004</v>
      </c>
      <c r="U395" s="9">
        <v>17.25</v>
      </c>
      <c r="V395" s="10">
        <v>0.16968402777777791</v>
      </c>
      <c r="W395" s="10">
        <v>9.995311342592593E-2</v>
      </c>
      <c r="X395" s="10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2</v>
      </c>
      <c r="AE395" s="9" t="s">
        <v>139</v>
      </c>
      <c r="AF395" s="9" t="s">
        <v>3288</v>
      </c>
      <c r="AG395" s="9" t="s">
        <v>2959</v>
      </c>
      <c r="AH395" s="9">
        <v>6.2412669999999997</v>
      </c>
      <c r="AI395" s="9">
        <v>-75.586453000000006</v>
      </c>
      <c r="AJ395" s="9" t="s">
        <v>2960</v>
      </c>
      <c r="AK395" s="9">
        <v>6.2568000000000001</v>
      </c>
      <c r="AL395" s="9">
        <v>-75.580860000000001</v>
      </c>
      <c r="AM395" s="26">
        <f t="shared" si="7"/>
        <v>3.0010320486111111</v>
      </c>
    </row>
    <row r="396" spans="1:39" ht="15" x14ac:dyDescent="0.25">
      <c r="A396" s="9" t="s">
        <v>3289</v>
      </c>
      <c r="B396" s="9" t="s">
        <v>3290</v>
      </c>
      <c r="C396" s="9" t="s">
        <v>3291</v>
      </c>
      <c r="D396" s="9" t="s">
        <v>3191</v>
      </c>
      <c r="E396" s="9" t="s">
        <v>2619</v>
      </c>
      <c r="F396" s="9" t="s">
        <v>315</v>
      </c>
      <c r="G396" s="9" t="s">
        <v>97</v>
      </c>
      <c r="H396" s="9" t="s">
        <v>98</v>
      </c>
      <c r="I396" s="9" t="s">
        <v>115</v>
      </c>
      <c r="J396" s="9">
        <v>3687</v>
      </c>
      <c r="K396" s="9" t="s">
        <v>3292</v>
      </c>
      <c r="L396" s="9" t="s">
        <v>117</v>
      </c>
      <c r="M396" s="10">
        <v>1.292824074074074E-2</v>
      </c>
      <c r="N396" s="9" t="s">
        <v>127</v>
      </c>
      <c r="O396" s="9" t="s">
        <v>3293</v>
      </c>
      <c r="P396" s="9" t="s">
        <v>119</v>
      </c>
      <c r="Q396" s="10">
        <v>9.837962962962962E-4</v>
      </c>
      <c r="R396" s="9" t="s">
        <v>46</v>
      </c>
      <c r="S396" s="10">
        <v>0.26194444444444442</v>
      </c>
      <c r="T396" s="9">
        <v>49.853999999999999</v>
      </c>
      <c r="U396" s="9">
        <v>11.54</v>
      </c>
      <c r="V396" s="10">
        <v>0.17996527777777779</v>
      </c>
      <c r="W396" s="10">
        <v>0.1005439814814815</v>
      </c>
      <c r="X396" s="10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 t="s">
        <v>139</v>
      </c>
      <c r="AF396" s="9" t="s">
        <v>3294</v>
      </c>
      <c r="AG396" s="9" t="s">
        <v>3295</v>
      </c>
      <c r="AH396" s="9">
        <v>6.2256239999999998</v>
      </c>
      <c r="AI396" s="9">
        <v>-75.599417000000003</v>
      </c>
      <c r="AJ396" s="9" t="s">
        <v>3296</v>
      </c>
      <c r="AK396" s="9">
        <v>6.2953029999999996</v>
      </c>
      <c r="AL396" s="9">
        <v>-75.582172</v>
      </c>
      <c r="AM396" s="27">
        <f t="shared" si="7"/>
        <v>0</v>
      </c>
    </row>
    <row r="397" spans="1:39" ht="15" x14ac:dyDescent="0.25">
      <c r="A397" s="9" t="s">
        <v>3297</v>
      </c>
      <c r="B397" s="9" t="s">
        <v>3298</v>
      </c>
      <c r="C397" s="9" t="s">
        <v>3299</v>
      </c>
      <c r="D397" s="9" t="s">
        <v>3300</v>
      </c>
      <c r="E397" s="9" t="s">
        <v>2619</v>
      </c>
      <c r="F397" s="9" t="s">
        <v>406</v>
      </c>
      <c r="G397" s="9" t="s">
        <v>38</v>
      </c>
      <c r="H397" s="9" t="s">
        <v>39</v>
      </c>
      <c r="I397" s="9" t="s">
        <v>40</v>
      </c>
      <c r="J397" s="9">
        <v>7218</v>
      </c>
      <c r="K397" s="9" t="s">
        <v>3301</v>
      </c>
      <c r="L397" s="9" t="s">
        <v>42</v>
      </c>
      <c r="M397" s="10">
        <v>5.2253935185185181E-3</v>
      </c>
      <c r="N397" s="9" t="s">
        <v>65</v>
      </c>
      <c r="O397" s="9" t="s">
        <v>3302</v>
      </c>
      <c r="P397" s="9" t="s">
        <v>413</v>
      </c>
      <c r="Q397" s="10">
        <v>3.8467453703703712E-2</v>
      </c>
      <c r="R397" s="9" t="s">
        <v>56</v>
      </c>
      <c r="S397" s="10">
        <v>0.26880715277777778</v>
      </c>
      <c r="T397" s="9">
        <v>43.122999999999998</v>
      </c>
      <c r="U397" s="9">
        <v>20.98</v>
      </c>
      <c r="V397" s="10">
        <v>8.5647488425925913E-2</v>
      </c>
      <c r="W397" s="10">
        <v>2.9955844907407402E-2</v>
      </c>
      <c r="X397" s="10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2</v>
      </c>
      <c r="AE397" s="9" t="s">
        <v>67</v>
      </c>
      <c r="AF397" s="9" t="s">
        <v>3303</v>
      </c>
      <c r="AG397" s="9" t="s">
        <v>3304</v>
      </c>
      <c r="AH397" s="9">
        <v>6.2034520000000004</v>
      </c>
      <c r="AI397" s="9">
        <v>-75.600986000000006</v>
      </c>
      <c r="AJ397" s="9" t="s">
        <v>3305</v>
      </c>
      <c r="AK397" s="9">
        <v>6.2028930000000004</v>
      </c>
      <c r="AL397" s="9">
        <v>-75.569176999999996</v>
      </c>
      <c r="AM397" s="26">
        <f t="shared" si="7"/>
        <v>3.8467453703703712E-2</v>
      </c>
    </row>
    <row r="398" spans="1:39" ht="15" x14ac:dyDescent="0.25">
      <c r="A398" s="9" t="s">
        <v>3306</v>
      </c>
      <c r="B398" s="9" t="s">
        <v>3307</v>
      </c>
      <c r="C398" s="9" t="s">
        <v>3308</v>
      </c>
      <c r="D398" s="9" t="s">
        <v>3300</v>
      </c>
      <c r="E398" s="9" t="s">
        <v>2619</v>
      </c>
      <c r="F398" s="9" t="s">
        <v>406</v>
      </c>
      <c r="G398" s="9" t="s">
        <v>52</v>
      </c>
      <c r="H398" s="9" t="s">
        <v>53</v>
      </c>
      <c r="I398" s="9" t="s">
        <v>40</v>
      </c>
      <c r="J398" s="9">
        <v>1734</v>
      </c>
      <c r="K398" s="9" t="s">
        <v>3309</v>
      </c>
      <c r="L398" s="9" t="s">
        <v>42</v>
      </c>
      <c r="M398" s="10">
        <v>4.5370370370370373E-3</v>
      </c>
      <c r="N398" s="9" t="s">
        <v>65</v>
      </c>
      <c r="O398" s="9" t="s">
        <v>3310</v>
      </c>
      <c r="P398" s="9" t="s">
        <v>413</v>
      </c>
      <c r="Q398" s="10">
        <v>5.3356481481481484E-3</v>
      </c>
      <c r="R398" s="9" t="s">
        <v>46</v>
      </c>
      <c r="S398" s="10">
        <v>0.31170138888888888</v>
      </c>
      <c r="T398" s="9">
        <v>22.494</v>
      </c>
      <c r="U398" s="9">
        <v>3.93</v>
      </c>
      <c r="V398" s="10">
        <v>0.2386689814814815</v>
      </c>
      <c r="W398" s="10">
        <v>0.2031597222222222</v>
      </c>
      <c r="X398" s="10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4</v>
      </c>
      <c r="AE398" s="9" t="s">
        <v>84</v>
      </c>
      <c r="AF398" s="9" t="s">
        <v>1602</v>
      </c>
      <c r="AG398" s="9" t="s">
        <v>3311</v>
      </c>
      <c r="AH398" s="9">
        <v>6.2256710000000002</v>
      </c>
      <c r="AI398" s="9">
        <v>-75.599406999999999</v>
      </c>
      <c r="AJ398" s="9" t="s">
        <v>3312</v>
      </c>
      <c r="AK398" s="9">
        <v>6.2522520000000004</v>
      </c>
      <c r="AL398" s="9">
        <v>-75.607341000000005</v>
      </c>
      <c r="AM398" s="26">
        <f t="shared" si="7"/>
        <v>0</v>
      </c>
    </row>
    <row r="399" spans="1:39" ht="15" x14ac:dyDescent="0.25">
      <c r="A399" s="9" t="s">
        <v>3313</v>
      </c>
      <c r="B399" s="9" t="s">
        <v>3314</v>
      </c>
      <c r="C399" s="9" t="s">
        <v>3315</v>
      </c>
      <c r="D399" s="9" t="s">
        <v>3300</v>
      </c>
      <c r="E399" s="9" t="s">
        <v>2619</v>
      </c>
      <c r="F399" s="9" t="s">
        <v>406</v>
      </c>
      <c r="G399" s="9" t="s">
        <v>62</v>
      </c>
      <c r="H399" s="9" t="s">
        <v>63</v>
      </c>
      <c r="I399" s="9" t="s">
        <v>40</v>
      </c>
      <c r="J399" s="9">
        <v>2206</v>
      </c>
      <c r="K399" s="9" t="s">
        <v>3316</v>
      </c>
      <c r="L399" s="9" t="s">
        <v>42</v>
      </c>
      <c r="M399" s="10">
        <v>6.6550925925925927E-3</v>
      </c>
      <c r="N399" s="9" t="s">
        <v>65</v>
      </c>
      <c r="O399" s="9" t="s">
        <v>3317</v>
      </c>
      <c r="P399" s="9" t="s">
        <v>413</v>
      </c>
      <c r="Q399" s="10">
        <v>0.1159027777777778</v>
      </c>
      <c r="R399" s="9" t="s">
        <v>56</v>
      </c>
      <c r="S399" s="10">
        <v>0.18994212962962961</v>
      </c>
      <c r="T399" s="9">
        <v>30.331</v>
      </c>
      <c r="U399" s="9">
        <v>10.07</v>
      </c>
      <c r="V399" s="10">
        <v>0.12550925925925929</v>
      </c>
      <c r="W399" s="10">
        <v>8.414351851851852E-2</v>
      </c>
      <c r="X399" s="10">
        <v>8.4606481481481477E-3</v>
      </c>
      <c r="Y399" s="9">
        <v>1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 t="s">
        <v>67</v>
      </c>
      <c r="AF399" s="9" t="s">
        <v>3318</v>
      </c>
      <c r="AG399" s="9" t="s">
        <v>3319</v>
      </c>
      <c r="AH399" s="9">
        <v>6.2258329999999997</v>
      </c>
      <c r="AI399" s="9">
        <v>-75.599429000000001</v>
      </c>
      <c r="AJ399" s="9" t="s">
        <v>3320</v>
      </c>
      <c r="AK399" s="9">
        <v>6.2961679999999998</v>
      </c>
      <c r="AL399" s="9">
        <v>-75.585223999999997</v>
      </c>
      <c r="AM399" s="27">
        <f t="shared" si="7"/>
        <v>0.1159027777777778</v>
      </c>
    </row>
    <row r="400" spans="1:39" ht="15" x14ac:dyDescent="0.25">
      <c r="A400" s="9" t="s">
        <v>3321</v>
      </c>
      <c r="B400" s="9" t="s">
        <v>3322</v>
      </c>
      <c r="C400" s="9" t="s">
        <v>3323</v>
      </c>
      <c r="D400" s="9" t="s">
        <v>3300</v>
      </c>
      <c r="E400" s="9" t="s">
        <v>2619</v>
      </c>
      <c r="F400" s="9" t="s">
        <v>406</v>
      </c>
      <c r="G400" s="9" t="s">
        <v>135</v>
      </c>
      <c r="H400" s="9" t="s">
        <v>136</v>
      </c>
      <c r="I400" s="9" t="s">
        <v>40</v>
      </c>
      <c r="J400" s="9">
        <v>3053</v>
      </c>
      <c r="K400" s="9" t="s">
        <v>3324</v>
      </c>
      <c r="L400" s="9" t="s">
        <v>42</v>
      </c>
      <c r="M400" s="10">
        <v>1.6574074074074071E-2</v>
      </c>
      <c r="N400" s="9" t="s">
        <v>127</v>
      </c>
      <c r="O400" s="9" t="s">
        <v>3325</v>
      </c>
      <c r="P400" s="9" t="s">
        <v>413</v>
      </c>
      <c r="Q400" s="10">
        <v>1.481481481481481E-3</v>
      </c>
      <c r="R400" s="9" t="s">
        <v>46</v>
      </c>
      <c r="S400" s="10">
        <v>0.33055555555555549</v>
      </c>
      <c r="T400" s="9">
        <v>47.993000000000002</v>
      </c>
      <c r="U400" s="9">
        <v>15.85</v>
      </c>
      <c r="V400" s="10">
        <v>0.12613425925925931</v>
      </c>
      <c r="W400" s="10">
        <v>6.806712962962963E-2</v>
      </c>
      <c r="X400" s="10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4</v>
      </c>
      <c r="AE400" s="9" t="s">
        <v>139</v>
      </c>
      <c r="AF400" s="9" t="s">
        <v>3326</v>
      </c>
      <c r="AG400" s="9" t="s">
        <v>3226</v>
      </c>
      <c r="AH400" s="9">
        <v>6.2381510000000002</v>
      </c>
      <c r="AI400" s="9">
        <v>-75.547309999999996</v>
      </c>
      <c r="AJ400" s="9" t="s">
        <v>3327</v>
      </c>
      <c r="AK400" s="9">
        <v>6.2809850000000003</v>
      </c>
      <c r="AL400" s="9">
        <v>-75.545736000000005</v>
      </c>
      <c r="AM400" s="26">
        <f t="shared" si="7"/>
        <v>0</v>
      </c>
    </row>
    <row r="401" spans="1:39" ht="15" x14ac:dyDescent="0.25">
      <c r="A401" s="9" t="s">
        <v>3328</v>
      </c>
      <c r="B401" s="9" t="s">
        <v>3329</v>
      </c>
      <c r="C401" s="9" t="s">
        <v>3330</v>
      </c>
      <c r="D401" s="9" t="s">
        <v>3300</v>
      </c>
      <c r="E401" s="9" t="s">
        <v>2619</v>
      </c>
      <c r="F401" s="9" t="s">
        <v>406</v>
      </c>
      <c r="G401" s="9" t="s">
        <v>144</v>
      </c>
      <c r="H401" s="9" t="s">
        <v>145</v>
      </c>
      <c r="I401" s="9" t="s">
        <v>40</v>
      </c>
      <c r="J401" s="9">
        <v>4010</v>
      </c>
      <c r="K401" s="9" t="s">
        <v>3331</v>
      </c>
      <c r="L401" s="9" t="s">
        <v>42</v>
      </c>
      <c r="M401" s="10">
        <v>2.2175925925925929E-2</v>
      </c>
      <c r="N401" s="9" t="s">
        <v>127</v>
      </c>
      <c r="O401" s="9" t="s">
        <v>3332</v>
      </c>
      <c r="P401" s="9" t="s">
        <v>413</v>
      </c>
      <c r="Q401" s="10">
        <v>0.13746527777777781</v>
      </c>
      <c r="R401" s="9" t="s">
        <v>56</v>
      </c>
      <c r="S401" s="10">
        <v>0.19721064814814809</v>
      </c>
      <c r="T401" s="9">
        <v>52.210999999999999</v>
      </c>
      <c r="U401" s="9">
        <v>13.89</v>
      </c>
      <c r="V401" s="10">
        <v>0.15659722222222219</v>
      </c>
      <c r="W401" s="10">
        <v>4.6215277777777779E-2</v>
      </c>
      <c r="X401" s="10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 t="s">
        <v>139</v>
      </c>
      <c r="AF401" s="9" t="s">
        <v>3333</v>
      </c>
      <c r="AG401" s="9" t="s">
        <v>3334</v>
      </c>
      <c r="AH401" s="9">
        <v>6.2727459999999997</v>
      </c>
      <c r="AI401" s="9">
        <v>-75.574455</v>
      </c>
      <c r="AJ401" s="9" t="s">
        <v>3335</v>
      </c>
      <c r="AK401" s="9">
        <v>6.2394040000000004</v>
      </c>
      <c r="AL401" s="9">
        <v>-75.583635000000001</v>
      </c>
      <c r="AM401" s="26">
        <f t="shared" si="7"/>
        <v>0.13746527777777781</v>
      </c>
    </row>
    <row r="402" spans="1:39" ht="15" x14ac:dyDescent="0.25">
      <c r="A402" s="9" t="s">
        <v>3336</v>
      </c>
      <c r="B402" s="9" t="s">
        <v>3337</v>
      </c>
      <c r="C402" s="9" t="s">
        <v>3338</v>
      </c>
      <c r="D402" s="9" t="s">
        <v>3300</v>
      </c>
      <c r="E402" s="9" t="s">
        <v>2619</v>
      </c>
      <c r="F402" s="9" t="s">
        <v>406</v>
      </c>
      <c r="G402" s="9" t="s">
        <v>152</v>
      </c>
      <c r="H402" s="9" t="s">
        <v>153</v>
      </c>
      <c r="I402" s="9" t="s">
        <v>40</v>
      </c>
      <c r="J402" s="9">
        <v>5663</v>
      </c>
      <c r="K402" s="9" t="s">
        <v>3339</v>
      </c>
      <c r="L402" s="9" t="s">
        <v>42</v>
      </c>
      <c r="M402" s="10">
        <v>2.0821759259259259E-2</v>
      </c>
      <c r="N402" s="9" t="s">
        <v>127</v>
      </c>
      <c r="O402" s="9" t="s">
        <v>3340</v>
      </c>
      <c r="P402" s="9" t="s">
        <v>413</v>
      </c>
      <c r="Q402" s="10">
        <v>1.1759259259259259E-2</v>
      </c>
      <c r="R402" s="9" t="s">
        <v>129</v>
      </c>
      <c r="S402" s="10">
        <v>0.34508101851851852</v>
      </c>
      <c r="T402" s="9">
        <v>73.462999999999994</v>
      </c>
      <c r="U402" s="9">
        <v>11.15</v>
      </c>
      <c r="V402" s="10">
        <v>0.27452546296296299</v>
      </c>
      <c r="W402" s="10">
        <v>0.1188310185185185</v>
      </c>
      <c r="X402" s="10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2</v>
      </c>
      <c r="AE402" s="9" t="s">
        <v>130</v>
      </c>
      <c r="AF402" s="9" t="s">
        <v>3341</v>
      </c>
      <c r="AG402" s="9" t="s">
        <v>3342</v>
      </c>
      <c r="AH402" s="9">
        <v>6.2801130000000001</v>
      </c>
      <c r="AI402" s="9">
        <v>-75.572571999999994</v>
      </c>
      <c r="AJ402" s="9" t="s">
        <v>3343</v>
      </c>
      <c r="AK402" s="9">
        <v>6.2518180000000001</v>
      </c>
      <c r="AL402" s="9">
        <v>-75.551772999999997</v>
      </c>
      <c r="AM402" s="27">
        <f t="shared" si="7"/>
        <v>0</v>
      </c>
    </row>
    <row r="403" spans="1:39" ht="15" x14ac:dyDescent="0.25">
      <c r="A403" s="9" t="s">
        <v>3344</v>
      </c>
      <c r="B403" s="9" t="s">
        <v>3345</v>
      </c>
      <c r="C403" s="9" t="s">
        <v>3346</v>
      </c>
      <c r="D403" s="9" t="s">
        <v>3300</v>
      </c>
      <c r="E403" s="9" t="s">
        <v>2619</v>
      </c>
      <c r="F403" s="9" t="s">
        <v>406</v>
      </c>
      <c r="G403" s="9" t="s">
        <v>89</v>
      </c>
      <c r="H403" s="9" t="s">
        <v>90</v>
      </c>
      <c r="I403" s="9" t="s">
        <v>40</v>
      </c>
      <c r="J403" s="9">
        <v>2633</v>
      </c>
      <c r="K403" s="9" t="s">
        <v>3347</v>
      </c>
      <c r="L403" s="9" t="s">
        <v>42</v>
      </c>
      <c r="M403" s="10">
        <v>1.2129629629629631E-2</v>
      </c>
      <c r="N403" s="9" t="s">
        <v>127</v>
      </c>
      <c r="O403" s="9" t="s">
        <v>3348</v>
      </c>
      <c r="P403" s="9" t="s">
        <v>413</v>
      </c>
      <c r="Q403" s="10">
        <v>1.239583333333333E-2</v>
      </c>
      <c r="R403" s="9" t="s">
        <v>56</v>
      </c>
      <c r="S403" s="10">
        <v>0.31223379629629627</v>
      </c>
      <c r="T403" s="9">
        <v>32.966000000000001</v>
      </c>
      <c r="U403" s="9">
        <v>6.67</v>
      </c>
      <c r="V403" s="10">
        <v>0.20579861111111111</v>
      </c>
      <c r="W403" s="10">
        <v>0.13592592592592589</v>
      </c>
      <c r="X403" s="10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 t="s">
        <v>139</v>
      </c>
      <c r="AF403" s="9" t="s">
        <v>3349</v>
      </c>
      <c r="AG403" s="9" t="s">
        <v>3350</v>
      </c>
      <c r="AH403" s="9">
        <v>6.2268850000000002</v>
      </c>
      <c r="AI403" s="9">
        <v>-75.599194999999995</v>
      </c>
      <c r="AJ403" s="9" t="s">
        <v>3351</v>
      </c>
      <c r="AK403" s="9">
        <v>6.2794569999999998</v>
      </c>
      <c r="AL403" s="9">
        <v>-75.570402000000001</v>
      </c>
      <c r="AM403" s="26">
        <f t="shared" si="7"/>
        <v>1.239583333333333E-2</v>
      </c>
    </row>
    <row r="404" spans="1:39" ht="15" x14ac:dyDescent="0.25">
      <c r="A404" s="9" t="s">
        <v>3352</v>
      </c>
      <c r="B404" s="9" t="s">
        <v>3353</v>
      </c>
      <c r="C404" s="9" t="s">
        <v>3354</v>
      </c>
      <c r="D404" s="9" t="s">
        <v>3300</v>
      </c>
      <c r="E404" s="9" t="s">
        <v>2619</v>
      </c>
      <c r="F404" s="9" t="s">
        <v>406</v>
      </c>
      <c r="G404" s="9" t="s">
        <v>105</v>
      </c>
      <c r="H404" s="9" t="s">
        <v>106</v>
      </c>
      <c r="I404" s="9" t="s">
        <v>40</v>
      </c>
      <c r="J404" s="9">
        <v>3479</v>
      </c>
      <c r="K404" s="9" t="s">
        <v>3355</v>
      </c>
      <c r="L404" s="9" t="s">
        <v>42</v>
      </c>
      <c r="M404" s="10">
        <v>2.592592592592593E-3</v>
      </c>
      <c r="N404" s="9" t="s">
        <v>65</v>
      </c>
      <c r="O404" s="9" t="s">
        <v>3356</v>
      </c>
      <c r="P404" s="9" t="s">
        <v>413</v>
      </c>
      <c r="Q404" s="10">
        <v>2.3611111111111111E-3</v>
      </c>
      <c r="R404" s="9" t="s">
        <v>46</v>
      </c>
      <c r="S404" s="10">
        <v>0.3122685185185185</v>
      </c>
      <c r="T404" s="9">
        <v>46.468000000000004</v>
      </c>
      <c r="U404" s="9">
        <v>10.09</v>
      </c>
      <c r="V404" s="10">
        <v>0.1918287037037037</v>
      </c>
      <c r="W404" s="10">
        <v>0.1208680555555556</v>
      </c>
      <c r="X404" s="10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1</v>
      </c>
      <c r="AE404" s="9" t="s">
        <v>84</v>
      </c>
      <c r="AF404" s="9" t="s">
        <v>324</v>
      </c>
      <c r="AG404" s="9" t="s">
        <v>3357</v>
      </c>
      <c r="AH404" s="9">
        <v>6.2259659999999997</v>
      </c>
      <c r="AI404" s="9">
        <v>-75.598782</v>
      </c>
      <c r="AJ404" s="9" t="s">
        <v>3358</v>
      </c>
      <c r="AK404" s="9">
        <v>6.2844670000000002</v>
      </c>
      <c r="AL404" s="9">
        <v>-75.57338</v>
      </c>
      <c r="AM404" s="26">
        <f t="shared" si="7"/>
        <v>0</v>
      </c>
    </row>
    <row r="405" spans="1:39" ht="15" x14ac:dyDescent="0.25">
      <c r="A405" s="9" t="s">
        <v>3359</v>
      </c>
      <c r="B405" s="9" t="s">
        <v>3360</v>
      </c>
      <c r="C405" s="9" t="s">
        <v>3361</v>
      </c>
      <c r="D405" s="9" t="s">
        <v>3300</v>
      </c>
      <c r="E405" s="9" t="s">
        <v>2619</v>
      </c>
      <c r="F405" s="9" t="s">
        <v>406</v>
      </c>
      <c r="G405" s="9" t="s">
        <v>113</v>
      </c>
      <c r="H405" s="9" t="s">
        <v>114</v>
      </c>
      <c r="I405" s="9" t="s">
        <v>40</v>
      </c>
      <c r="J405" s="9">
        <v>2250</v>
      </c>
      <c r="K405" s="9" t="s">
        <v>3362</v>
      </c>
      <c r="L405" s="9" t="s">
        <v>42</v>
      </c>
      <c r="M405" s="10">
        <v>1.0648148148148151E-3</v>
      </c>
      <c r="N405" s="9" t="s">
        <v>65</v>
      </c>
      <c r="O405" s="9" t="s">
        <v>3363</v>
      </c>
      <c r="P405" s="9" t="s">
        <v>413</v>
      </c>
      <c r="Q405" s="10">
        <v>2.928240740740741E-2</v>
      </c>
      <c r="R405" s="9" t="s">
        <v>56</v>
      </c>
      <c r="S405" s="10">
        <v>0.2842824074074074</v>
      </c>
      <c r="T405" s="9">
        <v>28.408000000000001</v>
      </c>
      <c r="U405" s="9">
        <v>5.35</v>
      </c>
      <c r="V405" s="10">
        <v>0.22125</v>
      </c>
      <c r="W405" s="10">
        <v>0.16500000000000001</v>
      </c>
      <c r="X405" s="10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3</v>
      </c>
      <c r="AE405" s="9" t="s">
        <v>67</v>
      </c>
      <c r="AF405" s="9" t="s">
        <v>3364</v>
      </c>
      <c r="AG405" s="9" t="s">
        <v>3365</v>
      </c>
      <c r="AH405" s="9">
        <v>6.2267960000000002</v>
      </c>
      <c r="AI405" s="9">
        <v>-75.601369000000005</v>
      </c>
      <c r="AJ405" s="9" t="s">
        <v>3366</v>
      </c>
      <c r="AK405" s="9">
        <v>6.2480409999999997</v>
      </c>
      <c r="AL405" s="9">
        <v>-75.605260999999999</v>
      </c>
      <c r="AM405" s="26">
        <f t="shared" si="7"/>
        <v>2.928240740740741E-2</v>
      </c>
    </row>
    <row r="406" spans="1:39" ht="15" x14ac:dyDescent="0.25">
      <c r="A406" s="9" t="s">
        <v>3367</v>
      </c>
      <c r="B406" s="9" t="s">
        <v>3368</v>
      </c>
      <c r="C406" s="9" t="s">
        <v>3369</v>
      </c>
      <c r="D406" s="9" t="s">
        <v>3300</v>
      </c>
      <c r="E406" s="9" t="s">
        <v>2619</v>
      </c>
      <c r="F406" s="9" t="s">
        <v>406</v>
      </c>
      <c r="G406" s="9" t="s">
        <v>124</v>
      </c>
      <c r="H406" s="9" t="s">
        <v>125</v>
      </c>
      <c r="I406" s="9" t="s">
        <v>115</v>
      </c>
      <c r="J406" s="9">
        <v>3367</v>
      </c>
      <c r="K406" s="9" t="s">
        <v>3370</v>
      </c>
      <c r="L406" s="9" t="s">
        <v>117</v>
      </c>
      <c r="M406" s="10">
        <v>3.657407407407407E-3</v>
      </c>
      <c r="N406" s="9" t="s">
        <v>65</v>
      </c>
      <c r="O406" s="9" t="s">
        <v>3371</v>
      </c>
      <c r="P406" s="9" t="s">
        <v>119</v>
      </c>
      <c r="Q406" s="10">
        <v>1.101851851851852E-2</v>
      </c>
      <c r="R406" s="9" t="s">
        <v>129</v>
      </c>
      <c r="S406" s="10">
        <v>0.26467592592592593</v>
      </c>
      <c r="T406" s="9">
        <v>40.44</v>
      </c>
      <c r="U406" s="9">
        <v>9.27</v>
      </c>
      <c r="V406" s="10">
        <v>0.18179398148148149</v>
      </c>
      <c r="W406" s="10">
        <v>7.211805555555556E-2</v>
      </c>
      <c r="X406" s="10">
        <v>9.2824074074074076E-3</v>
      </c>
      <c r="Y406" s="9">
        <v>1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 t="s">
        <v>130</v>
      </c>
      <c r="AF406" s="9" t="s">
        <v>3372</v>
      </c>
      <c r="AG406" s="9" t="s">
        <v>3373</v>
      </c>
      <c r="AH406" s="9">
        <v>6.2702689999999999</v>
      </c>
      <c r="AI406" s="9">
        <v>-75.601671999999994</v>
      </c>
      <c r="AJ406" s="9" t="s">
        <v>3374</v>
      </c>
      <c r="AK406" s="9">
        <v>6.2726160000000002</v>
      </c>
      <c r="AL406" s="9">
        <v>-75.602027000000007</v>
      </c>
      <c r="AM406" s="26">
        <f t="shared" si="7"/>
        <v>0</v>
      </c>
    </row>
    <row r="407" spans="1:39" ht="15" x14ac:dyDescent="0.25">
      <c r="A407" s="9" t="s">
        <v>3375</v>
      </c>
      <c r="B407" s="9" t="s">
        <v>3376</v>
      </c>
      <c r="C407" s="9" t="s">
        <v>3377</v>
      </c>
      <c r="D407" s="9" t="s">
        <v>3300</v>
      </c>
      <c r="E407" s="9" t="s">
        <v>2619</v>
      </c>
      <c r="F407" s="9" t="s">
        <v>406</v>
      </c>
      <c r="G407" s="9" t="s">
        <v>72</v>
      </c>
      <c r="H407" s="9" t="s">
        <v>73</v>
      </c>
      <c r="I407" s="9" t="s">
        <v>115</v>
      </c>
      <c r="J407" s="9">
        <v>1851</v>
      </c>
      <c r="K407" s="9" t="s">
        <v>3378</v>
      </c>
      <c r="L407" s="9" t="s">
        <v>117</v>
      </c>
      <c r="M407" s="10">
        <v>1.622685185185185E-2</v>
      </c>
      <c r="N407" s="9" t="s">
        <v>43</v>
      </c>
      <c r="O407" s="9" t="s">
        <v>3379</v>
      </c>
      <c r="P407" s="9" t="s">
        <v>119</v>
      </c>
      <c r="Q407" s="10">
        <v>0.129212962962963</v>
      </c>
      <c r="R407" s="9" t="s">
        <v>56</v>
      </c>
      <c r="S407" s="10">
        <v>0.1045601851851852</v>
      </c>
      <c r="T407" s="9">
        <v>25.966999999999999</v>
      </c>
      <c r="U407" s="9">
        <v>12.53</v>
      </c>
      <c r="V407" s="10">
        <v>8.6354166666666662E-2</v>
      </c>
      <c r="W407" s="10">
        <v>4.9907407407407407E-2</v>
      </c>
      <c r="X407" s="10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 t="s">
        <v>57</v>
      </c>
      <c r="AF407" s="9" t="s">
        <v>3380</v>
      </c>
      <c r="AG407" s="9" t="s">
        <v>3381</v>
      </c>
      <c r="AH407" s="9">
        <v>6.2378</v>
      </c>
      <c r="AI407" s="9">
        <v>-75.559726999999995</v>
      </c>
      <c r="AJ407" s="9" t="s">
        <v>3382</v>
      </c>
      <c r="AK407" s="9">
        <v>6.2393700000000001</v>
      </c>
      <c r="AL407" s="9">
        <v>-75.561121</v>
      </c>
      <c r="AM407" s="27">
        <f t="shared" si="7"/>
        <v>0.14543981481481486</v>
      </c>
    </row>
    <row r="408" spans="1:39" ht="15" x14ac:dyDescent="0.25">
      <c r="A408" s="9" t="s">
        <v>3383</v>
      </c>
      <c r="B408" s="9" t="s">
        <v>3384</v>
      </c>
      <c r="C408" s="9" t="s">
        <v>3385</v>
      </c>
      <c r="D408" s="9" t="s">
        <v>3300</v>
      </c>
      <c r="E408" s="9" t="s">
        <v>2619</v>
      </c>
      <c r="F408" s="9" t="s">
        <v>406</v>
      </c>
      <c r="G408" s="9" t="s">
        <v>80</v>
      </c>
      <c r="H408" s="9" t="s">
        <v>81</v>
      </c>
      <c r="I408" s="9" t="s">
        <v>115</v>
      </c>
      <c r="J408" s="9">
        <v>3791</v>
      </c>
      <c r="K408" s="9" t="s">
        <v>3386</v>
      </c>
      <c r="L408" s="9" t="s">
        <v>117</v>
      </c>
      <c r="M408" s="10">
        <v>5.7237499999999997E-3</v>
      </c>
      <c r="N408" s="9" t="s">
        <v>65</v>
      </c>
      <c r="O408" s="9" t="s">
        <v>3387</v>
      </c>
      <c r="P408" s="9" t="s">
        <v>119</v>
      </c>
      <c r="Q408" s="10">
        <v>4.778009259259259E-4</v>
      </c>
      <c r="R408" s="9" t="s">
        <v>46</v>
      </c>
      <c r="S408" s="10">
        <v>0.24379844907407411</v>
      </c>
      <c r="T408" s="9">
        <v>23.710999999999999</v>
      </c>
      <c r="U408" s="9">
        <v>6.47</v>
      </c>
      <c r="V408" s="10">
        <v>0.15265715277777789</v>
      </c>
      <c r="W408" s="10">
        <v>0.1208300810185185</v>
      </c>
      <c r="X408" s="10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8</v>
      </c>
      <c r="AE408" s="9" t="s">
        <v>84</v>
      </c>
      <c r="AF408" s="9" t="s">
        <v>567</v>
      </c>
      <c r="AG408" s="9" t="s">
        <v>3388</v>
      </c>
      <c r="AH408" s="9">
        <v>6.2570810000000003</v>
      </c>
      <c r="AI408" s="9">
        <v>-75.614457000000002</v>
      </c>
      <c r="AJ408" s="9" t="s">
        <v>3389</v>
      </c>
      <c r="AK408" s="9">
        <v>6.2572799999999997</v>
      </c>
      <c r="AL408" s="9">
        <v>-75.606199000000004</v>
      </c>
      <c r="AM408" s="26">
        <f t="shared" si="7"/>
        <v>0</v>
      </c>
    </row>
    <row r="409" spans="1:39" ht="15" x14ac:dyDescent="0.25">
      <c r="A409" s="9" t="s">
        <v>3390</v>
      </c>
      <c r="B409" s="9" t="s">
        <v>3391</v>
      </c>
      <c r="C409" s="9" t="s">
        <v>3392</v>
      </c>
      <c r="D409" s="9" t="s">
        <v>3300</v>
      </c>
      <c r="E409" s="9" t="s">
        <v>2619</v>
      </c>
      <c r="F409" s="9" t="s">
        <v>406</v>
      </c>
      <c r="G409" s="9" t="s">
        <v>160</v>
      </c>
      <c r="H409" s="9" t="s">
        <v>161</v>
      </c>
      <c r="I409" s="9" t="s">
        <v>115</v>
      </c>
      <c r="J409" s="9">
        <v>6394</v>
      </c>
      <c r="K409" s="9" t="s">
        <v>3393</v>
      </c>
      <c r="L409" s="9" t="s">
        <v>117</v>
      </c>
      <c r="M409" s="10">
        <v>1.9207060185185191E-3</v>
      </c>
      <c r="N409" s="9" t="s">
        <v>65</v>
      </c>
      <c r="O409" s="9" t="s">
        <v>3394</v>
      </c>
      <c r="P409" s="9" t="s">
        <v>119</v>
      </c>
      <c r="Q409" s="10">
        <v>1.5271874999999999E-3</v>
      </c>
      <c r="R409" s="9" t="s">
        <v>46</v>
      </c>
      <c r="S409" s="10">
        <v>0.24960648148148151</v>
      </c>
      <c r="T409" s="9">
        <v>36.551000000000002</v>
      </c>
      <c r="U409" s="9">
        <v>7.89</v>
      </c>
      <c r="V409" s="10">
        <v>0.19309053240740751</v>
      </c>
      <c r="W409" s="10">
        <v>0.15665520833333341</v>
      </c>
      <c r="X409" s="10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6</v>
      </c>
      <c r="AE409" s="9" t="s">
        <v>84</v>
      </c>
      <c r="AF409" s="9" t="s">
        <v>172</v>
      </c>
      <c r="AG409" s="9" t="s">
        <v>3395</v>
      </c>
      <c r="AH409" s="9">
        <v>6.2680470000000001</v>
      </c>
      <c r="AI409" s="9">
        <v>-75.598332999999997</v>
      </c>
      <c r="AJ409" s="9" t="s">
        <v>3396</v>
      </c>
      <c r="AK409" s="9">
        <v>6.2797429999999999</v>
      </c>
      <c r="AL409" s="9">
        <v>-75.570715000000007</v>
      </c>
      <c r="AM409" s="26">
        <f t="shared" si="7"/>
        <v>0</v>
      </c>
    </row>
    <row r="410" spans="1:39" ht="15" x14ac:dyDescent="0.25">
      <c r="A410" s="9" t="s">
        <v>3397</v>
      </c>
      <c r="B410" s="9" t="s">
        <v>3398</v>
      </c>
      <c r="C410" s="9" t="s">
        <v>3399</v>
      </c>
      <c r="D410" s="9" t="s">
        <v>3300</v>
      </c>
      <c r="E410" s="9" t="s">
        <v>2619</v>
      </c>
      <c r="F410" s="9" t="s">
        <v>406</v>
      </c>
      <c r="G410" s="9" t="s">
        <v>97</v>
      </c>
      <c r="H410" s="9" t="s">
        <v>98</v>
      </c>
      <c r="I410" s="9" t="s">
        <v>115</v>
      </c>
      <c r="J410" s="9">
        <v>1775</v>
      </c>
      <c r="K410" s="9" t="s">
        <v>3400</v>
      </c>
      <c r="L410" s="9" t="s">
        <v>117</v>
      </c>
      <c r="M410" s="10">
        <v>2.3506944444444441E-2</v>
      </c>
      <c r="N410" s="9" t="s">
        <v>43</v>
      </c>
      <c r="O410" s="9" t="s">
        <v>3401</v>
      </c>
      <c r="P410" s="9" t="s">
        <v>119</v>
      </c>
      <c r="Q410" s="10">
        <v>1.6250000000000001E-2</v>
      </c>
      <c r="R410" s="9" t="s">
        <v>56</v>
      </c>
      <c r="S410" s="10">
        <v>0.21024305555555561</v>
      </c>
      <c r="T410" s="9">
        <v>29.274999999999999</v>
      </c>
      <c r="U410" s="9">
        <v>7.7</v>
      </c>
      <c r="V410" s="10">
        <v>0.15840277777777781</v>
      </c>
      <c r="W410" s="10">
        <v>0.1144212962962963</v>
      </c>
      <c r="X410" s="10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 t="s">
        <v>57</v>
      </c>
      <c r="AF410" s="9" t="s">
        <v>3402</v>
      </c>
      <c r="AG410" s="9" t="s">
        <v>3403</v>
      </c>
      <c r="AH410" s="9">
        <v>6.3069870000000003</v>
      </c>
      <c r="AI410" s="9">
        <v>-75.576481999999999</v>
      </c>
      <c r="AJ410" s="9" t="s">
        <v>3404</v>
      </c>
      <c r="AK410" s="9">
        <v>6.3068949999999999</v>
      </c>
      <c r="AL410" s="9">
        <v>-75.582076000000001</v>
      </c>
      <c r="AM410" s="27">
        <f t="shared" si="7"/>
        <v>3.9756944444444442E-2</v>
      </c>
    </row>
    <row r="411" spans="1:39" ht="15" x14ac:dyDescent="0.25">
      <c r="A411" s="9" t="s">
        <v>3405</v>
      </c>
      <c r="B411" s="9" t="s">
        <v>3406</v>
      </c>
      <c r="C411" s="9" t="s">
        <v>3407</v>
      </c>
      <c r="D411" s="9" t="s">
        <v>3408</v>
      </c>
      <c r="E411" s="9" t="s">
        <v>2619</v>
      </c>
      <c r="F411" s="9" t="s">
        <v>455</v>
      </c>
      <c r="G411" s="9" t="s">
        <v>113</v>
      </c>
      <c r="H411" s="9" t="s">
        <v>114</v>
      </c>
      <c r="I411" s="9" t="s">
        <v>115</v>
      </c>
      <c r="J411" s="9">
        <v>2899</v>
      </c>
      <c r="K411" s="9" t="s">
        <v>3409</v>
      </c>
      <c r="L411" s="9" t="s">
        <v>117</v>
      </c>
      <c r="M411" s="10">
        <v>3.1620370370370368E-2</v>
      </c>
      <c r="N411" s="9" t="s">
        <v>43</v>
      </c>
      <c r="O411" s="9" t="s">
        <v>3410</v>
      </c>
      <c r="P411" s="9" t="s">
        <v>119</v>
      </c>
      <c r="Q411" s="10">
        <v>7.3958333333333333E-3</v>
      </c>
      <c r="R411" s="9" t="s">
        <v>46</v>
      </c>
      <c r="S411" s="10">
        <v>0.21098379629629629</v>
      </c>
      <c r="T411" s="9">
        <v>43.761000000000003</v>
      </c>
      <c r="U411" s="9">
        <v>11.56</v>
      </c>
      <c r="V411" s="10">
        <v>0.15777777777777779</v>
      </c>
      <c r="W411" s="10">
        <v>7.7986111111111117E-2</v>
      </c>
      <c r="X411" s="10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 t="s">
        <v>47</v>
      </c>
      <c r="AF411" s="9" t="s">
        <v>3411</v>
      </c>
      <c r="AG411" s="9" t="s">
        <v>3412</v>
      </c>
      <c r="AH411" s="9">
        <v>6.2462999999999997</v>
      </c>
      <c r="AI411" s="9">
        <v>-75.613915000000006</v>
      </c>
      <c r="AJ411" s="9" t="s">
        <v>3413</v>
      </c>
      <c r="AK411" s="9">
        <v>6.2478230000000003</v>
      </c>
      <c r="AL411" s="9">
        <v>-75.614999999999995</v>
      </c>
      <c r="AM411" s="26">
        <f t="shared" si="7"/>
        <v>3.1620370370370368E-2</v>
      </c>
    </row>
    <row r="412" spans="1:39" ht="15" x14ac:dyDescent="0.25">
      <c r="A412" s="9" t="s">
        <v>3414</v>
      </c>
      <c r="B412" s="9" t="s">
        <v>3415</v>
      </c>
      <c r="C412" s="9" t="s">
        <v>3416</v>
      </c>
      <c r="D412" s="9" t="s">
        <v>3417</v>
      </c>
      <c r="E412" s="9" t="s">
        <v>2619</v>
      </c>
      <c r="F412" s="9" t="s">
        <v>37</v>
      </c>
      <c r="G412" s="9" t="s">
        <v>38</v>
      </c>
      <c r="H412" s="9" t="s">
        <v>39</v>
      </c>
      <c r="I412" s="9" t="s">
        <v>40</v>
      </c>
      <c r="J412" s="9">
        <v>8315</v>
      </c>
      <c r="K412" s="9" t="s">
        <v>3418</v>
      </c>
      <c r="L412" s="9" t="s">
        <v>42</v>
      </c>
      <c r="M412" s="10">
        <v>2.2327766203703699E-2</v>
      </c>
      <c r="N412" s="9" t="s">
        <v>43</v>
      </c>
      <c r="O412" s="9" t="s">
        <v>3419</v>
      </c>
      <c r="P412" s="9" t="s">
        <v>45</v>
      </c>
      <c r="Q412" s="10">
        <v>2.0525115740740738E-3</v>
      </c>
      <c r="R412" s="9" t="s">
        <v>46</v>
      </c>
      <c r="S412" s="10">
        <v>0.31305807870370372</v>
      </c>
      <c r="T412" s="9">
        <v>52.848999999999997</v>
      </c>
      <c r="U412" s="9">
        <v>16.29</v>
      </c>
      <c r="V412" s="10">
        <v>0.13519214120370379</v>
      </c>
      <c r="W412" s="10">
        <v>7.1308090277777764E-2</v>
      </c>
      <c r="X412" s="10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5</v>
      </c>
      <c r="AE412" s="9" t="s">
        <v>47</v>
      </c>
      <c r="AF412" s="9" t="s">
        <v>3420</v>
      </c>
      <c r="AG412" s="9" t="s">
        <v>3421</v>
      </c>
      <c r="AH412" s="9">
        <v>6.2032569999999998</v>
      </c>
      <c r="AI412" s="9">
        <v>-75.600813000000002</v>
      </c>
      <c r="AJ412" s="9" t="s">
        <v>3422</v>
      </c>
      <c r="AK412" s="9">
        <v>6.2047509999999999</v>
      </c>
      <c r="AL412" s="9">
        <v>-75.581158000000002</v>
      </c>
      <c r="AM412" s="27">
        <f t="shared" si="7"/>
        <v>2.2327766203703699E-2</v>
      </c>
    </row>
    <row r="413" spans="1:39" ht="15" x14ac:dyDescent="0.25">
      <c r="A413" s="9" t="s">
        <v>3423</v>
      </c>
      <c r="B413" s="9" t="s">
        <v>3424</v>
      </c>
      <c r="C413" s="9" t="s">
        <v>3425</v>
      </c>
      <c r="D413" s="9" t="s">
        <v>3417</v>
      </c>
      <c r="E413" s="9" t="s">
        <v>2619</v>
      </c>
      <c r="F413" s="9" t="s">
        <v>37</v>
      </c>
      <c r="G413" s="9" t="s">
        <v>52</v>
      </c>
      <c r="H413" s="9" t="s">
        <v>53</v>
      </c>
      <c r="I413" s="9" t="s">
        <v>40</v>
      </c>
      <c r="J413" s="9">
        <v>3265</v>
      </c>
      <c r="K413" s="9" t="s">
        <v>3426</v>
      </c>
      <c r="L413" s="9" t="s">
        <v>42</v>
      </c>
      <c r="M413" s="10">
        <v>7.0601851851851847E-4</v>
      </c>
      <c r="N413" s="9" t="s">
        <v>65</v>
      </c>
      <c r="O413" s="9" t="s">
        <v>3427</v>
      </c>
      <c r="P413" s="9" t="s">
        <v>45</v>
      </c>
      <c r="Q413" s="10">
        <v>4.4675925925925916E-3</v>
      </c>
      <c r="R413" s="9" t="s">
        <v>46</v>
      </c>
      <c r="S413" s="10">
        <v>0.33850694444444451</v>
      </c>
      <c r="T413" s="9">
        <v>44.6</v>
      </c>
      <c r="U413" s="9">
        <v>8.58</v>
      </c>
      <c r="V413" s="10">
        <v>0.2166666666666667</v>
      </c>
      <c r="W413" s="10">
        <v>0.1438541666666667</v>
      </c>
      <c r="X413" s="10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1</v>
      </c>
      <c r="AE413" s="9" t="s">
        <v>84</v>
      </c>
      <c r="AF413" s="9" t="s">
        <v>324</v>
      </c>
      <c r="AG413" s="9" t="s">
        <v>3428</v>
      </c>
      <c r="AH413" s="9">
        <v>6.2253939999999997</v>
      </c>
      <c r="AI413" s="9">
        <v>-75.599215000000001</v>
      </c>
      <c r="AJ413" s="9" t="s">
        <v>3429</v>
      </c>
      <c r="AK413" s="9">
        <v>6.2267320000000002</v>
      </c>
      <c r="AL413" s="9">
        <v>-75.601241000000002</v>
      </c>
      <c r="AM413" s="26">
        <f t="shared" si="7"/>
        <v>0</v>
      </c>
    </row>
    <row r="414" spans="1:39" ht="15" x14ac:dyDescent="0.25">
      <c r="A414" s="9" t="s">
        <v>3430</v>
      </c>
      <c r="B414" s="9" t="s">
        <v>3431</v>
      </c>
      <c r="C414" s="9" t="s">
        <v>3432</v>
      </c>
      <c r="D414" s="9" t="s">
        <v>3417</v>
      </c>
      <c r="E414" s="9" t="s">
        <v>2619</v>
      </c>
      <c r="F414" s="9" t="s">
        <v>37</v>
      </c>
      <c r="G414" s="9" t="s">
        <v>62</v>
      </c>
      <c r="H414" s="9" t="s">
        <v>63</v>
      </c>
      <c r="I414" s="9" t="s">
        <v>40</v>
      </c>
      <c r="J414" s="9">
        <v>4119</v>
      </c>
      <c r="K414" s="9" t="s">
        <v>3433</v>
      </c>
      <c r="L414" s="9" t="s">
        <v>42</v>
      </c>
      <c r="M414" s="10">
        <v>2.675925925925926E-2</v>
      </c>
      <c r="N414" s="9" t="s">
        <v>43</v>
      </c>
      <c r="O414" s="9" t="s">
        <v>3434</v>
      </c>
      <c r="P414" s="9" t="s">
        <v>45</v>
      </c>
      <c r="Q414" s="10">
        <v>0.1034143518518519</v>
      </c>
      <c r="R414" s="9" t="s">
        <v>56</v>
      </c>
      <c r="S414" s="10">
        <v>0.2031597222222222</v>
      </c>
      <c r="T414" s="9">
        <v>53.850999999999999</v>
      </c>
      <c r="U414" s="9">
        <v>15.7</v>
      </c>
      <c r="V414" s="10">
        <v>0.14295138888888889</v>
      </c>
      <c r="W414" s="10">
        <v>3.4201388888888892E-2</v>
      </c>
      <c r="X414" s="10">
        <v>5.3125000000000004E-3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 t="s">
        <v>57</v>
      </c>
      <c r="AF414" s="9" t="s">
        <v>3435</v>
      </c>
      <c r="AG414" s="9" t="s">
        <v>3436</v>
      </c>
      <c r="AH414" s="9">
        <v>6.2261949999999997</v>
      </c>
      <c r="AI414" s="9">
        <v>-75.597046000000006</v>
      </c>
      <c r="AJ414" s="9" t="s">
        <v>3437</v>
      </c>
      <c r="AK414" s="9">
        <v>6.2359369999999998</v>
      </c>
      <c r="AL414" s="9">
        <v>-75.603783000000007</v>
      </c>
      <c r="AM414" s="27">
        <f t="shared" si="7"/>
        <v>0.13017361111111114</v>
      </c>
    </row>
    <row r="415" spans="1:39" ht="15" x14ac:dyDescent="0.25">
      <c r="A415" s="9" t="s">
        <v>3438</v>
      </c>
      <c r="B415" s="9" t="s">
        <v>3439</v>
      </c>
      <c r="C415" s="9" t="s">
        <v>3440</v>
      </c>
      <c r="D415" s="9" t="s">
        <v>3417</v>
      </c>
      <c r="E415" s="9" t="s">
        <v>2619</v>
      </c>
      <c r="F415" s="9" t="s">
        <v>37</v>
      </c>
      <c r="G415" s="9" t="s">
        <v>135</v>
      </c>
      <c r="H415" s="9" t="s">
        <v>136</v>
      </c>
      <c r="I415" s="9" t="s">
        <v>40</v>
      </c>
      <c r="J415" s="9">
        <v>1399</v>
      </c>
      <c r="K415" s="9" t="s">
        <v>3441</v>
      </c>
      <c r="L415" s="9" t="s">
        <v>42</v>
      </c>
      <c r="M415" s="10">
        <v>1.65162037037037E-2</v>
      </c>
      <c r="N415" s="9" t="s">
        <v>127</v>
      </c>
      <c r="O415" s="9" t="s">
        <v>3442</v>
      </c>
      <c r="P415" s="9" t="s">
        <v>45</v>
      </c>
      <c r="Q415" s="10">
        <v>1.030092592592593E-2</v>
      </c>
      <c r="R415" s="9" t="s">
        <v>46</v>
      </c>
      <c r="S415" s="10">
        <v>0.36015046296296288</v>
      </c>
      <c r="T415" s="9">
        <v>43.037999999999997</v>
      </c>
      <c r="U415" s="9">
        <v>19.66</v>
      </c>
      <c r="V415" s="10">
        <v>9.1226851851851851E-2</v>
      </c>
      <c r="W415" s="10">
        <v>4.7986111111111111E-2</v>
      </c>
      <c r="X415" s="10">
        <v>1.125E-2</v>
      </c>
      <c r="Y415" s="9">
        <v>1</v>
      </c>
      <c r="Z415" s="9">
        <v>1</v>
      </c>
      <c r="AA415" s="9">
        <v>0</v>
      </c>
      <c r="AB415" s="9">
        <v>0</v>
      </c>
      <c r="AC415" s="9">
        <v>0</v>
      </c>
      <c r="AD415" s="9">
        <v>5</v>
      </c>
      <c r="AE415" s="9" t="s">
        <v>139</v>
      </c>
      <c r="AF415" s="9" t="s">
        <v>3443</v>
      </c>
      <c r="AG415" s="9" t="s">
        <v>3444</v>
      </c>
      <c r="AH415" s="9">
        <v>6.22593</v>
      </c>
      <c r="AI415" s="9">
        <v>-75.598501999999996</v>
      </c>
      <c r="AJ415" s="9" t="s">
        <v>3445</v>
      </c>
      <c r="AK415" s="9">
        <v>6.2815149999999997</v>
      </c>
      <c r="AL415" s="9">
        <v>-75.539471000000006</v>
      </c>
      <c r="AM415" s="26">
        <f t="shared" si="7"/>
        <v>0</v>
      </c>
    </row>
    <row r="416" spans="1:39" ht="15" x14ac:dyDescent="0.25">
      <c r="A416" s="9" t="s">
        <v>3446</v>
      </c>
      <c r="B416" s="9" t="s">
        <v>3447</v>
      </c>
      <c r="C416" s="9" t="s">
        <v>3448</v>
      </c>
      <c r="D416" s="9" t="s">
        <v>3417</v>
      </c>
      <c r="E416" s="9" t="s">
        <v>2619</v>
      </c>
      <c r="F416" s="9" t="s">
        <v>37</v>
      </c>
      <c r="G416" s="9" t="s">
        <v>144</v>
      </c>
      <c r="H416" s="9" t="s">
        <v>145</v>
      </c>
      <c r="I416" s="9" t="s">
        <v>40</v>
      </c>
      <c r="J416" s="9">
        <v>4943</v>
      </c>
      <c r="K416" s="9" t="s">
        <v>3449</v>
      </c>
      <c r="L416" s="9" t="s">
        <v>42</v>
      </c>
      <c r="M416" s="10">
        <v>1.5069444444444441E-2</v>
      </c>
      <c r="N416" s="9" t="s">
        <v>43</v>
      </c>
      <c r="O416" s="9" t="s">
        <v>3450</v>
      </c>
      <c r="P416" s="9" t="s">
        <v>45</v>
      </c>
      <c r="Q416" s="10">
        <v>1.142361111111111E-2</v>
      </c>
      <c r="R416" s="9" t="s">
        <v>56</v>
      </c>
      <c r="S416" s="10">
        <v>0.30684027777777778</v>
      </c>
      <c r="T416" s="9">
        <v>64.13</v>
      </c>
      <c r="U416" s="9">
        <v>12.42</v>
      </c>
      <c r="V416" s="10">
        <v>0.21510416666666671</v>
      </c>
      <c r="W416" s="10">
        <v>8.2222222222222224E-2</v>
      </c>
      <c r="X416" s="10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 t="s">
        <v>57</v>
      </c>
      <c r="AF416" s="9" t="s">
        <v>3451</v>
      </c>
      <c r="AG416" s="9" t="s">
        <v>3452</v>
      </c>
      <c r="AH416" s="9">
        <v>6.2254589999999999</v>
      </c>
      <c r="AI416" s="9">
        <v>-75.598750999999993</v>
      </c>
      <c r="AJ416" s="9" t="s">
        <v>3453</v>
      </c>
      <c r="AK416" s="9">
        <v>6.2252720000000004</v>
      </c>
      <c r="AL416" s="9">
        <v>-75.599226999999999</v>
      </c>
      <c r="AM416" s="27">
        <f t="shared" si="7"/>
        <v>2.6493055555555551E-2</v>
      </c>
    </row>
    <row r="417" spans="1:39" ht="15" x14ac:dyDescent="0.25">
      <c r="A417" s="9" t="s">
        <v>3454</v>
      </c>
      <c r="B417" s="9" t="s">
        <v>3455</v>
      </c>
      <c r="C417" s="9" t="s">
        <v>3456</v>
      </c>
      <c r="D417" s="9" t="s">
        <v>3417</v>
      </c>
      <c r="E417" s="9" t="s">
        <v>2619</v>
      </c>
      <c r="F417" s="9" t="s">
        <v>37</v>
      </c>
      <c r="G417" s="9" t="s">
        <v>152</v>
      </c>
      <c r="H417" s="9" t="s">
        <v>153</v>
      </c>
      <c r="I417" s="9" t="s">
        <v>40</v>
      </c>
      <c r="J417" s="9">
        <v>7517</v>
      </c>
      <c r="K417" s="9" t="s">
        <v>3457</v>
      </c>
      <c r="L417" s="9" t="s">
        <v>42</v>
      </c>
      <c r="M417" s="10">
        <v>3.7962962962962959E-3</v>
      </c>
      <c r="N417" s="9" t="s">
        <v>65</v>
      </c>
      <c r="O417" s="9" t="s">
        <v>3458</v>
      </c>
      <c r="P417" s="9" t="s">
        <v>45</v>
      </c>
      <c r="Q417" s="10">
        <v>4.2592592592592604E-3</v>
      </c>
      <c r="R417" s="9" t="s">
        <v>46</v>
      </c>
      <c r="S417" s="10">
        <v>0.34138888888888891</v>
      </c>
      <c r="T417" s="9">
        <v>97.528999999999996</v>
      </c>
      <c r="U417" s="9">
        <v>13.39</v>
      </c>
      <c r="V417" s="10">
        <v>0.30357638888888888</v>
      </c>
      <c r="W417" s="10">
        <v>0.1067361111111111</v>
      </c>
      <c r="X417" s="10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2</v>
      </c>
      <c r="AE417" s="9" t="s">
        <v>84</v>
      </c>
      <c r="AF417" s="9" t="s">
        <v>1384</v>
      </c>
      <c r="AG417" s="9" t="s">
        <v>3459</v>
      </c>
      <c r="AH417" s="9">
        <v>6.2255719999999997</v>
      </c>
      <c r="AI417" s="9">
        <v>-75.599402999999995</v>
      </c>
      <c r="AJ417" s="9" t="s">
        <v>3460</v>
      </c>
      <c r="AK417" s="9">
        <v>6.2518050000000001</v>
      </c>
      <c r="AL417" s="9">
        <v>-75.551829999999995</v>
      </c>
      <c r="AM417" s="26">
        <f t="shared" si="7"/>
        <v>0</v>
      </c>
    </row>
    <row r="418" spans="1:39" ht="15" x14ac:dyDescent="0.25">
      <c r="A418" s="9" t="s">
        <v>3461</v>
      </c>
      <c r="B418" s="9" t="s">
        <v>3462</v>
      </c>
      <c r="C418" s="9" t="s">
        <v>3463</v>
      </c>
      <c r="D418" s="9" t="s">
        <v>3417</v>
      </c>
      <c r="E418" s="9" t="s">
        <v>2619</v>
      </c>
      <c r="F418" s="9" t="s">
        <v>37</v>
      </c>
      <c r="G418" s="9" t="s">
        <v>89</v>
      </c>
      <c r="H418" s="9" t="s">
        <v>90</v>
      </c>
      <c r="I418" s="9" t="s">
        <v>40</v>
      </c>
      <c r="J418" s="9">
        <v>5047</v>
      </c>
      <c r="K418" s="9" t="s">
        <v>3464</v>
      </c>
      <c r="L418" s="9" t="s">
        <v>42</v>
      </c>
      <c r="M418" s="10">
        <v>9.4907407407407408E-4</v>
      </c>
      <c r="N418" s="9" t="s">
        <v>65</v>
      </c>
      <c r="O418" s="9" t="s">
        <v>3465</v>
      </c>
      <c r="P418" s="9" t="s">
        <v>45</v>
      </c>
      <c r="Q418" s="10">
        <v>6.1342592592592586E-3</v>
      </c>
      <c r="R418" s="9" t="s">
        <v>46</v>
      </c>
      <c r="S418" s="10">
        <v>0.32814814814814808</v>
      </c>
      <c r="T418" s="9">
        <v>64.667000000000002</v>
      </c>
      <c r="U418" s="9">
        <v>10.61</v>
      </c>
      <c r="V418" s="10">
        <v>0.25392361111111111</v>
      </c>
      <c r="W418" s="10">
        <v>0.1163657407407407</v>
      </c>
      <c r="X418" s="10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 t="s">
        <v>84</v>
      </c>
      <c r="AF418" s="9" t="s">
        <v>352</v>
      </c>
      <c r="AG418" s="9" t="s">
        <v>3466</v>
      </c>
      <c r="AH418" s="9">
        <v>6.2266519999999996</v>
      </c>
      <c r="AI418" s="9">
        <v>-75.598450999999997</v>
      </c>
      <c r="AJ418" s="9" t="s">
        <v>3467</v>
      </c>
      <c r="AK418" s="9">
        <v>6.2787579999999998</v>
      </c>
      <c r="AL418" s="9">
        <v>-75.569270000000003</v>
      </c>
      <c r="AM418" s="27">
        <f t="shared" si="7"/>
        <v>0</v>
      </c>
    </row>
    <row r="419" spans="1:39" ht="15" x14ac:dyDescent="0.25">
      <c r="A419" s="9" t="s">
        <v>3468</v>
      </c>
      <c r="B419" s="9" t="s">
        <v>3469</v>
      </c>
      <c r="C419" s="9" t="s">
        <v>3470</v>
      </c>
      <c r="D419" s="9" t="s">
        <v>3417</v>
      </c>
      <c r="E419" s="9" t="s">
        <v>2619</v>
      </c>
      <c r="F419" s="9" t="s">
        <v>37</v>
      </c>
      <c r="G419" s="9" t="s">
        <v>105</v>
      </c>
      <c r="H419" s="9" t="s">
        <v>106</v>
      </c>
      <c r="I419" s="9" t="s">
        <v>40</v>
      </c>
      <c r="J419" s="9">
        <v>4381</v>
      </c>
      <c r="K419" s="9" t="s">
        <v>3471</v>
      </c>
      <c r="L419" s="9" t="s">
        <v>42</v>
      </c>
      <c r="M419" s="10">
        <v>1.5972222222222221E-3</v>
      </c>
      <c r="N419" s="9" t="s">
        <v>65</v>
      </c>
      <c r="O419" s="9" t="s">
        <v>3472</v>
      </c>
      <c r="P419" s="9" t="s">
        <v>45</v>
      </c>
      <c r="Q419" s="10">
        <v>1.423611111111111E-3</v>
      </c>
      <c r="R419" s="9" t="s">
        <v>46</v>
      </c>
      <c r="S419" s="10">
        <v>0.33635416666666668</v>
      </c>
      <c r="T419" s="9">
        <v>55.011000000000003</v>
      </c>
      <c r="U419" s="9">
        <v>10.97</v>
      </c>
      <c r="V419" s="10">
        <v>0.2088541666666667</v>
      </c>
      <c r="W419" s="10">
        <v>8.6365740740740743E-2</v>
      </c>
      <c r="X419" s="10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1</v>
      </c>
      <c r="AE419" s="9" t="s">
        <v>84</v>
      </c>
      <c r="AF419" s="9" t="s">
        <v>324</v>
      </c>
      <c r="AG419" s="9" t="s">
        <v>3473</v>
      </c>
      <c r="AH419" s="9">
        <v>6.2250899999999998</v>
      </c>
      <c r="AI419" s="9">
        <v>-75.600031000000001</v>
      </c>
      <c r="AJ419" s="9" t="s">
        <v>3474</v>
      </c>
      <c r="AK419" s="9">
        <v>6.2594760000000003</v>
      </c>
      <c r="AL419" s="9">
        <v>-75.616857999999993</v>
      </c>
      <c r="AM419" s="26">
        <f t="shared" si="7"/>
        <v>0</v>
      </c>
    </row>
    <row r="420" spans="1:39" ht="15" x14ac:dyDescent="0.25">
      <c r="A420" s="9" t="s">
        <v>3475</v>
      </c>
      <c r="B420" s="9" t="s">
        <v>3476</v>
      </c>
      <c r="C420" s="9" t="s">
        <v>3477</v>
      </c>
      <c r="D420" s="9" t="s">
        <v>3417</v>
      </c>
      <c r="E420" s="9" t="s">
        <v>2619</v>
      </c>
      <c r="F420" s="9" t="s">
        <v>37</v>
      </c>
      <c r="G420" s="9" t="s">
        <v>124</v>
      </c>
      <c r="H420" s="9" t="s">
        <v>125</v>
      </c>
      <c r="I420" s="9" t="s">
        <v>115</v>
      </c>
      <c r="J420" s="9">
        <v>5056</v>
      </c>
      <c r="K420" s="9" t="s">
        <v>3478</v>
      </c>
      <c r="L420" s="9" t="s">
        <v>117</v>
      </c>
      <c r="M420" s="10">
        <v>3.9027777777777779E-2</v>
      </c>
      <c r="N420" s="9" t="s">
        <v>127</v>
      </c>
      <c r="O420" s="9" t="s">
        <v>3479</v>
      </c>
      <c r="P420" s="9" t="s">
        <v>119</v>
      </c>
      <c r="Q420" s="10">
        <v>1.2291666666666669E-2</v>
      </c>
      <c r="R420" s="9" t="s">
        <v>129</v>
      </c>
      <c r="S420" s="10">
        <v>0.30131944444444442</v>
      </c>
      <c r="T420" s="9">
        <v>61.73</v>
      </c>
      <c r="U420" s="9">
        <v>10.39</v>
      </c>
      <c r="V420" s="10">
        <v>0.2474537037037037</v>
      </c>
      <c r="W420" s="10">
        <v>7.6990740740740735E-2</v>
      </c>
      <c r="X420" s="10">
        <v>1.109953703703704E-2</v>
      </c>
      <c r="Y420" s="9">
        <v>1</v>
      </c>
      <c r="Z420" s="9">
        <v>1</v>
      </c>
      <c r="AA420" s="9">
        <v>0</v>
      </c>
      <c r="AB420" s="9">
        <v>0</v>
      </c>
      <c r="AC420" s="9">
        <v>0</v>
      </c>
      <c r="AD420" s="9">
        <v>0</v>
      </c>
      <c r="AE420" s="9" t="s">
        <v>130</v>
      </c>
      <c r="AF420" s="9" t="s">
        <v>3480</v>
      </c>
      <c r="AG420" s="9" t="s">
        <v>3481</v>
      </c>
      <c r="AH420" s="9">
        <v>6.2259950000000002</v>
      </c>
      <c r="AI420" s="9">
        <v>-75.599416000000005</v>
      </c>
      <c r="AJ420" s="9" t="s">
        <v>3482</v>
      </c>
      <c r="AK420" s="9">
        <v>6.2725860000000004</v>
      </c>
      <c r="AL420" s="9">
        <v>-75.602053999999995</v>
      </c>
      <c r="AM420" s="26">
        <f t="shared" si="7"/>
        <v>0</v>
      </c>
    </row>
    <row r="421" spans="1:39" ht="15" x14ac:dyDescent="0.25">
      <c r="A421" s="9" t="s">
        <v>3483</v>
      </c>
      <c r="B421" s="9" t="s">
        <v>3484</v>
      </c>
      <c r="C421" s="9" t="s">
        <v>3485</v>
      </c>
      <c r="D421" s="9" t="s">
        <v>3417</v>
      </c>
      <c r="E421" s="9" t="s">
        <v>2619</v>
      </c>
      <c r="F421" s="9" t="s">
        <v>37</v>
      </c>
      <c r="G421" s="9" t="s">
        <v>72</v>
      </c>
      <c r="H421" s="9" t="s">
        <v>73</v>
      </c>
      <c r="I421" s="9" t="s">
        <v>115</v>
      </c>
      <c r="J421" s="9">
        <v>1716</v>
      </c>
      <c r="K421" s="9" t="s">
        <v>3486</v>
      </c>
      <c r="L421" s="9" t="s">
        <v>117</v>
      </c>
      <c r="M421" s="10">
        <v>6.3483796296296302E-2</v>
      </c>
      <c r="N421" s="9" t="s">
        <v>127</v>
      </c>
      <c r="O421" s="9" t="s">
        <v>3487</v>
      </c>
      <c r="P421" s="9" t="s">
        <v>119</v>
      </c>
      <c r="Q421" s="10">
        <v>7.5648148148148145E-2</v>
      </c>
      <c r="R421" s="9" t="s">
        <v>56</v>
      </c>
      <c r="S421" s="10">
        <v>0.23783564814814809</v>
      </c>
      <c r="T421" s="9">
        <v>22.574000000000002</v>
      </c>
      <c r="U421" s="9">
        <v>4.51</v>
      </c>
      <c r="V421" s="10">
        <v>0.2084259259259259</v>
      </c>
      <c r="W421" s="10">
        <v>0.1782407407407407</v>
      </c>
      <c r="X421" s="10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1</v>
      </c>
      <c r="AE421" s="9" t="s">
        <v>139</v>
      </c>
      <c r="AF421" s="9" t="s">
        <v>3488</v>
      </c>
      <c r="AG421" s="9" t="s">
        <v>3489</v>
      </c>
      <c r="AH421" s="9">
        <v>6.2256939999999998</v>
      </c>
      <c r="AI421" s="9">
        <v>-75.598934</v>
      </c>
      <c r="AJ421" s="9" t="s">
        <v>3490</v>
      </c>
      <c r="AK421" s="9">
        <v>6.2370570000000001</v>
      </c>
      <c r="AL421" s="9">
        <v>-75.558852000000002</v>
      </c>
      <c r="AM421" s="27">
        <f t="shared" si="7"/>
        <v>7.5648148148148145E-2</v>
      </c>
    </row>
    <row r="422" spans="1:39" ht="15" x14ac:dyDescent="0.25">
      <c r="A422" s="9" t="s">
        <v>3491</v>
      </c>
      <c r="B422" s="9" t="s">
        <v>3492</v>
      </c>
      <c r="C422" s="9" t="s">
        <v>3493</v>
      </c>
      <c r="D422" s="9" t="s">
        <v>3417</v>
      </c>
      <c r="E422" s="9" t="s">
        <v>2619</v>
      </c>
      <c r="F422" s="9" t="s">
        <v>37</v>
      </c>
      <c r="G422" s="9" t="s">
        <v>80</v>
      </c>
      <c r="H422" s="9" t="s">
        <v>81</v>
      </c>
      <c r="I422" s="9" t="s">
        <v>115</v>
      </c>
      <c r="J422" s="9">
        <v>6990</v>
      </c>
      <c r="K422" s="9" t="s">
        <v>3494</v>
      </c>
      <c r="L422" s="9" t="s">
        <v>117</v>
      </c>
      <c r="M422" s="10">
        <v>3.4270254629629629E-3</v>
      </c>
      <c r="N422" s="9" t="s">
        <v>65</v>
      </c>
      <c r="O422" s="9" t="s">
        <v>3495</v>
      </c>
      <c r="P422" s="9" t="s">
        <v>119</v>
      </c>
      <c r="Q422" s="10">
        <v>5.9399537037037034E-3</v>
      </c>
      <c r="R422" s="9" t="s">
        <v>46</v>
      </c>
      <c r="S422" s="10">
        <v>0.24063302083333329</v>
      </c>
      <c r="T422" s="9">
        <v>42.750999999999998</v>
      </c>
      <c r="U422" s="9">
        <v>19.690000000000001</v>
      </c>
      <c r="V422" s="10">
        <v>9.0459224537036975E-2</v>
      </c>
      <c r="W422" s="10">
        <v>3.5501678240740762E-2</v>
      </c>
      <c r="X422" s="10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9</v>
      </c>
      <c r="AE422" s="9" t="s">
        <v>84</v>
      </c>
      <c r="AF422" s="9" t="s">
        <v>3008</v>
      </c>
      <c r="AG422" s="9" t="s">
        <v>3496</v>
      </c>
      <c r="AH422" s="9">
        <v>6.2592850000000002</v>
      </c>
      <c r="AI422" s="9">
        <v>-75.620909999999995</v>
      </c>
      <c r="AJ422" s="9" t="s">
        <v>3497</v>
      </c>
      <c r="AK422" s="9">
        <v>6.2455550000000004</v>
      </c>
      <c r="AL422" s="9">
        <v>-75.596427000000006</v>
      </c>
      <c r="AM422" s="26">
        <f t="shared" si="7"/>
        <v>0</v>
      </c>
    </row>
    <row r="423" spans="1:39" ht="15" x14ac:dyDescent="0.25">
      <c r="A423" s="9" t="s">
        <v>3498</v>
      </c>
      <c r="B423" s="9" t="s">
        <v>3499</v>
      </c>
      <c r="C423" s="9" t="s">
        <v>3500</v>
      </c>
      <c r="D423" s="9" t="s">
        <v>3417</v>
      </c>
      <c r="E423" s="9" t="s">
        <v>2619</v>
      </c>
      <c r="F423" s="9" t="s">
        <v>37</v>
      </c>
      <c r="G423" s="9" t="s">
        <v>160</v>
      </c>
      <c r="H423" s="9" t="s">
        <v>161</v>
      </c>
      <c r="I423" s="9" t="s">
        <v>115</v>
      </c>
      <c r="J423" s="9">
        <v>9642</v>
      </c>
      <c r="K423" s="9" t="s">
        <v>3501</v>
      </c>
      <c r="L423" s="9" t="s">
        <v>117</v>
      </c>
      <c r="M423" s="10">
        <v>2.8580358796296289E-2</v>
      </c>
      <c r="N423" s="9" t="s">
        <v>127</v>
      </c>
      <c r="O423" s="9" t="s">
        <v>3502</v>
      </c>
      <c r="P423" s="9" t="s">
        <v>119</v>
      </c>
      <c r="Q423" s="10">
        <v>1.3502314814814809E-3</v>
      </c>
      <c r="R423" s="9" t="s">
        <v>46</v>
      </c>
      <c r="S423" s="10">
        <v>0.27993059027777778</v>
      </c>
      <c r="T423" s="9">
        <v>42.613999999999997</v>
      </c>
      <c r="U423" s="9">
        <v>11.12</v>
      </c>
      <c r="V423" s="10">
        <v>0.15968719907407411</v>
      </c>
      <c r="W423" s="10">
        <v>0.13379615740740741</v>
      </c>
      <c r="X423" s="10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3</v>
      </c>
      <c r="AE423" s="9" t="s">
        <v>139</v>
      </c>
      <c r="AF423" s="9" t="s">
        <v>3503</v>
      </c>
      <c r="AG423" s="9" t="s">
        <v>3504</v>
      </c>
      <c r="AH423" s="9">
        <v>6.2265480000000002</v>
      </c>
      <c r="AI423" s="9">
        <v>-75.599261999999996</v>
      </c>
      <c r="AJ423" s="9" t="s">
        <v>3505</v>
      </c>
      <c r="AK423" s="9">
        <v>6.2688199999999998</v>
      </c>
      <c r="AL423" s="9">
        <v>-75.598403000000005</v>
      </c>
      <c r="AM423" s="26">
        <f t="shared" si="7"/>
        <v>0</v>
      </c>
    </row>
    <row r="424" spans="1:39" ht="15" x14ac:dyDescent="0.25">
      <c r="A424" s="9" t="s">
        <v>3506</v>
      </c>
      <c r="B424" s="9" t="s">
        <v>3507</v>
      </c>
      <c r="C424" s="9" t="s">
        <v>3508</v>
      </c>
      <c r="D424" s="9" t="s">
        <v>3417</v>
      </c>
      <c r="E424" s="9" t="s">
        <v>2619</v>
      </c>
      <c r="F424" s="9" t="s">
        <v>37</v>
      </c>
      <c r="G424" s="9" t="s">
        <v>97</v>
      </c>
      <c r="H424" s="9" t="s">
        <v>98</v>
      </c>
      <c r="I424" s="9" t="s">
        <v>115</v>
      </c>
      <c r="J424" s="9">
        <v>2265</v>
      </c>
      <c r="K424" s="9" t="s">
        <v>3509</v>
      </c>
      <c r="L424" s="9" t="s">
        <v>117</v>
      </c>
      <c r="M424" s="10">
        <v>4.7233796296296288E-2</v>
      </c>
      <c r="N424" s="9" t="s">
        <v>127</v>
      </c>
      <c r="O424" s="9" t="s">
        <v>3510</v>
      </c>
      <c r="P424" s="9" t="s">
        <v>119</v>
      </c>
      <c r="Q424" s="10">
        <v>1.9016203703703709E-2</v>
      </c>
      <c r="R424" s="9" t="s">
        <v>56</v>
      </c>
      <c r="S424" s="10">
        <v>0.2782175925925926</v>
      </c>
      <c r="T424" s="9">
        <v>28.916</v>
      </c>
      <c r="U424" s="9">
        <v>7.11</v>
      </c>
      <c r="V424" s="10">
        <v>0.1695601851851852</v>
      </c>
      <c r="W424" s="10">
        <v>0.1231597222222222</v>
      </c>
      <c r="X424" s="10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 t="s">
        <v>139</v>
      </c>
      <c r="AF424" s="9" t="s">
        <v>3511</v>
      </c>
      <c r="AG424" s="9" t="s">
        <v>3512</v>
      </c>
      <c r="AH424" s="9">
        <v>6.2285149999999998</v>
      </c>
      <c r="AI424" s="9">
        <v>-75.598760999999996</v>
      </c>
      <c r="AJ424" s="9" t="s">
        <v>3513</v>
      </c>
      <c r="AK424" s="9">
        <v>6.3065540000000002</v>
      </c>
      <c r="AL424" s="9">
        <v>-75.576627000000002</v>
      </c>
      <c r="AM424" s="27">
        <f t="shared" si="7"/>
        <v>1.9016203703703709E-2</v>
      </c>
    </row>
    <row r="425" spans="1:39" ht="15" x14ac:dyDescent="0.25">
      <c r="A425" s="9" t="s">
        <v>3514</v>
      </c>
      <c r="B425" s="9" t="s">
        <v>3515</v>
      </c>
      <c r="C425" s="9" t="s">
        <v>3516</v>
      </c>
      <c r="D425" s="9" t="s">
        <v>3517</v>
      </c>
      <c r="E425" s="9" t="s">
        <v>2619</v>
      </c>
      <c r="F425" s="9" t="s">
        <v>169</v>
      </c>
      <c r="G425" s="9" t="s">
        <v>38</v>
      </c>
      <c r="H425" s="9" t="s">
        <v>39</v>
      </c>
      <c r="I425" s="9" t="s">
        <v>40</v>
      </c>
      <c r="J425" s="9">
        <v>7435</v>
      </c>
      <c r="K425" s="9" t="s">
        <v>3518</v>
      </c>
      <c r="L425" s="9" t="s">
        <v>42</v>
      </c>
      <c r="M425" s="10">
        <v>1.827121527777778E-2</v>
      </c>
      <c r="N425" s="9" t="s">
        <v>43</v>
      </c>
      <c r="O425" s="9" t="s">
        <v>3519</v>
      </c>
      <c r="P425" s="9" t="s">
        <v>45</v>
      </c>
      <c r="Q425" s="10">
        <v>1.516545138888889E-2</v>
      </c>
      <c r="R425" s="9" t="s">
        <v>129</v>
      </c>
      <c r="S425" s="10">
        <v>0.33022756944444442</v>
      </c>
      <c r="T425" s="9">
        <v>48.103000000000002</v>
      </c>
      <c r="U425" s="9">
        <v>15.13</v>
      </c>
      <c r="V425" s="10">
        <v>0.13248822916666661</v>
      </c>
      <c r="W425" s="10">
        <v>7.4581215277777821E-2</v>
      </c>
      <c r="X425" s="10">
        <v>5.3334155092592588E-2</v>
      </c>
      <c r="Y425" s="9">
        <v>1</v>
      </c>
      <c r="Z425" s="9">
        <v>1</v>
      </c>
      <c r="AA425" s="9">
        <v>1</v>
      </c>
      <c r="AB425" s="9">
        <v>1</v>
      </c>
      <c r="AC425" s="9">
        <v>1</v>
      </c>
      <c r="AD425" s="9">
        <v>3</v>
      </c>
      <c r="AE425" s="9" t="s">
        <v>130</v>
      </c>
      <c r="AF425" s="9" t="s">
        <v>3520</v>
      </c>
      <c r="AG425" s="9" t="s">
        <v>3521</v>
      </c>
      <c r="AH425" s="9">
        <v>6.203227</v>
      </c>
      <c r="AI425" s="9">
        <v>-75.600756000000004</v>
      </c>
      <c r="AJ425" s="9" t="s">
        <v>3522</v>
      </c>
      <c r="AK425" s="9">
        <v>6.2218650000000002</v>
      </c>
      <c r="AL425" s="9">
        <v>-75.593827000000005</v>
      </c>
      <c r="AM425" s="26">
        <f t="shared" si="7"/>
        <v>1.827121527777778E-2</v>
      </c>
    </row>
    <row r="426" spans="1:39" ht="15" x14ac:dyDescent="0.25">
      <c r="A426" s="9" t="s">
        <v>3523</v>
      </c>
      <c r="B426" s="9" t="s">
        <v>3524</v>
      </c>
      <c r="C426" s="9" t="s">
        <v>3525</v>
      </c>
      <c r="D426" s="9" t="s">
        <v>3517</v>
      </c>
      <c r="E426" s="9" t="s">
        <v>2619</v>
      </c>
      <c r="F426" s="9" t="s">
        <v>169</v>
      </c>
      <c r="G426" s="9" t="s">
        <v>52</v>
      </c>
      <c r="H426" s="9" t="s">
        <v>53</v>
      </c>
      <c r="I426" s="9" t="s">
        <v>40</v>
      </c>
      <c r="J426" s="9">
        <v>2440</v>
      </c>
      <c r="K426" s="9" t="s">
        <v>3526</v>
      </c>
      <c r="L426" s="9" t="s">
        <v>42</v>
      </c>
      <c r="M426" s="10">
        <v>1.1458333333333331E-2</v>
      </c>
      <c r="N426" s="9" t="s">
        <v>127</v>
      </c>
      <c r="O426" s="9" t="s">
        <v>3527</v>
      </c>
      <c r="P426" s="9" t="s">
        <v>45</v>
      </c>
      <c r="Q426" s="10">
        <v>4.8437500000000001E-2</v>
      </c>
      <c r="R426" s="9" t="s">
        <v>129</v>
      </c>
      <c r="S426" s="10">
        <v>0.39322916666666669</v>
      </c>
      <c r="T426" s="9">
        <v>30.324000000000002</v>
      </c>
      <c r="U426" s="9">
        <v>6.45</v>
      </c>
      <c r="V426" s="10">
        <v>0.19575231481481481</v>
      </c>
      <c r="W426" s="10">
        <v>0.14230324074074069</v>
      </c>
      <c r="X426" s="10">
        <v>2.4305555555555559E-2</v>
      </c>
      <c r="Y426" s="9">
        <v>1</v>
      </c>
      <c r="Z426" s="9">
        <v>1</v>
      </c>
      <c r="AA426" s="9">
        <v>1</v>
      </c>
      <c r="AB426" s="9">
        <v>0</v>
      </c>
      <c r="AC426" s="9">
        <v>0</v>
      </c>
      <c r="AD426" s="9">
        <v>0</v>
      </c>
      <c r="AE426" s="9" t="s">
        <v>130</v>
      </c>
      <c r="AF426" s="9" t="s">
        <v>3528</v>
      </c>
      <c r="AG426" s="9" t="s">
        <v>3529</v>
      </c>
      <c r="AH426" s="9">
        <v>6.2251859999999999</v>
      </c>
      <c r="AI426" s="9">
        <v>-75.599266</v>
      </c>
      <c r="AJ426" s="9" t="s">
        <v>3530</v>
      </c>
      <c r="AK426" s="9">
        <v>6.24749</v>
      </c>
      <c r="AL426" s="9">
        <v>-75.615098000000003</v>
      </c>
      <c r="AM426" s="27">
        <f t="shared" si="7"/>
        <v>0</v>
      </c>
    </row>
    <row r="427" spans="1:39" ht="15" x14ac:dyDescent="0.25">
      <c r="A427" s="9" t="s">
        <v>3531</v>
      </c>
      <c r="B427" s="9" t="s">
        <v>3532</v>
      </c>
      <c r="C427" s="9" t="s">
        <v>3533</v>
      </c>
      <c r="D427" s="9" t="s">
        <v>3517</v>
      </c>
      <c r="E427" s="9" t="s">
        <v>2619</v>
      </c>
      <c r="F427" s="9" t="s">
        <v>169</v>
      </c>
      <c r="G427" s="9" t="s">
        <v>113</v>
      </c>
      <c r="H427" s="9" t="s">
        <v>114</v>
      </c>
      <c r="I427" s="9" t="s">
        <v>40</v>
      </c>
      <c r="J427" s="9">
        <v>2463</v>
      </c>
      <c r="K427" s="9" t="s">
        <v>3534</v>
      </c>
      <c r="L427" s="9" t="s">
        <v>42</v>
      </c>
      <c r="M427" s="10">
        <v>5.115740740740741E-3</v>
      </c>
      <c r="N427" s="9" t="s">
        <v>65</v>
      </c>
      <c r="O427" s="9" t="s">
        <v>3535</v>
      </c>
      <c r="P427" s="9" t="s">
        <v>45</v>
      </c>
      <c r="Q427" s="10">
        <v>5.7754629629629631E-3</v>
      </c>
      <c r="R427" s="9" t="s">
        <v>46</v>
      </c>
      <c r="S427" s="10">
        <v>0.32244212962962959</v>
      </c>
      <c r="T427" s="9">
        <v>32.902000000000001</v>
      </c>
      <c r="U427" s="9">
        <v>5.07</v>
      </c>
      <c r="V427" s="10">
        <v>0.27060185185185193</v>
      </c>
      <c r="W427" s="10">
        <v>0.2105208333333333</v>
      </c>
      <c r="X427" s="10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3</v>
      </c>
      <c r="AE427" s="9" t="s">
        <v>84</v>
      </c>
      <c r="AF427" s="9" t="s">
        <v>292</v>
      </c>
      <c r="AG427" s="9" t="s">
        <v>3536</v>
      </c>
      <c r="AH427" s="9">
        <v>6.229101</v>
      </c>
      <c r="AI427" s="9">
        <v>-75.602047999999996</v>
      </c>
      <c r="AJ427" s="9" t="s">
        <v>3537</v>
      </c>
      <c r="AK427" s="9">
        <v>6.2486969999999999</v>
      </c>
      <c r="AL427" s="9">
        <v>-75.583498000000006</v>
      </c>
      <c r="AM427" s="26">
        <f t="shared" si="7"/>
        <v>0</v>
      </c>
    </row>
    <row r="428" spans="1:39" ht="15" x14ac:dyDescent="0.25">
      <c r="A428" s="9" t="s">
        <v>3538</v>
      </c>
      <c r="B428" s="9" t="s">
        <v>3539</v>
      </c>
      <c r="C428" s="9" t="s">
        <v>3540</v>
      </c>
      <c r="D428" s="9" t="s">
        <v>3517</v>
      </c>
      <c r="E428" s="9" t="s">
        <v>2619</v>
      </c>
      <c r="F428" s="9" t="s">
        <v>169</v>
      </c>
      <c r="G428" s="9" t="s">
        <v>62</v>
      </c>
      <c r="H428" s="9" t="s">
        <v>63</v>
      </c>
      <c r="I428" s="9" t="s">
        <v>40</v>
      </c>
      <c r="J428" s="9">
        <v>2258</v>
      </c>
      <c r="K428" s="9" t="s">
        <v>3541</v>
      </c>
      <c r="L428" s="9" t="s">
        <v>42</v>
      </c>
      <c r="M428" s="10">
        <v>1.0879629629629631E-3</v>
      </c>
      <c r="N428" s="9" t="s">
        <v>65</v>
      </c>
      <c r="O428" s="9" t="s">
        <v>3542</v>
      </c>
      <c r="P428" s="9" t="s">
        <v>45</v>
      </c>
      <c r="Q428" s="10">
        <v>0.14372685185185191</v>
      </c>
      <c r="R428" s="9" t="s">
        <v>56</v>
      </c>
      <c r="S428" s="10">
        <v>0.1885185185185185</v>
      </c>
      <c r="T428" s="9">
        <v>29.545000000000002</v>
      </c>
      <c r="U428" s="9">
        <v>8.17</v>
      </c>
      <c r="V428" s="10">
        <v>0.1507060185185185</v>
      </c>
      <c r="W428" s="10">
        <v>0.1017476851851852</v>
      </c>
      <c r="X428" s="10">
        <v>4.386574074074074E-3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2</v>
      </c>
      <c r="AE428" s="9" t="s">
        <v>67</v>
      </c>
      <c r="AF428" s="9" t="s">
        <v>3543</v>
      </c>
      <c r="AG428" s="9" t="s">
        <v>3544</v>
      </c>
      <c r="AH428" s="9">
        <v>6.2256419999999997</v>
      </c>
      <c r="AI428" s="9">
        <v>-75.599112000000005</v>
      </c>
      <c r="AJ428" s="9" t="s">
        <v>3545</v>
      </c>
      <c r="AK428" s="9">
        <v>6.2347149999999996</v>
      </c>
      <c r="AL428" s="9">
        <v>-75.608236000000005</v>
      </c>
      <c r="AM428" s="26">
        <f t="shared" si="7"/>
        <v>0.14372685185185191</v>
      </c>
    </row>
    <row r="429" spans="1:39" ht="15" x14ac:dyDescent="0.25">
      <c r="A429" s="9" t="s">
        <v>3546</v>
      </c>
      <c r="B429" s="9" t="s">
        <v>3547</v>
      </c>
      <c r="C429" s="9" t="s">
        <v>3548</v>
      </c>
      <c r="D429" s="9" t="s">
        <v>3517</v>
      </c>
      <c r="E429" s="9" t="s">
        <v>2619</v>
      </c>
      <c r="F429" s="9" t="s">
        <v>169</v>
      </c>
      <c r="G429" s="9" t="s">
        <v>135</v>
      </c>
      <c r="H429" s="9" t="s">
        <v>136</v>
      </c>
      <c r="I429" s="9" t="s">
        <v>40</v>
      </c>
      <c r="J429" s="9">
        <v>2042</v>
      </c>
      <c r="K429" s="9" t="s">
        <v>3549</v>
      </c>
      <c r="L429" s="9" t="s">
        <v>42</v>
      </c>
      <c r="M429" s="10">
        <v>5.0231481481481481E-3</v>
      </c>
      <c r="N429" s="9" t="s">
        <v>65</v>
      </c>
      <c r="O429" s="9" t="s">
        <v>3550</v>
      </c>
      <c r="P429" s="9" t="s">
        <v>45</v>
      </c>
      <c r="Q429" s="10">
        <v>7.9861111111111116E-4</v>
      </c>
      <c r="R429" s="9" t="s">
        <v>46</v>
      </c>
      <c r="S429" s="10">
        <v>0.3291087962962963</v>
      </c>
      <c r="T429" s="9">
        <v>34.542999999999999</v>
      </c>
      <c r="U429" s="9">
        <v>14.84</v>
      </c>
      <c r="V429" s="10">
        <v>9.6967592592592591E-2</v>
      </c>
      <c r="W429" s="10">
        <v>4.508101851851852E-2</v>
      </c>
      <c r="X429" s="10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8</v>
      </c>
      <c r="AE429" s="9" t="s">
        <v>84</v>
      </c>
      <c r="AF429" s="9" t="s">
        <v>567</v>
      </c>
      <c r="AG429" s="9" t="s">
        <v>3551</v>
      </c>
      <c r="AH429" s="9">
        <v>6.2253369999999997</v>
      </c>
      <c r="AI429" s="9">
        <v>-75.599442999999994</v>
      </c>
      <c r="AJ429" s="9" t="s">
        <v>3552</v>
      </c>
      <c r="AK429" s="9">
        <v>6.2500159999999996</v>
      </c>
      <c r="AL429" s="9">
        <v>-75.556476000000004</v>
      </c>
      <c r="AM429" s="27">
        <f t="shared" si="7"/>
        <v>0</v>
      </c>
    </row>
    <row r="430" spans="1:39" ht="15" x14ac:dyDescent="0.25">
      <c r="A430" s="9" t="s">
        <v>3553</v>
      </c>
      <c r="B430" s="9" t="s">
        <v>3554</v>
      </c>
      <c r="C430" s="9" t="s">
        <v>3555</v>
      </c>
      <c r="D430" s="9" t="s">
        <v>3517</v>
      </c>
      <c r="E430" s="9" t="s">
        <v>2619</v>
      </c>
      <c r="F430" s="9" t="s">
        <v>169</v>
      </c>
      <c r="G430" s="9" t="s">
        <v>144</v>
      </c>
      <c r="H430" s="9" t="s">
        <v>145</v>
      </c>
      <c r="I430" s="9" t="s">
        <v>40</v>
      </c>
      <c r="J430" s="9">
        <v>10287</v>
      </c>
      <c r="K430" s="9" t="s">
        <v>3556</v>
      </c>
      <c r="L430" s="9" t="s">
        <v>42</v>
      </c>
      <c r="M430" s="10">
        <v>1.8402777777777778E-2</v>
      </c>
      <c r="N430" s="9" t="s">
        <v>127</v>
      </c>
      <c r="O430" s="9" t="s">
        <v>3557</v>
      </c>
      <c r="P430" s="9" t="s">
        <v>45</v>
      </c>
      <c r="Q430" s="10">
        <v>2.2685185185185191E-3</v>
      </c>
      <c r="R430" s="9" t="s">
        <v>46</v>
      </c>
      <c r="S430" s="10">
        <v>0.34946759259259258</v>
      </c>
      <c r="T430" s="9">
        <v>137.78299999999999</v>
      </c>
      <c r="U430" s="9">
        <v>21.29</v>
      </c>
      <c r="V430" s="10">
        <v>0.2696412037037037</v>
      </c>
      <c r="W430" s="10">
        <v>5.0925925925925923E-2</v>
      </c>
      <c r="X430" s="10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 t="s">
        <v>139</v>
      </c>
      <c r="AF430" s="9" t="s">
        <v>3558</v>
      </c>
      <c r="AG430" s="9" t="s">
        <v>3559</v>
      </c>
      <c r="AH430" s="9">
        <v>6.2768949999999997</v>
      </c>
      <c r="AI430" s="9">
        <v>-75.573032999999995</v>
      </c>
      <c r="AJ430" s="9" t="s">
        <v>3560</v>
      </c>
      <c r="AK430" s="9">
        <v>6.290654</v>
      </c>
      <c r="AL430" s="9">
        <v>-75.546259000000006</v>
      </c>
      <c r="AM430" s="26">
        <f t="shared" si="7"/>
        <v>0</v>
      </c>
    </row>
    <row r="431" spans="1:39" ht="15" x14ac:dyDescent="0.25">
      <c r="A431" s="9" t="s">
        <v>3561</v>
      </c>
      <c r="B431" s="9" t="s">
        <v>3562</v>
      </c>
      <c r="C431" s="9" t="s">
        <v>3563</v>
      </c>
      <c r="D431" s="9" t="s">
        <v>3517</v>
      </c>
      <c r="E431" s="9" t="s">
        <v>2619</v>
      </c>
      <c r="F431" s="9" t="s">
        <v>169</v>
      </c>
      <c r="G431" s="9" t="s">
        <v>152</v>
      </c>
      <c r="H431" s="9" t="s">
        <v>153</v>
      </c>
      <c r="I431" s="9" t="s">
        <v>40</v>
      </c>
      <c r="J431" s="9">
        <v>4074</v>
      </c>
      <c r="K431" s="9" t="s">
        <v>3564</v>
      </c>
      <c r="L431" s="9" t="s">
        <v>42</v>
      </c>
      <c r="M431" s="10">
        <v>1.157407407407407E-5</v>
      </c>
      <c r="N431" s="9" t="s">
        <v>65</v>
      </c>
      <c r="O431" s="9" t="s">
        <v>3565</v>
      </c>
      <c r="P431" s="9" t="s">
        <v>45</v>
      </c>
      <c r="Q431" s="10">
        <v>2.6064814814814811E-2</v>
      </c>
      <c r="R431" s="9" t="s">
        <v>129</v>
      </c>
      <c r="S431" s="10">
        <v>0.35940972222222223</v>
      </c>
      <c r="T431" s="9">
        <v>54.756</v>
      </c>
      <c r="U431" s="9">
        <v>14.83</v>
      </c>
      <c r="V431" s="10">
        <v>0.15384259259259259</v>
      </c>
      <c r="W431" s="10">
        <v>5.4386574074074073E-2</v>
      </c>
      <c r="X431" s="10">
        <v>0.16236111111111109</v>
      </c>
      <c r="Y431" s="9">
        <v>1</v>
      </c>
      <c r="Z431" s="9">
        <v>1</v>
      </c>
      <c r="AA431" s="9">
        <v>1</v>
      </c>
      <c r="AB431" s="9">
        <v>1</v>
      </c>
      <c r="AC431" s="9">
        <v>1</v>
      </c>
      <c r="AD431" s="9">
        <v>2</v>
      </c>
      <c r="AE431" s="9" t="s">
        <v>130</v>
      </c>
      <c r="AF431" s="9" t="s">
        <v>3566</v>
      </c>
      <c r="AG431" s="9" t="s">
        <v>3567</v>
      </c>
      <c r="AH431" s="9">
        <v>6.225562</v>
      </c>
      <c r="AI431" s="9">
        <v>-75.599442999999994</v>
      </c>
      <c r="AJ431" s="9" t="s">
        <v>3568</v>
      </c>
      <c r="AK431" s="9">
        <v>6.2518099999999999</v>
      </c>
      <c r="AL431" s="9">
        <v>-75.551732000000001</v>
      </c>
      <c r="AM431" s="27">
        <f t="shared" si="7"/>
        <v>0</v>
      </c>
    </row>
    <row r="432" spans="1:39" ht="15" x14ac:dyDescent="0.25">
      <c r="A432" s="9" t="s">
        <v>3569</v>
      </c>
      <c r="B432" s="9" t="s">
        <v>3570</v>
      </c>
      <c r="C432" s="9" t="s">
        <v>3571</v>
      </c>
      <c r="D432" s="9" t="s">
        <v>3517</v>
      </c>
      <c r="E432" s="9" t="s">
        <v>2619</v>
      </c>
      <c r="F432" s="9" t="s">
        <v>169</v>
      </c>
      <c r="G432" s="9" t="s">
        <v>89</v>
      </c>
      <c r="H432" s="9" t="s">
        <v>90</v>
      </c>
      <c r="I432" s="9" t="s">
        <v>40</v>
      </c>
      <c r="J432" s="9">
        <v>3900</v>
      </c>
      <c r="K432" s="9" t="s">
        <v>3572</v>
      </c>
      <c r="L432" s="9" t="s">
        <v>42</v>
      </c>
      <c r="M432" s="10">
        <v>1.447916666666667E-2</v>
      </c>
      <c r="N432" s="9" t="s">
        <v>127</v>
      </c>
      <c r="O432" s="9" t="s">
        <v>3573</v>
      </c>
      <c r="P432" s="9" t="s">
        <v>45</v>
      </c>
      <c r="Q432" s="10">
        <v>9.7453703703703695E-3</v>
      </c>
      <c r="R432" s="9" t="s">
        <v>46</v>
      </c>
      <c r="S432" s="10">
        <v>0.33806712962962959</v>
      </c>
      <c r="T432" s="9">
        <v>49.66</v>
      </c>
      <c r="U432" s="9">
        <v>9.57</v>
      </c>
      <c r="V432" s="10">
        <v>0.21622685185185189</v>
      </c>
      <c r="W432" s="10">
        <v>0.12761574074074081</v>
      </c>
      <c r="X432" s="10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 t="s">
        <v>139</v>
      </c>
      <c r="AF432" s="9" t="s">
        <v>3574</v>
      </c>
      <c r="AG432" s="9" t="s">
        <v>3575</v>
      </c>
      <c r="AH432" s="9">
        <v>6.226667</v>
      </c>
      <c r="AI432" s="9">
        <v>-75.599209000000002</v>
      </c>
      <c r="AJ432" s="9" t="s">
        <v>3576</v>
      </c>
      <c r="AK432" s="9">
        <v>6.2786090000000003</v>
      </c>
      <c r="AL432" s="9">
        <v>-75.569281000000004</v>
      </c>
      <c r="AM432" s="26">
        <f t="shared" si="7"/>
        <v>0</v>
      </c>
    </row>
    <row r="433" spans="1:40" ht="15" x14ac:dyDescent="0.25">
      <c r="A433" s="9" t="s">
        <v>3577</v>
      </c>
      <c r="B433" s="9" t="s">
        <v>3578</v>
      </c>
      <c r="C433" s="9" t="s">
        <v>3579</v>
      </c>
      <c r="D433" s="9" t="s">
        <v>3517</v>
      </c>
      <c r="E433" s="9" t="s">
        <v>2619</v>
      </c>
      <c r="F433" s="9" t="s">
        <v>169</v>
      </c>
      <c r="G433" s="9" t="s">
        <v>105</v>
      </c>
      <c r="H433" s="9" t="s">
        <v>106</v>
      </c>
      <c r="I433" s="9" t="s">
        <v>40</v>
      </c>
      <c r="J433" s="9">
        <v>2874</v>
      </c>
      <c r="K433" s="9" t="s">
        <v>3580</v>
      </c>
      <c r="L433" s="9" t="s">
        <v>42</v>
      </c>
      <c r="M433" s="10">
        <v>2.8599537037037041E-2</v>
      </c>
      <c r="N433" s="9" t="s">
        <v>127</v>
      </c>
      <c r="O433" s="9" t="s">
        <v>3581</v>
      </c>
      <c r="P433" s="9" t="s">
        <v>45</v>
      </c>
      <c r="Q433" s="10">
        <v>1.7951388888888892E-2</v>
      </c>
      <c r="R433" s="9" t="s">
        <v>56</v>
      </c>
      <c r="S433" s="10">
        <v>0.3439814814814815</v>
      </c>
      <c r="T433" s="9">
        <v>44.32</v>
      </c>
      <c r="U433" s="9">
        <v>5.9</v>
      </c>
      <c r="V433" s="10">
        <v>0.31299768518518523</v>
      </c>
      <c r="W433" s="10">
        <v>0.22974537037037041</v>
      </c>
      <c r="X433" s="10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4</v>
      </c>
      <c r="AE433" s="9" t="s">
        <v>139</v>
      </c>
      <c r="AF433" s="9" t="s">
        <v>3582</v>
      </c>
      <c r="AG433" s="9" t="s">
        <v>3583</v>
      </c>
      <c r="AH433" s="9">
        <v>6.2256359999999997</v>
      </c>
      <c r="AI433" s="9">
        <v>-75.599136000000001</v>
      </c>
      <c r="AJ433" s="9" t="s">
        <v>3584</v>
      </c>
      <c r="AK433" s="9">
        <v>6.2582329999999997</v>
      </c>
      <c r="AL433" s="9">
        <v>-75.615763999999999</v>
      </c>
      <c r="AM433" s="26">
        <f t="shared" si="7"/>
        <v>1.7951388888888892E-2</v>
      </c>
    </row>
    <row r="434" spans="1:40" ht="15" x14ac:dyDescent="0.25">
      <c r="A434" s="9" t="s">
        <v>3585</v>
      </c>
      <c r="B434" s="9" t="s">
        <v>3586</v>
      </c>
      <c r="C434" s="9" t="s">
        <v>3587</v>
      </c>
      <c r="D434" s="9" t="s">
        <v>3517</v>
      </c>
      <c r="E434" s="9" t="s">
        <v>2619</v>
      </c>
      <c r="F434" s="9" t="s">
        <v>169</v>
      </c>
      <c r="G434" s="9" t="s">
        <v>124</v>
      </c>
      <c r="H434" s="9" t="s">
        <v>125</v>
      </c>
      <c r="I434" s="9" t="s">
        <v>115</v>
      </c>
      <c r="J434" s="9">
        <v>4300</v>
      </c>
      <c r="K434" s="9" t="s">
        <v>3588</v>
      </c>
      <c r="L434" s="9" t="s">
        <v>117</v>
      </c>
      <c r="M434" s="10">
        <v>4.1956018518518517E-2</v>
      </c>
      <c r="N434" s="9" t="s">
        <v>127</v>
      </c>
      <c r="O434" s="9" t="s">
        <v>3589</v>
      </c>
      <c r="P434" s="9" t="s">
        <v>119</v>
      </c>
      <c r="Q434" s="10">
        <v>2.4293981481481479E-2</v>
      </c>
      <c r="R434" s="9" t="s">
        <v>129</v>
      </c>
      <c r="S434" s="10">
        <v>0.31624999999999998</v>
      </c>
      <c r="T434" s="9">
        <v>61.747999999999998</v>
      </c>
      <c r="U434" s="9">
        <v>10.79</v>
      </c>
      <c r="V434" s="10">
        <v>0.23841435185185189</v>
      </c>
      <c r="W434" s="10">
        <v>9.3958333333333338E-2</v>
      </c>
      <c r="X434" s="10">
        <v>2.8148148148148151E-2</v>
      </c>
      <c r="Y434" s="9">
        <v>1</v>
      </c>
      <c r="Z434" s="9">
        <v>1</v>
      </c>
      <c r="AA434" s="9">
        <v>1</v>
      </c>
      <c r="AB434" s="9">
        <v>1</v>
      </c>
      <c r="AC434" s="9">
        <v>0</v>
      </c>
      <c r="AD434" s="9">
        <v>0</v>
      </c>
      <c r="AE434" s="9" t="s">
        <v>130</v>
      </c>
      <c r="AF434" s="9" t="s">
        <v>3590</v>
      </c>
      <c r="AG434" s="9" t="s">
        <v>3591</v>
      </c>
      <c r="AH434" s="9">
        <v>6.2267419999999998</v>
      </c>
      <c r="AI434" s="9">
        <v>-75.599952999999999</v>
      </c>
      <c r="AJ434" s="9" t="s">
        <v>3592</v>
      </c>
      <c r="AK434" s="9">
        <v>6.2727170000000001</v>
      </c>
      <c r="AL434" s="9">
        <v>-75.601748000000001</v>
      </c>
      <c r="AM434" s="27">
        <f t="shared" si="7"/>
        <v>0</v>
      </c>
    </row>
    <row r="435" spans="1:40" ht="15" x14ac:dyDescent="0.25">
      <c r="A435" s="9" t="s">
        <v>3593</v>
      </c>
      <c r="B435" s="9" t="s">
        <v>3594</v>
      </c>
      <c r="C435" s="9" t="s">
        <v>3595</v>
      </c>
      <c r="D435" s="9" t="s">
        <v>3517</v>
      </c>
      <c r="E435" s="9" t="s">
        <v>2619</v>
      </c>
      <c r="F435" s="9" t="s">
        <v>169</v>
      </c>
      <c r="G435" s="9" t="s">
        <v>72</v>
      </c>
      <c r="H435" s="9" t="s">
        <v>73</v>
      </c>
      <c r="I435" s="9" t="s">
        <v>115</v>
      </c>
      <c r="J435" s="9">
        <v>2754</v>
      </c>
      <c r="K435" s="9" t="s">
        <v>3596</v>
      </c>
      <c r="L435" s="9" t="s">
        <v>117</v>
      </c>
      <c r="M435" s="10">
        <v>5.0092592592592591E-2</v>
      </c>
      <c r="N435" s="9" t="s">
        <v>127</v>
      </c>
      <c r="O435" s="9" t="s">
        <v>3597</v>
      </c>
      <c r="P435" s="9" t="s">
        <v>119</v>
      </c>
      <c r="Q435" s="10">
        <v>4.0081018518518523E-2</v>
      </c>
      <c r="R435" s="9" t="s">
        <v>56</v>
      </c>
      <c r="S435" s="10">
        <v>0.26001157407407399</v>
      </c>
      <c r="T435" s="9">
        <v>39.378</v>
      </c>
      <c r="U435" s="9">
        <v>7.93</v>
      </c>
      <c r="V435" s="10">
        <v>0.20679398148148151</v>
      </c>
      <c r="W435" s="10">
        <v>0.16332175925925929</v>
      </c>
      <c r="X435" s="10">
        <v>0.12752314814814811</v>
      </c>
      <c r="Y435" s="9">
        <v>1</v>
      </c>
      <c r="Z435" s="9">
        <v>1</v>
      </c>
      <c r="AA435" s="9">
        <v>1</v>
      </c>
      <c r="AB435" s="9">
        <v>1</v>
      </c>
      <c r="AC435" s="9">
        <v>1</v>
      </c>
      <c r="AD435" s="9">
        <v>1</v>
      </c>
      <c r="AE435" s="9" t="s">
        <v>139</v>
      </c>
      <c r="AF435" s="9" t="s">
        <v>3598</v>
      </c>
      <c r="AG435" s="9" t="s">
        <v>3599</v>
      </c>
      <c r="AH435" s="9">
        <v>6.2256910000000003</v>
      </c>
      <c r="AI435" s="9">
        <v>-75.599361000000002</v>
      </c>
      <c r="AJ435" s="9" t="s">
        <v>3600</v>
      </c>
      <c r="AK435" s="9">
        <v>6.237171</v>
      </c>
      <c r="AL435" s="9">
        <v>-75.558699000000004</v>
      </c>
      <c r="AM435" s="26">
        <f t="shared" si="7"/>
        <v>4.0081018518518523E-2</v>
      </c>
    </row>
    <row r="436" spans="1:40" ht="15" x14ac:dyDescent="0.25">
      <c r="A436" s="9" t="s">
        <v>3601</v>
      </c>
      <c r="B436" s="9" t="s">
        <v>3602</v>
      </c>
      <c r="C436" s="9" t="s">
        <v>3603</v>
      </c>
      <c r="D436" s="9" t="s">
        <v>3517</v>
      </c>
      <c r="E436" s="9" t="s">
        <v>2619</v>
      </c>
      <c r="F436" s="9" t="s">
        <v>169</v>
      </c>
      <c r="G436" s="9" t="s">
        <v>80</v>
      </c>
      <c r="H436" s="9" t="s">
        <v>81</v>
      </c>
      <c r="I436" s="9" t="s">
        <v>115</v>
      </c>
      <c r="J436" s="9">
        <v>3896</v>
      </c>
      <c r="K436" s="9" t="s">
        <v>3604</v>
      </c>
      <c r="L436" s="9" t="s">
        <v>117</v>
      </c>
      <c r="M436" s="10">
        <v>7.1931944444444439E-3</v>
      </c>
      <c r="N436" s="9" t="s">
        <v>65</v>
      </c>
      <c r="O436" s="9" t="s">
        <v>3605</v>
      </c>
      <c r="P436" s="9" t="s">
        <v>119</v>
      </c>
      <c r="Q436" s="10">
        <v>4.9714085648148137E-2</v>
      </c>
      <c r="R436" s="9" t="s">
        <v>56</v>
      </c>
      <c r="S436" s="10">
        <v>0.1930927199074074</v>
      </c>
      <c r="T436" s="9">
        <v>25.995999999999999</v>
      </c>
      <c r="U436" s="9">
        <v>31.53</v>
      </c>
      <c r="V436" s="10">
        <v>3.4351481481481448E-2</v>
      </c>
      <c r="W436" s="10">
        <v>1.5496296296296291E-3</v>
      </c>
      <c r="X436" s="10">
        <v>4.1787037037037036E-3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11</v>
      </c>
      <c r="AE436" s="9" t="s">
        <v>67</v>
      </c>
      <c r="AF436" s="9" t="s">
        <v>3606</v>
      </c>
      <c r="AG436" s="9" t="s">
        <v>3607</v>
      </c>
      <c r="AH436" s="9">
        <v>6.2592449999999999</v>
      </c>
      <c r="AI436" s="9">
        <v>-75.621055999999996</v>
      </c>
      <c r="AJ436" s="9" t="s">
        <v>3608</v>
      </c>
      <c r="AK436" s="9">
        <v>6.2699030000000002</v>
      </c>
      <c r="AL436" s="9">
        <v>-75.653419</v>
      </c>
      <c r="AM436" s="26">
        <f t="shared" si="7"/>
        <v>4.9714085648148137E-2</v>
      </c>
      <c r="AN436" s="1" t="s">
        <v>3625</v>
      </c>
    </row>
    <row r="437" spans="1:40" ht="15" x14ac:dyDescent="0.25">
      <c r="A437" s="9" t="s">
        <v>3609</v>
      </c>
      <c r="B437" s="9" t="s">
        <v>3610</v>
      </c>
      <c r="C437" s="9" t="s">
        <v>3611</v>
      </c>
      <c r="D437" s="9" t="s">
        <v>3517</v>
      </c>
      <c r="E437" s="9" t="s">
        <v>2619</v>
      </c>
      <c r="F437" s="9" t="s">
        <v>169</v>
      </c>
      <c r="G437" s="9" t="s">
        <v>160</v>
      </c>
      <c r="H437" s="9" t="s">
        <v>161</v>
      </c>
      <c r="I437" s="9" t="s">
        <v>115</v>
      </c>
      <c r="J437" s="9">
        <v>9577</v>
      </c>
      <c r="K437" s="9" t="s">
        <v>3612</v>
      </c>
      <c r="L437" s="9" t="s">
        <v>117</v>
      </c>
      <c r="M437" s="10">
        <v>2.5949074074074079E-2</v>
      </c>
      <c r="N437" s="9" t="s">
        <v>127</v>
      </c>
      <c r="O437" s="9" t="s">
        <v>3613</v>
      </c>
      <c r="P437" s="9" t="s">
        <v>119</v>
      </c>
      <c r="Q437" s="10">
        <v>1.689814814814815E-3</v>
      </c>
      <c r="R437" s="9" t="s">
        <v>46</v>
      </c>
      <c r="S437" s="10">
        <v>0.27763888888888888</v>
      </c>
      <c r="T437" s="9">
        <v>63.25</v>
      </c>
      <c r="U437" s="9">
        <v>13.34</v>
      </c>
      <c r="V437" s="10">
        <v>0.19760256944444449</v>
      </c>
      <c r="W437" s="10">
        <v>0.13977430555555559</v>
      </c>
      <c r="X437" s="10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4</v>
      </c>
      <c r="AE437" s="9" t="s">
        <v>139</v>
      </c>
      <c r="AF437" s="9" t="s">
        <v>3614</v>
      </c>
      <c r="AG437" s="9" t="s">
        <v>3615</v>
      </c>
      <c r="AH437" s="9">
        <v>6.2601269999999998</v>
      </c>
      <c r="AI437" s="9">
        <v>-75.597471999999996</v>
      </c>
      <c r="AJ437" s="9" t="s">
        <v>3616</v>
      </c>
      <c r="AK437" s="9">
        <v>6.2736099999999997</v>
      </c>
      <c r="AL437" s="9">
        <v>-75.593002999999996</v>
      </c>
      <c r="AM437" s="27">
        <f t="shared" si="7"/>
        <v>0</v>
      </c>
    </row>
    <row r="438" spans="1:40" ht="15" x14ac:dyDescent="0.25">
      <c r="A438" s="9" t="s">
        <v>3617</v>
      </c>
      <c r="B438" s="9" t="s">
        <v>3618</v>
      </c>
      <c r="C438" s="9" t="s">
        <v>3619</v>
      </c>
      <c r="D438" s="9" t="s">
        <v>3517</v>
      </c>
      <c r="E438" s="9" t="s">
        <v>2619</v>
      </c>
      <c r="F438" s="9" t="s">
        <v>169</v>
      </c>
      <c r="G438" s="9" t="s">
        <v>97</v>
      </c>
      <c r="H438" s="9" t="s">
        <v>98</v>
      </c>
      <c r="I438" s="9" t="s">
        <v>115</v>
      </c>
      <c r="J438" s="9">
        <v>2489</v>
      </c>
      <c r="K438" s="9" t="s">
        <v>3620</v>
      </c>
      <c r="L438" s="9" t="s">
        <v>117</v>
      </c>
      <c r="M438" s="10">
        <v>3.3506944444444443E-2</v>
      </c>
      <c r="N438" s="9" t="s">
        <v>127</v>
      </c>
      <c r="O438" s="9" t="s">
        <v>3621</v>
      </c>
      <c r="P438" s="9" t="s">
        <v>119</v>
      </c>
      <c r="Q438" s="10">
        <v>5.8101851851851856E-3</v>
      </c>
      <c r="R438" s="9" t="s">
        <v>46</v>
      </c>
      <c r="S438" s="10">
        <v>0.28931712962962958</v>
      </c>
      <c r="T438" s="9">
        <v>34.802999999999997</v>
      </c>
      <c r="U438" s="9">
        <v>8.58</v>
      </c>
      <c r="V438" s="10">
        <v>0.16898148148148151</v>
      </c>
      <c r="W438" s="10">
        <v>0.1141550925925926</v>
      </c>
      <c r="X438" s="10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1</v>
      </c>
      <c r="AE438" s="9" t="s">
        <v>139</v>
      </c>
      <c r="AF438" s="9" t="s">
        <v>3622</v>
      </c>
      <c r="AG438" s="9" t="s">
        <v>3623</v>
      </c>
      <c r="AH438" s="9">
        <v>6.2256330000000002</v>
      </c>
      <c r="AI438" s="9">
        <v>-75.599463999999998</v>
      </c>
      <c r="AJ438" s="9" t="s">
        <v>3624</v>
      </c>
      <c r="AK438" s="9">
        <v>6.304074</v>
      </c>
      <c r="AL438" s="9">
        <v>-75.582063000000005</v>
      </c>
      <c r="AM438" s="26">
        <f t="shared" si="7"/>
        <v>0</v>
      </c>
    </row>
    <row r="439" spans="1:40" ht="15" x14ac:dyDescent="0.25">
      <c r="A439" s="9" t="s">
        <v>3626</v>
      </c>
      <c r="B439" s="9" t="s">
        <v>3627</v>
      </c>
      <c r="C439" s="9" t="s">
        <v>3628</v>
      </c>
      <c r="D439" s="9" t="s">
        <v>3629</v>
      </c>
      <c r="E439" s="9" t="s">
        <v>2619</v>
      </c>
      <c r="F439" s="9" t="s">
        <v>315</v>
      </c>
      <c r="G439" s="9" t="s">
        <v>38</v>
      </c>
      <c r="H439" s="9" t="s">
        <v>39</v>
      </c>
      <c r="I439" s="9" t="s">
        <v>40</v>
      </c>
      <c r="J439" s="9">
        <v>3254</v>
      </c>
      <c r="K439" s="9" t="s">
        <v>3630</v>
      </c>
      <c r="L439" s="9" t="s">
        <v>42</v>
      </c>
      <c r="M439" s="10">
        <v>2.358796296296296E-2</v>
      </c>
      <c r="N439" s="9" t="s">
        <v>43</v>
      </c>
      <c r="O439" s="9" t="s">
        <v>3631</v>
      </c>
      <c r="P439" s="9" t="s">
        <v>45</v>
      </c>
      <c r="Q439" s="10">
        <v>4.409722222222222E-3</v>
      </c>
      <c r="R439" s="9" t="s">
        <v>46</v>
      </c>
      <c r="S439" s="10">
        <v>0.31415509259259261</v>
      </c>
      <c r="T439" s="9">
        <v>43.69</v>
      </c>
      <c r="U439" s="9">
        <v>11.49</v>
      </c>
      <c r="V439" s="10">
        <v>0.1584837962962963</v>
      </c>
      <c r="W439" s="10">
        <v>9.313657407407408E-2</v>
      </c>
      <c r="X439" s="10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1</v>
      </c>
      <c r="AE439" s="9" t="s">
        <v>47</v>
      </c>
      <c r="AF439" s="9" t="s">
        <v>3632</v>
      </c>
      <c r="AG439" s="9" t="s">
        <v>3633</v>
      </c>
      <c r="AH439" s="9">
        <v>6.2032530000000001</v>
      </c>
      <c r="AI439" s="9">
        <v>-75.600690999999998</v>
      </c>
      <c r="AJ439" s="9" t="s">
        <v>3634</v>
      </c>
      <c r="AK439" s="9">
        <v>6.2300930000000001</v>
      </c>
      <c r="AL439" s="9">
        <v>-75.599960999999993</v>
      </c>
      <c r="AM439" s="26">
        <f t="shared" si="7"/>
        <v>2.358796296296296E-2</v>
      </c>
    </row>
    <row r="440" spans="1:40" ht="15" x14ac:dyDescent="0.25">
      <c r="A440" s="9" t="s">
        <v>3635</v>
      </c>
      <c r="B440" s="9" t="s">
        <v>3636</v>
      </c>
      <c r="C440" s="9" t="s">
        <v>3637</v>
      </c>
      <c r="D440" s="9" t="s">
        <v>3629</v>
      </c>
      <c r="E440" s="9" t="s">
        <v>2619</v>
      </c>
      <c r="F440" s="9" t="s">
        <v>315</v>
      </c>
      <c r="G440" s="9" t="s">
        <v>52</v>
      </c>
      <c r="H440" s="9" t="s">
        <v>53</v>
      </c>
      <c r="I440" s="9" t="s">
        <v>40</v>
      </c>
      <c r="J440" s="9">
        <v>1989</v>
      </c>
      <c r="K440" s="9" t="s">
        <v>3638</v>
      </c>
      <c r="L440" s="9" t="s">
        <v>42</v>
      </c>
      <c r="M440" s="10">
        <v>1.832175925925926E-2</v>
      </c>
      <c r="N440" s="9" t="s">
        <v>127</v>
      </c>
      <c r="O440" s="9" t="s">
        <v>3639</v>
      </c>
      <c r="P440" s="9" t="s">
        <v>45</v>
      </c>
      <c r="Q440" s="10">
        <v>1.6793981481481479E-2</v>
      </c>
      <c r="R440" s="9" t="s">
        <v>129</v>
      </c>
      <c r="S440" s="10">
        <v>0.36844907407407412</v>
      </c>
      <c r="T440" s="9">
        <v>24.337</v>
      </c>
      <c r="U440" s="9">
        <v>6.7</v>
      </c>
      <c r="V440" s="10">
        <v>0.15137731481481481</v>
      </c>
      <c r="W440" s="10">
        <v>0.1083912037037037</v>
      </c>
      <c r="X440" s="10">
        <v>5.0347222222222234E-3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 t="s">
        <v>130</v>
      </c>
      <c r="AF440" s="9" t="s">
        <v>3640</v>
      </c>
      <c r="AG440" s="9" t="s">
        <v>3641</v>
      </c>
      <c r="AH440" s="9">
        <v>6.2253959999999999</v>
      </c>
      <c r="AI440" s="9">
        <v>-75.599064999999996</v>
      </c>
      <c r="AJ440" s="9" t="s">
        <v>3642</v>
      </c>
      <c r="AK440" s="9">
        <v>6.2475329999999998</v>
      </c>
      <c r="AL440" s="9">
        <v>-75.614945000000006</v>
      </c>
      <c r="AM440" s="26">
        <f t="shared" si="7"/>
        <v>0</v>
      </c>
    </row>
    <row r="441" spans="1:40" ht="15" x14ac:dyDescent="0.25">
      <c r="A441" s="9" t="s">
        <v>3643</v>
      </c>
      <c r="B441" s="9" t="s">
        <v>3644</v>
      </c>
      <c r="C441" s="9" t="s">
        <v>3645</v>
      </c>
      <c r="D441" s="9" t="s">
        <v>3629</v>
      </c>
      <c r="E441" s="9" t="s">
        <v>2619</v>
      </c>
      <c r="F441" s="9" t="s">
        <v>315</v>
      </c>
      <c r="G441" s="9" t="s">
        <v>62</v>
      </c>
      <c r="H441" s="9" t="s">
        <v>63</v>
      </c>
      <c r="I441" s="9" t="s">
        <v>40</v>
      </c>
      <c r="J441" s="9">
        <v>2866</v>
      </c>
      <c r="K441" s="9" t="s">
        <v>3646</v>
      </c>
      <c r="L441" s="9" t="s">
        <v>42</v>
      </c>
      <c r="M441" s="10">
        <v>6.030092592592593E-3</v>
      </c>
      <c r="N441" s="9" t="s">
        <v>65</v>
      </c>
      <c r="O441" s="9" t="s">
        <v>3647</v>
      </c>
      <c r="P441" s="9" t="s">
        <v>45</v>
      </c>
      <c r="Q441" s="10">
        <v>9.6134259259259253E-2</v>
      </c>
      <c r="R441" s="9" t="s">
        <v>56</v>
      </c>
      <c r="S441" s="10">
        <v>0.24322916666666669</v>
      </c>
      <c r="T441" s="9">
        <v>36.524000000000001</v>
      </c>
      <c r="U441" s="9">
        <v>9.73</v>
      </c>
      <c r="V441" s="10">
        <v>0.15640046296296289</v>
      </c>
      <c r="W441" s="10">
        <v>8.2372685185185188E-2</v>
      </c>
      <c r="X441" s="10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1</v>
      </c>
      <c r="AE441" s="9" t="s">
        <v>67</v>
      </c>
      <c r="AF441" s="9" t="s">
        <v>3648</v>
      </c>
      <c r="AG441" s="9" t="s">
        <v>3649</v>
      </c>
      <c r="AH441" s="9">
        <v>6.2258699999999996</v>
      </c>
      <c r="AI441" s="9">
        <v>-75.599429999999998</v>
      </c>
      <c r="AJ441" s="9" t="s">
        <v>3650</v>
      </c>
      <c r="AK441" s="9">
        <v>6.3046309999999997</v>
      </c>
      <c r="AL441" s="9">
        <v>-75.577946999999995</v>
      </c>
      <c r="AM441" s="27">
        <f t="shared" si="7"/>
        <v>9.6134259259259253E-2</v>
      </c>
    </row>
    <row r="442" spans="1:40" ht="15" x14ac:dyDescent="0.25">
      <c r="A442" s="9" t="s">
        <v>3651</v>
      </c>
      <c r="B442" s="9" t="s">
        <v>3652</v>
      </c>
      <c r="C442" s="9" t="s">
        <v>3653</v>
      </c>
      <c r="D442" s="9" t="s">
        <v>3629</v>
      </c>
      <c r="E442" s="9" t="s">
        <v>2619</v>
      </c>
      <c r="F442" s="9" t="s">
        <v>315</v>
      </c>
      <c r="G442" s="9" t="s">
        <v>135</v>
      </c>
      <c r="H442" s="9" t="s">
        <v>136</v>
      </c>
      <c r="I442" s="9" t="s">
        <v>40</v>
      </c>
      <c r="J442" s="9">
        <v>2470</v>
      </c>
      <c r="K442" s="9" t="s">
        <v>3654</v>
      </c>
      <c r="L442" s="9" t="s">
        <v>42</v>
      </c>
      <c r="M442" s="10">
        <v>1.1226851851851849E-3</v>
      </c>
      <c r="N442" s="9" t="s">
        <v>65</v>
      </c>
      <c r="O442" s="9" t="s">
        <v>3655</v>
      </c>
      <c r="P442" s="9" t="s">
        <v>45</v>
      </c>
      <c r="Q442" s="10">
        <v>2.1990740740740742E-3</v>
      </c>
      <c r="R442" s="9" t="s">
        <v>46</v>
      </c>
      <c r="S442" s="10">
        <v>0.33665509259259258</v>
      </c>
      <c r="T442" s="9">
        <v>41.499000000000002</v>
      </c>
      <c r="U442" s="9">
        <v>12.76</v>
      </c>
      <c r="V442" s="10">
        <v>0.13548611111111111</v>
      </c>
      <c r="W442" s="10">
        <v>7.2210648148148149E-2</v>
      </c>
      <c r="X442" s="10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7</v>
      </c>
      <c r="AE442" s="9" t="s">
        <v>84</v>
      </c>
      <c r="AF442" s="9" t="s">
        <v>2832</v>
      </c>
      <c r="AG442" s="9" t="s">
        <v>3656</v>
      </c>
      <c r="AH442" s="9">
        <v>6.2447650000000001</v>
      </c>
      <c r="AI442" s="9">
        <v>-75.570937999999998</v>
      </c>
      <c r="AJ442" s="9" t="s">
        <v>3657</v>
      </c>
      <c r="AK442" s="9">
        <v>6.2430890000000003</v>
      </c>
      <c r="AL442" s="9">
        <v>-75.548852999999994</v>
      </c>
      <c r="AM442" s="26">
        <f t="shared" si="7"/>
        <v>0</v>
      </c>
    </row>
    <row r="443" spans="1:40" ht="15" x14ac:dyDescent="0.25">
      <c r="A443" s="9" t="s">
        <v>3658</v>
      </c>
      <c r="B443" s="9" t="s">
        <v>3659</v>
      </c>
      <c r="C443" s="9" t="s">
        <v>3660</v>
      </c>
      <c r="D443" s="9" t="s">
        <v>3629</v>
      </c>
      <c r="E443" s="9" t="s">
        <v>2619</v>
      </c>
      <c r="F443" s="9" t="s">
        <v>315</v>
      </c>
      <c r="G443" s="9" t="s">
        <v>144</v>
      </c>
      <c r="H443" s="9" t="s">
        <v>145</v>
      </c>
      <c r="I443" s="9" t="s">
        <v>40</v>
      </c>
      <c r="J443" s="9">
        <v>7427</v>
      </c>
      <c r="K443" s="9" t="s">
        <v>3661</v>
      </c>
      <c r="L443" s="9" t="s">
        <v>42</v>
      </c>
      <c r="M443" s="10">
        <v>1.5810185185185181E-2</v>
      </c>
      <c r="N443" s="9" t="s">
        <v>127</v>
      </c>
      <c r="O443" s="9" t="s">
        <v>3662</v>
      </c>
      <c r="P443" s="9" t="s">
        <v>45</v>
      </c>
      <c r="Q443" s="10">
        <v>1.172453703703704E-2</v>
      </c>
      <c r="R443" s="9" t="s">
        <v>56</v>
      </c>
      <c r="S443" s="10">
        <v>0.33741898148148147</v>
      </c>
      <c r="T443" s="9">
        <v>98.212999999999994</v>
      </c>
      <c r="U443" s="9">
        <v>15.72</v>
      </c>
      <c r="V443" s="10">
        <v>0.2603935185185185</v>
      </c>
      <c r="W443" s="10">
        <v>7.5127314814814813E-2</v>
      </c>
      <c r="X443" s="10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 t="s">
        <v>139</v>
      </c>
      <c r="AF443" s="9" t="s">
        <v>3663</v>
      </c>
      <c r="AG443" s="9" t="s">
        <v>3664</v>
      </c>
      <c r="AH443" s="9">
        <v>6.2728659999999996</v>
      </c>
      <c r="AI443" s="9">
        <v>-75.574477999999999</v>
      </c>
      <c r="AJ443" s="9" t="s">
        <v>3665</v>
      </c>
      <c r="AK443" s="9">
        <v>6.2728700000000002</v>
      </c>
      <c r="AL443" s="9">
        <v>-75.574524999999994</v>
      </c>
      <c r="AM443" s="26">
        <f t="shared" si="7"/>
        <v>1.172453703703704E-2</v>
      </c>
    </row>
    <row r="444" spans="1:40" ht="15" x14ac:dyDescent="0.25">
      <c r="A444" s="9" t="s">
        <v>3666</v>
      </c>
      <c r="B444" s="9" t="s">
        <v>3667</v>
      </c>
      <c r="C444" s="9" t="s">
        <v>3668</v>
      </c>
      <c r="D444" s="9" t="s">
        <v>3629</v>
      </c>
      <c r="E444" s="9" t="s">
        <v>2619</v>
      </c>
      <c r="F444" s="9" t="s">
        <v>315</v>
      </c>
      <c r="G444" s="9" t="s">
        <v>152</v>
      </c>
      <c r="H444" s="9" t="s">
        <v>153</v>
      </c>
      <c r="I444" s="9" t="s">
        <v>40</v>
      </c>
      <c r="J444" s="9">
        <v>2361</v>
      </c>
      <c r="K444" s="9" t="s">
        <v>3669</v>
      </c>
      <c r="L444" s="9" t="s">
        <v>42</v>
      </c>
      <c r="M444" s="10">
        <v>9.9537037037037042E-4</v>
      </c>
      <c r="N444" s="9" t="s">
        <v>65</v>
      </c>
      <c r="O444" s="9" t="s">
        <v>3670</v>
      </c>
      <c r="P444" s="9" t="s">
        <v>45</v>
      </c>
      <c r="Q444" s="10">
        <v>0.16025462962962961</v>
      </c>
      <c r="R444" s="9" t="s">
        <v>56</v>
      </c>
      <c r="S444" s="10">
        <v>0.17208333333333331</v>
      </c>
      <c r="T444" s="9">
        <v>30.536000000000001</v>
      </c>
      <c r="U444" s="9">
        <v>9.1</v>
      </c>
      <c r="V444" s="10">
        <v>0.1398726851851852</v>
      </c>
      <c r="W444" s="10">
        <v>7.9618055555555553E-2</v>
      </c>
      <c r="X444" s="10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1</v>
      </c>
      <c r="AE444" s="9" t="s">
        <v>67</v>
      </c>
      <c r="AF444" s="9" t="s">
        <v>3671</v>
      </c>
      <c r="AG444" s="9" t="s">
        <v>3672</v>
      </c>
      <c r="AH444" s="9">
        <v>6.2255229999999999</v>
      </c>
      <c r="AI444" s="9">
        <v>-75.598996999999997</v>
      </c>
      <c r="AJ444" s="9" t="s">
        <v>3673</v>
      </c>
      <c r="AK444" s="9">
        <v>6.2518479999999998</v>
      </c>
      <c r="AL444" s="9">
        <v>-75.551895000000002</v>
      </c>
      <c r="AM444" s="26">
        <f t="shared" si="7"/>
        <v>0.16025462962962961</v>
      </c>
    </row>
    <row r="445" spans="1:40" ht="15" x14ac:dyDescent="0.25">
      <c r="A445" s="9" t="s">
        <v>3674</v>
      </c>
      <c r="B445" s="9" t="s">
        <v>3675</v>
      </c>
      <c r="C445" s="9" t="s">
        <v>3676</v>
      </c>
      <c r="D445" s="9" t="s">
        <v>3629</v>
      </c>
      <c r="E445" s="9" t="s">
        <v>2619</v>
      </c>
      <c r="F445" s="9" t="s">
        <v>315</v>
      </c>
      <c r="G445" s="9" t="s">
        <v>89</v>
      </c>
      <c r="H445" s="9" t="s">
        <v>90</v>
      </c>
      <c r="I445" s="9" t="s">
        <v>40</v>
      </c>
      <c r="J445" s="9">
        <v>2655</v>
      </c>
      <c r="K445" s="9" t="s">
        <v>3677</v>
      </c>
      <c r="L445" s="9" t="s">
        <v>42</v>
      </c>
      <c r="M445" s="10">
        <v>0.15334490740740739</v>
      </c>
      <c r="N445" s="9" t="s">
        <v>43</v>
      </c>
      <c r="O445" s="9" t="s">
        <v>3678</v>
      </c>
      <c r="P445" s="9" t="s">
        <v>45</v>
      </c>
      <c r="Q445" s="10">
        <v>4.3055555555555564E-3</v>
      </c>
      <c r="R445" s="9" t="s">
        <v>46</v>
      </c>
      <c r="S445" s="10">
        <v>0.17568287037037039</v>
      </c>
      <c r="T445" s="9">
        <v>34.792000000000002</v>
      </c>
      <c r="U445" s="9">
        <v>12.26</v>
      </c>
      <c r="V445" s="10">
        <v>0.1182638888888889</v>
      </c>
      <c r="W445" s="10">
        <v>4.4780092592592587E-2</v>
      </c>
      <c r="X445" s="10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 t="s">
        <v>47</v>
      </c>
      <c r="AF445" s="9" t="s">
        <v>3679</v>
      </c>
      <c r="AG445" s="9" t="s">
        <v>3680</v>
      </c>
      <c r="AH445" s="9">
        <v>6.2575839999999996</v>
      </c>
      <c r="AI445" s="9">
        <v>-75.561882999999995</v>
      </c>
      <c r="AJ445" s="9" t="s">
        <v>3681</v>
      </c>
      <c r="AK445" s="9">
        <v>6.2783480000000003</v>
      </c>
      <c r="AL445" s="9">
        <v>-75.569460000000007</v>
      </c>
      <c r="AM445" s="27">
        <f t="shared" si="7"/>
        <v>0.15334490740740739</v>
      </c>
    </row>
    <row r="446" spans="1:40" ht="15" x14ac:dyDescent="0.25">
      <c r="A446" s="9" t="s">
        <v>3682</v>
      </c>
      <c r="B446" s="9" t="s">
        <v>3683</v>
      </c>
      <c r="C446" s="9" t="s">
        <v>3684</v>
      </c>
      <c r="D446" s="9" t="s">
        <v>3629</v>
      </c>
      <c r="E446" s="9" t="s">
        <v>2619</v>
      </c>
      <c r="F446" s="9" t="s">
        <v>315</v>
      </c>
      <c r="G446" s="9" t="s">
        <v>105</v>
      </c>
      <c r="H446" s="9" t="s">
        <v>106</v>
      </c>
      <c r="I446" s="9" t="s">
        <v>40</v>
      </c>
      <c r="J446" s="9">
        <v>2645</v>
      </c>
      <c r="K446" s="9" t="s">
        <v>3685</v>
      </c>
      <c r="L446" s="9" t="s">
        <v>42</v>
      </c>
      <c r="M446" s="10">
        <v>1.7326388888888891E-2</v>
      </c>
      <c r="N446" s="9" t="s">
        <v>43</v>
      </c>
      <c r="O446" s="9" t="s">
        <v>3686</v>
      </c>
      <c r="P446" s="9" t="s">
        <v>45</v>
      </c>
      <c r="Q446" s="10">
        <v>3.5763888888888889E-3</v>
      </c>
      <c r="R446" s="9" t="s">
        <v>46</v>
      </c>
      <c r="S446" s="10">
        <v>0.31958333333333327</v>
      </c>
      <c r="T446" s="9">
        <v>33.097000000000001</v>
      </c>
      <c r="U446" s="9">
        <v>5.53</v>
      </c>
      <c r="V446" s="10">
        <v>0.24956018518518519</v>
      </c>
      <c r="W446" s="10">
        <v>0.17658564814814809</v>
      </c>
      <c r="X446" s="10">
        <v>5.5833333333333332E-2</v>
      </c>
      <c r="Y446" s="9">
        <v>1</v>
      </c>
      <c r="Z446" s="9">
        <v>1</v>
      </c>
      <c r="AA446" s="9">
        <v>1</v>
      </c>
      <c r="AB446" s="9">
        <v>1</v>
      </c>
      <c r="AC446" s="9">
        <v>1</v>
      </c>
      <c r="AD446" s="9">
        <v>1</v>
      </c>
      <c r="AE446" s="9" t="s">
        <v>47</v>
      </c>
      <c r="AF446" s="9" t="s">
        <v>3687</v>
      </c>
      <c r="AG446" s="9" t="s">
        <v>3688</v>
      </c>
      <c r="AH446" s="9">
        <v>6.2255500000000001</v>
      </c>
      <c r="AI446" s="9">
        <v>-75.599144999999993</v>
      </c>
      <c r="AJ446" s="9" t="s">
        <v>3689</v>
      </c>
      <c r="AK446" s="9">
        <v>6.2586539999999999</v>
      </c>
      <c r="AL446" s="9">
        <v>-75.616274000000004</v>
      </c>
      <c r="AM446" s="26">
        <f t="shared" si="7"/>
        <v>1.7326388888888891E-2</v>
      </c>
    </row>
    <row r="447" spans="1:40" ht="15" x14ac:dyDescent="0.25">
      <c r="A447" s="9" t="s">
        <v>3690</v>
      </c>
      <c r="B447" s="9" t="s">
        <v>3691</v>
      </c>
      <c r="C447" s="9" t="s">
        <v>3692</v>
      </c>
      <c r="D447" s="9" t="s">
        <v>3629</v>
      </c>
      <c r="E447" s="9" t="s">
        <v>2619</v>
      </c>
      <c r="F447" s="9" t="s">
        <v>315</v>
      </c>
      <c r="G447" s="9" t="s">
        <v>113</v>
      </c>
      <c r="H447" s="9" t="s">
        <v>114</v>
      </c>
      <c r="I447" s="9" t="s">
        <v>40</v>
      </c>
      <c r="J447" s="9">
        <v>2087</v>
      </c>
      <c r="K447" s="9" t="s">
        <v>3693</v>
      </c>
      <c r="L447" s="9" t="s">
        <v>42</v>
      </c>
      <c r="M447" s="10">
        <v>4.8032407407407407E-3</v>
      </c>
      <c r="N447" s="9" t="s">
        <v>65</v>
      </c>
      <c r="O447" s="9" t="s">
        <v>3694</v>
      </c>
      <c r="P447" s="9" t="s">
        <v>45</v>
      </c>
      <c r="Q447" s="10">
        <v>5.9375000000000001E-3</v>
      </c>
      <c r="R447" s="9" t="s">
        <v>46</v>
      </c>
      <c r="S447" s="10">
        <v>0.33219907407407412</v>
      </c>
      <c r="T447" s="9">
        <v>27.123000000000001</v>
      </c>
      <c r="U447" s="9">
        <v>4.01</v>
      </c>
      <c r="V447" s="10">
        <v>0.2817824074074074</v>
      </c>
      <c r="W447" s="10">
        <v>0.22500000000000001</v>
      </c>
      <c r="X447" s="10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4</v>
      </c>
      <c r="AE447" s="9" t="s">
        <v>84</v>
      </c>
      <c r="AF447" s="9" t="s">
        <v>1602</v>
      </c>
      <c r="AG447" s="9" t="s">
        <v>3695</v>
      </c>
      <c r="AH447" s="9">
        <v>6.2337309999999997</v>
      </c>
      <c r="AI447" s="9">
        <v>-75.602238</v>
      </c>
      <c r="AJ447" s="9" t="s">
        <v>3696</v>
      </c>
      <c r="AK447" s="9">
        <v>6.2474550000000004</v>
      </c>
      <c r="AL447" s="9">
        <v>-75.578222999999994</v>
      </c>
      <c r="AM447" s="26">
        <f t="shared" si="7"/>
        <v>0</v>
      </c>
    </row>
    <row r="448" spans="1:40" ht="15" x14ac:dyDescent="0.25">
      <c r="A448" s="9" t="s">
        <v>3697</v>
      </c>
      <c r="B448" s="9" t="s">
        <v>3698</v>
      </c>
      <c r="C448" s="9" t="s">
        <v>3699</v>
      </c>
      <c r="D448" s="9" t="s">
        <v>3629</v>
      </c>
      <c r="E448" s="9" t="s">
        <v>2619</v>
      </c>
      <c r="F448" s="9" t="s">
        <v>315</v>
      </c>
      <c r="G448" s="9" t="s">
        <v>124</v>
      </c>
      <c r="H448" s="9" t="s">
        <v>125</v>
      </c>
      <c r="I448" s="9" t="s">
        <v>115</v>
      </c>
      <c r="J448" s="9">
        <v>4583</v>
      </c>
      <c r="K448" s="9" t="s">
        <v>3700</v>
      </c>
      <c r="L448" s="9" t="s">
        <v>117</v>
      </c>
      <c r="M448" s="10">
        <v>3.5856481481481482E-2</v>
      </c>
      <c r="N448" s="9" t="s">
        <v>127</v>
      </c>
      <c r="O448" s="9" t="s">
        <v>3701</v>
      </c>
      <c r="P448" s="9" t="s">
        <v>119</v>
      </c>
      <c r="Q448" s="10">
        <v>6.8055555555555551E-3</v>
      </c>
      <c r="R448" s="9" t="s">
        <v>46</v>
      </c>
      <c r="S448" s="10">
        <v>0.29266203703703703</v>
      </c>
      <c r="T448" s="9">
        <v>57.735999999999997</v>
      </c>
      <c r="U448" s="9">
        <v>11.68</v>
      </c>
      <c r="V448" s="10">
        <v>0.20599537037037041</v>
      </c>
      <c r="W448" s="10">
        <v>7.8113425925925919E-2</v>
      </c>
      <c r="X448" s="10">
        <v>8.9004629629629625E-3</v>
      </c>
      <c r="Y448" s="9">
        <v>1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 t="s">
        <v>139</v>
      </c>
      <c r="AF448" s="9" t="s">
        <v>3702</v>
      </c>
      <c r="AG448" s="9" t="s">
        <v>3703</v>
      </c>
      <c r="AH448" s="9">
        <v>6.2310679999999996</v>
      </c>
      <c r="AI448" s="9">
        <v>-75.601834999999994</v>
      </c>
      <c r="AJ448" s="9" t="s">
        <v>3704</v>
      </c>
      <c r="AK448" s="9">
        <v>6.2725330000000001</v>
      </c>
      <c r="AL448" s="9">
        <v>-75.601930999999993</v>
      </c>
      <c r="AM448" s="26">
        <f t="shared" si="7"/>
        <v>0</v>
      </c>
    </row>
    <row r="449" spans="1:39" ht="15" x14ac:dyDescent="0.25">
      <c r="A449" s="9" t="s">
        <v>3705</v>
      </c>
      <c r="B449" s="9" t="s">
        <v>3706</v>
      </c>
      <c r="C449" s="9" t="s">
        <v>3707</v>
      </c>
      <c r="D449" s="9" t="s">
        <v>3629</v>
      </c>
      <c r="E449" s="9" t="s">
        <v>2619</v>
      </c>
      <c r="F449" s="9" t="s">
        <v>315</v>
      </c>
      <c r="G449" s="9" t="s">
        <v>72</v>
      </c>
      <c r="H449" s="9" t="s">
        <v>73</v>
      </c>
      <c r="I449" s="9" t="s">
        <v>115</v>
      </c>
      <c r="J449" s="9">
        <v>2268</v>
      </c>
      <c r="K449" s="9" t="s">
        <v>3708</v>
      </c>
      <c r="L449" s="9" t="s">
        <v>117</v>
      </c>
      <c r="M449" s="10">
        <v>5.7418981481481481E-2</v>
      </c>
      <c r="N449" s="9" t="s">
        <v>127</v>
      </c>
      <c r="O449" s="9" t="s">
        <v>3709</v>
      </c>
      <c r="P449" s="9" t="s">
        <v>119</v>
      </c>
      <c r="Q449" s="10">
        <v>0.12162037037037041</v>
      </c>
      <c r="R449" s="9" t="s">
        <v>56</v>
      </c>
      <c r="S449" s="10">
        <v>0.18579861111111109</v>
      </c>
      <c r="T449" s="9">
        <v>31.108000000000001</v>
      </c>
      <c r="U449" s="9">
        <v>9.2899999999999991</v>
      </c>
      <c r="V449" s="10">
        <v>0.13958333333333331</v>
      </c>
      <c r="W449" s="10">
        <v>9.7025462962962966E-2</v>
      </c>
      <c r="X449" s="10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 t="s">
        <v>139</v>
      </c>
      <c r="AF449" s="9" t="s">
        <v>3710</v>
      </c>
      <c r="AG449" s="9" t="s">
        <v>3711</v>
      </c>
      <c r="AH449" s="9">
        <v>6.2258310000000003</v>
      </c>
      <c r="AI449" s="9">
        <v>-75.599080000000001</v>
      </c>
      <c r="AJ449" s="9" t="s">
        <v>3712</v>
      </c>
      <c r="AK449" s="9">
        <v>6.2369149999999998</v>
      </c>
      <c r="AL449" s="9">
        <v>-75.558753999999993</v>
      </c>
      <c r="AM449" s="27">
        <f t="shared" si="7"/>
        <v>0.12162037037037041</v>
      </c>
    </row>
    <row r="450" spans="1:39" ht="15" x14ac:dyDescent="0.25">
      <c r="A450" s="9" t="s">
        <v>3715</v>
      </c>
      <c r="B450" s="9" t="s">
        <v>3716</v>
      </c>
      <c r="C450" s="9" t="s">
        <v>3717</v>
      </c>
      <c r="D450" s="9" t="s">
        <v>3629</v>
      </c>
      <c r="E450" s="9" t="s">
        <v>2619</v>
      </c>
      <c r="F450" s="9" t="s">
        <v>315</v>
      </c>
      <c r="G450" s="9" t="s">
        <v>160</v>
      </c>
      <c r="H450" s="9" t="s">
        <v>161</v>
      </c>
      <c r="I450" s="9" t="s">
        <v>115</v>
      </c>
      <c r="J450" s="9">
        <v>10573</v>
      </c>
      <c r="K450" s="9" t="s">
        <v>3718</v>
      </c>
      <c r="L450" s="9" t="s">
        <v>117</v>
      </c>
      <c r="M450" s="10">
        <v>3.6288692129629631E-2</v>
      </c>
      <c r="N450" s="9" t="s">
        <v>127</v>
      </c>
      <c r="O450" s="9" t="s">
        <v>3719</v>
      </c>
      <c r="P450" s="9" t="s">
        <v>119</v>
      </c>
      <c r="Q450" s="10">
        <v>2.6696643518518519E-3</v>
      </c>
      <c r="R450" s="9" t="s">
        <v>46</v>
      </c>
      <c r="S450" s="10">
        <v>0.28895835648148149</v>
      </c>
      <c r="T450" s="9">
        <v>53.040999999999997</v>
      </c>
      <c r="U450" s="9">
        <v>12.73</v>
      </c>
      <c r="V450" s="10">
        <v>0.1736332986111111</v>
      </c>
      <c r="W450" s="10">
        <v>0.12728898148148149</v>
      </c>
      <c r="X450" s="10">
        <v>4.0856597222222223E-3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2</v>
      </c>
      <c r="AE450" s="9" t="s">
        <v>139</v>
      </c>
      <c r="AF450" s="9" t="s">
        <v>3720</v>
      </c>
      <c r="AG450" s="9" t="s">
        <v>3721</v>
      </c>
      <c r="AH450" s="9">
        <v>6.2266570000000003</v>
      </c>
      <c r="AI450" s="9">
        <v>-75.599265000000003</v>
      </c>
      <c r="AJ450" s="9" t="s">
        <v>3722</v>
      </c>
      <c r="AK450" s="9">
        <v>6.2684519999999999</v>
      </c>
      <c r="AL450" s="9">
        <v>-75.599154999999996</v>
      </c>
      <c r="AM450" s="26">
        <f t="shared" si="7"/>
        <v>0</v>
      </c>
    </row>
    <row r="451" spans="1:39" ht="15" x14ac:dyDescent="0.25">
      <c r="A451" s="9" t="s">
        <v>3723</v>
      </c>
      <c r="B451" s="9" t="s">
        <v>3724</v>
      </c>
      <c r="C451" s="9" t="s">
        <v>3725</v>
      </c>
      <c r="D451" s="9" t="s">
        <v>3629</v>
      </c>
      <c r="E451" s="9" t="s">
        <v>2619</v>
      </c>
      <c r="F451" s="9" t="s">
        <v>315</v>
      </c>
      <c r="G451" s="9" t="s">
        <v>97</v>
      </c>
      <c r="H451" s="9" t="s">
        <v>98</v>
      </c>
      <c r="I451" s="9" t="s">
        <v>115</v>
      </c>
      <c r="J451" s="9">
        <v>1713</v>
      </c>
      <c r="K451" s="9" t="s">
        <v>3726</v>
      </c>
      <c r="L451" s="9" t="s">
        <v>117</v>
      </c>
      <c r="M451" s="10">
        <v>1.8101851851851852E-2</v>
      </c>
      <c r="N451" s="9" t="s">
        <v>43</v>
      </c>
      <c r="O451" s="9" t="s">
        <v>3727</v>
      </c>
      <c r="P451" s="9" t="s">
        <v>119</v>
      </c>
      <c r="Q451" s="10">
        <v>8.9236111111111113E-3</v>
      </c>
      <c r="R451" s="9" t="s">
        <v>46</v>
      </c>
      <c r="S451" s="10">
        <v>0.22297453703703701</v>
      </c>
      <c r="T451" s="9">
        <v>25.247</v>
      </c>
      <c r="U451" s="9">
        <v>7.48</v>
      </c>
      <c r="V451" s="10">
        <v>0.14072916666666671</v>
      </c>
      <c r="W451" s="10">
        <v>9.9722222222222226E-2</v>
      </c>
      <c r="X451" s="10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 t="s">
        <v>47</v>
      </c>
      <c r="AF451" s="9" t="s">
        <v>3728</v>
      </c>
      <c r="AG451" s="9" t="s">
        <v>3729</v>
      </c>
      <c r="AH451" s="9">
        <v>6.2227800000000002</v>
      </c>
      <c r="AI451" s="9">
        <v>-75.598579999999998</v>
      </c>
      <c r="AJ451" s="9" t="s">
        <v>3730</v>
      </c>
      <c r="AK451" s="9">
        <v>6.3050860000000002</v>
      </c>
      <c r="AL451" s="9">
        <v>-75.581832000000006</v>
      </c>
      <c r="AM451" s="26">
        <f t="shared" si="7"/>
        <v>1.8101851851851852E-2</v>
      </c>
    </row>
    <row r="452" spans="1:39" ht="15" x14ac:dyDescent="0.25">
      <c r="A452" s="9" t="s">
        <v>3731</v>
      </c>
      <c r="B452" s="9" t="s">
        <v>3732</v>
      </c>
      <c r="C452" s="9" t="s">
        <v>3733</v>
      </c>
      <c r="D452" s="9" t="s">
        <v>3629</v>
      </c>
      <c r="E452" s="9" t="s">
        <v>2619</v>
      </c>
      <c r="F452" s="9" t="s">
        <v>315</v>
      </c>
      <c r="G452" s="9" t="s">
        <v>80</v>
      </c>
      <c r="H452" s="9" t="s">
        <v>81</v>
      </c>
      <c r="I452" s="9" t="s">
        <v>115</v>
      </c>
      <c r="J452" s="9">
        <v>6057</v>
      </c>
      <c r="K452" s="9" t="s">
        <v>3734</v>
      </c>
      <c r="L452" s="9" t="s">
        <v>117</v>
      </c>
      <c r="M452" s="10">
        <v>4.1765972222222222E-3</v>
      </c>
      <c r="N452" s="9" t="s">
        <v>65</v>
      </c>
      <c r="O452" s="9" t="s">
        <v>3713</v>
      </c>
      <c r="P452" s="9" t="s">
        <v>119</v>
      </c>
      <c r="Q452" s="10">
        <v>4.9383217592592586E-3</v>
      </c>
      <c r="R452" s="9" t="s">
        <v>46</v>
      </c>
      <c r="S452" s="10">
        <v>0.24088508101851849</v>
      </c>
      <c r="T452" s="9">
        <v>44.335000000000001</v>
      </c>
      <c r="U452" s="9">
        <v>19.84</v>
      </c>
      <c r="V452" s="10">
        <v>9.3103379629629904E-2</v>
      </c>
      <c r="W452" s="10">
        <v>3.9449340277777772E-2</v>
      </c>
      <c r="X452" s="10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11</v>
      </c>
      <c r="AE452" s="9" t="s">
        <v>84</v>
      </c>
      <c r="AF452" s="9" t="s">
        <v>190</v>
      </c>
      <c r="AG452" s="9" t="s">
        <v>3735</v>
      </c>
      <c r="AH452" s="9">
        <v>6.2382499999999999</v>
      </c>
      <c r="AI452" s="9">
        <v>-75.602973000000006</v>
      </c>
      <c r="AJ452" s="9" t="s">
        <v>3714</v>
      </c>
      <c r="AK452" s="9">
        <v>6.2592230000000004</v>
      </c>
      <c r="AL452" s="9">
        <v>-75.620935000000003</v>
      </c>
      <c r="AM452" s="26">
        <f t="shared" si="7"/>
        <v>0</v>
      </c>
    </row>
    <row r="453" spans="1:39" ht="15" x14ac:dyDescent="0.25">
      <c r="A453" s="9" t="s">
        <v>3736</v>
      </c>
      <c r="B453" s="9" t="s">
        <v>3737</v>
      </c>
      <c r="C453" s="9" t="s">
        <v>3738</v>
      </c>
      <c r="D453" s="9" t="s">
        <v>3739</v>
      </c>
      <c r="E453" s="9" t="s">
        <v>2619</v>
      </c>
      <c r="F453" s="9" t="s">
        <v>406</v>
      </c>
      <c r="G453" s="9" t="s">
        <v>52</v>
      </c>
      <c r="H453" s="9" t="s">
        <v>53</v>
      </c>
      <c r="I453" s="9" t="s">
        <v>40</v>
      </c>
      <c r="J453" s="9">
        <v>2879</v>
      </c>
      <c r="K453" s="9" t="s">
        <v>3740</v>
      </c>
      <c r="L453" s="9" t="s">
        <v>42</v>
      </c>
      <c r="M453" s="10">
        <v>5.7638888888888887E-3</v>
      </c>
      <c r="N453" s="9" t="s">
        <v>65</v>
      </c>
      <c r="O453" s="9" t="s">
        <v>3741</v>
      </c>
      <c r="P453" s="9" t="s">
        <v>413</v>
      </c>
      <c r="Q453" s="10">
        <v>9.2245370370370363E-3</v>
      </c>
      <c r="R453" s="9" t="s">
        <v>46</v>
      </c>
      <c r="S453" s="10">
        <v>0.31596064814814823</v>
      </c>
      <c r="T453" s="9">
        <v>37.860999999999997</v>
      </c>
      <c r="U453" s="9">
        <v>5.88</v>
      </c>
      <c r="V453" s="10">
        <v>0.26834490740740741</v>
      </c>
      <c r="W453" s="10">
        <v>0.21083333333333329</v>
      </c>
      <c r="X453" s="10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2</v>
      </c>
      <c r="AE453" s="9" t="s">
        <v>84</v>
      </c>
      <c r="AF453" s="9" t="s">
        <v>1384</v>
      </c>
      <c r="AG453" s="9" t="s">
        <v>3742</v>
      </c>
      <c r="AH453" s="9">
        <v>6.2256669999999996</v>
      </c>
      <c r="AI453" s="9">
        <v>-75.599476999999993</v>
      </c>
      <c r="AJ453" s="9" t="s">
        <v>3743</v>
      </c>
      <c r="AK453" s="9">
        <v>6.2285339999999998</v>
      </c>
      <c r="AL453" s="9">
        <v>-75.577226999999993</v>
      </c>
      <c r="AM453" s="27">
        <f t="shared" si="7"/>
        <v>0</v>
      </c>
    </row>
    <row r="454" spans="1:39" ht="15" x14ac:dyDescent="0.25">
      <c r="A454" s="9" t="s">
        <v>3744</v>
      </c>
      <c r="B454" s="9" t="s">
        <v>3745</v>
      </c>
      <c r="C454" s="9" t="s">
        <v>3746</v>
      </c>
      <c r="D454" s="9" t="s">
        <v>3739</v>
      </c>
      <c r="E454" s="9" t="s">
        <v>2619</v>
      </c>
      <c r="F454" s="9" t="s">
        <v>406</v>
      </c>
      <c r="G454" s="9" t="s">
        <v>62</v>
      </c>
      <c r="H454" s="9" t="s">
        <v>63</v>
      </c>
      <c r="I454" s="9" t="s">
        <v>40</v>
      </c>
      <c r="J454" s="9">
        <v>3657</v>
      </c>
      <c r="K454" s="9" t="s">
        <v>3747</v>
      </c>
      <c r="L454" s="9" t="s">
        <v>42</v>
      </c>
      <c r="M454" s="10">
        <v>1.3657407407407409E-3</v>
      </c>
      <c r="N454" s="9" t="s">
        <v>65</v>
      </c>
      <c r="O454" s="9" t="s">
        <v>3748</v>
      </c>
      <c r="P454" s="9" t="s">
        <v>413</v>
      </c>
      <c r="Q454" s="10">
        <v>9.2245370370370366E-2</v>
      </c>
      <c r="R454" s="9" t="s">
        <v>56</v>
      </c>
      <c r="S454" s="10">
        <v>0.22162037037037041</v>
      </c>
      <c r="T454" s="9">
        <v>61.594999999999999</v>
      </c>
      <c r="U454" s="9">
        <v>14.46</v>
      </c>
      <c r="V454" s="10">
        <v>0.17753472222222219</v>
      </c>
      <c r="W454" s="10">
        <v>0.1110648148148148</v>
      </c>
      <c r="X454" s="10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2</v>
      </c>
      <c r="AE454" s="9" t="s">
        <v>67</v>
      </c>
      <c r="AF454" s="9" t="s">
        <v>3749</v>
      </c>
      <c r="AG454" s="9" t="s">
        <v>3750</v>
      </c>
      <c r="AH454" s="9">
        <v>6.2258149999999999</v>
      </c>
      <c r="AI454" s="9">
        <v>-75.599408999999994</v>
      </c>
      <c r="AJ454" s="9" t="s">
        <v>3751</v>
      </c>
      <c r="AK454" s="9">
        <v>6.2902979999999999</v>
      </c>
      <c r="AL454" s="9">
        <v>-75.558481999999998</v>
      </c>
      <c r="AM454" s="26">
        <f t="shared" ref="AM454:AM517" si="8">IF(N454="INICIO TARDÍO",M454,0)+IF(R454="TERMINÓ ANTES",Q454,0)</f>
        <v>9.2245370370370366E-2</v>
      </c>
    </row>
    <row r="455" spans="1:39" ht="15" x14ac:dyDescent="0.25">
      <c r="A455" s="9" t="s">
        <v>3752</v>
      </c>
      <c r="B455" s="9" t="s">
        <v>3753</v>
      </c>
      <c r="C455" s="9" t="s">
        <v>3754</v>
      </c>
      <c r="D455" s="9" t="s">
        <v>3739</v>
      </c>
      <c r="E455" s="9" t="s">
        <v>2619</v>
      </c>
      <c r="F455" s="9" t="s">
        <v>406</v>
      </c>
      <c r="G455" s="9" t="s">
        <v>144</v>
      </c>
      <c r="H455" s="9" t="s">
        <v>145</v>
      </c>
      <c r="I455" s="9" t="s">
        <v>40</v>
      </c>
      <c r="J455" s="9">
        <v>8202</v>
      </c>
      <c r="K455" s="9" t="s">
        <v>3755</v>
      </c>
      <c r="L455" s="9" t="s">
        <v>42</v>
      </c>
      <c r="M455" s="10">
        <v>1.6898148148148152E-2</v>
      </c>
      <c r="N455" s="9" t="s">
        <v>127</v>
      </c>
      <c r="O455" s="9" t="s">
        <v>3756</v>
      </c>
      <c r="P455" s="9" t="s">
        <v>413</v>
      </c>
      <c r="Q455" s="10">
        <v>4.1550925925925922E-3</v>
      </c>
      <c r="R455" s="9" t="s">
        <v>46</v>
      </c>
      <c r="S455" s="10">
        <v>0.32524305555555549</v>
      </c>
      <c r="T455" s="9">
        <v>110.121</v>
      </c>
      <c r="U455" s="9">
        <v>17.78</v>
      </c>
      <c r="V455" s="10">
        <v>0.25802083333333331</v>
      </c>
      <c r="W455" s="10">
        <v>6.1759259259259257E-2</v>
      </c>
      <c r="X455" s="10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 t="s">
        <v>139</v>
      </c>
      <c r="AF455" s="9" t="s">
        <v>3757</v>
      </c>
      <c r="AG455" s="9" t="s">
        <v>3758</v>
      </c>
      <c r="AH455" s="9">
        <v>6.2727560000000002</v>
      </c>
      <c r="AI455" s="9">
        <v>-75.574511999999999</v>
      </c>
      <c r="AJ455" s="9" t="s">
        <v>3759</v>
      </c>
      <c r="AK455" s="9">
        <v>6.2727890000000004</v>
      </c>
      <c r="AL455" s="9">
        <v>-75.574415999999999</v>
      </c>
      <c r="AM455" s="26">
        <f t="shared" si="8"/>
        <v>0</v>
      </c>
    </row>
    <row r="456" spans="1:39" ht="15" x14ac:dyDescent="0.25">
      <c r="A456" s="9" t="s">
        <v>3760</v>
      </c>
      <c r="B456" s="9" t="s">
        <v>3761</v>
      </c>
      <c r="C456" s="9" t="s">
        <v>3762</v>
      </c>
      <c r="D456" s="9" t="s">
        <v>3739</v>
      </c>
      <c r="E456" s="9" t="s">
        <v>2619</v>
      </c>
      <c r="F456" s="9" t="s">
        <v>406</v>
      </c>
      <c r="G456" s="9" t="s">
        <v>152</v>
      </c>
      <c r="H456" s="9" t="s">
        <v>153</v>
      </c>
      <c r="I456" s="9" t="s">
        <v>40</v>
      </c>
      <c r="J456" s="9">
        <v>2372</v>
      </c>
      <c r="K456" s="9" t="s">
        <v>3763</v>
      </c>
      <c r="L456" s="9" t="s">
        <v>42</v>
      </c>
      <c r="M456" s="10">
        <v>4.2430555555555548E-2</v>
      </c>
      <c r="N456" s="9" t="s">
        <v>127</v>
      </c>
      <c r="O456" s="9" t="s">
        <v>3764</v>
      </c>
      <c r="P456" s="9" t="s">
        <v>413</v>
      </c>
      <c r="Q456" s="10">
        <v>5.5787037037037038E-2</v>
      </c>
      <c r="R456" s="9" t="s">
        <v>56</v>
      </c>
      <c r="S456" s="10">
        <v>0.2991435185185185</v>
      </c>
      <c r="T456" s="9">
        <v>28.603000000000002</v>
      </c>
      <c r="U456" s="9">
        <v>5.0199999999999996</v>
      </c>
      <c r="V456" s="10">
        <v>0.23751157407407411</v>
      </c>
      <c r="W456" s="10">
        <v>0.1792361111111111</v>
      </c>
      <c r="X456" s="10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 t="s">
        <v>139</v>
      </c>
      <c r="AF456" s="9" t="s">
        <v>3765</v>
      </c>
      <c r="AG456" s="9" t="s">
        <v>3766</v>
      </c>
      <c r="AH456" s="9">
        <v>6.2539730000000002</v>
      </c>
      <c r="AI456" s="9">
        <v>-75.588212999999996</v>
      </c>
      <c r="AJ456" s="9" t="s">
        <v>3767</v>
      </c>
      <c r="AK456" s="9">
        <v>6.2518599999999998</v>
      </c>
      <c r="AL456" s="9">
        <v>-75.551798000000005</v>
      </c>
      <c r="AM456" s="26">
        <f t="shared" si="8"/>
        <v>5.5787037037037038E-2</v>
      </c>
    </row>
    <row r="457" spans="1:39" ht="15" x14ac:dyDescent="0.25">
      <c r="A457" s="9" t="s">
        <v>3768</v>
      </c>
      <c r="B457" s="9" t="s">
        <v>3769</v>
      </c>
      <c r="C457" s="9" t="s">
        <v>3770</v>
      </c>
      <c r="D457" s="9" t="s">
        <v>3739</v>
      </c>
      <c r="E457" s="9" t="s">
        <v>2619</v>
      </c>
      <c r="F457" s="9" t="s">
        <v>406</v>
      </c>
      <c r="G457" s="9" t="s">
        <v>89</v>
      </c>
      <c r="H457" s="9" t="s">
        <v>90</v>
      </c>
      <c r="I457" s="9" t="s">
        <v>40</v>
      </c>
      <c r="J457" s="9">
        <v>3150</v>
      </c>
      <c r="K457" s="9" t="s">
        <v>3771</v>
      </c>
      <c r="L457" s="9" t="s">
        <v>42</v>
      </c>
      <c r="M457" s="10">
        <v>8.4259259259259253E-3</v>
      </c>
      <c r="N457" s="9" t="s">
        <v>65</v>
      </c>
      <c r="O457" s="9" t="s">
        <v>3772</v>
      </c>
      <c r="P457" s="9" t="s">
        <v>413</v>
      </c>
      <c r="Q457" s="10">
        <v>1.0995370370370371E-3</v>
      </c>
      <c r="R457" s="9" t="s">
        <v>46</v>
      </c>
      <c r="S457" s="10">
        <v>0.31982638888888892</v>
      </c>
      <c r="T457" s="9">
        <v>39.674999999999997</v>
      </c>
      <c r="U457" s="9">
        <v>7.7</v>
      </c>
      <c r="V457" s="10">
        <v>0.21479166666666669</v>
      </c>
      <c r="W457" s="10">
        <v>0.1312615740740741</v>
      </c>
      <c r="X457" s="10">
        <v>0</v>
      </c>
      <c r="Y457" s="9">
        <v>0</v>
      </c>
      <c r="Z457" s="9">
        <v>0</v>
      </c>
      <c r="AA457" s="9">
        <v>0</v>
      </c>
      <c r="AB457" s="9">
        <v>0</v>
      </c>
      <c r="AC457" s="9">
        <v>0</v>
      </c>
      <c r="AD457" s="9">
        <v>0</v>
      </c>
      <c r="AE457" s="9" t="s">
        <v>84</v>
      </c>
      <c r="AF457" s="9" t="s">
        <v>352</v>
      </c>
      <c r="AG457" s="9" t="s">
        <v>3773</v>
      </c>
      <c r="AH457" s="9">
        <v>6.2266349999999999</v>
      </c>
      <c r="AI457" s="9">
        <v>-75.599202000000005</v>
      </c>
      <c r="AJ457" s="9" t="s">
        <v>3774</v>
      </c>
      <c r="AK457" s="9">
        <v>6.2486269999999999</v>
      </c>
      <c r="AL457" s="9">
        <v>-75.565270999999996</v>
      </c>
      <c r="AM457" s="27">
        <f t="shared" si="8"/>
        <v>0</v>
      </c>
    </row>
    <row r="458" spans="1:39" ht="15" x14ac:dyDescent="0.25">
      <c r="A458" s="9" t="s">
        <v>3775</v>
      </c>
      <c r="B458" s="9" t="s">
        <v>3776</v>
      </c>
      <c r="C458" s="9" t="s">
        <v>3777</v>
      </c>
      <c r="D458" s="9" t="s">
        <v>3778</v>
      </c>
      <c r="E458" s="9" t="s">
        <v>2619</v>
      </c>
      <c r="F458" s="9" t="s">
        <v>455</v>
      </c>
      <c r="G458" s="9" t="s">
        <v>52</v>
      </c>
      <c r="H458" s="9" t="s">
        <v>53</v>
      </c>
      <c r="I458" s="9" t="s">
        <v>40</v>
      </c>
      <c r="J458" s="9">
        <v>2845</v>
      </c>
      <c r="K458" s="9" t="s">
        <v>3779</v>
      </c>
      <c r="L458" s="9" t="s">
        <v>42</v>
      </c>
      <c r="M458" s="10">
        <v>7.7199074074074071E-3</v>
      </c>
      <c r="N458" s="9" t="s">
        <v>65</v>
      </c>
      <c r="O458" s="9" t="s">
        <v>3780</v>
      </c>
      <c r="P458" s="9" t="s">
        <v>413</v>
      </c>
      <c r="Q458" s="10">
        <v>8.9004629629629625E-3</v>
      </c>
      <c r="R458" s="9" t="s">
        <v>46</v>
      </c>
      <c r="S458" s="10">
        <v>0.2958796296296296</v>
      </c>
      <c r="T458" s="9">
        <v>37.237000000000002</v>
      </c>
      <c r="U458" s="9">
        <v>7.14</v>
      </c>
      <c r="V458" s="10">
        <v>0.21743055555555549</v>
      </c>
      <c r="W458" s="10">
        <v>0.1638310185185185</v>
      </c>
      <c r="X458" s="10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1</v>
      </c>
      <c r="AE458" s="9" t="s">
        <v>84</v>
      </c>
      <c r="AF458" s="9" t="s">
        <v>324</v>
      </c>
      <c r="AG458" s="9" t="s">
        <v>3781</v>
      </c>
      <c r="AH458" s="9">
        <v>6.2475709999999998</v>
      </c>
      <c r="AI458" s="9">
        <v>-75.614759000000006</v>
      </c>
      <c r="AJ458" s="9" t="s">
        <v>3782</v>
      </c>
      <c r="AK458" s="9">
        <v>6.2461289999999998</v>
      </c>
      <c r="AL458" s="9">
        <v>-75.609532999999999</v>
      </c>
      <c r="AM458" s="26">
        <f t="shared" si="8"/>
        <v>0</v>
      </c>
    </row>
    <row r="459" spans="1:39" ht="15" x14ac:dyDescent="0.25">
      <c r="A459" s="9" t="s">
        <v>3783</v>
      </c>
      <c r="B459" s="9" t="s">
        <v>3784</v>
      </c>
      <c r="C459" s="9" t="s">
        <v>3785</v>
      </c>
      <c r="D459" s="9" t="s">
        <v>3739</v>
      </c>
      <c r="E459" s="9" t="s">
        <v>2619</v>
      </c>
      <c r="F459" s="9" t="s">
        <v>406</v>
      </c>
      <c r="G459" s="9" t="s">
        <v>105</v>
      </c>
      <c r="H459" s="9" t="s">
        <v>106</v>
      </c>
      <c r="I459" s="9" t="s">
        <v>40</v>
      </c>
      <c r="J459" s="9">
        <v>1913</v>
      </c>
      <c r="K459" s="9" t="s">
        <v>3786</v>
      </c>
      <c r="L459" s="9" t="s">
        <v>42</v>
      </c>
      <c r="M459" s="10">
        <v>2.704861111111111E-2</v>
      </c>
      <c r="N459" s="9" t="s">
        <v>43</v>
      </c>
      <c r="O459" s="9" t="s">
        <v>3787</v>
      </c>
      <c r="P459" s="9" t="s">
        <v>413</v>
      </c>
      <c r="Q459" s="10">
        <v>2.3495370370370371E-2</v>
      </c>
      <c r="R459" s="9" t="s">
        <v>129</v>
      </c>
      <c r="S459" s="10">
        <v>0.30894675925925918</v>
      </c>
      <c r="T459" s="9">
        <v>26.805</v>
      </c>
      <c r="U459" s="9">
        <v>4.25</v>
      </c>
      <c r="V459" s="10">
        <v>0.26273148148148151</v>
      </c>
      <c r="W459" s="10">
        <v>0.2278472222222222</v>
      </c>
      <c r="X459" s="10">
        <v>3.2233796296296302E-2</v>
      </c>
      <c r="Y459" s="9">
        <v>1</v>
      </c>
      <c r="Z459" s="9">
        <v>1</v>
      </c>
      <c r="AA459" s="9">
        <v>1</v>
      </c>
      <c r="AB459" s="9">
        <v>1</v>
      </c>
      <c r="AC459" s="9">
        <v>0</v>
      </c>
      <c r="AD459" s="9">
        <v>1</v>
      </c>
      <c r="AE459" s="9" t="s">
        <v>130</v>
      </c>
      <c r="AF459" s="9" t="s">
        <v>3788</v>
      </c>
      <c r="AG459" s="9" t="s">
        <v>3789</v>
      </c>
      <c r="AH459" s="9">
        <v>6.2255779999999996</v>
      </c>
      <c r="AI459" s="9">
        <v>-75.599352999999994</v>
      </c>
      <c r="AJ459" s="9" t="s">
        <v>3790</v>
      </c>
      <c r="AK459" s="9">
        <v>6.2585470000000001</v>
      </c>
      <c r="AL459" s="9">
        <v>-75.616319000000004</v>
      </c>
      <c r="AM459" s="26">
        <f t="shared" si="8"/>
        <v>2.704861111111111E-2</v>
      </c>
    </row>
    <row r="460" spans="1:39" ht="15" x14ac:dyDescent="0.25">
      <c r="A460" s="9" t="s">
        <v>3791</v>
      </c>
      <c r="B460" s="9" t="s">
        <v>3792</v>
      </c>
      <c r="C460" s="9" t="s">
        <v>3793</v>
      </c>
      <c r="D460" s="9" t="s">
        <v>3739</v>
      </c>
      <c r="E460" s="9" t="s">
        <v>2619</v>
      </c>
      <c r="F460" s="9" t="s">
        <v>406</v>
      </c>
      <c r="G460" s="9" t="s">
        <v>113</v>
      </c>
      <c r="H460" s="9" t="s">
        <v>114</v>
      </c>
      <c r="I460" s="9" t="s">
        <v>115</v>
      </c>
      <c r="J460" s="9">
        <v>1921</v>
      </c>
      <c r="K460" s="9" t="s">
        <v>3794</v>
      </c>
      <c r="L460" s="9" t="s">
        <v>117</v>
      </c>
      <c r="M460" s="10">
        <v>2.34375E-2</v>
      </c>
      <c r="N460" s="9" t="s">
        <v>43</v>
      </c>
      <c r="O460" s="9" t="s">
        <v>3795</v>
      </c>
      <c r="P460" s="9" t="s">
        <v>119</v>
      </c>
      <c r="Q460" s="10">
        <v>2.704861111111111E-2</v>
      </c>
      <c r="R460" s="9" t="s">
        <v>56</v>
      </c>
      <c r="S460" s="10">
        <v>0.19951388888888891</v>
      </c>
      <c r="T460" s="9">
        <v>26.501999999999999</v>
      </c>
      <c r="U460" s="9">
        <v>9.1199999999999992</v>
      </c>
      <c r="V460" s="10">
        <v>0.1211111111111111</v>
      </c>
      <c r="W460" s="10">
        <v>7.9814814814814811E-2</v>
      </c>
      <c r="X460" s="10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 t="s">
        <v>57</v>
      </c>
      <c r="AF460" s="9" t="s">
        <v>3796</v>
      </c>
      <c r="AG460" s="9" t="s">
        <v>3797</v>
      </c>
      <c r="AH460" s="9">
        <v>6.2531860000000004</v>
      </c>
      <c r="AI460" s="9">
        <v>-75.609388999999993</v>
      </c>
      <c r="AJ460" s="9" t="s">
        <v>3798</v>
      </c>
      <c r="AK460" s="9">
        <v>6.2456120000000004</v>
      </c>
      <c r="AL460" s="9">
        <v>-75.616991999999996</v>
      </c>
      <c r="AM460" s="26">
        <f t="shared" si="8"/>
        <v>5.0486111111111107E-2</v>
      </c>
    </row>
    <row r="461" spans="1:39" ht="15" x14ac:dyDescent="0.25">
      <c r="A461" s="9" t="s">
        <v>3799</v>
      </c>
      <c r="B461" s="9" t="s">
        <v>3800</v>
      </c>
      <c r="C461" s="9" t="s">
        <v>3801</v>
      </c>
      <c r="D461" s="9" t="s">
        <v>3739</v>
      </c>
      <c r="E461" s="9" t="s">
        <v>2619</v>
      </c>
      <c r="F461" s="9" t="s">
        <v>406</v>
      </c>
      <c r="G461" s="9" t="s">
        <v>124</v>
      </c>
      <c r="H461" s="9" t="s">
        <v>125</v>
      </c>
      <c r="I461" s="9" t="s">
        <v>115</v>
      </c>
      <c r="J461" s="9">
        <v>4145</v>
      </c>
      <c r="K461" s="9" t="s">
        <v>3802</v>
      </c>
      <c r="L461" s="9" t="s">
        <v>117</v>
      </c>
      <c r="M461" s="10">
        <v>1.005787037037037E-2</v>
      </c>
      <c r="N461" s="9" t="s">
        <v>65</v>
      </c>
      <c r="O461" s="9" t="s">
        <v>3803</v>
      </c>
      <c r="P461" s="9" t="s">
        <v>119</v>
      </c>
      <c r="Q461" s="10">
        <v>6.3888888888888893E-3</v>
      </c>
      <c r="R461" s="9" t="s">
        <v>46</v>
      </c>
      <c r="S461" s="10">
        <v>0.26644675925925931</v>
      </c>
      <c r="T461" s="9">
        <v>52.917999999999999</v>
      </c>
      <c r="U461" s="9">
        <v>12.21</v>
      </c>
      <c r="V461" s="10">
        <v>0.18057870370370371</v>
      </c>
      <c r="W461" s="10">
        <v>6.8483796296296293E-2</v>
      </c>
      <c r="X461" s="10">
        <v>9.9074074074074082E-3</v>
      </c>
      <c r="Y461" s="9">
        <v>1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 t="s">
        <v>84</v>
      </c>
      <c r="AF461" s="9" t="s">
        <v>3016</v>
      </c>
      <c r="AG461" s="9" t="s">
        <v>3804</v>
      </c>
      <c r="AH461" s="9">
        <v>6.2724849999999996</v>
      </c>
      <c r="AI461" s="9">
        <v>-75.602199999999996</v>
      </c>
      <c r="AJ461" s="9" t="s">
        <v>3805</v>
      </c>
      <c r="AK461" s="9">
        <v>6.2733270000000001</v>
      </c>
      <c r="AL461" s="9">
        <v>-75.602160999999995</v>
      </c>
      <c r="AM461" s="26">
        <f t="shared" si="8"/>
        <v>0</v>
      </c>
    </row>
    <row r="462" spans="1:39" ht="15" x14ac:dyDescent="0.25">
      <c r="A462" s="9" t="s">
        <v>3806</v>
      </c>
      <c r="B462" s="9" t="s">
        <v>3807</v>
      </c>
      <c r="C462" s="9" t="s">
        <v>3808</v>
      </c>
      <c r="D462" s="9" t="s">
        <v>3739</v>
      </c>
      <c r="E462" s="9" t="s">
        <v>2619</v>
      </c>
      <c r="F462" s="9" t="s">
        <v>406</v>
      </c>
      <c r="G462" s="9" t="s">
        <v>135</v>
      </c>
      <c r="H462" s="9" t="s">
        <v>136</v>
      </c>
      <c r="I462" s="9" t="s">
        <v>115</v>
      </c>
      <c r="J462" s="9">
        <v>3996</v>
      </c>
      <c r="K462" s="9" t="s">
        <v>3809</v>
      </c>
      <c r="L462" s="9" t="s">
        <v>117</v>
      </c>
      <c r="M462" s="10">
        <v>7.4548611111111107E-2</v>
      </c>
      <c r="N462" s="9" t="s">
        <v>127</v>
      </c>
      <c r="O462" s="9" t="s">
        <v>3810</v>
      </c>
      <c r="P462" s="9" t="s">
        <v>119</v>
      </c>
      <c r="Q462" s="10">
        <v>4.4444444444444436E-3</v>
      </c>
      <c r="R462" s="9" t="s">
        <v>46</v>
      </c>
      <c r="S462" s="10">
        <v>0.32010416666666669</v>
      </c>
      <c r="T462" s="9">
        <v>57.21</v>
      </c>
      <c r="U462" s="9">
        <v>20.12</v>
      </c>
      <c r="V462" s="10">
        <v>0.1184722222222222</v>
      </c>
      <c r="W462" s="10">
        <v>4.8379629629629627E-2</v>
      </c>
      <c r="X462" s="10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3</v>
      </c>
      <c r="AE462" s="9" t="s">
        <v>139</v>
      </c>
      <c r="AF462" s="9" t="s">
        <v>3811</v>
      </c>
      <c r="AG462" s="9" t="s">
        <v>3812</v>
      </c>
      <c r="AH462" s="9">
        <v>6.2746550000000001</v>
      </c>
      <c r="AI462" s="9">
        <v>-75.540584999999993</v>
      </c>
      <c r="AJ462" s="9" t="s">
        <v>3813</v>
      </c>
      <c r="AK462" s="9">
        <v>6.2527340000000002</v>
      </c>
      <c r="AL462" s="9">
        <v>-75.556585999999996</v>
      </c>
      <c r="AM462" s="26">
        <f t="shared" si="8"/>
        <v>0</v>
      </c>
    </row>
    <row r="463" spans="1:39" ht="15" x14ac:dyDescent="0.25">
      <c r="A463" s="9" t="s">
        <v>3814</v>
      </c>
      <c r="B463" s="9" t="s">
        <v>3815</v>
      </c>
      <c r="C463" s="9" t="s">
        <v>3816</v>
      </c>
      <c r="D463" s="9" t="s">
        <v>3739</v>
      </c>
      <c r="E463" s="9" t="s">
        <v>2619</v>
      </c>
      <c r="F463" s="9" t="s">
        <v>406</v>
      </c>
      <c r="G463" s="9" t="s">
        <v>72</v>
      </c>
      <c r="H463" s="9" t="s">
        <v>73</v>
      </c>
      <c r="I463" s="9" t="s">
        <v>115</v>
      </c>
      <c r="J463" s="9">
        <v>1461</v>
      </c>
      <c r="K463" s="9" t="s">
        <v>3817</v>
      </c>
      <c r="L463" s="9" t="s">
        <v>117</v>
      </c>
      <c r="M463" s="10">
        <v>2.9629629629629628E-3</v>
      </c>
      <c r="N463" s="9" t="s">
        <v>65</v>
      </c>
      <c r="O463" s="9" t="s">
        <v>3818</v>
      </c>
      <c r="P463" s="9" t="s">
        <v>119</v>
      </c>
      <c r="Q463" s="10">
        <v>4.386574074074074E-2</v>
      </c>
      <c r="R463" s="9" t="s">
        <v>56</v>
      </c>
      <c r="S463" s="10">
        <v>0.20909722222222221</v>
      </c>
      <c r="T463" s="9">
        <v>22.146999999999998</v>
      </c>
      <c r="U463" s="9">
        <v>6.21</v>
      </c>
      <c r="V463" s="10">
        <v>0.14871527777777779</v>
      </c>
      <c r="W463" s="10">
        <v>0.1218402777777778</v>
      </c>
      <c r="X463" s="10">
        <v>1.6168981481481479E-2</v>
      </c>
      <c r="Y463" s="9">
        <v>1</v>
      </c>
      <c r="Z463" s="9">
        <v>1</v>
      </c>
      <c r="AA463" s="9">
        <v>0</v>
      </c>
      <c r="AB463" s="9">
        <v>0</v>
      </c>
      <c r="AC463" s="9">
        <v>0</v>
      </c>
      <c r="AD463" s="9">
        <v>2</v>
      </c>
      <c r="AE463" s="9" t="s">
        <v>67</v>
      </c>
      <c r="AF463" s="9" t="s">
        <v>3819</v>
      </c>
      <c r="AG463" s="9" t="s">
        <v>3820</v>
      </c>
      <c r="AH463" s="9">
        <v>6.2382650000000002</v>
      </c>
      <c r="AI463" s="9">
        <v>-75.560159999999996</v>
      </c>
      <c r="AJ463" s="9" t="s">
        <v>3821</v>
      </c>
      <c r="AK463" s="9">
        <v>6.2370900000000002</v>
      </c>
      <c r="AL463" s="9">
        <v>-75.558795000000003</v>
      </c>
      <c r="AM463" s="26">
        <f t="shared" si="8"/>
        <v>4.386574074074074E-2</v>
      </c>
    </row>
    <row r="464" spans="1:39" ht="15" x14ac:dyDescent="0.25">
      <c r="A464" s="9" t="s">
        <v>3822</v>
      </c>
      <c r="B464" s="9" t="s">
        <v>3823</v>
      </c>
      <c r="C464" s="9" t="s">
        <v>3824</v>
      </c>
      <c r="D464" s="9" t="s">
        <v>3739</v>
      </c>
      <c r="E464" s="9" t="s">
        <v>2619</v>
      </c>
      <c r="F464" s="9" t="s">
        <v>406</v>
      </c>
      <c r="G464" s="9" t="s">
        <v>80</v>
      </c>
      <c r="H464" s="9" t="s">
        <v>81</v>
      </c>
      <c r="I464" s="9" t="s">
        <v>115</v>
      </c>
      <c r="J464" s="9">
        <v>4420</v>
      </c>
      <c r="K464" s="9" t="s">
        <v>3825</v>
      </c>
      <c r="L464" s="9" t="s">
        <v>117</v>
      </c>
      <c r="M464" s="10">
        <v>9.4690625E-3</v>
      </c>
      <c r="N464" s="9" t="s">
        <v>65</v>
      </c>
      <c r="O464" s="9" t="s">
        <v>3826</v>
      </c>
      <c r="P464" s="9" t="s">
        <v>119</v>
      </c>
      <c r="Q464" s="10">
        <v>4.7883680555555553E-3</v>
      </c>
      <c r="R464" s="9" t="s">
        <v>46</v>
      </c>
      <c r="S464" s="10">
        <v>0.23574256944444441</v>
      </c>
      <c r="T464" s="9">
        <v>30.524000000000001</v>
      </c>
      <c r="U464" s="9">
        <v>18.13</v>
      </c>
      <c r="V464" s="10">
        <v>7.0145706018518647E-2</v>
      </c>
      <c r="W464" s="10">
        <v>2.9791041666666671E-2</v>
      </c>
      <c r="X464" s="10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9</v>
      </c>
      <c r="AE464" s="9" t="s">
        <v>84</v>
      </c>
      <c r="AF464" s="9" t="s">
        <v>3008</v>
      </c>
      <c r="AG464" s="9" t="s">
        <v>3827</v>
      </c>
      <c r="AH464" s="9">
        <v>6.2468779999999997</v>
      </c>
      <c r="AI464" s="9">
        <v>-75.554066000000006</v>
      </c>
      <c r="AJ464" s="9" t="s">
        <v>3828</v>
      </c>
      <c r="AK464" s="9">
        <v>6.2554270000000001</v>
      </c>
      <c r="AL464" s="9">
        <v>-75.620604</v>
      </c>
      <c r="AM464" s="26">
        <f t="shared" si="8"/>
        <v>0</v>
      </c>
    </row>
    <row r="465" spans="1:39" ht="15" x14ac:dyDescent="0.25">
      <c r="A465" s="9" t="s">
        <v>3829</v>
      </c>
      <c r="B465" s="9" t="s">
        <v>3830</v>
      </c>
      <c r="C465" s="9" t="s">
        <v>3831</v>
      </c>
      <c r="D465" s="9" t="s">
        <v>3739</v>
      </c>
      <c r="E465" s="9" t="s">
        <v>2619</v>
      </c>
      <c r="F465" s="9" t="s">
        <v>406</v>
      </c>
      <c r="G465" s="9" t="s">
        <v>160</v>
      </c>
      <c r="H465" s="9" t="s">
        <v>161</v>
      </c>
      <c r="I465" s="9" t="s">
        <v>115</v>
      </c>
      <c r="J465" s="9">
        <v>9998</v>
      </c>
      <c r="K465" s="9" t="s">
        <v>3832</v>
      </c>
      <c r="L465" s="9" t="s">
        <v>117</v>
      </c>
      <c r="M465" s="10">
        <v>7.3650694444444441E-3</v>
      </c>
      <c r="N465" s="9" t="s">
        <v>65</v>
      </c>
      <c r="O465" s="9" t="s">
        <v>3833</v>
      </c>
      <c r="P465" s="9" t="s">
        <v>119</v>
      </c>
      <c r="Q465" s="10">
        <v>1.651223379629629E-2</v>
      </c>
      <c r="R465" s="9" t="s">
        <v>129</v>
      </c>
      <c r="S465" s="10">
        <v>0.27387730324074072</v>
      </c>
      <c r="T465" s="9">
        <v>57.17</v>
      </c>
      <c r="U465" s="9">
        <v>12.85</v>
      </c>
      <c r="V465" s="10">
        <v>0.18532579861111109</v>
      </c>
      <c r="W465" s="10">
        <v>0.12942263888888891</v>
      </c>
      <c r="X465" s="10">
        <v>1.2048587962962961E-2</v>
      </c>
      <c r="Y465" s="9">
        <v>1</v>
      </c>
      <c r="Z465" s="9">
        <v>1</v>
      </c>
      <c r="AA465" s="9">
        <v>0</v>
      </c>
      <c r="AB465" s="9">
        <v>0</v>
      </c>
      <c r="AC465" s="9">
        <v>0</v>
      </c>
      <c r="AD465" s="9">
        <v>1</v>
      </c>
      <c r="AE465" s="9" t="s">
        <v>130</v>
      </c>
      <c r="AF465" s="9" t="s">
        <v>3834</v>
      </c>
      <c r="AG465" s="9" t="s">
        <v>3835</v>
      </c>
      <c r="AH465" s="9">
        <v>6.2674969999999997</v>
      </c>
      <c r="AI465" s="9">
        <v>-75.598056999999997</v>
      </c>
      <c r="AJ465" s="9" t="s">
        <v>3836</v>
      </c>
      <c r="AK465" s="9">
        <v>6.2796070000000004</v>
      </c>
      <c r="AL465" s="9">
        <v>-75.570876999999996</v>
      </c>
      <c r="AM465" s="26">
        <f t="shared" si="8"/>
        <v>0</v>
      </c>
    </row>
    <row r="466" spans="1:39" ht="15" x14ac:dyDescent="0.25">
      <c r="A466" s="9" t="s">
        <v>3837</v>
      </c>
      <c r="B466" s="9" t="s">
        <v>3838</v>
      </c>
      <c r="C466" s="9" t="s">
        <v>3839</v>
      </c>
      <c r="D466" s="9" t="s">
        <v>3739</v>
      </c>
      <c r="E466" s="9" t="s">
        <v>2619</v>
      </c>
      <c r="F466" s="9" t="s">
        <v>406</v>
      </c>
      <c r="G466" s="9" t="s">
        <v>97</v>
      </c>
      <c r="H466" s="9" t="s">
        <v>98</v>
      </c>
      <c r="I466" s="9" t="s">
        <v>115</v>
      </c>
      <c r="J466" s="9">
        <v>1850</v>
      </c>
      <c r="K466" s="9" t="s">
        <v>3840</v>
      </c>
      <c r="L466" s="9" t="s">
        <v>117</v>
      </c>
      <c r="M466" s="10">
        <v>6.5277777777777782E-3</v>
      </c>
      <c r="N466" s="9" t="s">
        <v>65</v>
      </c>
      <c r="O466" s="9" t="s">
        <v>3841</v>
      </c>
      <c r="P466" s="9" t="s">
        <v>119</v>
      </c>
      <c r="Q466" s="10">
        <v>1.25462962962963E-2</v>
      </c>
      <c r="R466" s="9" t="s">
        <v>129</v>
      </c>
      <c r="S466" s="10">
        <v>0.25601851851851848</v>
      </c>
      <c r="T466" s="9">
        <v>23.943999999999999</v>
      </c>
      <c r="U466" s="9">
        <v>5.92</v>
      </c>
      <c r="V466" s="10">
        <v>0.1686458333333333</v>
      </c>
      <c r="W466" s="10">
        <v>0.1337962962962963</v>
      </c>
      <c r="X466" s="10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 t="s">
        <v>130</v>
      </c>
      <c r="AF466" s="9" t="s">
        <v>3842</v>
      </c>
      <c r="AG466" s="9" t="s">
        <v>3843</v>
      </c>
      <c r="AH466" s="9">
        <v>6.3060479999999997</v>
      </c>
      <c r="AI466" s="9">
        <v>-75.581988999999993</v>
      </c>
      <c r="AJ466" s="9" t="s">
        <v>3844</v>
      </c>
      <c r="AK466" s="9">
        <v>6.3065259999999999</v>
      </c>
      <c r="AL466" s="9">
        <v>-75.581993999999995</v>
      </c>
      <c r="AM466" s="26">
        <f t="shared" si="8"/>
        <v>0</v>
      </c>
    </row>
    <row r="467" spans="1:39" ht="15" x14ac:dyDescent="0.25">
      <c r="A467" s="9" t="s">
        <v>3845</v>
      </c>
      <c r="B467" s="9" t="s">
        <v>3846</v>
      </c>
      <c r="C467" s="9" t="s">
        <v>3847</v>
      </c>
      <c r="D467" s="9" t="s">
        <v>3778</v>
      </c>
      <c r="E467" s="9" t="s">
        <v>2619</v>
      </c>
      <c r="F467" s="9" t="s">
        <v>455</v>
      </c>
      <c r="G467" s="9" t="s">
        <v>152</v>
      </c>
      <c r="H467" s="9" t="s">
        <v>153</v>
      </c>
      <c r="I467" s="9" t="s">
        <v>115</v>
      </c>
      <c r="J467" s="9">
        <v>2462</v>
      </c>
      <c r="K467" s="9" t="s">
        <v>3848</v>
      </c>
      <c r="L467" s="9" t="s">
        <v>117</v>
      </c>
      <c r="M467" s="10">
        <v>4.7916666666666663E-3</v>
      </c>
      <c r="N467" s="9" t="s">
        <v>65</v>
      </c>
      <c r="O467" s="9" t="s">
        <v>3849</v>
      </c>
      <c r="P467" s="9" t="s">
        <v>119</v>
      </c>
      <c r="Q467" s="10">
        <v>2.177083333333333E-2</v>
      </c>
      <c r="R467" s="9" t="s">
        <v>56</v>
      </c>
      <c r="S467" s="10">
        <v>0.22343750000000001</v>
      </c>
      <c r="T467" s="9">
        <v>30.571000000000002</v>
      </c>
      <c r="U467" s="9">
        <v>7.48</v>
      </c>
      <c r="V467" s="10">
        <v>0.17021990740740739</v>
      </c>
      <c r="W467" s="10">
        <v>0.10240740740740741</v>
      </c>
      <c r="X467" s="10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 t="s">
        <v>67</v>
      </c>
      <c r="AF467" s="9" t="s">
        <v>3850</v>
      </c>
      <c r="AG467" s="9" t="s">
        <v>3851</v>
      </c>
      <c r="AH467" s="9">
        <v>6.251703</v>
      </c>
      <c r="AI467" s="9">
        <v>-75.551666999999995</v>
      </c>
      <c r="AJ467" s="9" t="s">
        <v>3852</v>
      </c>
      <c r="AK467" s="9">
        <v>6.3108180000000003</v>
      </c>
      <c r="AL467" s="9">
        <v>-75.566104999999993</v>
      </c>
      <c r="AM467" s="26">
        <f t="shared" si="8"/>
        <v>2.177083333333333E-2</v>
      </c>
    </row>
    <row r="468" spans="1:39" ht="15" x14ac:dyDescent="0.25">
      <c r="A468" s="9" t="s">
        <v>3853</v>
      </c>
      <c r="B468" s="9" t="s">
        <v>3854</v>
      </c>
      <c r="C468" s="9" t="s">
        <v>3855</v>
      </c>
      <c r="D468" s="9" t="s">
        <v>3856</v>
      </c>
      <c r="E468" s="9" t="s">
        <v>2619</v>
      </c>
      <c r="F468" s="9" t="s">
        <v>508</v>
      </c>
      <c r="G468" s="9" t="s">
        <v>38</v>
      </c>
      <c r="H468" s="9" t="s">
        <v>39</v>
      </c>
      <c r="I468" s="9" t="s">
        <v>40</v>
      </c>
      <c r="J468" s="9">
        <v>3246</v>
      </c>
      <c r="K468" s="9" t="s">
        <v>3857</v>
      </c>
      <c r="L468" s="9" t="s">
        <v>42</v>
      </c>
      <c r="M468" s="10">
        <v>1.7175925925925921E-2</v>
      </c>
      <c r="N468" s="9" t="s">
        <v>43</v>
      </c>
      <c r="O468" s="9" t="s">
        <v>3858</v>
      </c>
      <c r="P468" s="9" t="s">
        <v>45</v>
      </c>
      <c r="Q468" s="10">
        <v>1.273148148148148E-3</v>
      </c>
      <c r="R468" s="9" t="s">
        <v>46</v>
      </c>
      <c r="S468" s="10">
        <v>0.31743055555555549</v>
      </c>
      <c r="T468" s="9">
        <v>44.567</v>
      </c>
      <c r="U468" s="9">
        <v>8.93</v>
      </c>
      <c r="V468" s="10">
        <v>0.2078703703703704</v>
      </c>
      <c r="W468" s="10">
        <v>0.14473379629629629</v>
      </c>
      <c r="X468" s="10">
        <v>1.480324074074074E-2</v>
      </c>
      <c r="Y468" s="9">
        <v>1</v>
      </c>
      <c r="Z468" s="9">
        <v>1</v>
      </c>
      <c r="AA468" s="9">
        <v>0</v>
      </c>
      <c r="AB468" s="9">
        <v>0</v>
      </c>
      <c r="AC468" s="9">
        <v>0</v>
      </c>
      <c r="AD468" s="9">
        <v>0</v>
      </c>
      <c r="AE468" s="9" t="s">
        <v>47</v>
      </c>
      <c r="AF468" s="9" t="s">
        <v>3859</v>
      </c>
      <c r="AG468" s="9" t="s">
        <v>3860</v>
      </c>
      <c r="AH468" s="9">
        <v>6.2034229999999999</v>
      </c>
      <c r="AI468" s="9">
        <v>-75.600454999999997</v>
      </c>
      <c r="AJ468" s="9" t="s">
        <v>3861</v>
      </c>
      <c r="AK468" s="9">
        <v>6.2256689999999999</v>
      </c>
      <c r="AL468" s="9">
        <v>-75.599110999999994</v>
      </c>
      <c r="AM468" s="26">
        <f t="shared" si="8"/>
        <v>1.7175925925925921E-2</v>
      </c>
    </row>
    <row r="469" spans="1:39" ht="15" x14ac:dyDescent="0.25">
      <c r="A469" s="9" t="s">
        <v>3862</v>
      </c>
      <c r="B469" s="9" t="s">
        <v>3863</v>
      </c>
      <c r="C469" s="9" t="s">
        <v>3864</v>
      </c>
      <c r="D469" s="9" t="s">
        <v>3856</v>
      </c>
      <c r="E469" s="9" t="s">
        <v>2619</v>
      </c>
      <c r="F469" s="9" t="s">
        <v>508</v>
      </c>
      <c r="G469" s="9" t="s">
        <v>52</v>
      </c>
      <c r="H469" s="9" t="s">
        <v>53</v>
      </c>
      <c r="I469" s="9" t="s">
        <v>40</v>
      </c>
      <c r="J469" s="9">
        <v>1424</v>
      </c>
      <c r="K469" s="9" t="s">
        <v>3865</v>
      </c>
      <c r="L469" s="9" t="s">
        <v>42</v>
      </c>
      <c r="M469" s="10">
        <v>7.2106481481481483E-3</v>
      </c>
      <c r="N469" s="9" t="s">
        <v>65</v>
      </c>
      <c r="O469" s="9" t="s">
        <v>3866</v>
      </c>
      <c r="P469" s="9" t="s">
        <v>45</v>
      </c>
      <c r="Q469" s="10">
        <v>2.488425925925926E-3</v>
      </c>
      <c r="R469" s="9" t="s">
        <v>46</v>
      </c>
      <c r="S469" s="10">
        <v>0.32861111111111108</v>
      </c>
      <c r="T469" s="9">
        <v>21.260999999999999</v>
      </c>
      <c r="U469" s="9">
        <v>4.5</v>
      </c>
      <c r="V469" s="10">
        <v>0.19696759259259261</v>
      </c>
      <c r="W469" s="10">
        <v>0.17226851851851849</v>
      </c>
      <c r="X469" s="10">
        <v>6.5659722222222217E-2</v>
      </c>
      <c r="Y469" s="9">
        <v>1</v>
      </c>
      <c r="Z469" s="9">
        <v>1</v>
      </c>
      <c r="AA469" s="9">
        <v>1</v>
      </c>
      <c r="AB469" s="9">
        <v>1</v>
      </c>
      <c r="AC469" s="9">
        <v>1</v>
      </c>
      <c r="AD469" s="9">
        <v>2</v>
      </c>
      <c r="AE469" s="9" t="s">
        <v>84</v>
      </c>
      <c r="AF469" s="9" t="s">
        <v>2894</v>
      </c>
      <c r="AG469" s="9" t="s">
        <v>3867</v>
      </c>
      <c r="AH469" s="9">
        <v>6.2256390000000001</v>
      </c>
      <c r="AI469" s="9">
        <v>-75.599331000000006</v>
      </c>
      <c r="AJ469" s="9" t="s">
        <v>3868</v>
      </c>
      <c r="AK469" s="9">
        <v>6.2256850000000004</v>
      </c>
      <c r="AL469" s="9">
        <v>-75.599348000000006</v>
      </c>
      <c r="AM469" s="26">
        <f t="shared" si="8"/>
        <v>0</v>
      </c>
    </row>
    <row r="470" spans="1:39" ht="15" x14ac:dyDescent="0.25">
      <c r="A470" s="9" t="s">
        <v>3869</v>
      </c>
      <c r="B470" s="9" t="s">
        <v>3870</v>
      </c>
      <c r="C470" s="9" t="s">
        <v>3871</v>
      </c>
      <c r="D470" s="9" t="s">
        <v>3856</v>
      </c>
      <c r="E470" s="9" t="s">
        <v>2619</v>
      </c>
      <c r="F470" s="9" t="s">
        <v>508</v>
      </c>
      <c r="G470" s="9" t="s">
        <v>62</v>
      </c>
      <c r="H470" s="9" t="s">
        <v>63</v>
      </c>
      <c r="I470" s="9" t="s">
        <v>40</v>
      </c>
      <c r="J470" s="9">
        <v>4292</v>
      </c>
      <c r="K470" s="9" t="s">
        <v>3872</v>
      </c>
      <c r="L470" s="9" t="s">
        <v>42</v>
      </c>
      <c r="M470" s="10">
        <v>1.207175925925926E-2</v>
      </c>
      <c r="N470" s="9" t="s">
        <v>43</v>
      </c>
      <c r="O470" s="9" t="s">
        <v>3873</v>
      </c>
      <c r="P470" s="9" t="s">
        <v>45</v>
      </c>
      <c r="Q470" s="10">
        <v>9.4247685185185184E-2</v>
      </c>
      <c r="R470" s="9" t="s">
        <v>129</v>
      </c>
      <c r="S470" s="10">
        <v>0.41550925925925919</v>
      </c>
      <c r="T470" s="9">
        <v>62.101999999999997</v>
      </c>
      <c r="U470" s="9">
        <v>7.83</v>
      </c>
      <c r="V470" s="10">
        <v>0.33065972222222217</v>
      </c>
      <c r="W470" s="10">
        <v>0.25177083333333328</v>
      </c>
      <c r="X470" s="10">
        <v>5.1041666666666666E-3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3</v>
      </c>
      <c r="AE470" s="9" t="s">
        <v>130</v>
      </c>
      <c r="AF470" s="9" t="s">
        <v>3874</v>
      </c>
      <c r="AG470" s="9" t="s">
        <v>3875</v>
      </c>
      <c r="AH470" s="9">
        <v>6.2256299999999998</v>
      </c>
      <c r="AI470" s="9">
        <v>-75.599422000000004</v>
      </c>
      <c r="AJ470" s="9" t="s">
        <v>3876</v>
      </c>
      <c r="AK470" s="9">
        <v>6.3102330000000002</v>
      </c>
      <c r="AL470" s="9">
        <v>-75.578072000000006</v>
      </c>
      <c r="AM470" s="26">
        <f t="shared" si="8"/>
        <v>1.207175925925926E-2</v>
      </c>
    </row>
    <row r="471" spans="1:39" ht="15" x14ac:dyDescent="0.25">
      <c r="A471" s="9" t="s">
        <v>3877</v>
      </c>
      <c r="B471" s="9" t="s">
        <v>3878</v>
      </c>
      <c r="C471" s="9" t="s">
        <v>3879</v>
      </c>
      <c r="D471" s="9" t="s">
        <v>3856</v>
      </c>
      <c r="E471" s="9" t="s">
        <v>2619</v>
      </c>
      <c r="F471" s="9" t="s">
        <v>508</v>
      </c>
      <c r="G471" s="9" t="s">
        <v>144</v>
      </c>
      <c r="H471" s="9" t="s">
        <v>145</v>
      </c>
      <c r="I471" s="9" t="s">
        <v>40</v>
      </c>
      <c r="J471" s="9">
        <v>5994</v>
      </c>
      <c r="K471" s="9" t="s">
        <v>3880</v>
      </c>
      <c r="L471" s="9" t="s">
        <v>42</v>
      </c>
      <c r="M471" s="10">
        <v>2.9629629629629628E-3</v>
      </c>
      <c r="N471" s="9" t="s">
        <v>65</v>
      </c>
      <c r="O471" s="9" t="s">
        <v>3881</v>
      </c>
      <c r="P471" s="9" t="s">
        <v>45</v>
      </c>
      <c r="Q471" s="10">
        <v>4.9652777777777777E-3</v>
      </c>
      <c r="R471" s="9" t="s">
        <v>46</v>
      </c>
      <c r="S471" s="10">
        <v>0.33133101851851848</v>
      </c>
      <c r="T471" s="9">
        <v>80.067999999999998</v>
      </c>
      <c r="U471" s="9">
        <v>13.72</v>
      </c>
      <c r="V471" s="10">
        <v>0.24310185185185179</v>
      </c>
      <c r="W471" s="10">
        <v>9.8518518518518519E-2</v>
      </c>
      <c r="X471" s="10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 t="s">
        <v>84</v>
      </c>
      <c r="AF471" s="9" t="s">
        <v>352</v>
      </c>
      <c r="AG471" s="9" t="s">
        <v>3882</v>
      </c>
      <c r="AH471" s="9">
        <v>6.2257020000000001</v>
      </c>
      <c r="AI471" s="9">
        <v>-75.599575000000002</v>
      </c>
      <c r="AJ471" s="9" t="s">
        <v>3883</v>
      </c>
      <c r="AK471" s="9">
        <v>6.2904960000000001</v>
      </c>
      <c r="AL471" s="9">
        <v>-75.546454999999995</v>
      </c>
      <c r="AM471" s="26">
        <f t="shared" si="8"/>
        <v>0</v>
      </c>
    </row>
    <row r="472" spans="1:39" ht="15" x14ac:dyDescent="0.25">
      <c r="A472" s="9" t="s">
        <v>3884</v>
      </c>
      <c r="B472" s="9" t="s">
        <v>3885</v>
      </c>
      <c r="C472" s="9" t="s">
        <v>3886</v>
      </c>
      <c r="D472" s="9" t="s">
        <v>3856</v>
      </c>
      <c r="E472" s="9" t="s">
        <v>2619</v>
      </c>
      <c r="F472" s="9" t="s">
        <v>508</v>
      </c>
      <c r="G472" s="9" t="s">
        <v>89</v>
      </c>
      <c r="H472" s="9" t="s">
        <v>90</v>
      </c>
      <c r="I472" s="9" t="s">
        <v>40</v>
      </c>
      <c r="J472" s="9">
        <v>3233</v>
      </c>
      <c r="K472" s="9" t="s">
        <v>3887</v>
      </c>
      <c r="L472" s="9" t="s">
        <v>42</v>
      </c>
      <c r="M472" s="10">
        <v>6.4583333333333333E-3</v>
      </c>
      <c r="N472" s="9" t="s">
        <v>65</v>
      </c>
      <c r="O472" s="9" t="s">
        <v>3888</v>
      </c>
      <c r="P472" s="9" t="s">
        <v>45</v>
      </c>
      <c r="Q472" s="10">
        <v>0.10381944444444451</v>
      </c>
      <c r="R472" s="9" t="s">
        <v>56</v>
      </c>
      <c r="S472" s="10">
        <v>0.22305555555555559</v>
      </c>
      <c r="T472" s="9">
        <v>42.648000000000003</v>
      </c>
      <c r="U472" s="9">
        <v>10.73</v>
      </c>
      <c r="V472" s="10">
        <v>0.16562499999999999</v>
      </c>
      <c r="W472" s="10">
        <v>8.7974537037037032E-2</v>
      </c>
      <c r="X472" s="10">
        <v>2.4062500000000001E-2</v>
      </c>
      <c r="Y472" s="9">
        <v>1</v>
      </c>
      <c r="Z472" s="9">
        <v>1</v>
      </c>
      <c r="AA472" s="9">
        <v>1</v>
      </c>
      <c r="AB472" s="9">
        <v>0</v>
      </c>
      <c r="AC472" s="9">
        <v>0</v>
      </c>
      <c r="AD472" s="9">
        <v>0</v>
      </c>
      <c r="AE472" s="9" t="s">
        <v>67</v>
      </c>
      <c r="AF472" s="9" t="s">
        <v>3889</v>
      </c>
      <c r="AG472" s="9" t="s">
        <v>3890</v>
      </c>
      <c r="AH472" s="9">
        <v>6.2269459999999999</v>
      </c>
      <c r="AI472" s="9">
        <v>-75.599124000000003</v>
      </c>
      <c r="AJ472" s="9" t="s">
        <v>3891</v>
      </c>
      <c r="AK472" s="9">
        <v>6.282292</v>
      </c>
      <c r="AL472" s="9">
        <v>-75.563462999999999</v>
      </c>
      <c r="AM472" s="26">
        <f t="shared" si="8"/>
        <v>0.10381944444444451</v>
      </c>
    </row>
    <row r="473" spans="1:39" ht="15" x14ac:dyDescent="0.25">
      <c r="A473" s="9" t="s">
        <v>3892</v>
      </c>
      <c r="B473" s="9" t="s">
        <v>3893</v>
      </c>
      <c r="C473" s="9" t="s">
        <v>3894</v>
      </c>
      <c r="D473" s="9" t="s">
        <v>3856</v>
      </c>
      <c r="E473" s="9" t="s">
        <v>2619</v>
      </c>
      <c r="F473" s="9" t="s">
        <v>508</v>
      </c>
      <c r="G473" s="9" t="s">
        <v>113</v>
      </c>
      <c r="H473" s="9" t="s">
        <v>114</v>
      </c>
      <c r="I473" s="9" t="s">
        <v>115</v>
      </c>
      <c r="J473" s="9">
        <v>2587</v>
      </c>
      <c r="K473" s="9" t="s">
        <v>3895</v>
      </c>
      <c r="L473" s="9" t="s">
        <v>117</v>
      </c>
      <c r="M473" s="10">
        <v>9.0856481481481483E-3</v>
      </c>
      <c r="N473" s="9" t="s">
        <v>65</v>
      </c>
      <c r="O473" s="9" t="s">
        <v>3896</v>
      </c>
      <c r="P473" s="9" t="s">
        <v>119</v>
      </c>
      <c r="Q473" s="10">
        <v>1.712962962962963E-3</v>
      </c>
      <c r="R473" s="9" t="s">
        <v>46</v>
      </c>
      <c r="S473" s="10">
        <v>0.23920138888888889</v>
      </c>
      <c r="T473" s="9">
        <v>36.43</v>
      </c>
      <c r="U473" s="9">
        <v>8.6300000000000008</v>
      </c>
      <c r="V473" s="10">
        <v>0.1758912037037037</v>
      </c>
      <c r="W473" s="10">
        <v>0.11684027777777781</v>
      </c>
      <c r="X473" s="10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2</v>
      </c>
      <c r="AE473" s="9" t="s">
        <v>84</v>
      </c>
      <c r="AF473" s="9" t="s">
        <v>1384</v>
      </c>
      <c r="AG473" s="9" t="s">
        <v>3897</v>
      </c>
      <c r="AH473" s="9">
        <v>6.2591720000000004</v>
      </c>
      <c r="AI473" s="9">
        <v>-75.600713999999996</v>
      </c>
      <c r="AJ473" s="9" t="s">
        <v>3898</v>
      </c>
      <c r="AK473" s="9">
        <v>6.2478290000000003</v>
      </c>
      <c r="AL473" s="9">
        <v>-75.615061999999995</v>
      </c>
      <c r="AM473" s="26">
        <f t="shared" si="8"/>
        <v>0</v>
      </c>
    </row>
    <row r="474" spans="1:39" ht="15" x14ac:dyDescent="0.25">
      <c r="A474" s="9" t="s">
        <v>3899</v>
      </c>
      <c r="B474" s="9" t="s">
        <v>3900</v>
      </c>
      <c r="C474" s="9" t="s">
        <v>3901</v>
      </c>
      <c r="D474" s="9" t="s">
        <v>3856</v>
      </c>
      <c r="E474" s="9" t="s">
        <v>2619</v>
      </c>
      <c r="F474" s="9" t="s">
        <v>508</v>
      </c>
      <c r="G474" s="9" t="s">
        <v>124</v>
      </c>
      <c r="H474" s="9" t="s">
        <v>125</v>
      </c>
      <c r="I474" s="9" t="s">
        <v>115</v>
      </c>
      <c r="J474" s="9">
        <v>5039</v>
      </c>
      <c r="K474" s="9" t="s">
        <v>3902</v>
      </c>
      <c r="L474" s="9" t="s">
        <v>117</v>
      </c>
      <c r="M474" s="10">
        <v>5.3761574074074073E-2</v>
      </c>
      <c r="N474" s="9" t="s">
        <v>127</v>
      </c>
      <c r="O474" s="9" t="s">
        <v>3903</v>
      </c>
      <c r="P474" s="9" t="s">
        <v>119</v>
      </c>
      <c r="Q474" s="10">
        <v>1.667824074074074E-2</v>
      </c>
      <c r="R474" s="9" t="s">
        <v>129</v>
      </c>
      <c r="S474" s="10">
        <v>0.32043981481481482</v>
      </c>
      <c r="T474" s="9">
        <v>67.727000000000004</v>
      </c>
      <c r="U474" s="9">
        <v>13.5</v>
      </c>
      <c r="V474" s="10">
        <v>0.20905092592592589</v>
      </c>
      <c r="W474" s="10">
        <v>8.9733796296296298E-2</v>
      </c>
      <c r="X474" s="10">
        <v>1.7349537037037038E-2</v>
      </c>
      <c r="Y474" s="9">
        <v>1</v>
      </c>
      <c r="Z474" s="9">
        <v>1</v>
      </c>
      <c r="AA474" s="9">
        <v>0</v>
      </c>
      <c r="AB474" s="9">
        <v>0</v>
      </c>
      <c r="AC474" s="9">
        <v>0</v>
      </c>
      <c r="AD474" s="9">
        <v>0</v>
      </c>
      <c r="AE474" s="9" t="s">
        <v>130</v>
      </c>
      <c r="AF474" s="9" t="s">
        <v>3904</v>
      </c>
      <c r="AG474" s="9" t="s">
        <v>3905</v>
      </c>
      <c r="AH474" s="9">
        <v>6.2278919999999998</v>
      </c>
      <c r="AI474" s="9">
        <v>-75.599327000000002</v>
      </c>
      <c r="AJ474" s="9" t="s">
        <v>3906</v>
      </c>
      <c r="AK474" s="9">
        <v>6.2726980000000001</v>
      </c>
      <c r="AL474" s="9">
        <v>-75.602052</v>
      </c>
      <c r="AM474" s="26">
        <f t="shared" si="8"/>
        <v>0</v>
      </c>
    </row>
    <row r="475" spans="1:39" ht="15" x14ac:dyDescent="0.25">
      <c r="A475" s="9" t="s">
        <v>3907</v>
      </c>
      <c r="B475" s="9" t="s">
        <v>3908</v>
      </c>
      <c r="C475" s="9" t="s">
        <v>3909</v>
      </c>
      <c r="D475" s="9" t="s">
        <v>3856</v>
      </c>
      <c r="E475" s="9" t="s">
        <v>2619</v>
      </c>
      <c r="F475" s="9" t="s">
        <v>508</v>
      </c>
      <c r="G475" s="9" t="s">
        <v>135</v>
      </c>
      <c r="H475" s="9" t="s">
        <v>136</v>
      </c>
      <c r="I475" s="9" t="s">
        <v>115</v>
      </c>
      <c r="J475" s="9">
        <v>1276</v>
      </c>
      <c r="K475" s="9" t="s">
        <v>3910</v>
      </c>
      <c r="L475" s="9" t="s">
        <v>117</v>
      </c>
      <c r="M475" s="10">
        <v>3.4560185185185187E-2</v>
      </c>
      <c r="N475" s="9" t="s">
        <v>127</v>
      </c>
      <c r="O475" s="9" t="s">
        <v>3911</v>
      </c>
      <c r="P475" s="9" t="s">
        <v>119</v>
      </c>
      <c r="Q475" s="10">
        <v>8.86574074074074E-3</v>
      </c>
      <c r="R475" s="9" t="s">
        <v>46</v>
      </c>
      <c r="S475" s="10">
        <v>0.27569444444444452</v>
      </c>
      <c r="T475" s="9">
        <v>35.518999999999998</v>
      </c>
      <c r="U475" s="9">
        <v>8.77</v>
      </c>
      <c r="V475" s="10">
        <v>0.1688078703703704</v>
      </c>
      <c r="W475" s="10">
        <v>9.4421296296296295E-2</v>
      </c>
      <c r="X475" s="10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6</v>
      </c>
      <c r="AE475" s="9" t="s">
        <v>139</v>
      </c>
      <c r="AF475" s="9" t="s">
        <v>3912</v>
      </c>
      <c r="AG475" s="9" t="s">
        <v>3913</v>
      </c>
      <c r="AH475" s="9">
        <v>6.2280410000000002</v>
      </c>
      <c r="AI475" s="9">
        <v>-75.596376000000006</v>
      </c>
      <c r="AJ475" s="9" t="s">
        <v>3914</v>
      </c>
      <c r="AK475" s="9">
        <v>6.2725470000000003</v>
      </c>
      <c r="AL475" s="9">
        <v>-75.540334000000001</v>
      </c>
      <c r="AM475" s="26">
        <f t="shared" si="8"/>
        <v>0</v>
      </c>
    </row>
    <row r="476" spans="1:39" ht="15" x14ac:dyDescent="0.25">
      <c r="A476" s="9" t="s">
        <v>3915</v>
      </c>
      <c r="B476" s="9" t="s">
        <v>3916</v>
      </c>
      <c r="C476" s="9" t="s">
        <v>3917</v>
      </c>
      <c r="D476" s="9" t="s">
        <v>3856</v>
      </c>
      <c r="E476" s="9" t="s">
        <v>2619</v>
      </c>
      <c r="F476" s="9" t="s">
        <v>508</v>
      </c>
      <c r="G476" s="9" t="s">
        <v>72</v>
      </c>
      <c r="H476" s="9" t="s">
        <v>73</v>
      </c>
      <c r="I476" s="9" t="s">
        <v>115</v>
      </c>
      <c r="J476" s="9">
        <v>2385</v>
      </c>
      <c r="K476" s="9" t="s">
        <v>3918</v>
      </c>
      <c r="L476" s="9" t="s">
        <v>117</v>
      </c>
      <c r="M476" s="10">
        <v>5.903935185185185E-2</v>
      </c>
      <c r="N476" s="9" t="s">
        <v>127</v>
      </c>
      <c r="O476" s="9" t="s">
        <v>3919</v>
      </c>
      <c r="P476" s="9" t="s">
        <v>119</v>
      </c>
      <c r="Q476" s="10">
        <v>7.2337962962962965E-2</v>
      </c>
      <c r="R476" s="9" t="s">
        <v>56</v>
      </c>
      <c r="S476" s="10">
        <v>0.23670138888888889</v>
      </c>
      <c r="T476" s="9">
        <v>33.832999999999998</v>
      </c>
      <c r="U476" s="9">
        <v>6.8</v>
      </c>
      <c r="V476" s="10">
        <v>0.20729166666666671</v>
      </c>
      <c r="W476" s="10">
        <v>0.16829861111111111</v>
      </c>
      <c r="X476" s="10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1</v>
      </c>
      <c r="AE476" s="9" t="s">
        <v>139</v>
      </c>
      <c r="AF476" s="9" t="s">
        <v>3920</v>
      </c>
      <c r="AG476" s="9" t="s">
        <v>3921</v>
      </c>
      <c r="AH476" s="9">
        <v>6.2259380000000002</v>
      </c>
      <c r="AI476" s="9">
        <v>-75.599412000000001</v>
      </c>
      <c r="AJ476" s="9" t="s">
        <v>3922</v>
      </c>
      <c r="AK476" s="9">
        <v>6.2369620000000001</v>
      </c>
      <c r="AL476" s="9">
        <v>-75.558886000000001</v>
      </c>
      <c r="AM476" s="26">
        <f t="shared" si="8"/>
        <v>7.2337962962962965E-2</v>
      </c>
    </row>
    <row r="477" spans="1:39" ht="15" x14ac:dyDescent="0.25">
      <c r="A477" s="9" t="s">
        <v>3923</v>
      </c>
      <c r="B477" s="9" t="s">
        <v>3924</v>
      </c>
      <c r="C477" s="9" t="s">
        <v>3925</v>
      </c>
      <c r="D477" s="9" t="s">
        <v>3856</v>
      </c>
      <c r="E477" s="9" t="s">
        <v>2619</v>
      </c>
      <c r="F477" s="9" t="s">
        <v>508</v>
      </c>
      <c r="G477" s="9" t="s">
        <v>80</v>
      </c>
      <c r="H477" s="9" t="s">
        <v>81</v>
      </c>
      <c r="I477" s="9" t="s">
        <v>115</v>
      </c>
      <c r="J477" s="9">
        <v>6726</v>
      </c>
      <c r="K477" s="9" t="s">
        <v>3926</v>
      </c>
      <c r="L477" s="9" t="s">
        <v>117</v>
      </c>
      <c r="M477" s="10">
        <v>4.223369212962963E-2</v>
      </c>
      <c r="N477" s="9" t="s">
        <v>127</v>
      </c>
      <c r="O477" s="9" t="s">
        <v>3927</v>
      </c>
      <c r="P477" s="9" t="s">
        <v>119</v>
      </c>
      <c r="Q477" s="10">
        <v>5.0814583333333337E-3</v>
      </c>
      <c r="R477" s="9" t="s">
        <v>46</v>
      </c>
      <c r="S477" s="10">
        <v>0.28715223379629629</v>
      </c>
      <c r="T477" s="9">
        <v>46.881999999999998</v>
      </c>
      <c r="U477" s="9">
        <v>19.25</v>
      </c>
      <c r="V477" s="10">
        <v>0.10148484953703669</v>
      </c>
      <c r="W477" s="10">
        <v>4.2849513888888878E-2</v>
      </c>
      <c r="X477" s="10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13</v>
      </c>
      <c r="AE477" s="9" t="s">
        <v>139</v>
      </c>
      <c r="AF477" s="9" t="s">
        <v>3928</v>
      </c>
      <c r="AG477" s="9" t="s">
        <v>3929</v>
      </c>
      <c r="AH477" s="9">
        <v>6.2257300000000004</v>
      </c>
      <c r="AI477" s="9">
        <v>-75.599359000000007</v>
      </c>
      <c r="AJ477" s="9" t="s">
        <v>3930</v>
      </c>
      <c r="AK477" s="9">
        <v>6.2593240000000003</v>
      </c>
      <c r="AL477" s="9">
        <v>-75.620675000000006</v>
      </c>
      <c r="AM477" s="26">
        <f t="shared" si="8"/>
        <v>0</v>
      </c>
    </row>
    <row r="478" spans="1:39" ht="15" x14ac:dyDescent="0.25">
      <c r="A478" s="9" t="s">
        <v>3931</v>
      </c>
      <c r="B478" s="9" t="s">
        <v>3932</v>
      </c>
      <c r="C478" s="9" t="s">
        <v>3933</v>
      </c>
      <c r="D478" s="9" t="s">
        <v>3856</v>
      </c>
      <c r="E478" s="9" t="s">
        <v>2619</v>
      </c>
      <c r="F478" s="9" t="s">
        <v>508</v>
      </c>
      <c r="G478" s="9" t="s">
        <v>152</v>
      </c>
      <c r="H478" s="9" t="s">
        <v>153</v>
      </c>
      <c r="I478" s="9" t="s">
        <v>115</v>
      </c>
      <c r="J478" s="9">
        <v>5092</v>
      </c>
      <c r="K478" s="9" t="s">
        <v>3934</v>
      </c>
      <c r="L478" s="9" t="s">
        <v>117</v>
      </c>
      <c r="M478" s="10">
        <v>4.5335648148148153E-2</v>
      </c>
      <c r="N478" s="9" t="s">
        <v>127</v>
      </c>
      <c r="O478" s="9" t="s">
        <v>3935</v>
      </c>
      <c r="P478" s="9" t="s">
        <v>119</v>
      </c>
      <c r="Q478" s="10">
        <v>3.7037037037037041E-4</v>
      </c>
      <c r="R478" s="9" t="s">
        <v>46</v>
      </c>
      <c r="S478" s="10">
        <v>0.29570601851851852</v>
      </c>
      <c r="T478" s="9">
        <v>77.704999999999998</v>
      </c>
      <c r="U478" s="9">
        <v>14.9</v>
      </c>
      <c r="V478" s="10">
        <v>0.21728009259259259</v>
      </c>
      <c r="W478" s="10">
        <v>0.1166898148148148</v>
      </c>
      <c r="X478" s="10">
        <v>1.180555555555556E-2</v>
      </c>
      <c r="Y478" s="9">
        <v>1</v>
      </c>
      <c r="Z478" s="9">
        <v>1</v>
      </c>
      <c r="AA478" s="9">
        <v>0</v>
      </c>
      <c r="AB478" s="9">
        <v>0</v>
      </c>
      <c r="AC478" s="9">
        <v>0</v>
      </c>
      <c r="AD478" s="9">
        <v>0</v>
      </c>
      <c r="AE478" s="9" t="s">
        <v>139</v>
      </c>
      <c r="AF478" s="9" t="s">
        <v>3936</v>
      </c>
      <c r="AG478" s="9" t="s">
        <v>3937</v>
      </c>
      <c r="AH478" s="9">
        <v>6.225638</v>
      </c>
      <c r="AI478" s="9">
        <v>-75.599412000000001</v>
      </c>
      <c r="AJ478" s="9" t="s">
        <v>3938</v>
      </c>
      <c r="AK478" s="9">
        <v>6.2518820000000002</v>
      </c>
      <c r="AL478" s="9">
        <v>-75.551742000000004</v>
      </c>
      <c r="AM478" s="26">
        <f t="shared" si="8"/>
        <v>0</v>
      </c>
    </row>
    <row r="479" spans="1:39" ht="15" x14ac:dyDescent="0.25">
      <c r="A479" s="9" t="s">
        <v>3939</v>
      </c>
      <c r="B479" s="9" t="s">
        <v>3940</v>
      </c>
      <c r="C479" s="9" t="s">
        <v>3941</v>
      </c>
      <c r="D479" s="9" t="s">
        <v>3856</v>
      </c>
      <c r="E479" s="9" t="s">
        <v>2619</v>
      </c>
      <c r="F479" s="9" t="s">
        <v>508</v>
      </c>
      <c r="G479" s="9" t="s">
        <v>160</v>
      </c>
      <c r="H479" s="9" t="s">
        <v>161</v>
      </c>
      <c r="I479" s="9" t="s">
        <v>115</v>
      </c>
      <c r="J479" s="9">
        <v>10766</v>
      </c>
      <c r="K479" s="9" t="s">
        <v>3942</v>
      </c>
      <c r="L479" s="9" t="s">
        <v>117</v>
      </c>
      <c r="M479" s="10">
        <v>3.5478287037037037E-2</v>
      </c>
      <c r="N479" s="9" t="s">
        <v>127</v>
      </c>
      <c r="O479" s="9" t="s">
        <v>3943</v>
      </c>
      <c r="P479" s="9" t="s">
        <v>119</v>
      </c>
      <c r="Q479" s="10">
        <v>3.1094907407407408E-3</v>
      </c>
      <c r="R479" s="9" t="s">
        <v>46</v>
      </c>
      <c r="S479" s="10">
        <v>0.28858777777777778</v>
      </c>
      <c r="T479" s="9">
        <v>47.392000000000003</v>
      </c>
      <c r="U479" s="9">
        <v>12.16</v>
      </c>
      <c r="V479" s="10">
        <v>0.16239189814814831</v>
      </c>
      <c r="W479" s="10">
        <v>0.13039340277777781</v>
      </c>
      <c r="X479" s="10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4</v>
      </c>
      <c r="AE479" s="9" t="s">
        <v>139</v>
      </c>
      <c r="AF479" s="9" t="s">
        <v>3944</v>
      </c>
      <c r="AG479" s="9" t="s">
        <v>3945</v>
      </c>
      <c r="AH479" s="9">
        <v>6.2256099999999996</v>
      </c>
      <c r="AI479" s="9">
        <v>-75.599924999999999</v>
      </c>
      <c r="AJ479" s="9" t="s">
        <v>3946</v>
      </c>
      <c r="AK479" s="9">
        <v>6.2686149999999996</v>
      </c>
      <c r="AL479" s="9">
        <v>-75.599490000000003</v>
      </c>
      <c r="AM479" s="26">
        <f t="shared" si="8"/>
        <v>0</v>
      </c>
    </row>
    <row r="480" spans="1:39" ht="15" x14ac:dyDescent="0.25">
      <c r="A480" s="9" t="s">
        <v>3947</v>
      </c>
      <c r="B480" s="9" t="s">
        <v>3948</v>
      </c>
      <c r="C480" s="9" t="s">
        <v>3949</v>
      </c>
      <c r="D480" s="9" t="s">
        <v>3856</v>
      </c>
      <c r="E480" s="9" t="s">
        <v>2619</v>
      </c>
      <c r="F480" s="9" t="s">
        <v>508</v>
      </c>
      <c r="G480" s="9" t="s">
        <v>97</v>
      </c>
      <c r="H480" s="9" t="s">
        <v>98</v>
      </c>
      <c r="I480" s="9" t="s">
        <v>115</v>
      </c>
      <c r="J480" s="9">
        <v>2086</v>
      </c>
      <c r="K480" s="9" t="s">
        <v>3950</v>
      </c>
      <c r="L480" s="9" t="s">
        <v>117</v>
      </c>
      <c r="M480" s="10">
        <v>1.7650462962962962E-2</v>
      </c>
      <c r="N480" s="9" t="s">
        <v>43</v>
      </c>
      <c r="O480" s="9" t="s">
        <v>3951</v>
      </c>
      <c r="P480" s="9" t="s">
        <v>119</v>
      </c>
      <c r="Q480" s="10">
        <v>3.4930555555555548E-2</v>
      </c>
      <c r="R480" s="9" t="s">
        <v>56</v>
      </c>
      <c r="S480" s="10">
        <v>0.19741898148148149</v>
      </c>
      <c r="T480" s="9">
        <v>28.238</v>
      </c>
      <c r="U480" s="9">
        <v>8.11</v>
      </c>
      <c r="V480" s="10">
        <v>0.14512731481481481</v>
      </c>
      <c r="W480" s="10">
        <v>9.1122685185185182E-2</v>
      </c>
      <c r="X480" s="10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1</v>
      </c>
      <c r="AE480" s="9" t="s">
        <v>57</v>
      </c>
      <c r="AF480" s="9" t="s">
        <v>3952</v>
      </c>
      <c r="AG480" s="9" t="s">
        <v>3953</v>
      </c>
      <c r="AH480" s="9">
        <v>6.2228089999999998</v>
      </c>
      <c r="AI480" s="9">
        <v>-75.598541999999995</v>
      </c>
      <c r="AJ480" s="9" t="s">
        <v>3954</v>
      </c>
      <c r="AK480" s="9">
        <v>6.3052380000000001</v>
      </c>
      <c r="AL480" s="9">
        <v>-75.577174999999997</v>
      </c>
      <c r="AM480" s="26">
        <f t="shared" si="8"/>
        <v>5.2581018518518513E-2</v>
      </c>
    </row>
    <row r="481" spans="1:40" ht="15" x14ac:dyDescent="0.25">
      <c r="A481" s="9" t="s">
        <v>3955</v>
      </c>
      <c r="B481" s="9" t="s">
        <v>3956</v>
      </c>
      <c r="C481" s="9" t="s">
        <v>3957</v>
      </c>
      <c r="D481" s="9" t="s">
        <v>3856</v>
      </c>
      <c r="E481" s="9" t="s">
        <v>2619</v>
      </c>
      <c r="F481" s="9" t="s">
        <v>508</v>
      </c>
      <c r="G481" s="9" t="s">
        <v>105</v>
      </c>
      <c r="H481" s="9" t="s">
        <v>106</v>
      </c>
      <c r="I481" s="9" t="s">
        <v>115</v>
      </c>
      <c r="J481" s="9">
        <v>2564</v>
      </c>
      <c r="K481" s="9" t="s">
        <v>3958</v>
      </c>
      <c r="L481" s="9" t="s">
        <v>117</v>
      </c>
      <c r="M481" s="10">
        <v>2.104166666666667E-2</v>
      </c>
      <c r="N481" s="9" t="s">
        <v>43</v>
      </c>
      <c r="O481" s="9" t="s">
        <v>3959</v>
      </c>
      <c r="P481" s="9" t="s">
        <v>119</v>
      </c>
      <c r="Q481" s="10">
        <v>1.006944444444444E-3</v>
      </c>
      <c r="R481" s="9" t="s">
        <v>46</v>
      </c>
      <c r="S481" s="10">
        <v>0.22996527777777781</v>
      </c>
      <c r="T481" s="9">
        <v>68.587999999999994</v>
      </c>
      <c r="U481" s="9">
        <v>19.579999999999998</v>
      </c>
      <c r="V481" s="10">
        <v>0.1459375</v>
      </c>
      <c r="W481" s="10">
        <v>5.8981481481481482E-2</v>
      </c>
      <c r="X481" s="10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1</v>
      </c>
      <c r="AE481" s="9" t="s">
        <v>47</v>
      </c>
      <c r="AF481" s="9" t="s">
        <v>3960</v>
      </c>
      <c r="AG481" s="9" t="s">
        <v>3961</v>
      </c>
      <c r="AH481" s="9">
        <v>6.258216</v>
      </c>
      <c r="AI481" s="9">
        <v>-75.622231999999997</v>
      </c>
      <c r="AJ481" s="9" t="s">
        <v>3962</v>
      </c>
      <c r="AK481" s="9">
        <v>6.2584609999999996</v>
      </c>
      <c r="AL481" s="9">
        <v>-75.615835000000004</v>
      </c>
      <c r="AM481" s="26">
        <f t="shared" si="8"/>
        <v>2.104166666666667E-2</v>
      </c>
    </row>
    <row r="482" spans="1:40" ht="15" x14ac:dyDescent="0.25">
      <c r="A482" s="9" t="s">
        <v>3963</v>
      </c>
      <c r="B482" s="9" t="s">
        <v>3964</v>
      </c>
      <c r="C482" s="9" t="s">
        <v>3965</v>
      </c>
      <c r="D482" s="9" t="s">
        <v>3966</v>
      </c>
      <c r="E482" s="9" t="s">
        <v>2619</v>
      </c>
      <c r="F482" s="9" t="s">
        <v>37</v>
      </c>
      <c r="G482" s="9" t="s">
        <v>38</v>
      </c>
      <c r="H482" s="9" t="s">
        <v>39</v>
      </c>
      <c r="I482" s="9" t="s">
        <v>40</v>
      </c>
      <c r="J482" s="9">
        <v>1765</v>
      </c>
      <c r="K482" s="9" t="s">
        <v>3967</v>
      </c>
      <c r="L482" s="9" t="s">
        <v>42</v>
      </c>
      <c r="M482" s="10">
        <v>2.704861111111111E-2</v>
      </c>
      <c r="N482" s="9" t="s">
        <v>127</v>
      </c>
      <c r="O482" s="9" t="s">
        <v>3968</v>
      </c>
      <c r="P482" s="9" t="s">
        <v>45</v>
      </c>
      <c r="Q482" s="10">
        <v>2.0833333333333329E-3</v>
      </c>
      <c r="R482" s="9" t="s">
        <v>46</v>
      </c>
      <c r="S482" s="10">
        <v>0.35829861111111111</v>
      </c>
      <c r="T482" s="9">
        <v>23.791</v>
      </c>
      <c r="U482" s="9">
        <v>3.44</v>
      </c>
      <c r="V482" s="10">
        <v>0.28827546296296302</v>
      </c>
      <c r="W482" s="10">
        <v>0.25462962962962971</v>
      </c>
      <c r="X482" s="10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3</v>
      </c>
      <c r="AE482" s="9" t="s">
        <v>139</v>
      </c>
      <c r="AF482" s="9" t="s">
        <v>3969</v>
      </c>
      <c r="AG482" s="9" t="s">
        <v>3970</v>
      </c>
      <c r="AH482" s="9">
        <v>6.2257189999999998</v>
      </c>
      <c r="AI482" s="9">
        <v>-75.599436999999995</v>
      </c>
      <c r="AJ482" s="9" t="s">
        <v>3971</v>
      </c>
      <c r="AK482" s="9">
        <v>6.2503039999999999</v>
      </c>
      <c r="AL482" s="9">
        <v>-75.599763999999993</v>
      </c>
      <c r="AM482" s="26">
        <f t="shared" si="8"/>
        <v>0</v>
      </c>
    </row>
    <row r="483" spans="1:40" ht="15" x14ac:dyDescent="0.25">
      <c r="A483" s="9" t="s">
        <v>3972</v>
      </c>
      <c r="B483" s="9" t="s">
        <v>3973</v>
      </c>
      <c r="C483" s="9" t="s">
        <v>3974</v>
      </c>
      <c r="D483" s="9" t="s">
        <v>3966</v>
      </c>
      <c r="E483" s="9" t="s">
        <v>2619</v>
      </c>
      <c r="F483" s="9" t="s">
        <v>37</v>
      </c>
      <c r="G483" s="9" t="s">
        <v>52</v>
      </c>
      <c r="H483" s="9" t="s">
        <v>53</v>
      </c>
      <c r="I483" s="9" t="s">
        <v>40</v>
      </c>
      <c r="J483" s="9">
        <v>1765</v>
      </c>
      <c r="K483" s="9" t="s">
        <v>3967</v>
      </c>
      <c r="L483" s="9" t="s">
        <v>42</v>
      </c>
      <c r="M483" s="10">
        <v>2.704861111111111E-2</v>
      </c>
      <c r="N483" s="9" t="s">
        <v>127</v>
      </c>
      <c r="O483" s="9" t="s">
        <v>3968</v>
      </c>
      <c r="P483" s="9" t="s">
        <v>45</v>
      </c>
      <c r="Q483" s="10">
        <v>2.0833333333333329E-3</v>
      </c>
      <c r="R483" s="9" t="s">
        <v>46</v>
      </c>
      <c r="S483" s="10">
        <v>0.35829861111111111</v>
      </c>
      <c r="T483" s="9">
        <v>23.791</v>
      </c>
      <c r="U483" s="9">
        <v>3.44</v>
      </c>
      <c r="V483" s="10">
        <v>0.28827546296296302</v>
      </c>
      <c r="W483" s="10">
        <v>0.25462962962962971</v>
      </c>
      <c r="X483" s="10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3</v>
      </c>
      <c r="AE483" s="9" t="s">
        <v>139</v>
      </c>
      <c r="AF483" s="9" t="s">
        <v>3969</v>
      </c>
      <c r="AG483" s="9" t="s">
        <v>3970</v>
      </c>
      <c r="AH483" s="9">
        <v>6.2257189999999998</v>
      </c>
      <c r="AI483" s="9">
        <v>-75.599436999999995</v>
      </c>
      <c r="AJ483" s="9" t="s">
        <v>3971</v>
      </c>
      <c r="AK483" s="9">
        <v>6.2503039999999999</v>
      </c>
      <c r="AL483" s="9">
        <v>-75.599763999999993</v>
      </c>
      <c r="AM483" s="26">
        <f t="shared" si="8"/>
        <v>0</v>
      </c>
    </row>
    <row r="484" spans="1:40" ht="15" x14ac:dyDescent="0.25">
      <c r="A484" s="9" t="s">
        <v>3975</v>
      </c>
      <c r="B484" s="9" t="s">
        <v>3976</v>
      </c>
      <c r="C484" s="9" t="s">
        <v>3977</v>
      </c>
      <c r="D484" s="9" t="s">
        <v>3966</v>
      </c>
      <c r="E484" s="9" t="s">
        <v>2619</v>
      </c>
      <c r="F484" s="9" t="s">
        <v>37</v>
      </c>
      <c r="G484" s="9" t="s">
        <v>144</v>
      </c>
      <c r="H484" s="9" t="s">
        <v>145</v>
      </c>
      <c r="I484" s="9" t="s">
        <v>40</v>
      </c>
      <c r="J484" s="9">
        <v>8095</v>
      </c>
      <c r="K484" s="9" t="s">
        <v>3978</v>
      </c>
      <c r="L484" s="9" t="s">
        <v>42</v>
      </c>
      <c r="M484" s="10">
        <v>3.6203703703703703E-2</v>
      </c>
      <c r="N484" s="9" t="s">
        <v>127</v>
      </c>
      <c r="O484" s="9" t="s">
        <v>3979</v>
      </c>
      <c r="P484" s="9" t="s">
        <v>45</v>
      </c>
      <c r="Q484" s="10">
        <v>1.8518518518518519E-3</v>
      </c>
      <c r="R484" s="9" t="s">
        <v>46</v>
      </c>
      <c r="S484" s="10">
        <v>0.36768518518518523</v>
      </c>
      <c r="T484" s="9">
        <v>109.85599999999999</v>
      </c>
      <c r="U484" s="9">
        <v>15.16</v>
      </c>
      <c r="V484" s="10">
        <v>0.30186342592592591</v>
      </c>
      <c r="W484" s="10">
        <v>7.3865740740740746E-2</v>
      </c>
      <c r="X484" s="10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1</v>
      </c>
      <c r="AE484" s="9" t="s">
        <v>139</v>
      </c>
      <c r="AF484" s="9" t="s">
        <v>3980</v>
      </c>
      <c r="AG484" s="9" t="s">
        <v>3981</v>
      </c>
      <c r="AH484" s="9">
        <v>6.2905749999999996</v>
      </c>
      <c r="AI484" s="9">
        <v>-75.546308999999994</v>
      </c>
      <c r="AJ484" s="9" t="s">
        <v>3982</v>
      </c>
      <c r="AK484" s="9">
        <v>6.2728120000000001</v>
      </c>
      <c r="AL484" s="9">
        <v>-75.574382</v>
      </c>
      <c r="AM484" s="26">
        <f t="shared" si="8"/>
        <v>0</v>
      </c>
    </row>
    <row r="485" spans="1:40" ht="15" x14ac:dyDescent="0.25">
      <c r="A485" s="9" t="s">
        <v>3983</v>
      </c>
      <c r="B485" s="9" t="s">
        <v>3984</v>
      </c>
      <c r="C485" s="9" t="s">
        <v>3985</v>
      </c>
      <c r="D485" s="9" t="s">
        <v>3966</v>
      </c>
      <c r="E485" s="9" t="s">
        <v>2619</v>
      </c>
      <c r="F485" s="9" t="s">
        <v>37</v>
      </c>
      <c r="G485" s="9" t="s">
        <v>89</v>
      </c>
      <c r="H485" s="9" t="s">
        <v>90</v>
      </c>
      <c r="I485" s="9" t="s">
        <v>40</v>
      </c>
      <c r="J485" s="9">
        <v>3683</v>
      </c>
      <c r="K485" s="9" t="s">
        <v>3986</v>
      </c>
      <c r="L485" s="9" t="s">
        <v>42</v>
      </c>
      <c r="M485" s="10">
        <v>5.3356481481481484E-3</v>
      </c>
      <c r="N485" s="9" t="s">
        <v>65</v>
      </c>
      <c r="O485" s="9" t="s">
        <v>3987</v>
      </c>
      <c r="P485" s="9" t="s">
        <v>45</v>
      </c>
      <c r="Q485" s="10">
        <v>5.3125000000000004E-3</v>
      </c>
      <c r="R485" s="9" t="s">
        <v>46</v>
      </c>
      <c r="S485" s="10">
        <v>0.3439814814814815</v>
      </c>
      <c r="T485" s="9">
        <v>43.228999999999999</v>
      </c>
      <c r="U485" s="9">
        <v>9.1199999999999992</v>
      </c>
      <c r="V485" s="10">
        <v>0.1975462962962963</v>
      </c>
      <c r="W485" s="10">
        <v>0.1106712962962963</v>
      </c>
      <c r="X485" s="10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1</v>
      </c>
      <c r="AE485" s="9" t="s">
        <v>84</v>
      </c>
      <c r="AF485" s="9" t="s">
        <v>324</v>
      </c>
      <c r="AG485" s="9" t="s">
        <v>3988</v>
      </c>
      <c r="AH485" s="9">
        <v>6.2266640000000004</v>
      </c>
      <c r="AI485" s="9">
        <v>-75.599209999999999</v>
      </c>
      <c r="AJ485" s="9" t="s">
        <v>3989</v>
      </c>
      <c r="AK485" s="9">
        <v>6.2796599999999998</v>
      </c>
      <c r="AL485" s="9">
        <v>-75.572286000000005</v>
      </c>
      <c r="AM485" s="26">
        <f t="shared" si="8"/>
        <v>0</v>
      </c>
    </row>
    <row r="486" spans="1:40" ht="15" x14ac:dyDescent="0.25">
      <c r="A486" s="9" t="s">
        <v>3990</v>
      </c>
      <c r="B486" s="9" t="s">
        <v>3991</v>
      </c>
      <c r="C486" s="9" t="s">
        <v>3992</v>
      </c>
      <c r="D486" s="9" t="s">
        <v>3966</v>
      </c>
      <c r="E486" s="9" t="s">
        <v>2619</v>
      </c>
      <c r="F486" s="9" t="s">
        <v>37</v>
      </c>
      <c r="G486" s="9" t="s">
        <v>113</v>
      </c>
      <c r="H486" s="9" t="s">
        <v>114</v>
      </c>
      <c r="I486" s="9" t="s">
        <v>115</v>
      </c>
      <c r="J486" s="9">
        <v>687</v>
      </c>
      <c r="K486" s="9" t="s">
        <v>3993</v>
      </c>
      <c r="L486" s="9" t="s">
        <v>117</v>
      </c>
      <c r="M486" s="10">
        <v>3.5995370370370369E-3</v>
      </c>
      <c r="N486" s="9" t="s">
        <v>65</v>
      </c>
      <c r="O486" s="9" t="s">
        <v>3994</v>
      </c>
      <c r="P486" s="9" t="s">
        <v>119</v>
      </c>
      <c r="Q486" s="10">
        <v>9.8611111111111108E-2</v>
      </c>
      <c r="R486" s="9" t="s">
        <v>56</v>
      </c>
      <c r="S486" s="10">
        <v>0.14778935185185191</v>
      </c>
      <c r="T486" s="9">
        <v>10.305</v>
      </c>
      <c r="U486" s="9">
        <v>6.32</v>
      </c>
      <c r="V486" s="10">
        <v>6.7962962962962961E-2</v>
      </c>
      <c r="W486" s="10">
        <v>4.7245370370370368E-2</v>
      </c>
      <c r="X486" s="10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 t="s">
        <v>67</v>
      </c>
      <c r="AF486" s="9" t="s">
        <v>3995</v>
      </c>
      <c r="AG486" s="9" t="s">
        <v>3996</v>
      </c>
      <c r="AH486" s="9">
        <v>6.2478800000000003</v>
      </c>
      <c r="AI486" s="9">
        <v>-75.615136000000007</v>
      </c>
      <c r="AJ486" s="9" t="s">
        <v>3997</v>
      </c>
      <c r="AK486" s="9">
        <v>6.2084429999999999</v>
      </c>
      <c r="AL486" s="9">
        <v>-75.591436999999999</v>
      </c>
      <c r="AM486" s="26">
        <f t="shared" si="8"/>
        <v>9.8611111111111108E-2</v>
      </c>
      <c r="AN486" s="1" t="s">
        <v>4061</v>
      </c>
    </row>
    <row r="487" spans="1:40" ht="15" x14ac:dyDescent="0.25">
      <c r="A487" s="9" t="s">
        <v>3998</v>
      </c>
      <c r="B487" s="9" t="s">
        <v>3999</v>
      </c>
      <c r="C487" s="9" t="s">
        <v>4000</v>
      </c>
      <c r="D487" s="9" t="s">
        <v>3966</v>
      </c>
      <c r="E487" s="9" t="s">
        <v>2619</v>
      </c>
      <c r="F487" s="9" t="s">
        <v>37</v>
      </c>
      <c r="G487" s="9" t="s">
        <v>124</v>
      </c>
      <c r="H487" s="9" t="s">
        <v>125</v>
      </c>
      <c r="I487" s="9" t="s">
        <v>115</v>
      </c>
      <c r="J487" s="9">
        <v>3634</v>
      </c>
      <c r="K487" s="9" t="s">
        <v>4001</v>
      </c>
      <c r="L487" s="9" t="s">
        <v>117</v>
      </c>
      <c r="M487" s="10">
        <v>3.7569444444444447E-2</v>
      </c>
      <c r="N487" s="9" t="s">
        <v>127</v>
      </c>
      <c r="O487" s="9" t="s">
        <v>4002</v>
      </c>
      <c r="P487" s="9" t="s">
        <v>119</v>
      </c>
      <c r="Q487" s="10">
        <v>3.123842592592593E-2</v>
      </c>
      <c r="R487" s="9" t="s">
        <v>129</v>
      </c>
      <c r="S487" s="10">
        <v>0.31880787037037039</v>
      </c>
      <c r="T487" s="9">
        <v>42.472999999999999</v>
      </c>
      <c r="U487" s="9">
        <v>9.33</v>
      </c>
      <c r="V487" s="10">
        <v>0.18966435185185179</v>
      </c>
      <c r="W487" s="10">
        <v>5.8761574074074077E-2</v>
      </c>
      <c r="X487" s="10">
        <v>2.778935185185185E-2</v>
      </c>
      <c r="Y487" s="9">
        <v>1</v>
      </c>
      <c r="Z487" s="9">
        <v>1</v>
      </c>
      <c r="AA487" s="9">
        <v>1</v>
      </c>
      <c r="AB487" s="9">
        <v>1</v>
      </c>
      <c r="AC487" s="9">
        <v>0</v>
      </c>
      <c r="AD487" s="9">
        <v>0</v>
      </c>
      <c r="AE487" s="9" t="s">
        <v>130</v>
      </c>
      <c r="AF487" s="9" t="s">
        <v>4003</v>
      </c>
      <c r="AG487" s="9" t="s">
        <v>4004</v>
      </c>
      <c r="AH487" s="9">
        <v>6.2395740000000002</v>
      </c>
      <c r="AI487" s="9">
        <v>-75.576549</v>
      </c>
      <c r="AJ487" s="9" t="s">
        <v>4005</v>
      </c>
      <c r="AK487" s="9">
        <v>6.2729270000000001</v>
      </c>
      <c r="AL487" s="9">
        <v>-75.601972000000004</v>
      </c>
      <c r="AM487" s="26">
        <f t="shared" si="8"/>
        <v>0</v>
      </c>
      <c r="AN487" s="1" t="s">
        <v>4061</v>
      </c>
    </row>
    <row r="488" spans="1:40" ht="15" x14ac:dyDescent="0.25">
      <c r="A488" s="9" t="s">
        <v>4006</v>
      </c>
      <c r="B488" s="9" t="s">
        <v>4007</v>
      </c>
      <c r="C488" s="9" t="s">
        <v>4008</v>
      </c>
      <c r="D488" s="9" t="s">
        <v>3966</v>
      </c>
      <c r="E488" s="9" t="s">
        <v>2619</v>
      </c>
      <c r="F488" s="9" t="s">
        <v>37</v>
      </c>
      <c r="G488" s="9" t="s">
        <v>135</v>
      </c>
      <c r="H488" s="9" t="s">
        <v>136</v>
      </c>
      <c r="I488" s="9" t="s">
        <v>115</v>
      </c>
      <c r="J488" s="9">
        <v>1388</v>
      </c>
      <c r="K488" s="9" t="s">
        <v>4009</v>
      </c>
      <c r="L488" s="9" t="s">
        <v>117</v>
      </c>
      <c r="M488" s="10">
        <v>5.5150462962962957E-2</v>
      </c>
      <c r="N488" s="9" t="s">
        <v>127</v>
      </c>
      <c r="O488" s="9" t="s">
        <v>4010</v>
      </c>
      <c r="P488" s="9" t="s">
        <v>119</v>
      </c>
      <c r="Q488" s="10">
        <v>1.097222222222222E-2</v>
      </c>
      <c r="R488" s="9" t="s">
        <v>56</v>
      </c>
      <c r="S488" s="10">
        <v>0.29417824074074073</v>
      </c>
      <c r="T488" s="9">
        <v>32.619999999999997</v>
      </c>
      <c r="U488" s="9">
        <v>8.5399999999999991</v>
      </c>
      <c r="V488" s="10">
        <v>0.15917824074074069</v>
      </c>
      <c r="W488" s="10">
        <v>0.1160069444444444</v>
      </c>
      <c r="X488" s="10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2</v>
      </c>
      <c r="AE488" s="9" t="s">
        <v>139</v>
      </c>
      <c r="AF488" s="9" t="s">
        <v>4011</v>
      </c>
      <c r="AG488" s="9" t="s">
        <v>4012</v>
      </c>
      <c r="AH488" s="9">
        <v>6.2251979999999998</v>
      </c>
      <c r="AI488" s="9">
        <v>-75.599367999999998</v>
      </c>
      <c r="AJ488" s="9" t="s">
        <v>4013</v>
      </c>
      <c r="AK488" s="9">
        <v>6.2782410000000004</v>
      </c>
      <c r="AL488" s="9">
        <v>-75.538990999999996</v>
      </c>
      <c r="AM488" s="26">
        <f t="shared" si="8"/>
        <v>1.097222222222222E-2</v>
      </c>
      <c r="AN488" s="1" t="s">
        <v>4061</v>
      </c>
    </row>
    <row r="489" spans="1:40" ht="15" x14ac:dyDescent="0.25">
      <c r="A489" s="9" t="s">
        <v>4014</v>
      </c>
      <c r="B489" s="9" t="s">
        <v>4015</v>
      </c>
      <c r="C489" s="9" t="s">
        <v>4016</v>
      </c>
      <c r="D489" s="9" t="s">
        <v>3966</v>
      </c>
      <c r="E489" s="9" t="s">
        <v>2619</v>
      </c>
      <c r="F489" s="9" t="s">
        <v>37</v>
      </c>
      <c r="G489" s="9" t="s">
        <v>72</v>
      </c>
      <c r="H489" s="9" t="s">
        <v>73</v>
      </c>
      <c r="I489" s="9" t="s">
        <v>115</v>
      </c>
      <c r="J489" s="9">
        <v>2446</v>
      </c>
      <c r="K489" s="9" t="s">
        <v>4017</v>
      </c>
      <c r="L489" s="9" t="s">
        <v>117</v>
      </c>
      <c r="M489" s="10">
        <v>5.6377314814814818E-2</v>
      </c>
      <c r="N489" s="9" t="s">
        <v>127</v>
      </c>
      <c r="O489" s="9" t="s">
        <v>4018</v>
      </c>
      <c r="P489" s="9" t="s">
        <v>119</v>
      </c>
      <c r="Q489" s="10">
        <v>7.2581018518518517E-2</v>
      </c>
      <c r="R489" s="9" t="s">
        <v>56</v>
      </c>
      <c r="S489" s="10">
        <v>0.23379629629629631</v>
      </c>
      <c r="T489" s="9">
        <v>33.841000000000001</v>
      </c>
      <c r="U489" s="9">
        <v>7.35</v>
      </c>
      <c r="V489" s="10">
        <v>0.1917824074074074</v>
      </c>
      <c r="W489" s="10">
        <v>0.1427083333333333</v>
      </c>
      <c r="X489" s="10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1</v>
      </c>
      <c r="AE489" s="9" t="s">
        <v>139</v>
      </c>
      <c r="AF489" s="9" t="s">
        <v>4019</v>
      </c>
      <c r="AG489" s="9" t="s">
        <v>4020</v>
      </c>
      <c r="AH489" s="9">
        <v>6.2256929999999997</v>
      </c>
      <c r="AI489" s="9">
        <v>-75.599402999999995</v>
      </c>
      <c r="AJ489" s="9" t="s">
        <v>4021</v>
      </c>
      <c r="AK489" s="9">
        <v>6.2369880000000002</v>
      </c>
      <c r="AL489" s="9">
        <v>-75.558808999999997</v>
      </c>
      <c r="AM489" s="26">
        <f t="shared" si="8"/>
        <v>7.2581018518518517E-2</v>
      </c>
      <c r="AN489" s="1" t="s">
        <v>4061</v>
      </c>
    </row>
    <row r="490" spans="1:40" ht="15" x14ac:dyDescent="0.25">
      <c r="A490" s="9" t="s">
        <v>4022</v>
      </c>
      <c r="B490" s="9" t="s">
        <v>4023</v>
      </c>
      <c r="C490" s="9" t="s">
        <v>4024</v>
      </c>
      <c r="D490" s="9" t="s">
        <v>3966</v>
      </c>
      <c r="E490" s="9" t="s">
        <v>2619</v>
      </c>
      <c r="F490" s="9" t="s">
        <v>37</v>
      </c>
      <c r="G490" s="9" t="s">
        <v>80</v>
      </c>
      <c r="H490" s="9" t="s">
        <v>81</v>
      </c>
      <c r="I490" s="9" t="s">
        <v>115</v>
      </c>
      <c r="J490" s="9">
        <v>2743</v>
      </c>
      <c r="K490" s="9" t="s">
        <v>4025</v>
      </c>
      <c r="L490" s="9" t="s">
        <v>117</v>
      </c>
      <c r="M490" s="10">
        <v>6.922083333333333E-3</v>
      </c>
      <c r="N490" s="9" t="s">
        <v>65</v>
      </c>
      <c r="O490" s="9" t="s">
        <v>4026</v>
      </c>
      <c r="P490" s="9" t="s">
        <v>119</v>
      </c>
      <c r="Q490" s="10">
        <v>7.4099884259259258E-3</v>
      </c>
      <c r="R490" s="9" t="s">
        <v>46</v>
      </c>
      <c r="S490" s="10">
        <v>0.2356679282407407</v>
      </c>
      <c r="T490" s="9">
        <v>19.832000000000001</v>
      </c>
      <c r="U490" s="9">
        <v>7.34</v>
      </c>
      <c r="V490" s="10">
        <v>0.11260608796296299</v>
      </c>
      <c r="W490" s="10">
        <v>8.8518946759259268E-2</v>
      </c>
      <c r="X490" s="10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9</v>
      </c>
      <c r="AE490" s="9" t="s">
        <v>84</v>
      </c>
      <c r="AF490" s="9" t="s">
        <v>3008</v>
      </c>
      <c r="AG490" s="9" t="s">
        <v>4027</v>
      </c>
      <c r="AH490" s="9">
        <v>6.2497939999999996</v>
      </c>
      <c r="AI490" s="9">
        <v>-75.584761</v>
      </c>
      <c r="AJ490" s="9" t="s">
        <v>4028</v>
      </c>
      <c r="AK490" s="9">
        <v>6.2594909999999997</v>
      </c>
      <c r="AL490" s="9">
        <v>-75.620588999999995</v>
      </c>
      <c r="AM490" s="26">
        <f t="shared" si="8"/>
        <v>0</v>
      </c>
      <c r="AN490" s="1" t="s">
        <v>4061</v>
      </c>
    </row>
    <row r="491" spans="1:40" ht="15" x14ac:dyDescent="0.25">
      <c r="A491" s="9" t="s">
        <v>4029</v>
      </c>
      <c r="B491" s="9" t="s">
        <v>4030</v>
      </c>
      <c r="C491" s="9" t="s">
        <v>4031</v>
      </c>
      <c r="D491" s="9" t="s">
        <v>3966</v>
      </c>
      <c r="E491" s="9" t="s">
        <v>2619</v>
      </c>
      <c r="F491" s="9" t="s">
        <v>37</v>
      </c>
      <c r="G491" s="9" t="s">
        <v>152</v>
      </c>
      <c r="H491" s="9" t="s">
        <v>153</v>
      </c>
      <c r="I491" s="9" t="s">
        <v>115</v>
      </c>
      <c r="J491" s="9">
        <v>1733</v>
      </c>
      <c r="K491" s="9" t="s">
        <v>4032</v>
      </c>
      <c r="L491" s="9" t="s">
        <v>117</v>
      </c>
      <c r="M491" s="10">
        <v>2.4560185185185181E-2</v>
      </c>
      <c r="N491" s="9" t="s">
        <v>43</v>
      </c>
      <c r="O491" s="9" t="s">
        <v>4033</v>
      </c>
      <c r="P491" s="9" t="s">
        <v>119</v>
      </c>
      <c r="Q491" s="10">
        <v>1.238425925925926E-3</v>
      </c>
      <c r="R491" s="9" t="s">
        <v>46</v>
      </c>
      <c r="S491" s="10">
        <v>0.22667824074074069</v>
      </c>
      <c r="T491" s="9">
        <v>22.762</v>
      </c>
      <c r="U491" s="9">
        <v>7.37</v>
      </c>
      <c r="V491" s="10">
        <v>0.12864583333333329</v>
      </c>
      <c r="W491" s="10">
        <v>9.2326388888888888E-2</v>
      </c>
      <c r="X491" s="10">
        <v>2.3773148148148151E-2</v>
      </c>
      <c r="Y491" s="9">
        <v>1</v>
      </c>
      <c r="Z491" s="9">
        <v>1</v>
      </c>
      <c r="AA491" s="9">
        <v>1</v>
      </c>
      <c r="AB491" s="9">
        <v>0</v>
      </c>
      <c r="AC491" s="9">
        <v>0</v>
      </c>
      <c r="AD491" s="9">
        <v>0</v>
      </c>
      <c r="AE491" s="9" t="s">
        <v>47</v>
      </c>
      <c r="AF491" s="9" t="s">
        <v>4034</v>
      </c>
      <c r="AG491" s="9" t="s">
        <v>4035</v>
      </c>
      <c r="AH491" s="9">
        <v>6.2517300000000002</v>
      </c>
      <c r="AI491" s="9">
        <v>-75.551739999999995</v>
      </c>
      <c r="AJ491" s="9" t="s">
        <v>4036</v>
      </c>
      <c r="AK491" s="9">
        <v>6.2517500000000004</v>
      </c>
      <c r="AL491" s="9">
        <v>-75.551732000000001</v>
      </c>
      <c r="AM491" s="26">
        <f t="shared" si="8"/>
        <v>2.4560185185185181E-2</v>
      </c>
      <c r="AN491" s="1" t="s">
        <v>4061</v>
      </c>
    </row>
    <row r="492" spans="1:40" ht="15" x14ac:dyDescent="0.25">
      <c r="A492" s="9" t="s">
        <v>4037</v>
      </c>
      <c r="B492" s="9" t="s">
        <v>4038</v>
      </c>
      <c r="C492" s="9" t="s">
        <v>4039</v>
      </c>
      <c r="D492" s="9" t="s">
        <v>3966</v>
      </c>
      <c r="E492" s="9" t="s">
        <v>2619</v>
      </c>
      <c r="F492" s="9" t="s">
        <v>37</v>
      </c>
      <c r="G492" s="9" t="s">
        <v>160</v>
      </c>
      <c r="H492" s="9" t="s">
        <v>161</v>
      </c>
      <c r="I492" s="9" t="s">
        <v>115</v>
      </c>
      <c r="J492" s="9">
        <v>11933</v>
      </c>
      <c r="K492" s="9" t="s">
        <v>4040</v>
      </c>
      <c r="L492" s="9" t="s">
        <v>117</v>
      </c>
      <c r="M492" s="10">
        <v>4.9263182870370369E-2</v>
      </c>
      <c r="N492" s="9" t="s">
        <v>127</v>
      </c>
      <c r="O492" s="9" t="s">
        <v>4041</v>
      </c>
      <c r="P492" s="9" t="s">
        <v>119</v>
      </c>
      <c r="Q492" s="10">
        <v>2.600231481481482E-3</v>
      </c>
      <c r="R492" s="9" t="s">
        <v>46</v>
      </c>
      <c r="S492" s="10">
        <v>0.30186341435185182</v>
      </c>
      <c r="T492" s="9">
        <v>58.390999999999998</v>
      </c>
      <c r="U492" s="9">
        <v>15.05</v>
      </c>
      <c r="V492" s="10">
        <v>0.16161192129629631</v>
      </c>
      <c r="W492" s="10">
        <v>0.11307856481481481</v>
      </c>
      <c r="X492" s="10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3</v>
      </c>
      <c r="AE492" s="9" t="s">
        <v>139</v>
      </c>
      <c r="AF492" s="9" t="s">
        <v>4042</v>
      </c>
      <c r="AG492" s="9" t="s">
        <v>4043</v>
      </c>
      <c r="AH492" s="9">
        <v>6.2266649999999997</v>
      </c>
      <c r="AI492" s="9">
        <v>-75.599373</v>
      </c>
      <c r="AJ492" s="9" t="s">
        <v>4044</v>
      </c>
      <c r="AK492" s="9">
        <v>6.2685899999999997</v>
      </c>
      <c r="AL492" s="9">
        <v>-75.599512000000004</v>
      </c>
      <c r="AM492" s="26">
        <f t="shared" si="8"/>
        <v>0</v>
      </c>
      <c r="AN492" s="1" t="s">
        <v>4061</v>
      </c>
    </row>
    <row r="493" spans="1:40" ht="15" x14ac:dyDescent="0.25">
      <c r="A493" s="9" t="s">
        <v>4045</v>
      </c>
      <c r="B493" s="9" t="s">
        <v>4046</v>
      </c>
      <c r="C493" s="9" t="s">
        <v>4047</v>
      </c>
      <c r="D493" s="9" t="s">
        <v>3966</v>
      </c>
      <c r="E493" s="9" t="s">
        <v>2619</v>
      </c>
      <c r="F493" s="9" t="s">
        <v>37</v>
      </c>
      <c r="G493" s="9" t="s">
        <v>97</v>
      </c>
      <c r="H493" s="9" t="s">
        <v>98</v>
      </c>
      <c r="I493" s="9" t="s">
        <v>115</v>
      </c>
      <c r="J493" s="9">
        <v>1895</v>
      </c>
      <c r="K493" s="9" t="s">
        <v>4048</v>
      </c>
      <c r="L493" s="9" t="s">
        <v>117</v>
      </c>
      <c r="M493" s="10">
        <v>5.0462962962962961E-3</v>
      </c>
      <c r="N493" s="9" t="s">
        <v>65</v>
      </c>
      <c r="O493" s="9" t="s">
        <v>4049</v>
      </c>
      <c r="P493" s="9" t="s">
        <v>119</v>
      </c>
      <c r="Q493" s="10">
        <v>5.9201388888888887E-2</v>
      </c>
      <c r="R493" s="9" t="s">
        <v>56</v>
      </c>
      <c r="S493" s="10">
        <v>0.1857523148148148</v>
      </c>
      <c r="T493" s="9">
        <v>23.581</v>
      </c>
      <c r="U493" s="9">
        <v>9.57</v>
      </c>
      <c r="V493" s="10">
        <v>0.102662037037037</v>
      </c>
      <c r="W493" s="10">
        <v>5.6643518518518517E-2</v>
      </c>
      <c r="X493" s="10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 t="s">
        <v>67</v>
      </c>
      <c r="AF493" s="9" t="s">
        <v>4050</v>
      </c>
      <c r="AG493" s="9" t="s">
        <v>4051</v>
      </c>
      <c r="AH493" s="9">
        <v>6.222747</v>
      </c>
      <c r="AI493" s="9">
        <v>-75.598646000000002</v>
      </c>
      <c r="AJ493" s="9" t="s">
        <v>4052</v>
      </c>
      <c r="AK493" s="9">
        <v>6.2405150000000003</v>
      </c>
      <c r="AL493" s="9">
        <v>-75.552284999999998</v>
      </c>
      <c r="AM493" s="26">
        <f t="shared" si="8"/>
        <v>5.9201388888888887E-2</v>
      </c>
      <c r="AN493" s="1" t="s">
        <v>4061</v>
      </c>
    </row>
    <row r="494" spans="1:40" ht="15" x14ac:dyDescent="0.25">
      <c r="A494" s="9" t="s">
        <v>4053</v>
      </c>
      <c r="B494" s="9" t="s">
        <v>4054</v>
      </c>
      <c r="C494" s="9" t="s">
        <v>4055</v>
      </c>
      <c r="D494" s="9" t="s">
        <v>3966</v>
      </c>
      <c r="E494" s="9" t="s">
        <v>2619</v>
      </c>
      <c r="F494" s="9" t="s">
        <v>37</v>
      </c>
      <c r="G494" s="9" t="s">
        <v>105</v>
      </c>
      <c r="H494" s="9" t="s">
        <v>106</v>
      </c>
      <c r="I494" s="9" t="s">
        <v>115</v>
      </c>
      <c r="J494" s="9">
        <v>6</v>
      </c>
      <c r="K494" s="9" t="s">
        <v>4056</v>
      </c>
      <c r="L494" s="9" t="s">
        <v>117</v>
      </c>
      <c r="M494" s="10">
        <v>1.3310185185185181E-3</v>
      </c>
      <c r="N494" s="9" t="s">
        <v>65</v>
      </c>
      <c r="O494" s="9" t="s">
        <v>4057</v>
      </c>
      <c r="P494" s="9" t="s">
        <v>119</v>
      </c>
      <c r="Q494" s="10">
        <v>0.25105324074074081</v>
      </c>
      <c r="R494" s="9" t="s">
        <v>56</v>
      </c>
      <c r="S494" s="10">
        <v>2.7777777777777778E-4</v>
      </c>
      <c r="T494" s="9">
        <v>7.8E-2</v>
      </c>
      <c r="U494" s="9">
        <v>11.75</v>
      </c>
      <c r="V494" s="10">
        <v>2.7777777777777778E-4</v>
      </c>
      <c r="W494" s="10">
        <v>9.2592592592592588E-5</v>
      </c>
      <c r="X494" s="10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 t="s">
        <v>67</v>
      </c>
      <c r="AF494" s="9" t="s">
        <v>4058</v>
      </c>
      <c r="AG494" s="9" t="s">
        <v>4059</v>
      </c>
      <c r="AH494" s="9">
        <v>6.258146</v>
      </c>
      <c r="AI494" s="9">
        <v>-75.615330999999998</v>
      </c>
      <c r="AJ494" s="9" t="s">
        <v>4060</v>
      </c>
      <c r="AK494" s="9">
        <v>6.258648</v>
      </c>
      <c r="AL494" s="9">
        <v>-75.615716000000006</v>
      </c>
      <c r="AM494" s="26">
        <f t="shared" si="8"/>
        <v>0.25105324074074081</v>
      </c>
      <c r="AN494" s="1" t="s">
        <v>4061</v>
      </c>
    </row>
    <row r="495" spans="1:40" ht="15" x14ac:dyDescent="0.25">
      <c r="A495" s="9" t="s">
        <v>4062</v>
      </c>
      <c r="B495" s="9" t="s">
        <v>4063</v>
      </c>
      <c r="C495" s="9" t="s">
        <v>4064</v>
      </c>
      <c r="D495" s="9" t="s">
        <v>4065</v>
      </c>
      <c r="E495" s="9" t="s">
        <v>2619</v>
      </c>
      <c r="F495" s="9" t="s">
        <v>169</v>
      </c>
      <c r="G495" s="9" t="s">
        <v>38</v>
      </c>
      <c r="H495" s="9" t="s">
        <v>39</v>
      </c>
      <c r="I495" s="9" t="s">
        <v>40</v>
      </c>
      <c r="J495" s="9">
        <v>3516</v>
      </c>
      <c r="K495" s="9" t="s">
        <v>4066</v>
      </c>
      <c r="L495" s="9" t="s">
        <v>42</v>
      </c>
      <c r="M495" s="10">
        <v>3.2523148148148148E-2</v>
      </c>
      <c r="N495" s="9" t="s">
        <v>43</v>
      </c>
      <c r="O495" s="9" t="s">
        <v>4067</v>
      </c>
      <c r="P495" s="9" t="s">
        <v>45</v>
      </c>
      <c r="Q495" s="10">
        <v>1.3541666666666669E-3</v>
      </c>
      <c r="R495" s="9" t="s">
        <v>46</v>
      </c>
      <c r="S495" s="10">
        <v>0.30216435185185192</v>
      </c>
      <c r="T495" s="9">
        <v>49.67</v>
      </c>
      <c r="U495" s="9">
        <v>10.199999999999999</v>
      </c>
      <c r="V495" s="10">
        <v>0.20281250000000001</v>
      </c>
      <c r="W495" s="10">
        <v>0.12973379629629631</v>
      </c>
      <c r="X495" s="10">
        <v>1.6597222222222222E-2</v>
      </c>
      <c r="Y495" s="9">
        <v>1</v>
      </c>
      <c r="Z495" s="9">
        <v>1</v>
      </c>
      <c r="AA495" s="9">
        <v>0</v>
      </c>
      <c r="AB495" s="9">
        <v>0</v>
      </c>
      <c r="AC495" s="9">
        <v>0</v>
      </c>
      <c r="AD495" s="9">
        <v>1</v>
      </c>
      <c r="AE495" s="9" t="s">
        <v>47</v>
      </c>
      <c r="AF495" s="9" t="s">
        <v>4068</v>
      </c>
      <c r="AG495" s="9" t="s">
        <v>4069</v>
      </c>
      <c r="AH495" s="9">
        <v>6.2032489999999996</v>
      </c>
      <c r="AI495" s="9">
        <v>-75.600742999999994</v>
      </c>
      <c r="AJ495" s="9" t="s">
        <v>4070</v>
      </c>
      <c r="AK495" s="9">
        <v>6.2321739999999997</v>
      </c>
      <c r="AL495" s="9">
        <v>-75.596885999999998</v>
      </c>
      <c r="AM495" s="26">
        <f t="shared" si="8"/>
        <v>3.2523148148148148E-2</v>
      </c>
    </row>
    <row r="496" spans="1:40" ht="15" x14ac:dyDescent="0.25">
      <c r="A496" s="9" t="s">
        <v>4071</v>
      </c>
      <c r="B496" s="9" t="s">
        <v>4072</v>
      </c>
      <c r="C496" s="9" t="s">
        <v>4073</v>
      </c>
      <c r="D496" s="9" t="s">
        <v>4065</v>
      </c>
      <c r="E496" s="9" t="s">
        <v>2619</v>
      </c>
      <c r="F496" s="9" t="s">
        <v>169</v>
      </c>
      <c r="G496" s="9" t="s">
        <v>52</v>
      </c>
      <c r="H496" s="9" t="s">
        <v>53</v>
      </c>
      <c r="I496" s="9" t="s">
        <v>40</v>
      </c>
      <c r="J496" s="9">
        <v>2797</v>
      </c>
      <c r="K496" s="9" t="s">
        <v>4074</v>
      </c>
      <c r="L496" s="9" t="s">
        <v>42</v>
      </c>
      <c r="M496" s="10">
        <v>3.1481481481481482E-3</v>
      </c>
      <c r="N496" s="9" t="s">
        <v>65</v>
      </c>
      <c r="O496" s="9" t="s">
        <v>4075</v>
      </c>
      <c r="P496" s="9" t="s">
        <v>45</v>
      </c>
      <c r="Q496" s="10">
        <v>5.7175925925925927E-3</v>
      </c>
      <c r="R496" s="9" t="s">
        <v>46</v>
      </c>
      <c r="S496" s="10">
        <v>0.33076388888888891</v>
      </c>
      <c r="T496" s="9">
        <v>39.484999999999999</v>
      </c>
      <c r="U496" s="9">
        <v>5.7</v>
      </c>
      <c r="V496" s="10">
        <v>0.28873842592592591</v>
      </c>
      <c r="W496" s="10">
        <v>0.23219907407407411</v>
      </c>
      <c r="X496" s="10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3</v>
      </c>
      <c r="AE496" s="9" t="s">
        <v>84</v>
      </c>
      <c r="AF496" s="9" t="s">
        <v>292</v>
      </c>
      <c r="AG496" s="9" t="s">
        <v>4076</v>
      </c>
      <c r="AH496" s="9">
        <v>6.2256819999999999</v>
      </c>
      <c r="AI496" s="9">
        <v>-75.599463</v>
      </c>
      <c r="AJ496" s="9" t="s">
        <v>4077</v>
      </c>
      <c r="AK496" s="9">
        <v>6.2417860000000003</v>
      </c>
      <c r="AL496" s="9">
        <v>-75.607845999999995</v>
      </c>
      <c r="AM496" s="26">
        <f t="shared" si="8"/>
        <v>0</v>
      </c>
    </row>
    <row r="497" spans="1:40" ht="15" x14ac:dyDescent="0.25">
      <c r="A497" s="9" t="s">
        <v>4078</v>
      </c>
      <c r="B497" s="9" t="s">
        <v>4079</v>
      </c>
      <c r="C497" s="9" t="s">
        <v>4080</v>
      </c>
      <c r="D497" s="9" t="s">
        <v>4065</v>
      </c>
      <c r="E497" s="9" t="s">
        <v>2619</v>
      </c>
      <c r="F497" s="9" t="s">
        <v>169</v>
      </c>
      <c r="G497" s="9" t="s">
        <v>144</v>
      </c>
      <c r="H497" s="9" t="s">
        <v>145</v>
      </c>
      <c r="I497" s="9" t="s">
        <v>40</v>
      </c>
      <c r="J497" s="9">
        <v>6988</v>
      </c>
      <c r="K497" s="9" t="s">
        <v>4081</v>
      </c>
      <c r="L497" s="9" t="s">
        <v>42</v>
      </c>
      <c r="M497" s="10">
        <v>1.4120370370370369E-3</v>
      </c>
      <c r="N497" s="9" t="s">
        <v>65</v>
      </c>
      <c r="O497" s="9" t="s">
        <v>4082</v>
      </c>
      <c r="P497" s="9" t="s">
        <v>45</v>
      </c>
      <c r="Q497" s="10">
        <v>1.0856481481481481E-2</v>
      </c>
      <c r="R497" s="9" t="s">
        <v>56</v>
      </c>
      <c r="S497" s="10">
        <v>0.3210648148148148</v>
      </c>
      <c r="T497" s="9">
        <v>93.13</v>
      </c>
      <c r="U497" s="9">
        <v>15.72</v>
      </c>
      <c r="V497" s="10">
        <v>0.24684027777777781</v>
      </c>
      <c r="W497" s="10">
        <v>7.7210648148148153E-2</v>
      </c>
      <c r="X497" s="10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 t="s">
        <v>67</v>
      </c>
      <c r="AF497" s="9" t="s">
        <v>4083</v>
      </c>
      <c r="AG497" s="9" t="s">
        <v>4084</v>
      </c>
      <c r="AH497" s="9">
        <v>6.2542340000000003</v>
      </c>
      <c r="AI497" s="9">
        <v>-75.574906999999996</v>
      </c>
      <c r="AJ497" s="9" t="s">
        <v>4085</v>
      </c>
      <c r="AK497" s="9">
        <v>6.2728339999999996</v>
      </c>
      <c r="AL497" s="9">
        <v>-75.574434999999994</v>
      </c>
      <c r="AM497" s="26">
        <f t="shared" si="8"/>
        <v>1.0856481481481481E-2</v>
      </c>
    </row>
    <row r="498" spans="1:40" ht="15" x14ac:dyDescent="0.25">
      <c r="A498" s="9" t="s">
        <v>4086</v>
      </c>
      <c r="B498" s="9" t="s">
        <v>4087</v>
      </c>
      <c r="C498" s="9" t="s">
        <v>4088</v>
      </c>
      <c r="D498" s="9" t="s">
        <v>4065</v>
      </c>
      <c r="E498" s="9" t="s">
        <v>2619</v>
      </c>
      <c r="F498" s="9" t="s">
        <v>169</v>
      </c>
      <c r="G498" s="9" t="s">
        <v>152</v>
      </c>
      <c r="H498" s="9" t="s">
        <v>153</v>
      </c>
      <c r="I498" s="9" t="s">
        <v>40</v>
      </c>
      <c r="J498" s="9">
        <v>4044</v>
      </c>
      <c r="K498" s="9" t="s">
        <v>4089</v>
      </c>
      <c r="L498" s="9" t="s">
        <v>42</v>
      </c>
      <c r="M498" s="10">
        <v>8.0787037037037043E-3</v>
      </c>
      <c r="N498" s="9" t="s">
        <v>65</v>
      </c>
      <c r="O498" s="9" t="s">
        <v>4090</v>
      </c>
      <c r="P498" s="9" t="s">
        <v>45</v>
      </c>
      <c r="Q498" s="10">
        <v>2.809027777777778E-2</v>
      </c>
      <c r="R498" s="9" t="s">
        <v>56</v>
      </c>
      <c r="S498" s="10">
        <v>0.29716435185185192</v>
      </c>
      <c r="T498" s="9">
        <v>51.698</v>
      </c>
      <c r="U498" s="9">
        <v>8.0500000000000007</v>
      </c>
      <c r="V498" s="10">
        <v>0.26775462962962959</v>
      </c>
      <c r="W498" s="10">
        <v>0.15445601851851851</v>
      </c>
      <c r="X498" s="10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2</v>
      </c>
      <c r="AE498" s="9" t="s">
        <v>67</v>
      </c>
      <c r="AF498" s="9" t="s">
        <v>4091</v>
      </c>
      <c r="AG498" s="9" t="s">
        <v>4092</v>
      </c>
      <c r="AH498" s="9">
        <v>6.2256030000000004</v>
      </c>
      <c r="AI498" s="9">
        <v>-75.599320000000006</v>
      </c>
      <c r="AJ498" s="9" t="s">
        <v>4093</v>
      </c>
      <c r="AK498" s="9">
        <v>6.2516920000000002</v>
      </c>
      <c r="AL498" s="9">
        <v>-75.551850000000002</v>
      </c>
      <c r="AM498" s="26">
        <f t="shared" si="8"/>
        <v>2.809027777777778E-2</v>
      </c>
    </row>
    <row r="499" spans="1:40" ht="15" x14ac:dyDescent="0.25">
      <c r="A499" s="17" t="s">
        <v>4094</v>
      </c>
      <c r="B499" s="17" t="s">
        <v>4095</v>
      </c>
      <c r="C499" s="17" t="s">
        <v>4096</v>
      </c>
      <c r="D499" s="17" t="s">
        <v>4065</v>
      </c>
      <c r="E499" s="17" t="s">
        <v>2619</v>
      </c>
      <c r="F499" s="17" t="s">
        <v>169</v>
      </c>
      <c r="G499" s="17" t="s">
        <v>89</v>
      </c>
      <c r="H499" s="17" t="s">
        <v>90</v>
      </c>
      <c r="I499" s="17" t="s">
        <v>40</v>
      </c>
      <c r="J499" s="17">
        <v>996</v>
      </c>
      <c r="K499" s="17" t="s">
        <v>4097</v>
      </c>
      <c r="L499" s="17" t="s">
        <v>42</v>
      </c>
      <c r="M499" s="18">
        <v>9.2592592592592588E-5</v>
      </c>
      <c r="N499" s="17" t="s">
        <v>65</v>
      </c>
      <c r="O499" s="17" t="s">
        <v>4098</v>
      </c>
      <c r="P499" s="17" t="s">
        <v>45</v>
      </c>
      <c r="Q499" s="18">
        <v>0.17484953703703701</v>
      </c>
      <c r="R499" s="17" t="s">
        <v>56</v>
      </c>
      <c r="S499" s="18">
        <v>0.15857638888888889</v>
      </c>
      <c r="T499" s="17">
        <v>12.478999999999999</v>
      </c>
      <c r="U499" s="17">
        <v>3.56</v>
      </c>
      <c r="V499" s="18">
        <v>0.1459722222222222</v>
      </c>
      <c r="W499" s="18">
        <v>0.1218402777777778</v>
      </c>
      <c r="X499" s="18">
        <v>0</v>
      </c>
      <c r="Y499" s="17">
        <v>0</v>
      </c>
      <c r="Z499" s="17">
        <v>0</v>
      </c>
      <c r="AA499" s="17">
        <v>0</v>
      </c>
      <c r="AB499" s="17">
        <v>0</v>
      </c>
      <c r="AC499" s="17">
        <v>0</v>
      </c>
      <c r="AD499" s="17">
        <v>2</v>
      </c>
      <c r="AE499" s="17" t="s">
        <v>67</v>
      </c>
      <c r="AF499" s="17" t="s">
        <v>4099</v>
      </c>
      <c r="AG499" s="17" t="s">
        <v>4100</v>
      </c>
      <c r="AH499" s="17">
        <v>6.2267219999999996</v>
      </c>
      <c r="AI499" s="17">
        <v>-75.599194999999995</v>
      </c>
      <c r="AJ499" s="17" t="s">
        <v>4101</v>
      </c>
      <c r="AK499" s="17">
        <v>6.2575839999999996</v>
      </c>
      <c r="AL499" s="17">
        <v>-75.565866</v>
      </c>
      <c r="AM499" s="26">
        <f t="shared" si="8"/>
        <v>0.17484953703703701</v>
      </c>
    </row>
    <row r="500" spans="1:40" ht="15" x14ac:dyDescent="0.25">
      <c r="A500" s="9" t="s">
        <v>4102</v>
      </c>
      <c r="B500" s="9" t="s">
        <v>4103</v>
      </c>
      <c r="C500" s="9" t="s">
        <v>4104</v>
      </c>
      <c r="D500" s="9" t="s">
        <v>4065</v>
      </c>
      <c r="E500" s="9" t="s">
        <v>2619</v>
      </c>
      <c r="F500" s="9" t="s">
        <v>169</v>
      </c>
      <c r="G500" s="9" t="s">
        <v>113</v>
      </c>
      <c r="H500" s="9" t="s">
        <v>114</v>
      </c>
      <c r="I500" s="9" t="s">
        <v>115</v>
      </c>
      <c r="J500" s="9">
        <v>2423</v>
      </c>
      <c r="K500" s="9" t="s">
        <v>4105</v>
      </c>
      <c r="L500" s="9" t="s">
        <v>117</v>
      </c>
      <c r="M500" s="10">
        <v>1.008101851851852E-2</v>
      </c>
      <c r="N500" s="9" t="s">
        <v>65</v>
      </c>
      <c r="O500" s="9" t="s">
        <v>4106</v>
      </c>
      <c r="P500" s="9" t="s">
        <v>119</v>
      </c>
      <c r="Q500" s="10">
        <v>2.1134259259259259E-2</v>
      </c>
      <c r="R500" s="9" t="s">
        <v>56</v>
      </c>
      <c r="S500" s="10">
        <v>0.2187847222222222</v>
      </c>
      <c r="T500" s="9">
        <v>32.804000000000002</v>
      </c>
      <c r="U500" s="9">
        <v>8.4700000000000006</v>
      </c>
      <c r="V500" s="10">
        <v>0.16135416666666669</v>
      </c>
      <c r="W500" s="10">
        <v>0.112349537037037</v>
      </c>
      <c r="X500" s="10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1</v>
      </c>
      <c r="AE500" s="9" t="s">
        <v>67</v>
      </c>
      <c r="AF500" s="9" t="s">
        <v>4107</v>
      </c>
      <c r="AG500" s="9" t="s">
        <v>4108</v>
      </c>
      <c r="AH500" s="9">
        <v>6.2359679999999997</v>
      </c>
      <c r="AI500" s="9">
        <v>-75.602344000000002</v>
      </c>
      <c r="AJ500" s="9" t="s">
        <v>4109</v>
      </c>
      <c r="AK500" s="9">
        <v>6.2506459999999997</v>
      </c>
      <c r="AL500" s="9">
        <v>-75.602125000000001</v>
      </c>
      <c r="AM500" s="26">
        <f t="shared" si="8"/>
        <v>2.1134259259259259E-2</v>
      </c>
      <c r="AN500" s="1" t="s">
        <v>4061</v>
      </c>
    </row>
    <row r="501" spans="1:40" ht="15" x14ac:dyDescent="0.25">
      <c r="A501" s="9" t="s">
        <v>4110</v>
      </c>
      <c r="B501" s="9" t="s">
        <v>4111</v>
      </c>
      <c r="C501" s="9" t="s">
        <v>4112</v>
      </c>
      <c r="D501" s="9" t="s">
        <v>4065</v>
      </c>
      <c r="E501" s="9" t="s">
        <v>2619</v>
      </c>
      <c r="F501" s="9" t="s">
        <v>169</v>
      </c>
      <c r="G501" s="9" t="s">
        <v>124</v>
      </c>
      <c r="H501" s="9" t="s">
        <v>125</v>
      </c>
      <c r="I501" s="9" t="s">
        <v>115</v>
      </c>
      <c r="J501" s="9">
        <v>5128</v>
      </c>
      <c r="K501" s="9" t="s">
        <v>4113</v>
      </c>
      <c r="L501" s="9" t="s">
        <v>117</v>
      </c>
      <c r="M501" s="10">
        <v>3.5000000000000003E-2</v>
      </c>
      <c r="N501" s="9" t="s">
        <v>127</v>
      </c>
      <c r="O501" s="9" t="s">
        <v>4114</v>
      </c>
      <c r="P501" s="9" t="s">
        <v>119</v>
      </c>
      <c r="Q501" s="10">
        <v>2.179398148148148E-2</v>
      </c>
      <c r="R501" s="9" t="s">
        <v>129</v>
      </c>
      <c r="S501" s="10">
        <v>0.30679398148148151</v>
      </c>
      <c r="T501" s="9">
        <v>65.921000000000006</v>
      </c>
      <c r="U501" s="9">
        <v>13.43</v>
      </c>
      <c r="V501" s="10">
        <v>0.2044560185185185</v>
      </c>
      <c r="W501" s="10">
        <v>6.9039351851851852E-2</v>
      </c>
      <c r="X501" s="10">
        <v>2.1250000000000002E-2</v>
      </c>
      <c r="Y501" s="9">
        <v>1</v>
      </c>
      <c r="Z501" s="9">
        <v>1</v>
      </c>
      <c r="AA501" s="9">
        <v>1</v>
      </c>
      <c r="AB501" s="9">
        <v>0</v>
      </c>
      <c r="AC501" s="9">
        <v>0</v>
      </c>
      <c r="AD501" s="9">
        <v>0</v>
      </c>
      <c r="AE501" s="9" t="s">
        <v>130</v>
      </c>
      <c r="AF501" s="9" t="s">
        <v>4115</v>
      </c>
      <c r="AG501" s="9" t="s">
        <v>4116</v>
      </c>
      <c r="AH501" s="9">
        <v>6.2583909999999996</v>
      </c>
      <c r="AI501" s="9">
        <v>-75.578305999999998</v>
      </c>
      <c r="AJ501" s="9" t="s">
        <v>4117</v>
      </c>
      <c r="AK501" s="9">
        <v>6.2726329999999999</v>
      </c>
      <c r="AL501" s="9">
        <v>-75.602018000000001</v>
      </c>
      <c r="AM501" s="26">
        <f t="shared" si="8"/>
        <v>0</v>
      </c>
      <c r="AN501" s="1" t="s">
        <v>4061</v>
      </c>
    </row>
    <row r="502" spans="1:40" ht="15" x14ac:dyDescent="0.25">
      <c r="A502" s="9" t="s">
        <v>4118</v>
      </c>
      <c r="B502" s="9" t="s">
        <v>4119</v>
      </c>
      <c r="C502" s="9" t="s">
        <v>4120</v>
      </c>
      <c r="D502" s="9" t="s">
        <v>4065</v>
      </c>
      <c r="E502" s="9" t="s">
        <v>2619</v>
      </c>
      <c r="F502" s="9" t="s">
        <v>169</v>
      </c>
      <c r="G502" s="9" t="s">
        <v>135</v>
      </c>
      <c r="H502" s="9" t="s">
        <v>136</v>
      </c>
      <c r="I502" s="9" t="s">
        <v>115</v>
      </c>
      <c r="J502" s="9">
        <v>2877</v>
      </c>
      <c r="K502" s="9" t="s">
        <v>4121</v>
      </c>
      <c r="L502" s="9" t="s">
        <v>117</v>
      </c>
      <c r="M502" s="10">
        <v>2.8912037037037042E-2</v>
      </c>
      <c r="N502" s="9" t="s">
        <v>127</v>
      </c>
      <c r="O502" s="9" t="s">
        <v>4122</v>
      </c>
      <c r="P502" s="9" t="s">
        <v>119</v>
      </c>
      <c r="Q502" s="10">
        <v>8.4837962962962966E-3</v>
      </c>
      <c r="R502" s="9" t="s">
        <v>46</v>
      </c>
      <c r="S502" s="10">
        <v>0.27042824074074068</v>
      </c>
      <c r="T502" s="9">
        <v>35.521000000000001</v>
      </c>
      <c r="U502" s="9">
        <v>6.01</v>
      </c>
      <c r="V502" s="10">
        <v>0.24630787037037041</v>
      </c>
      <c r="W502" s="10">
        <v>0.19563657407407409</v>
      </c>
      <c r="X502" s="10">
        <v>4.3321759259259261E-2</v>
      </c>
      <c r="Y502" s="9">
        <v>1</v>
      </c>
      <c r="Z502" s="9">
        <v>1</v>
      </c>
      <c r="AA502" s="9">
        <v>1</v>
      </c>
      <c r="AB502" s="9">
        <v>1</v>
      </c>
      <c r="AC502" s="9">
        <v>1</v>
      </c>
      <c r="AD502" s="9">
        <v>4</v>
      </c>
      <c r="AE502" s="9" t="s">
        <v>139</v>
      </c>
      <c r="AF502" s="9" t="s">
        <v>4123</v>
      </c>
      <c r="AG502" s="9" t="s">
        <v>4124</v>
      </c>
      <c r="AH502" s="9">
        <v>6.2420349999999996</v>
      </c>
      <c r="AI502" s="9">
        <v>-75.619494000000003</v>
      </c>
      <c r="AJ502" s="9" t="s">
        <v>4125</v>
      </c>
      <c r="AK502" s="9">
        <v>6.2723810000000002</v>
      </c>
      <c r="AL502" s="9">
        <v>-75.540345000000002</v>
      </c>
      <c r="AM502" s="26">
        <f t="shared" si="8"/>
        <v>0</v>
      </c>
      <c r="AN502" s="1" t="s">
        <v>4061</v>
      </c>
    </row>
    <row r="503" spans="1:40" ht="15" x14ac:dyDescent="0.25">
      <c r="A503" s="9" t="s">
        <v>4126</v>
      </c>
      <c r="B503" s="9" t="s">
        <v>4127</v>
      </c>
      <c r="C503" s="9" t="s">
        <v>4128</v>
      </c>
      <c r="D503" s="9" t="s">
        <v>4065</v>
      </c>
      <c r="E503" s="9" t="s">
        <v>2619</v>
      </c>
      <c r="F503" s="9" t="s">
        <v>169</v>
      </c>
      <c r="G503" s="9" t="s">
        <v>72</v>
      </c>
      <c r="H503" s="9" t="s">
        <v>73</v>
      </c>
      <c r="I503" s="9" t="s">
        <v>115</v>
      </c>
      <c r="J503" s="9">
        <v>2521</v>
      </c>
      <c r="K503" s="9" t="s">
        <v>4129</v>
      </c>
      <c r="L503" s="9" t="s">
        <v>117</v>
      </c>
      <c r="M503" s="10">
        <v>5.8969907407407408E-2</v>
      </c>
      <c r="N503" s="9" t="s">
        <v>127</v>
      </c>
      <c r="O503" s="9" t="s">
        <v>4130</v>
      </c>
      <c r="P503" s="9" t="s">
        <v>119</v>
      </c>
      <c r="Q503" s="10">
        <v>0.1003125</v>
      </c>
      <c r="R503" s="9" t="s">
        <v>56</v>
      </c>
      <c r="S503" s="10">
        <v>0.2086574074074074</v>
      </c>
      <c r="T503" s="9">
        <v>39.027000000000001</v>
      </c>
      <c r="U503" s="9">
        <v>10.95</v>
      </c>
      <c r="V503" s="10">
        <v>0.1484375</v>
      </c>
      <c r="W503" s="10">
        <v>0.1052430555555556</v>
      </c>
      <c r="X503" s="10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1</v>
      </c>
      <c r="AE503" s="9" t="s">
        <v>139</v>
      </c>
      <c r="AF503" s="9" t="s">
        <v>4131</v>
      </c>
      <c r="AG503" s="9" t="s">
        <v>4132</v>
      </c>
      <c r="AH503" s="9">
        <v>6.2256159999999996</v>
      </c>
      <c r="AI503" s="9">
        <v>-75.599318999999994</v>
      </c>
      <c r="AJ503" s="9" t="s">
        <v>4133</v>
      </c>
      <c r="AK503" s="9">
        <v>6.2370099999999997</v>
      </c>
      <c r="AL503" s="9">
        <v>-75.558869999999999</v>
      </c>
      <c r="AM503" s="26">
        <f t="shared" si="8"/>
        <v>0.1003125</v>
      </c>
      <c r="AN503" s="1" t="s">
        <v>4061</v>
      </c>
    </row>
    <row r="504" spans="1:40" ht="15" x14ac:dyDescent="0.25">
      <c r="A504" s="9" t="s">
        <v>4134</v>
      </c>
      <c r="B504" s="9" t="s">
        <v>4135</v>
      </c>
      <c r="C504" s="9" t="s">
        <v>4136</v>
      </c>
      <c r="D504" s="9" t="s">
        <v>4065</v>
      </c>
      <c r="E504" s="9" t="s">
        <v>2619</v>
      </c>
      <c r="F504" s="9" t="s">
        <v>169</v>
      </c>
      <c r="G504" s="9" t="s">
        <v>80</v>
      </c>
      <c r="H504" s="9" t="s">
        <v>81</v>
      </c>
      <c r="I504" s="9" t="s">
        <v>115</v>
      </c>
      <c r="J504" s="9">
        <v>10547</v>
      </c>
      <c r="K504" s="9" t="s">
        <v>4137</v>
      </c>
      <c r="L504" s="9" t="s">
        <v>117</v>
      </c>
      <c r="M504" s="10">
        <v>6.4387488425925926E-2</v>
      </c>
      <c r="N504" s="9" t="s">
        <v>127</v>
      </c>
      <c r="O504" s="9" t="s">
        <v>4138</v>
      </c>
      <c r="P504" s="9" t="s">
        <v>119</v>
      </c>
      <c r="Q504" s="10">
        <v>1.060381944444445E-3</v>
      </c>
      <c r="R504" s="9" t="s">
        <v>46</v>
      </c>
      <c r="S504" s="10">
        <v>0.31332710648148149</v>
      </c>
      <c r="T504" s="9">
        <v>64.603999999999999</v>
      </c>
      <c r="U504" s="9">
        <v>35.76</v>
      </c>
      <c r="V504" s="10">
        <v>7.5272013888889003E-2</v>
      </c>
      <c r="W504" s="10">
        <v>1.129078703703704E-2</v>
      </c>
      <c r="X504" s="10">
        <v>8.8864351851851847E-3</v>
      </c>
      <c r="Y504" s="9">
        <v>1</v>
      </c>
      <c r="Z504" s="9">
        <v>0</v>
      </c>
      <c r="AA504" s="9">
        <v>0</v>
      </c>
      <c r="AB504" s="9">
        <v>0</v>
      </c>
      <c r="AC504" s="9">
        <v>0</v>
      </c>
      <c r="AD504" s="9">
        <v>6</v>
      </c>
      <c r="AE504" s="9" t="s">
        <v>139</v>
      </c>
      <c r="AF504" s="9" t="s">
        <v>4139</v>
      </c>
      <c r="AG504" s="9" t="s">
        <v>4140</v>
      </c>
      <c r="AH504" s="9">
        <v>6.2293250000000002</v>
      </c>
      <c r="AI504" s="9">
        <v>-75.602058999999997</v>
      </c>
      <c r="AJ504" s="9" t="s">
        <v>4141</v>
      </c>
      <c r="AK504" s="9">
        <v>6.2256070000000001</v>
      </c>
      <c r="AL504" s="9">
        <v>-75.599417000000003</v>
      </c>
      <c r="AM504" s="26">
        <f t="shared" si="8"/>
        <v>0</v>
      </c>
      <c r="AN504" s="1" t="s">
        <v>4061</v>
      </c>
    </row>
    <row r="505" spans="1:40" ht="15" x14ac:dyDescent="0.25">
      <c r="A505" s="9" t="s">
        <v>4142</v>
      </c>
      <c r="B505" s="9" t="s">
        <v>4143</v>
      </c>
      <c r="C505" s="9" t="s">
        <v>4144</v>
      </c>
      <c r="D505" s="9" t="s">
        <v>4065</v>
      </c>
      <c r="E505" s="9" t="s">
        <v>2619</v>
      </c>
      <c r="F505" s="9" t="s">
        <v>169</v>
      </c>
      <c r="G505" s="9" t="s">
        <v>160</v>
      </c>
      <c r="H505" s="9" t="s">
        <v>161</v>
      </c>
      <c r="I505" s="9" t="s">
        <v>115</v>
      </c>
      <c r="J505" s="9">
        <v>11761</v>
      </c>
      <c r="K505" s="9" t="s">
        <v>4145</v>
      </c>
      <c r="L505" s="9" t="s">
        <v>117</v>
      </c>
      <c r="M505" s="10">
        <v>4.2955335648148137E-2</v>
      </c>
      <c r="N505" s="9" t="s">
        <v>127</v>
      </c>
      <c r="O505" s="9" t="s">
        <v>4146</v>
      </c>
      <c r="P505" s="9" t="s">
        <v>119</v>
      </c>
      <c r="Q505" s="10">
        <v>2.4265856481481482E-3</v>
      </c>
      <c r="R505" s="9" t="s">
        <v>46</v>
      </c>
      <c r="S505" s="10">
        <v>0.29538192129629631</v>
      </c>
      <c r="T505" s="9">
        <v>60.771999999999998</v>
      </c>
      <c r="U505" s="9">
        <v>13.64</v>
      </c>
      <c r="V505" s="10">
        <v>0.18567864583333321</v>
      </c>
      <c r="W505" s="10">
        <v>0.12480321759259259</v>
      </c>
      <c r="X505" s="10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1</v>
      </c>
      <c r="AE505" s="9" t="s">
        <v>139</v>
      </c>
      <c r="AF505" s="9" t="s">
        <v>4147</v>
      </c>
      <c r="AG505" s="9" t="s">
        <v>4148</v>
      </c>
      <c r="AH505" s="9">
        <v>6.2267349999999997</v>
      </c>
      <c r="AI505" s="9">
        <v>-75.599272999999997</v>
      </c>
      <c r="AJ505" s="9" t="s">
        <v>4149</v>
      </c>
      <c r="AK505" s="9">
        <v>6.2683949999999999</v>
      </c>
      <c r="AL505" s="9">
        <v>-75.599341999999993</v>
      </c>
      <c r="AM505" s="26">
        <f t="shared" si="8"/>
        <v>0</v>
      </c>
      <c r="AN505" s="1" t="s">
        <v>4061</v>
      </c>
    </row>
    <row r="506" spans="1:40" ht="15" x14ac:dyDescent="0.25">
      <c r="A506" s="17" t="s">
        <v>4150</v>
      </c>
      <c r="B506" s="17" t="s">
        <v>4151</v>
      </c>
      <c r="C506" s="17" t="s">
        <v>4152</v>
      </c>
      <c r="D506" s="17" t="s">
        <v>4065</v>
      </c>
      <c r="E506" s="17" t="s">
        <v>2619</v>
      </c>
      <c r="F506" s="17" t="s">
        <v>169</v>
      </c>
      <c r="G506" s="17" t="s">
        <v>97</v>
      </c>
      <c r="H506" s="17" t="s">
        <v>98</v>
      </c>
      <c r="I506" s="17" t="s">
        <v>115</v>
      </c>
      <c r="J506" s="17">
        <v>3475</v>
      </c>
      <c r="K506" s="17" t="s">
        <v>4153</v>
      </c>
      <c r="L506" s="17" t="s">
        <v>117</v>
      </c>
      <c r="M506" s="18">
        <v>5.800925925925926E-2</v>
      </c>
      <c r="N506" s="17" t="s">
        <v>127</v>
      </c>
      <c r="O506" s="17" t="s">
        <v>4154</v>
      </c>
      <c r="P506" s="17" t="s">
        <v>119</v>
      </c>
      <c r="Q506" s="18">
        <v>4.6990740740740743E-3</v>
      </c>
      <c r="R506" s="17" t="s">
        <v>46</v>
      </c>
      <c r="S506" s="18">
        <v>0.30331018518518521</v>
      </c>
      <c r="T506" s="17">
        <v>47.524000000000001</v>
      </c>
      <c r="U506" s="17">
        <v>11.19</v>
      </c>
      <c r="V506" s="18">
        <v>0.1769212962962963</v>
      </c>
      <c r="W506" s="18">
        <v>9.7199074074074077E-2</v>
      </c>
      <c r="X506" s="18">
        <v>3.3553240740740738E-2</v>
      </c>
      <c r="Y506" s="17">
        <v>1</v>
      </c>
      <c r="Z506" s="17">
        <v>1</v>
      </c>
      <c r="AA506" s="17">
        <v>1</v>
      </c>
      <c r="AB506" s="17">
        <v>1</v>
      </c>
      <c r="AC506" s="17">
        <v>0</v>
      </c>
      <c r="AD506" s="17">
        <v>0</v>
      </c>
      <c r="AE506" s="17" t="s">
        <v>139</v>
      </c>
      <c r="AF506" s="17" t="s">
        <v>4155</v>
      </c>
      <c r="AG506" s="17" t="s">
        <v>4156</v>
      </c>
      <c r="AH506" s="17">
        <v>6.2257040000000003</v>
      </c>
      <c r="AI506" s="17">
        <v>-75.599407999999997</v>
      </c>
      <c r="AJ506" s="17" t="s">
        <v>4157</v>
      </c>
      <c r="AK506" s="17">
        <v>6.3082580000000004</v>
      </c>
      <c r="AL506" s="17">
        <v>-75.581629000000007</v>
      </c>
      <c r="AM506" s="26">
        <f t="shared" si="8"/>
        <v>0</v>
      </c>
      <c r="AN506" s="1" t="s">
        <v>4061</v>
      </c>
    </row>
    <row r="507" spans="1:40" ht="15" x14ac:dyDescent="0.25">
      <c r="A507" s="9" t="s">
        <v>4158</v>
      </c>
      <c r="B507" s="9" t="s">
        <v>4159</v>
      </c>
      <c r="C507" s="9" t="s">
        <v>4160</v>
      </c>
      <c r="D507" s="9" t="s">
        <v>4161</v>
      </c>
      <c r="E507" s="9" t="s">
        <v>2619</v>
      </c>
      <c r="F507" s="9" t="s">
        <v>315</v>
      </c>
      <c r="G507" s="9" t="s">
        <v>38</v>
      </c>
      <c r="H507" s="9" t="s">
        <v>39</v>
      </c>
      <c r="I507" s="9" t="s">
        <v>40</v>
      </c>
      <c r="J507" s="9">
        <v>4608</v>
      </c>
      <c r="K507" s="9" t="s">
        <v>4162</v>
      </c>
      <c r="L507" s="9" t="s">
        <v>42</v>
      </c>
      <c r="M507" s="10">
        <v>5.0416666666666672E-2</v>
      </c>
      <c r="N507" s="9" t="s">
        <v>43</v>
      </c>
      <c r="O507" s="9" t="s">
        <v>4163</v>
      </c>
      <c r="P507" s="9" t="s">
        <v>45</v>
      </c>
      <c r="Q507" s="10">
        <v>3.0787037037037042E-3</v>
      </c>
      <c r="R507" s="9" t="s">
        <v>46</v>
      </c>
      <c r="S507" s="10">
        <v>0.28599537037037043</v>
      </c>
      <c r="T507" s="9">
        <v>76.123000000000005</v>
      </c>
      <c r="U507" s="9">
        <v>18.23</v>
      </c>
      <c r="V507" s="10">
        <v>0.17396990740740739</v>
      </c>
      <c r="W507" s="10">
        <v>8.3344907407407409E-2</v>
      </c>
      <c r="X507" s="10">
        <v>3.5277777777777783E-2</v>
      </c>
      <c r="Y507" s="9">
        <v>1</v>
      </c>
      <c r="Z507" s="9">
        <v>1</v>
      </c>
      <c r="AA507" s="9">
        <v>1</v>
      </c>
      <c r="AB507" s="9">
        <v>1</v>
      </c>
      <c r="AC507" s="9">
        <v>0</v>
      </c>
      <c r="AD507" s="9">
        <v>0</v>
      </c>
      <c r="AE507" s="9" t="s">
        <v>47</v>
      </c>
      <c r="AF507" s="9" t="s">
        <v>4164</v>
      </c>
      <c r="AG507" s="9" t="s">
        <v>4165</v>
      </c>
      <c r="AH507" s="9">
        <v>6.203322</v>
      </c>
      <c r="AI507" s="9">
        <v>-75.600756000000004</v>
      </c>
      <c r="AJ507" s="9" t="s">
        <v>4166</v>
      </c>
      <c r="AK507" s="9">
        <v>6.2255310000000001</v>
      </c>
      <c r="AL507" s="9">
        <v>-75.599164000000002</v>
      </c>
      <c r="AM507" s="26">
        <f t="shared" si="8"/>
        <v>5.0416666666666672E-2</v>
      </c>
    </row>
    <row r="508" spans="1:40" ht="15" x14ac:dyDescent="0.25">
      <c r="A508" s="9" t="s">
        <v>4167</v>
      </c>
      <c r="B508" s="9" t="s">
        <v>4168</v>
      </c>
      <c r="C508" s="9" t="s">
        <v>4169</v>
      </c>
      <c r="D508" s="9" t="s">
        <v>4161</v>
      </c>
      <c r="E508" s="9" t="s">
        <v>2619</v>
      </c>
      <c r="F508" s="9" t="s">
        <v>315</v>
      </c>
      <c r="G508" s="9" t="s">
        <v>52</v>
      </c>
      <c r="H508" s="9" t="s">
        <v>53</v>
      </c>
      <c r="I508" s="9" t="s">
        <v>40</v>
      </c>
      <c r="J508" s="9">
        <v>1522</v>
      </c>
      <c r="K508" s="9" t="s">
        <v>4170</v>
      </c>
      <c r="L508" s="9" t="s">
        <v>42</v>
      </c>
      <c r="M508" s="10">
        <v>2.0509259259259258E-2</v>
      </c>
      <c r="N508" s="9" t="s">
        <v>127</v>
      </c>
      <c r="O508" s="9" t="s">
        <v>4171</v>
      </c>
      <c r="P508" s="9" t="s">
        <v>45</v>
      </c>
      <c r="Q508" s="10">
        <v>3.9699074074074072E-3</v>
      </c>
      <c r="R508" s="9" t="s">
        <v>46</v>
      </c>
      <c r="S508" s="10">
        <v>0.35781249999999998</v>
      </c>
      <c r="T508" s="9">
        <v>23.37</v>
      </c>
      <c r="U508" s="9">
        <v>3.49</v>
      </c>
      <c r="V508" s="10">
        <v>0.27885416666666668</v>
      </c>
      <c r="W508" s="10">
        <v>0.25400462962962961</v>
      </c>
      <c r="X508" s="10">
        <v>7.7418981481481478E-2</v>
      </c>
      <c r="Y508" s="9">
        <v>1</v>
      </c>
      <c r="Z508" s="9">
        <v>1</v>
      </c>
      <c r="AA508" s="9">
        <v>1</v>
      </c>
      <c r="AB508" s="9">
        <v>1</v>
      </c>
      <c r="AC508" s="9">
        <v>1</v>
      </c>
      <c r="AD508" s="9">
        <v>6</v>
      </c>
      <c r="AE508" s="9" t="s">
        <v>139</v>
      </c>
      <c r="AF508" s="9" t="s">
        <v>4172</v>
      </c>
      <c r="AG508" s="9" t="s">
        <v>4173</v>
      </c>
      <c r="AH508" s="9">
        <v>6.225644</v>
      </c>
      <c r="AI508" s="9">
        <v>-75.599451000000002</v>
      </c>
      <c r="AJ508" s="9" t="s">
        <v>4174</v>
      </c>
      <c r="AK508" s="9">
        <v>6.2255770000000004</v>
      </c>
      <c r="AL508" s="9">
        <v>-75.599461000000005</v>
      </c>
      <c r="AM508" s="26">
        <f t="shared" si="8"/>
        <v>0</v>
      </c>
    </row>
    <row r="509" spans="1:40" ht="15" x14ac:dyDescent="0.25">
      <c r="A509" s="9" t="s">
        <v>4175</v>
      </c>
      <c r="B509" s="9" t="s">
        <v>4176</v>
      </c>
      <c r="C509" s="9" t="s">
        <v>4177</v>
      </c>
      <c r="D509" s="9" t="s">
        <v>4161</v>
      </c>
      <c r="E509" s="9" t="s">
        <v>2619</v>
      </c>
      <c r="F509" s="9" t="s">
        <v>315</v>
      </c>
      <c r="G509" s="9" t="s">
        <v>62</v>
      </c>
      <c r="H509" s="9" t="s">
        <v>63</v>
      </c>
      <c r="I509" s="9" t="s">
        <v>40</v>
      </c>
      <c r="J509" s="9">
        <v>3942</v>
      </c>
      <c r="K509" s="9" t="s">
        <v>4178</v>
      </c>
      <c r="L509" s="9" t="s">
        <v>42</v>
      </c>
      <c r="M509" s="10">
        <v>1.105324074074074E-2</v>
      </c>
      <c r="N509" s="9" t="s">
        <v>43</v>
      </c>
      <c r="O509" s="9" t="s">
        <v>4179</v>
      </c>
      <c r="P509" s="9" t="s">
        <v>45</v>
      </c>
      <c r="Q509" s="10">
        <v>1.4930555555555561E-3</v>
      </c>
      <c r="R509" s="9" t="s">
        <v>46</v>
      </c>
      <c r="S509" s="10">
        <v>0.32377314814814823</v>
      </c>
      <c r="T509" s="9">
        <v>55.640999999999998</v>
      </c>
      <c r="U509" s="9">
        <v>8.66</v>
      </c>
      <c r="V509" s="10">
        <v>0.26775462962962959</v>
      </c>
      <c r="W509" s="10">
        <v>0.19039351851851849</v>
      </c>
      <c r="X509" s="10">
        <v>2.0833333333333329E-2</v>
      </c>
      <c r="Y509" s="9">
        <v>1</v>
      </c>
      <c r="Z509" s="9">
        <v>1</v>
      </c>
      <c r="AA509" s="9">
        <v>1</v>
      </c>
      <c r="AB509" s="9">
        <v>0</v>
      </c>
      <c r="AC509" s="9">
        <v>0</v>
      </c>
      <c r="AD509" s="9">
        <v>1</v>
      </c>
      <c r="AE509" s="9" t="s">
        <v>47</v>
      </c>
      <c r="AF509" s="9" t="s">
        <v>4180</v>
      </c>
      <c r="AG509" s="9" t="s">
        <v>4181</v>
      </c>
      <c r="AH509" s="9">
        <v>6.2257179999999996</v>
      </c>
      <c r="AI509" s="9">
        <v>-75.599187999999998</v>
      </c>
      <c r="AJ509" s="9" t="s">
        <v>4182</v>
      </c>
      <c r="AK509" s="9">
        <v>6.2255690000000001</v>
      </c>
      <c r="AL509" s="9">
        <v>-75.599455000000006</v>
      </c>
      <c r="AM509" s="26">
        <f t="shared" si="8"/>
        <v>1.105324074074074E-2</v>
      </c>
    </row>
    <row r="510" spans="1:40" ht="15" x14ac:dyDescent="0.25">
      <c r="A510" s="9" t="s">
        <v>4183</v>
      </c>
      <c r="B510" s="9" t="s">
        <v>4184</v>
      </c>
      <c r="C510" s="9" t="s">
        <v>4185</v>
      </c>
      <c r="D510" s="9" t="s">
        <v>4161</v>
      </c>
      <c r="E510" s="9" t="s">
        <v>2619</v>
      </c>
      <c r="F510" s="9" t="s">
        <v>315</v>
      </c>
      <c r="G510" s="9" t="s">
        <v>144</v>
      </c>
      <c r="H510" s="9" t="s">
        <v>145</v>
      </c>
      <c r="I510" s="9" t="s">
        <v>40</v>
      </c>
      <c r="J510" s="9">
        <v>6224</v>
      </c>
      <c r="K510" s="9" t="s">
        <v>4186</v>
      </c>
      <c r="L510" s="9" t="s">
        <v>42</v>
      </c>
      <c r="M510" s="10">
        <v>1.9212962962962959E-2</v>
      </c>
      <c r="N510" s="9" t="s">
        <v>127</v>
      </c>
      <c r="O510" s="9" t="s">
        <v>4187</v>
      </c>
      <c r="P510" s="9" t="s">
        <v>45</v>
      </c>
      <c r="Q510" s="10">
        <v>5.2118055555555563E-2</v>
      </c>
      <c r="R510" s="9" t="s">
        <v>56</v>
      </c>
      <c r="S510" s="10">
        <v>0.30042824074074082</v>
      </c>
      <c r="T510" s="9">
        <v>81.097999999999999</v>
      </c>
      <c r="U510" s="9">
        <v>14.58</v>
      </c>
      <c r="V510" s="10">
        <v>0.2317939814814815</v>
      </c>
      <c r="W510" s="10">
        <v>8.8159722222222223E-2</v>
      </c>
      <c r="X510" s="10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 t="s">
        <v>139</v>
      </c>
      <c r="AF510" s="9" t="s">
        <v>4188</v>
      </c>
      <c r="AG510" s="9" t="s">
        <v>4189</v>
      </c>
      <c r="AH510" s="9">
        <v>6.2728320000000002</v>
      </c>
      <c r="AI510" s="9">
        <v>-75.574499000000003</v>
      </c>
      <c r="AJ510" s="9" t="s">
        <v>4190</v>
      </c>
      <c r="AK510" s="9">
        <v>6.272799</v>
      </c>
      <c r="AL510" s="9">
        <v>-75.574363000000005</v>
      </c>
      <c r="AM510" s="26">
        <f t="shared" si="8"/>
        <v>5.2118055555555563E-2</v>
      </c>
    </row>
    <row r="511" spans="1:40" ht="15" x14ac:dyDescent="0.25">
      <c r="A511" s="9" t="s">
        <v>4191</v>
      </c>
      <c r="B511" s="9" t="s">
        <v>4192</v>
      </c>
      <c r="C511" s="9" t="s">
        <v>4193</v>
      </c>
      <c r="D511" s="9" t="s">
        <v>4161</v>
      </c>
      <c r="E511" s="9" t="s">
        <v>2619</v>
      </c>
      <c r="F511" s="9" t="s">
        <v>315</v>
      </c>
      <c r="G511" s="9" t="s">
        <v>152</v>
      </c>
      <c r="H511" s="9" t="s">
        <v>153</v>
      </c>
      <c r="I511" s="9" t="s">
        <v>40</v>
      </c>
      <c r="J511" s="9">
        <v>5233</v>
      </c>
      <c r="K511" s="9" t="s">
        <v>4194</v>
      </c>
      <c r="L511" s="9" t="s">
        <v>42</v>
      </c>
      <c r="M511" s="10">
        <v>2.0844907407407409E-2</v>
      </c>
      <c r="N511" s="9" t="s">
        <v>43</v>
      </c>
      <c r="O511" s="9" t="s">
        <v>4195</v>
      </c>
      <c r="P511" s="9" t="s">
        <v>45</v>
      </c>
      <c r="Q511" s="10">
        <v>2.9027777777777781E-2</v>
      </c>
      <c r="R511" s="9" t="s">
        <v>129</v>
      </c>
      <c r="S511" s="10">
        <v>0.34151620370370372</v>
      </c>
      <c r="T511" s="9">
        <v>66.397000000000006</v>
      </c>
      <c r="U511" s="9">
        <v>8.82</v>
      </c>
      <c r="V511" s="10">
        <v>0.31350694444444438</v>
      </c>
      <c r="W511" s="10">
        <v>0.16506944444444441</v>
      </c>
      <c r="X511" s="10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2</v>
      </c>
      <c r="AE511" s="9" t="s">
        <v>130</v>
      </c>
      <c r="AF511" s="9" t="s">
        <v>4196</v>
      </c>
      <c r="AG511" s="9" t="s">
        <v>4197</v>
      </c>
      <c r="AH511" s="9">
        <v>6.2255529999999997</v>
      </c>
      <c r="AI511" s="9">
        <v>-75.599446999999998</v>
      </c>
      <c r="AJ511" s="9" t="s">
        <v>4198</v>
      </c>
      <c r="AK511" s="9">
        <v>6.267455</v>
      </c>
      <c r="AL511" s="9">
        <v>-75.565623000000002</v>
      </c>
      <c r="AM511" s="26">
        <f t="shared" si="8"/>
        <v>2.0844907407407409E-2</v>
      </c>
    </row>
    <row r="512" spans="1:40" ht="15" x14ac:dyDescent="0.25">
      <c r="A512" s="9" t="s">
        <v>4199</v>
      </c>
      <c r="B512" s="9" t="s">
        <v>4200</v>
      </c>
      <c r="C512" s="9" t="s">
        <v>4201</v>
      </c>
      <c r="D512" s="9" t="s">
        <v>4161</v>
      </c>
      <c r="E512" s="9" t="s">
        <v>2619</v>
      </c>
      <c r="F512" s="9" t="s">
        <v>315</v>
      </c>
      <c r="G512" s="9" t="s">
        <v>89</v>
      </c>
      <c r="H512" s="9" t="s">
        <v>90</v>
      </c>
      <c r="I512" s="9" t="s">
        <v>40</v>
      </c>
      <c r="J512" s="9">
        <v>1730</v>
      </c>
      <c r="K512" s="9" t="s">
        <v>4202</v>
      </c>
      <c r="L512" s="9" t="s">
        <v>42</v>
      </c>
      <c r="M512" s="10">
        <v>5.2893518518518524E-3</v>
      </c>
      <c r="N512" s="9" t="s">
        <v>65</v>
      </c>
      <c r="O512" s="9" t="s">
        <v>4203</v>
      </c>
      <c r="P512" s="9" t="s">
        <v>45</v>
      </c>
      <c r="Q512" s="10">
        <v>0.12199074074074071</v>
      </c>
      <c r="R512" s="9" t="s">
        <v>56</v>
      </c>
      <c r="S512" s="10">
        <v>0.20605324074074069</v>
      </c>
      <c r="T512" s="9">
        <v>21.146000000000001</v>
      </c>
      <c r="U512" s="9">
        <v>4.62</v>
      </c>
      <c r="V512" s="10">
        <v>0.19064814814814809</v>
      </c>
      <c r="W512" s="10">
        <v>0.15481481481481479</v>
      </c>
      <c r="X512" s="10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4</v>
      </c>
      <c r="AE512" s="9" t="s">
        <v>67</v>
      </c>
      <c r="AF512" s="9" t="s">
        <v>4204</v>
      </c>
      <c r="AG512" s="9" t="s">
        <v>4205</v>
      </c>
      <c r="AH512" s="9">
        <v>6.2266769999999996</v>
      </c>
      <c r="AI512" s="9">
        <v>-75.599299999999999</v>
      </c>
      <c r="AJ512" s="9" t="s">
        <v>4206</v>
      </c>
      <c r="AK512" s="9">
        <v>6.2575000000000003</v>
      </c>
      <c r="AL512" s="9">
        <v>-75.565845999999993</v>
      </c>
      <c r="AM512" s="26">
        <f t="shared" si="8"/>
        <v>0.12199074074074071</v>
      </c>
    </row>
    <row r="513" spans="1:54" ht="15" x14ac:dyDescent="0.25">
      <c r="A513" s="17" t="s">
        <v>4207</v>
      </c>
      <c r="B513" s="17" t="s">
        <v>4208</v>
      </c>
      <c r="C513" s="17" t="s">
        <v>4209</v>
      </c>
      <c r="D513" s="17" t="s">
        <v>4161</v>
      </c>
      <c r="E513" s="17" t="s">
        <v>2619</v>
      </c>
      <c r="F513" s="17" t="s">
        <v>315</v>
      </c>
      <c r="G513" s="17" t="s">
        <v>105</v>
      </c>
      <c r="H513" s="17" t="s">
        <v>106</v>
      </c>
      <c r="I513" s="17" t="s">
        <v>40</v>
      </c>
      <c r="J513" s="17">
        <v>1569</v>
      </c>
      <c r="K513" s="17" t="s">
        <v>4210</v>
      </c>
      <c r="L513" s="17" t="s">
        <v>42</v>
      </c>
      <c r="M513" s="18">
        <v>8.4641203703703705E-2</v>
      </c>
      <c r="N513" s="17" t="s">
        <v>43</v>
      </c>
      <c r="O513" s="17" t="s">
        <v>4211</v>
      </c>
      <c r="P513" s="17" t="s">
        <v>45</v>
      </c>
      <c r="Q513" s="18">
        <v>1.637731481481481E-2</v>
      </c>
      <c r="R513" s="17" t="s">
        <v>129</v>
      </c>
      <c r="S513" s="18">
        <v>0.26506944444444452</v>
      </c>
      <c r="T513" s="17">
        <v>20.652999999999999</v>
      </c>
      <c r="U513" s="17">
        <v>5.24</v>
      </c>
      <c r="V513" s="18">
        <v>0.16422453703703699</v>
      </c>
      <c r="W513" s="18">
        <v>0.1376273148148148</v>
      </c>
      <c r="X513" s="18">
        <v>0</v>
      </c>
      <c r="Y513" s="17">
        <v>0</v>
      </c>
      <c r="Z513" s="17">
        <v>0</v>
      </c>
      <c r="AA513" s="17">
        <v>0</v>
      </c>
      <c r="AB513" s="17">
        <v>0</v>
      </c>
      <c r="AC513" s="17">
        <v>0</v>
      </c>
      <c r="AD513" s="17">
        <v>3</v>
      </c>
      <c r="AE513" s="17" t="s">
        <v>130</v>
      </c>
      <c r="AF513" s="17" t="s">
        <v>4212</v>
      </c>
      <c r="AG513" s="17" t="s">
        <v>4213</v>
      </c>
      <c r="AH513" s="17">
        <v>6.2886519999999999</v>
      </c>
      <c r="AI513" s="17">
        <v>-75.563944000000006</v>
      </c>
      <c r="AJ513" s="17" t="s">
        <v>4214</v>
      </c>
      <c r="AK513" s="17">
        <v>6.258216</v>
      </c>
      <c r="AL513" s="17">
        <v>-75.615898000000001</v>
      </c>
      <c r="AM513" s="27">
        <f t="shared" si="8"/>
        <v>8.4641203703703705E-2</v>
      </c>
    </row>
    <row r="514" spans="1:54" s="9" customFormat="1" ht="15" x14ac:dyDescent="0.25">
      <c r="A514" s="9" t="s">
        <v>4219</v>
      </c>
      <c r="B514" s="9" t="s">
        <v>4220</v>
      </c>
      <c r="C514" s="9" t="s">
        <v>4221</v>
      </c>
      <c r="D514" s="9" t="s">
        <v>4161</v>
      </c>
      <c r="E514" s="9" t="s">
        <v>2619</v>
      </c>
      <c r="F514" s="9" t="s">
        <v>315</v>
      </c>
      <c r="G514" s="9" t="s">
        <v>113</v>
      </c>
      <c r="H514" s="9" t="s">
        <v>114</v>
      </c>
      <c r="I514" s="9" t="s">
        <v>115</v>
      </c>
      <c r="J514" s="9">
        <v>1640</v>
      </c>
      <c r="K514" s="9" t="s">
        <v>4222</v>
      </c>
      <c r="L514" s="9" t="s">
        <v>117</v>
      </c>
      <c r="M514" s="10">
        <v>9.1319444444444443E-3</v>
      </c>
      <c r="N514" s="9" t="s">
        <v>65</v>
      </c>
      <c r="O514" s="9" t="s">
        <v>4223</v>
      </c>
      <c r="P514" s="9" t="s">
        <v>119</v>
      </c>
      <c r="Q514" s="10">
        <v>0.11489583333333329</v>
      </c>
      <c r="R514" s="9" t="s">
        <v>56</v>
      </c>
      <c r="S514" s="10">
        <v>0.12597222222222221</v>
      </c>
      <c r="T514" s="9">
        <v>22.123999999999999</v>
      </c>
      <c r="U514" s="9">
        <v>11.36</v>
      </c>
      <c r="V514" s="10">
        <v>8.1157407407407414E-2</v>
      </c>
      <c r="W514" s="10">
        <v>5.0104166666666658E-2</v>
      </c>
      <c r="X514" s="10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 t="s">
        <v>67</v>
      </c>
      <c r="AF514" s="9" t="s">
        <v>4224</v>
      </c>
      <c r="AG514" s="9" t="s">
        <v>4225</v>
      </c>
      <c r="AH514" s="9">
        <v>6.2351809999999999</v>
      </c>
      <c r="AI514" s="9">
        <v>-75.602221999999998</v>
      </c>
      <c r="AJ514" s="9" t="s">
        <v>4226</v>
      </c>
      <c r="AK514" s="9">
        <v>6.2389549999999998</v>
      </c>
      <c r="AL514" s="9">
        <v>-75.603149999999999</v>
      </c>
      <c r="AM514" s="26">
        <f t="shared" si="8"/>
        <v>0.11489583333333329</v>
      </c>
      <c r="AY514" s="14"/>
      <c r="AZ514" s="14"/>
      <c r="BA514" s="14"/>
      <c r="BB514" s="14"/>
    </row>
    <row r="515" spans="1:54" s="9" customFormat="1" ht="15" x14ac:dyDescent="0.25">
      <c r="A515" s="9" t="s">
        <v>4227</v>
      </c>
      <c r="B515" s="9" t="s">
        <v>4228</v>
      </c>
      <c r="C515" s="9" t="s">
        <v>4229</v>
      </c>
      <c r="D515" s="9" t="s">
        <v>4161</v>
      </c>
      <c r="E515" s="9" t="s">
        <v>2619</v>
      </c>
      <c r="F515" s="9" t="s">
        <v>315</v>
      </c>
      <c r="G515" s="9" t="s">
        <v>124</v>
      </c>
      <c r="H515" s="9" t="s">
        <v>125</v>
      </c>
      <c r="I515" s="9" t="s">
        <v>115</v>
      </c>
      <c r="J515" s="9">
        <v>4045</v>
      </c>
      <c r="K515" s="9" t="s">
        <v>4230</v>
      </c>
      <c r="L515" s="9" t="s">
        <v>117</v>
      </c>
      <c r="M515" s="10">
        <v>5.2766203703703697E-2</v>
      </c>
      <c r="N515" s="9" t="s">
        <v>127</v>
      </c>
      <c r="O515" s="9" t="s">
        <v>4231</v>
      </c>
      <c r="P515" s="9" t="s">
        <v>119</v>
      </c>
      <c r="Q515" s="10">
        <v>8.8078703703703704E-3</v>
      </c>
      <c r="R515" s="9" t="s">
        <v>46</v>
      </c>
      <c r="S515" s="10">
        <v>0.31157407407407411</v>
      </c>
      <c r="T515" s="9">
        <v>49.174999999999997</v>
      </c>
      <c r="U515" s="9">
        <v>9.83</v>
      </c>
      <c r="V515" s="10">
        <v>0.20851851851851849</v>
      </c>
      <c r="W515" s="10">
        <v>8.7337962962962964E-2</v>
      </c>
      <c r="X515" s="10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 t="s">
        <v>139</v>
      </c>
      <c r="AF515" s="9" t="s">
        <v>4232</v>
      </c>
      <c r="AG515" s="9" t="s">
        <v>4233</v>
      </c>
      <c r="AH515" s="9">
        <v>6.2300509999999996</v>
      </c>
      <c r="AI515" s="9">
        <v>-75.596047999999996</v>
      </c>
      <c r="AJ515" s="9" t="s">
        <v>4234</v>
      </c>
      <c r="AK515" s="9">
        <v>6.2724869999999999</v>
      </c>
      <c r="AL515" s="9">
        <v>-75.602131999999997</v>
      </c>
      <c r="AM515" s="26">
        <f t="shared" si="8"/>
        <v>0</v>
      </c>
      <c r="AY515" s="14"/>
      <c r="AZ515" s="14"/>
      <c r="BA515" s="14"/>
      <c r="BB515" s="14"/>
    </row>
    <row r="516" spans="1:54" s="9" customFormat="1" ht="15" x14ac:dyDescent="0.25">
      <c r="A516" s="9" t="s">
        <v>4235</v>
      </c>
      <c r="B516" s="9" t="s">
        <v>4236</v>
      </c>
      <c r="C516" s="9" t="s">
        <v>4237</v>
      </c>
      <c r="D516" s="9" t="s">
        <v>4161</v>
      </c>
      <c r="E516" s="9" t="s">
        <v>2619</v>
      </c>
      <c r="F516" s="9" t="s">
        <v>315</v>
      </c>
      <c r="G516" s="9" t="s">
        <v>135</v>
      </c>
      <c r="H516" s="9" t="s">
        <v>136</v>
      </c>
      <c r="I516" s="9" t="s">
        <v>115</v>
      </c>
      <c r="J516" s="9">
        <v>3069</v>
      </c>
      <c r="K516" s="9" t="s">
        <v>4238</v>
      </c>
      <c r="L516" s="9" t="s">
        <v>117</v>
      </c>
      <c r="M516" s="10">
        <v>7.3958333333333334E-2</v>
      </c>
      <c r="N516" s="9" t="s">
        <v>127</v>
      </c>
      <c r="O516" s="9" t="s">
        <v>4239</v>
      </c>
      <c r="P516" s="9" t="s">
        <v>119</v>
      </c>
      <c r="Q516" s="10">
        <v>9.9537037037037042E-4</v>
      </c>
      <c r="R516" s="9" t="s">
        <v>46</v>
      </c>
      <c r="S516" s="10">
        <v>0.32296296296296301</v>
      </c>
      <c r="T516" s="9">
        <v>53.198</v>
      </c>
      <c r="U516" s="9">
        <v>12.93</v>
      </c>
      <c r="V516" s="10">
        <v>0.171412037037037</v>
      </c>
      <c r="W516" s="10">
        <v>0.1107986111111111</v>
      </c>
      <c r="X516" s="10">
        <v>6.1921296296296299E-3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3</v>
      </c>
      <c r="AE516" s="9" t="s">
        <v>139</v>
      </c>
      <c r="AF516" s="9" t="s">
        <v>4240</v>
      </c>
      <c r="AG516" s="9" t="s">
        <v>4241</v>
      </c>
      <c r="AH516" s="9">
        <v>6.225638</v>
      </c>
      <c r="AI516" s="9">
        <v>-75.599180000000004</v>
      </c>
      <c r="AJ516" s="9" t="s">
        <v>4242</v>
      </c>
      <c r="AK516" s="9">
        <v>6.2723829999999996</v>
      </c>
      <c r="AL516" s="9">
        <v>-75.540239999999997</v>
      </c>
      <c r="AM516" s="26">
        <f t="shared" si="8"/>
        <v>0</v>
      </c>
      <c r="AY516" s="14"/>
      <c r="AZ516" s="14"/>
      <c r="BA516" s="14"/>
      <c r="BB516" s="14"/>
    </row>
    <row r="517" spans="1:54" s="9" customFormat="1" ht="15" x14ac:dyDescent="0.25">
      <c r="A517" s="9" t="s">
        <v>4243</v>
      </c>
      <c r="B517" s="9" t="s">
        <v>4244</v>
      </c>
      <c r="C517" s="9" t="s">
        <v>4245</v>
      </c>
      <c r="D517" s="9" t="s">
        <v>4161</v>
      </c>
      <c r="E517" s="9" t="s">
        <v>2619</v>
      </c>
      <c r="F517" s="9" t="s">
        <v>315</v>
      </c>
      <c r="G517" s="9" t="s">
        <v>72</v>
      </c>
      <c r="H517" s="9" t="s">
        <v>73</v>
      </c>
      <c r="I517" s="9" t="s">
        <v>115</v>
      </c>
      <c r="J517" s="9">
        <v>3552</v>
      </c>
      <c r="K517" s="9" t="s">
        <v>4246</v>
      </c>
      <c r="L517" s="9" t="s">
        <v>117</v>
      </c>
      <c r="M517" s="10">
        <v>5.7905092592592591E-2</v>
      </c>
      <c r="N517" s="9" t="s">
        <v>43</v>
      </c>
      <c r="O517" s="9" t="s">
        <v>4247</v>
      </c>
      <c r="P517" s="9" t="s">
        <v>119</v>
      </c>
      <c r="Q517" s="10">
        <v>4.7083333333333331E-2</v>
      </c>
      <c r="R517" s="9" t="s">
        <v>56</v>
      </c>
      <c r="S517" s="10">
        <v>0.14501157407407411</v>
      </c>
      <c r="T517" s="9">
        <v>49.146000000000001</v>
      </c>
      <c r="U517" s="9">
        <v>17.09</v>
      </c>
      <c r="V517" s="10">
        <v>0.1198032407407407</v>
      </c>
      <c r="W517" s="10">
        <v>4.8912037037037039E-2</v>
      </c>
      <c r="X517" s="10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 t="s">
        <v>57</v>
      </c>
      <c r="AF517" s="9" t="s">
        <v>4248</v>
      </c>
      <c r="AG517" s="9" t="s">
        <v>4249</v>
      </c>
      <c r="AH517" s="9">
        <v>6.2255960000000004</v>
      </c>
      <c r="AI517" s="9">
        <v>-75.599458999999996</v>
      </c>
      <c r="AJ517" s="9" t="s">
        <v>4250</v>
      </c>
      <c r="AK517" s="9">
        <v>6.2370559999999999</v>
      </c>
      <c r="AL517" s="9">
        <v>-75.558814999999996</v>
      </c>
      <c r="AM517" s="27">
        <f t="shared" si="8"/>
        <v>0.10498842592592592</v>
      </c>
      <c r="AY517" s="14"/>
      <c r="AZ517" s="14"/>
      <c r="BA517" s="14"/>
      <c r="BB517" s="14"/>
    </row>
    <row r="518" spans="1:54" s="9" customFormat="1" ht="15" x14ac:dyDescent="0.25">
      <c r="A518" s="9" t="s">
        <v>4251</v>
      </c>
      <c r="B518" s="9" t="s">
        <v>4252</v>
      </c>
      <c r="C518" s="9" t="s">
        <v>4253</v>
      </c>
      <c r="D518" s="9" t="s">
        <v>4161</v>
      </c>
      <c r="E518" s="9" t="s">
        <v>2619</v>
      </c>
      <c r="F518" s="9" t="s">
        <v>315</v>
      </c>
      <c r="G518" s="9" t="s">
        <v>80</v>
      </c>
      <c r="H518" s="9" t="s">
        <v>81</v>
      </c>
      <c r="I518" s="9" t="s">
        <v>115</v>
      </c>
      <c r="J518" s="9">
        <v>12343</v>
      </c>
      <c r="K518" s="9" t="s">
        <v>4254</v>
      </c>
      <c r="L518" s="9" t="s">
        <v>117</v>
      </c>
      <c r="M518" s="10">
        <v>4.575224537037037E-2</v>
      </c>
      <c r="N518" s="9" t="s">
        <v>127</v>
      </c>
      <c r="O518" s="9" t="s">
        <v>4255</v>
      </c>
      <c r="P518" s="9" t="s">
        <v>119</v>
      </c>
      <c r="Q518" s="10">
        <v>6.0091550925925928E-3</v>
      </c>
      <c r="R518" s="9" t="s">
        <v>46</v>
      </c>
      <c r="S518" s="10">
        <v>0.30176140046296301</v>
      </c>
      <c r="T518" s="9">
        <v>105.735</v>
      </c>
      <c r="U518" s="9">
        <v>27.02</v>
      </c>
      <c r="V518" s="10">
        <v>0.16306034722222221</v>
      </c>
      <c r="W518" s="10">
        <v>5.2112453703703703E-2</v>
      </c>
      <c r="X518" s="10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4</v>
      </c>
      <c r="AE518" s="9" t="s">
        <v>139</v>
      </c>
      <c r="AF518" s="9" t="s">
        <v>4256</v>
      </c>
      <c r="AG518" s="9" t="s">
        <v>4257</v>
      </c>
      <c r="AH518" s="9">
        <v>6.2346500000000002</v>
      </c>
      <c r="AI518" s="9">
        <v>-75.594517999999994</v>
      </c>
      <c r="AJ518" s="9" t="s">
        <v>4258</v>
      </c>
      <c r="AK518" s="9">
        <v>6.2256140000000002</v>
      </c>
      <c r="AL518" s="9">
        <v>-75.599328</v>
      </c>
      <c r="AM518" s="26">
        <f t="shared" ref="AM518:AM544" si="9">IF(N518="INICIO TARDÍO",M518,0)+IF(R518="TERMINÓ ANTES",Q518,0)</f>
        <v>0</v>
      </c>
      <c r="AY518" s="14"/>
      <c r="AZ518" s="14"/>
      <c r="BA518" s="14"/>
      <c r="BB518" s="14"/>
    </row>
    <row r="519" spans="1:54" s="9" customFormat="1" ht="15" x14ac:dyDescent="0.25">
      <c r="A519" s="9" t="s">
        <v>4259</v>
      </c>
      <c r="B519" s="9" t="s">
        <v>4260</v>
      </c>
      <c r="C519" s="9" t="s">
        <v>4261</v>
      </c>
      <c r="D519" s="9" t="s">
        <v>4161</v>
      </c>
      <c r="E519" s="9" t="s">
        <v>2619</v>
      </c>
      <c r="F519" s="9" t="s">
        <v>315</v>
      </c>
      <c r="G519" s="9" t="s">
        <v>160</v>
      </c>
      <c r="H519" s="9" t="s">
        <v>161</v>
      </c>
      <c r="I519" s="9" t="s">
        <v>115</v>
      </c>
      <c r="J519" s="9">
        <v>10756</v>
      </c>
      <c r="K519" s="9" t="s">
        <v>4262</v>
      </c>
      <c r="L519" s="9" t="s">
        <v>117</v>
      </c>
      <c r="M519" s="10">
        <v>2.5096550925925928E-2</v>
      </c>
      <c r="N519" s="9" t="s">
        <v>127</v>
      </c>
      <c r="O519" s="9" t="s">
        <v>4263</v>
      </c>
      <c r="P519" s="9" t="s">
        <v>119</v>
      </c>
      <c r="Q519" s="10">
        <v>7.1025347222222219E-3</v>
      </c>
      <c r="R519" s="9" t="s">
        <v>46</v>
      </c>
      <c r="S519" s="10">
        <v>0.28219908564814822</v>
      </c>
      <c r="T519" s="9">
        <v>65.557000000000002</v>
      </c>
      <c r="U519" s="9">
        <v>14.41</v>
      </c>
      <c r="V519" s="10">
        <v>0.189501712962963</v>
      </c>
      <c r="W519" s="10">
        <v>0.1300688078703704</v>
      </c>
      <c r="X519" s="10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2</v>
      </c>
      <c r="AE519" s="9" t="s">
        <v>139</v>
      </c>
      <c r="AF519" s="9" t="s">
        <v>4264</v>
      </c>
      <c r="AG519" s="9" t="s">
        <v>4265</v>
      </c>
      <c r="AH519" s="9">
        <v>6.2682149999999996</v>
      </c>
      <c r="AI519" s="9">
        <v>-75.598905000000002</v>
      </c>
      <c r="AJ519" s="9" t="s">
        <v>4266</v>
      </c>
      <c r="AK519" s="9">
        <v>6.2783600000000002</v>
      </c>
      <c r="AL519" s="9">
        <v>-75.570972999999995</v>
      </c>
      <c r="AM519" s="26">
        <f t="shared" si="9"/>
        <v>0</v>
      </c>
      <c r="AY519" s="14"/>
      <c r="AZ519" s="14"/>
      <c r="BA519" s="14"/>
      <c r="BB519" s="14"/>
    </row>
    <row r="520" spans="1:54" s="9" customFormat="1" ht="15" x14ac:dyDescent="0.25">
      <c r="A520" s="9" t="s">
        <v>4267</v>
      </c>
      <c r="B520" s="9" t="s">
        <v>4268</v>
      </c>
      <c r="C520" s="9" t="s">
        <v>4269</v>
      </c>
      <c r="D520" s="9" t="s">
        <v>4161</v>
      </c>
      <c r="E520" s="9" t="s">
        <v>2619</v>
      </c>
      <c r="F520" s="9" t="s">
        <v>315</v>
      </c>
      <c r="G520" s="9" t="s">
        <v>97</v>
      </c>
      <c r="H520" s="9" t="s">
        <v>98</v>
      </c>
      <c r="I520" s="9" t="s">
        <v>115</v>
      </c>
      <c r="J520" s="9">
        <v>1861</v>
      </c>
      <c r="K520" s="9" t="s">
        <v>4215</v>
      </c>
      <c r="L520" s="9" t="s">
        <v>117</v>
      </c>
      <c r="M520" s="10">
        <v>5.0057870370370371E-2</v>
      </c>
      <c r="N520" s="9" t="s">
        <v>127</v>
      </c>
      <c r="O520" s="9" t="s">
        <v>4216</v>
      </c>
      <c r="P520" s="9" t="s">
        <v>119</v>
      </c>
      <c r="Q520" s="10">
        <v>3.304398148148148E-2</v>
      </c>
      <c r="R520" s="9" t="s">
        <v>56</v>
      </c>
      <c r="S520" s="10">
        <v>0.26701388888888888</v>
      </c>
      <c r="T520" s="9">
        <v>23.86</v>
      </c>
      <c r="U520" s="9">
        <v>6.53</v>
      </c>
      <c r="V520" s="10">
        <v>0.15231481481481479</v>
      </c>
      <c r="W520" s="10">
        <v>0.1103587962962963</v>
      </c>
      <c r="X520" s="10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 t="s">
        <v>139</v>
      </c>
      <c r="AF520" s="9" t="s">
        <v>4270</v>
      </c>
      <c r="AG520" s="9" t="s">
        <v>4217</v>
      </c>
      <c r="AH520" s="9">
        <v>6.2258190000000004</v>
      </c>
      <c r="AI520" s="9">
        <v>-75.599402999999995</v>
      </c>
      <c r="AJ520" s="9" t="s">
        <v>4218</v>
      </c>
      <c r="AK520" s="9">
        <v>6.3085129999999996</v>
      </c>
      <c r="AL520" s="9">
        <v>-75.580482000000003</v>
      </c>
      <c r="AM520" s="26">
        <f t="shared" si="9"/>
        <v>3.304398148148148E-2</v>
      </c>
      <c r="AY520" s="14"/>
      <c r="AZ520" s="14"/>
      <c r="BA520" s="14"/>
      <c r="BB520" s="14"/>
    </row>
    <row r="521" spans="1:54" ht="15" x14ac:dyDescent="0.25">
      <c r="A521" s="9" t="s">
        <v>4271</v>
      </c>
      <c r="B521" s="9" t="s">
        <v>4272</v>
      </c>
      <c r="C521" s="9" t="s">
        <v>4273</v>
      </c>
      <c r="D521" s="9" t="s">
        <v>4274</v>
      </c>
      <c r="E521" s="9" t="s">
        <v>2619</v>
      </c>
      <c r="F521" s="9" t="s">
        <v>406</v>
      </c>
      <c r="G521" s="9" t="s">
        <v>38</v>
      </c>
      <c r="H521" s="9" t="s">
        <v>39</v>
      </c>
      <c r="I521" s="9" t="s">
        <v>40</v>
      </c>
      <c r="J521" s="9">
        <v>4462</v>
      </c>
      <c r="K521" s="9" t="s">
        <v>4275</v>
      </c>
      <c r="L521" s="9" t="s">
        <v>42</v>
      </c>
      <c r="M521" s="10">
        <v>8.472222222222223E-3</v>
      </c>
      <c r="N521" s="9" t="s">
        <v>65</v>
      </c>
      <c r="O521" s="9" t="s">
        <v>4276</v>
      </c>
      <c r="P521" s="9" t="s">
        <v>413</v>
      </c>
      <c r="Q521" s="10">
        <v>1.496527777777778E-2</v>
      </c>
      <c r="R521" s="9" t="s">
        <v>56</v>
      </c>
      <c r="S521" s="10">
        <v>0.2890625</v>
      </c>
      <c r="T521" s="9">
        <v>61.488</v>
      </c>
      <c r="U521" s="9">
        <v>14.19</v>
      </c>
      <c r="V521" s="10">
        <v>0.1805208333333333</v>
      </c>
      <c r="W521" s="10">
        <v>9.2534722222222227E-2</v>
      </c>
      <c r="X521" s="10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 t="s">
        <v>67</v>
      </c>
      <c r="AF521" s="9" t="s">
        <v>4277</v>
      </c>
      <c r="AG521" s="9" t="s">
        <v>4278</v>
      </c>
      <c r="AH521" s="9">
        <v>6.2033050000000003</v>
      </c>
      <c r="AI521" s="9">
        <v>-75.600919000000005</v>
      </c>
      <c r="AJ521" s="9" t="s">
        <v>4279</v>
      </c>
      <c r="AK521" s="9">
        <v>6.2321039999999996</v>
      </c>
      <c r="AL521" s="9">
        <v>-75.596868999999998</v>
      </c>
      <c r="AM521" s="26">
        <f t="shared" si="9"/>
        <v>1.496527777777778E-2</v>
      </c>
    </row>
    <row r="522" spans="1:54" ht="15" x14ac:dyDescent="0.25">
      <c r="A522" s="9" t="s">
        <v>4280</v>
      </c>
      <c r="B522" s="9" t="s">
        <v>4281</v>
      </c>
      <c r="C522" s="9" t="s">
        <v>4282</v>
      </c>
      <c r="D522" s="9" t="s">
        <v>4274</v>
      </c>
      <c r="E522" s="9" t="s">
        <v>2619</v>
      </c>
      <c r="F522" s="9" t="s">
        <v>406</v>
      </c>
      <c r="G522" s="9" t="s">
        <v>52</v>
      </c>
      <c r="H522" s="9" t="s">
        <v>53</v>
      </c>
      <c r="I522" s="9" t="s">
        <v>40</v>
      </c>
      <c r="J522" s="9">
        <v>2529</v>
      </c>
      <c r="K522" s="9" t="s">
        <v>4283</v>
      </c>
      <c r="L522" s="9" t="s">
        <v>42</v>
      </c>
      <c r="M522" s="10">
        <v>6.4814814814814813E-4</v>
      </c>
      <c r="N522" s="9" t="s">
        <v>65</v>
      </c>
      <c r="O522" s="9" t="s">
        <v>4284</v>
      </c>
      <c r="P522" s="9" t="s">
        <v>413</v>
      </c>
      <c r="Q522" s="10">
        <v>0.11565972222222221</v>
      </c>
      <c r="R522" s="9" t="s">
        <v>56</v>
      </c>
      <c r="S522" s="10">
        <v>0.19619212962962959</v>
      </c>
      <c r="T522" s="9">
        <v>33.01</v>
      </c>
      <c r="U522" s="9">
        <v>9.09</v>
      </c>
      <c r="V522" s="10">
        <v>0.15137731481481481</v>
      </c>
      <c r="W522" s="10">
        <v>0.1050347222222222</v>
      </c>
      <c r="X522" s="10">
        <v>2.97337962962963E-2</v>
      </c>
      <c r="Y522" s="9">
        <v>1</v>
      </c>
      <c r="Z522" s="9">
        <v>1</v>
      </c>
      <c r="AA522" s="9">
        <v>1</v>
      </c>
      <c r="AB522" s="9">
        <v>1</v>
      </c>
      <c r="AC522" s="9">
        <v>0</v>
      </c>
      <c r="AD522" s="9">
        <v>1</v>
      </c>
      <c r="AE522" s="9" t="s">
        <v>67</v>
      </c>
      <c r="AF522" s="9" t="s">
        <v>4285</v>
      </c>
      <c r="AG522" s="9" t="s">
        <v>4286</v>
      </c>
      <c r="AH522" s="9">
        <v>6.2472599999999998</v>
      </c>
      <c r="AI522" s="9">
        <v>-75.614570000000001</v>
      </c>
      <c r="AJ522" s="9" t="s">
        <v>4287</v>
      </c>
      <c r="AK522" s="9">
        <v>6.1981789999999997</v>
      </c>
      <c r="AL522" s="9">
        <v>-75.593790999999996</v>
      </c>
      <c r="AM522" s="26">
        <f t="shared" si="9"/>
        <v>0.11565972222222221</v>
      </c>
    </row>
    <row r="523" spans="1:54" ht="15" x14ac:dyDescent="0.25">
      <c r="A523" s="9" t="s">
        <v>4288</v>
      </c>
      <c r="B523" s="9" t="s">
        <v>4289</v>
      </c>
      <c r="C523" s="9" t="s">
        <v>4290</v>
      </c>
      <c r="D523" s="9" t="s">
        <v>4274</v>
      </c>
      <c r="E523" s="9" t="s">
        <v>2619</v>
      </c>
      <c r="F523" s="9" t="s">
        <v>406</v>
      </c>
      <c r="G523" s="9" t="s">
        <v>62</v>
      </c>
      <c r="H523" s="9" t="s">
        <v>63</v>
      </c>
      <c r="I523" s="9" t="s">
        <v>40</v>
      </c>
      <c r="J523" s="9">
        <v>3624</v>
      </c>
      <c r="K523" s="9" t="s">
        <v>4291</v>
      </c>
      <c r="L523" s="9" t="s">
        <v>42</v>
      </c>
      <c r="M523" s="10">
        <v>8.6805555555555551E-4</v>
      </c>
      <c r="N523" s="9" t="s">
        <v>65</v>
      </c>
      <c r="O523" s="9" t="s">
        <v>4292</v>
      </c>
      <c r="P523" s="9" t="s">
        <v>413</v>
      </c>
      <c r="Q523" s="10">
        <v>0.15237268518518521</v>
      </c>
      <c r="R523" s="9" t="s">
        <v>56</v>
      </c>
      <c r="S523" s="10">
        <v>0.1609953703703704</v>
      </c>
      <c r="T523" s="9">
        <v>49.66</v>
      </c>
      <c r="U523" s="9">
        <v>17.190000000000001</v>
      </c>
      <c r="V523" s="10">
        <v>0.1203819444444444</v>
      </c>
      <c r="W523" s="10">
        <v>5.665509259259259E-2</v>
      </c>
      <c r="X523" s="10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 t="s">
        <v>67</v>
      </c>
      <c r="AF523" s="9" t="s">
        <v>4293</v>
      </c>
      <c r="AG523" s="9" t="s">
        <v>4294</v>
      </c>
      <c r="AH523" s="9">
        <v>6.2430919999999999</v>
      </c>
      <c r="AI523" s="9">
        <v>-75.562021999999999</v>
      </c>
      <c r="AJ523" s="9" t="s">
        <v>4295</v>
      </c>
      <c r="AK523" s="9">
        <v>6.2374159999999996</v>
      </c>
      <c r="AL523" s="9">
        <v>-75.514167</v>
      </c>
      <c r="AM523" s="26">
        <f t="shared" si="9"/>
        <v>0.15237268518518521</v>
      </c>
    </row>
    <row r="524" spans="1:54" ht="15" x14ac:dyDescent="0.25">
      <c r="A524" s="9" t="s">
        <v>4296</v>
      </c>
      <c r="B524" s="9" t="s">
        <v>4297</v>
      </c>
      <c r="C524" s="9" t="s">
        <v>4298</v>
      </c>
      <c r="D524" s="9" t="s">
        <v>4274</v>
      </c>
      <c r="E524" s="9" t="s">
        <v>2619</v>
      </c>
      <c r="F524" s="9" t="s">
        <v>406</v>
      </c>
      <c r="G524" s="9" t="s">
        <v>152</v>
      </c>
      <c r="H524" s="9" t="s">
        <v>153</v>
      </c>
      <c r="I524" s="9" t="s">
        <v>40</v>
      </c>
      <c r="J524" s="9">
        <v>2302</v>
      </c>
      <c r="K524" s="9" t="s">
        <v>4299</v>
      </c>
      <c r="L524" s="9" t="s">
        <v>42</v>
      </c>
      <c r="M524" s="10">
        <v>1.157407407407407E-2</v>
      </c>
      <c r="N524" s="9" t="s">
        <v>127</v>
      </c>
      <c r="O524" s="9" t="s">
        <v>4300</v>
      </c>
      <c r="P524" s="9" t="s">
        <v>413</v>
      </c>
      <c r="Q524" s="10">
        <v>5.980324074074074E-2</v>
      </c>
      <c r="R524" s="9" t="s">
        <v>56</v>
      </c>
      <c r="S524" s="10">
        <v>0.26427083333333329</v>
      </c>
      <c r="T524" s="9">
        <v>30.423999999999999</v>
      </c>
      <c r="U524" s="9">
        <v>6.67</v>
      </c>
      <c r="V524" s="10">
        <v>0.1900462962962963</v>
      </c>
      <c r="W524" s="10">
        <v>0.1363657407407407</v>
      </c>
      <c r="X524" s="10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 t="s">
        <v>139</v>
      </c>
      <c r="AF524" s="9" t="s">
        <v>4301</v>
      </c>
      <c r="AG524" s="9" t="s">
        <v>4302</v>
      </c>
      <c r="AH524" s="9">
        <v>6.2505129999999998</v>
      </c>
      <c r="AI524" s="9">
        <v>-75.551883000000004</v>
      </c>
      <c r="AJ524" s="9" t="s">
        <v>4303</v>
      </c>
      <c r="AK524" s="9">
        <v>6.2518399999999996</v>
      </c>
      <c r="AL524" s="9">
        <v>-75.551846999999995</v>
      </c>
      <c r="AM524" s="26">
        <f t="shared" si="9"/>
        <v>5.980324074074074E-2</v>
      </c>
    </row>
    <row r="525" spans="1:54" ht="15" x14ac:dyDescent="0.25">
      <c r="A525" s="9" t="s">
        <v>4304</v>
      </c>
      <c r="B525" s="9" t="s">
        <v>4305</v>
      </c>
      <c r="C525" s="9" t="s">
        <v>4306</v>
      </c>
      <c r="D525" s="9" t="s">
        <v>4274</v>
      </c>
      <c r="E525" s="9" t="s">
        <v>2619</v>
      </c>
      <c r="F525" s="9" t="s">
        <v>406</v>
      </c>
      <c r="G525" s="9" t="s">
        <v>89</v>
      </c>
      <c r="H525" s="9" t="s">
        <v>90</v>
      </c>
      <c r="I525" s="9" t="s">
        <v>40</v>
      </c>
      <c r="J525" s="9">
        <v>2462</v>
      </c>
      <c r="K525" s="9" t="s">
        <v>4307</v>
      </c>
      <c r="L525" s="9" t="s">
        <v>42</v>
      </c>
      <c r="M525" s="10">
        <v>1.446759259259259E-3</v>
      </c>
      <c r="N525" s="9" t="s">
        <v>65</v>
      </c>
      <c r="O525" s="9" t="s">
        <v>4308</v>
      </c>
      <c r="P525" s="9" t="s">
        <v>413</v>
      </c>
      <c r="Q525" s="10">
        <v>2.0636574074074071E-2</v>
      </c>
      <c r="R525" s="9" t="s">
        <v>56</v>
      </c>
      <c r="S525" s="10">
        <v>0.2933101851851852</v>
      </c>
      <c r="T525" s="9">
        <v>31.009</v>
      </c>
      <c r="U525" s="9">
        <v>5.55</v>
      </c>
      <c r="V525" s="10">
        <v>0.23291666666666669</v>
      </c>
      <c r="W525" s="10">
        <v>0.17158564814814811</v>
      </c>
      <c r="X525" s="10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2</v>
      </c>
      <c r="AE525" s="9" t="s">
        <v>67</v>
      </c>
      <c r="AF525" s="9" t="s">
        <v>4309</v>
      </c>
      <c r="AG525" s="9" t="s">
        <v>4310</v>
      </c>
      <c r="AH525" s="9">
        <v>6.2265170000000003</v>
      </c>
      <c r="AI525" s="9">
        <v>-75.599256999999994</v>
      </c>
      <c r="AJ525" s="9" t="s">
        <v>4311</v>
      </c>
      <c r="AK525" s="9">
        <v>6.2793900000000002</v>
      </c>
      <c r="AL525" s="9">
        <v>-75.571443000000002</v>
      </c>
      <c r="AM525" s="26">
        <f t="shared" si="9"/>
        <v>2.0636574074074071E-2</v>
      </c>
    </row>
    <row r="526" spans="1:54" ht="15" x14ac:dyDescent="0.25">
      <c r="A526" s="9" t="s">
        <v>4312</v>
      </c>
      <c r="B526" s="9" t="s">
        <v>4313</v>
      </c>
      <c r="C526" s="9" t="s">
        <v>4314</v>
      </c>
      <c r="D526" s="9" t="s">
        <v>4274</v>
      </c>
      <c r="E526" s="9" t="s">
        <v>2619</v>
      </c>
      <c r="F526" s="9" t="s">
        <v>406</v>
      </c>
      <c r="G526" s="9" t="s">
        <v>113</v>
      </c>
      <c r="H526" s="9" t="s">
        <v>114</v>
      </c>
      <c r="I526" s="9" t="s">
        <v>115</v>
      </c>
      <c r="J526" s="9">
        <v>1590</v>
      </c>
      <c r="K526" s="9" t="s">
        <v>4315</v>
      </c>
      <c r="L526" s="9" t="s">
        <v>117</v>
      </c>
      <c r="M526" s="10">
        <v>9.9652777777777778E-3</v>
      </c>
      <c r="N526" s="9" t="s">
        <v>65</v>
      </c>
      <c r="O526" s="9" t="s">
        <v>4316</v>
      </c>
      <c r="P526" s="9" t="s">
        <v>119</v>
      </c>
      <c r="Q526" s="10">
        <v>0.1102662037037037</v>
      </c>
      <c r="R526" s="9" t="s">
        <v>56</v>
      </c>
      <c r="S526" s="10">
        <v>0.12976851851851851</v>
      </c>
      <c r="T526" s="9">
        <v>22.916</v>
      </c>
      <c r="U526" s="9">
        <v>11.21</v>
      </c>
      <c r="V526" s="10">
        <v>8.5162037037037036E-2</v>
      </c>
      <c r="W526" s="10">
        <v>5.1944444444444453E-2</v>
      </c>
      <c r="X526" s="10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1</v>
      </c>
      <c r="AE526" s="9" t="s">
        <v>67</v>
      </c>
      <c r="AF526" s="9" t="s">
        <v>4317</v>
      </c>
      <c r="AG526" s="9" t="s">
        <v>4318</v>
      </c>
      <c r="AH526" s="9">
        <v>6.2007099999999999</v>
      </c>
      <c r="AI526" s="9">
        <v>-75.579486000000003</v>
      </c>
      <c r="AJ526" s="9" t="s">
        <v>4319</v>
      </c>
      <c r="AK526" s="9">
        <v>6.2636770000000004</v>
      </c>
      <c r="AL526" s="9">
        <v>-75.597064000000003</v>
      </c>
      <c r="AM526" s="26">
        <f t="shared" si="9"/>
        <v>0.1102662037037037</v>
      </c>
    </row>
    <row r="527" spans="1:54" ht="15" x14ac:dyDescent="0.25">
      <c r="A527" s="9" t="s">
        <v>4320</v>
      </c>
      <c r="B527" s="9" t="s">
        <v>4321</v>
      </c>
      <c r="C527" s="9" t="s">
        <v>4322</v>
      </c>
      <c r="D527" s="9" t="s">
        <v>4274</v>
      </c>
      <c r="E527" s="9" t="s">
        <v>2619</v>
      </c>
      <c r="F527" s="9" t="s">
        <v>406</v>
      </c>
      <c r="G527" s="9" t="s">
        <v>124</v>
      </c>
      <c r="H527" s="9" t="s">
        <v>125</v>
      </c>
      <c r="I527" s="9" t="s">
        <v>115</v>
      </c>
      <c r="J527" s="9">
        <v>3256</v>
      </c>
      <c r="K527" s="9" t="s">
        <v>4323</v>
      </c>
      <c r="L527" s="9" t="s">
        <v>117</v>
      </c>
      <c r="M527" s="10">
        <v>2.6354166666666672E-2</v>
      </c>
      <c r="N527" s="9" t="s">
        <v>43</v>
      </c>
      <c r="O527" s="9" t="s">
        <v>4324</v>
      </c>
      <c r="P527" s="9" t="s">
        <v>119</v>
      </c>
      <c r="Q527" s="10">
        <v>2.6243865740740739</v>
      </c>
      <c r="R527" s="9" t="s">
        <v>129</v>
      </c>
      <c r="S527" s="10">
        <v>2.8480324074074068</v>
      </c>
      <c r="T527" s="9">
        <v>41.905999999999999</v>
      </c>
      <c r="U527" s="9">
        <v>0.83</v>
      </c>
      <c r="V527" s="10">
        <v>2.100034722222222</v>
      </c>
      <c r="W527" s="10">
        <v>2.0296759259259258</v>
      </c>
      <c r="X527" s="10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1</v>
      </c>
      <c r="AE527" s="9" t="s">
        <v>130</v>
      </c>
      <c r="AF527" s="9" t="s">
        <v>4325</v>
      </c>
      <c r="AG527" s="9" t="s">
        <v>4326</v>
      </c>
      <c r="AH527" s="9">
        <v>6.250121</v>
      </c>
      <c r="AI527" s="9">
        <v>-75.556875000000005</v>
      </c>
      <c r="AJ527" s="9" t="s">
        <v>4327</v>
      </c>
      <c r="AK527" s="9">
        <v>6.2255880000000001</v>
      </c>
      <c r="AL527" s="9">
        <v>-75.598989000000003</v>
      </c>
      <c r="AM527" s="26">
        <f t="shared" si="9"/>
        <v>2.6354166666666672E-2</v>
      </c>
    </row>
    <row r="528" spans="1:54" ht="15" x14ac:dyDescent="0.25">
      <c r="A528" s="9" t="s">
        <v>4328</v>
      </c>
      <c r="B528" s="9" t="s">
        <v>4329</v>
      </c>
      <c r="C528" s="9" t="s">
        <v>4330</v>
      </c>
      <c r="D528" s="9" t="s">
        <v>4274</v>
      </c>
      <c r="E528" s="9" t="s">
        <v>2619</v>
      </c>
      <c r="F528" s="9" t="s">
        <v>406</v>
      </c>
      <c r="G528" s="9" t="s">
        <v>135</v>
      </c>
      <c r="H528" s="9" t="s">
        <v>136</v>
      </c>
      <c r="I528" s="9" t="s">
        <v>115</v>
      </c>
      <c r="J528" s="9">
        <v>2306</v>
      </c>
      <c r="K528" s="9" t="s">
        <v>4331</v>
      </c>
      <c r="L528" s="9" t="s">
        <v>117</v>
      </c>
      <c r="M528" s="10">
        <v>2.5775462962962958E-2</v>
      </c>
      <c r="N528" s="9" t="s">
        <v>43</v>
      </c>
      <c r="O528" s="9" t="s">
        <v>4332</v>
      </c>
      <c r="P528" s="9" t="s">
        <v>119</v>
      </c>
      <c r="Q528" s="10">
        <v>1.5810185185185181E-2</v>
      </c>
      <c r="R528" s="9" t="s">
        <v>56</v>
      </c>
      <c r="S528" s="10">
        <v>0.20841435185185189</v>
      </c>
      <c r="T528" s="9">
        <v>35.134</v>
      </c>
      <c r="U528" s="9">
        <v>17.670000000000002</v>
      </c>
      <c r="V528" s="10">
        <v>8.2824074074074078E-2</v>
      </c>
      <c r="W528" s="10">
        <v>4.1585648148148149E-2</v>
      </c>
      <c r="X528" s="10">
        <v>8.5879629629629622E-3</v>
      </c>
      <c r="Y528" s="9">
        <v>1</v>
      </c>
      <c r="Z528" s="9">
        <v>0</v>
      </c>
      <c r="AA528" s="9">
        <v>0</v>
      </c>
      <c r="AB528" s="9">
        <v>0</v>
      </c>
      <c r="AC528" s="9">
        <v>0</v>
      </c>
      <c r="AD528" s="9">
        <v>6</v>
      </c>
      <c r="AE528" s="9" t="s">
        <v>57</v>
      </c>
      <c r="AF528" s="9" t="s">
        <v>4333</v>
      </c>
      <c r="AG528" s="9" t="s">
        <v>4334</v>
      </c>
      <c r="AH528" s="9">
        <v>6.2725720000000003</v>
      </c>
      <c r="AI528" s="9">
        <v>-75.540537</v>
      </c>
      <c r="AJ528" s="9" t="s">
        <v>4335</v>
      </c>
      <c r="AK528" s="9">
        <v>6.2171329999999996</v>
      </c>
      <c r="AL528" s="9">
        <v>-75.595055000000002</v>
      </c>
      <c r="AM528" s="26">
        <f t="shared" si="9"/>
        <v>4.1585648148148135E-2</v>
      </c>
    </row>
    <row r="529" spans="1:40" ht="15" x14ac:dyDescent="0.25">
      <c r="A529" s="9" t="s">
        <v>4336</v>
      </c>
      <c r="B529" s="9" t="s">
        <v>4337</v>
      </c>
      <c r="C529" s="9" t="s">
        <v>4338</v>
      </c>
      <c r="D529" s="9" t="s">
        <v>4274</v>
      </c>
      <c r="E529" s="9" t="s">
        <v>2619</v>
      </c>
      <c r="F529" s="9" t="s">
        <v>406</v>
      </c>
      <c r="G529" s="9" t="s">
        <v>72</v>
      </c>
      <c r="H529" s="9" t="s">
        <v>73</v>
      </c>
      <c r="I529" s="9" t="s">
        <v>115</v>
      </c>
      <c r="J529" s="9">
        <v>3993</v>
      </c>
      <c r="K529" s="9" t="s">
        <v>4339</v>
      </c>
      <c r="L529" s="9" t="s">
        <v>117</v>
      </c>
      <c r="M529" s="10">
        <v>7.6145833333333329E-2</v>
      </c>
      <c r="N529" s="9" t="s">
        <v>43</v>
      </c>
      <c r="O529" s="9" t="s">
        <v>4340</v>
      </c>
      <c r="P529" s="9" t="s">
        <v>119</v>
      </c>
      <c r="Q529" s="10">
        <v>1.981481481481482E-2</v>
      </c>
      <c r="R529" s="9" t="s">
        <v>56</v>
      </c>
      <c r="S529" s="10">
        <v>0.15403935185185191</v>
      </c>
      <c r="T529" s="9">
        <v>55.517000000000003</v>
      </c>
      <c r="U529" s="9">
        <v>17.39</v>
      </c>
      <c r="V529" s="10">
        <v>0.1330324074074074</v>
      </c>
      <c r="W529" s="10">
        <v>5.3761574074074073E-2</v>
      </c>
      <c r="X529" s="10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 t="s">
        <v>57</v>
      </c>
      <c r="AF529" s="9" t="s">
        <v>4341</v>
      </c>
      <c r="AG529" s="9" t="s">
        <v>4342</v>
      </c>
      <c r="AH529" s="9">
        <v>6.2386489999999997</v>
      </c>
      <c r="AI529" s="9">
        <v>-75.573251999999997</v>
      </c>
      <c r="AJ529" s="9" t="s">
        <v>4343</v>
      </c>
      <c r="AK529" s="9">
        <v>6.2354180000000001</v>
      </c>
      <c r="AL529" s="9">
        <v>-75.554732999999999</v>
      </c>
      <c r="AM529" s="26">
        <f t="shared" si="9"/>
        <v>9.5960648148148142E-2</v>
      </c>
    </row>
    <row r="530" spans="1:40" ht="15" x14ac:dyDescent="0.25">
      <c r="A530" s="9" t="s">
        <v>4344</v>
      </c>
      <c r="B530" s="9" t="s">
        <v>4345</v>
      </c>
      <c r="C530" s="9" t="s">
        <v>4346</v>
      </c>
      <c r="D530" s="9" t="s">
        <v>4274</v>
      </c>
      <c r="E530" s="9" t="s">
        <v>2619</v>
      </c>
      <c r="F530" s="9" t="s">
        <v>406</v>
      </c>
      <c r="G530" s="9" t="s">
        <v>80</v>
      </c>
      <c r="H530" s="9" t="s">
        <v>81</v>
      </c>
      <c r="I530" s="9" t="s">
        <v>115</v>
      </c>
      <c r="J530" s="9">
        <v>11948</v>
      </c>
      <c r="K530" s="9" t="s">
        <v>4347</v>
      </c>
      <c r="L530" s="9" t="s">
        <v>117</v>
      </c>
      <c r="M530" s="10">
        <v>1.724733796296296E-3</v>
      </c>
      <c r="N530" s="9" t="s">
        <v>65</v>
      </c>
      <c r="O530" s="9" t="s">
        <v>4348</v>
      </c>
      <c r="P530" s="9" t="s">
        <v>119</v>
      </c>
      <c r="Q530" s="10">
        <v>1.2208333333333331E-3</v>
      </c>
      <c r="R530" s="9" t="s">
        <v>46</v>
      </c>
      <c r="S530" s="10">
        <v>0.24705443287037041</v>
      </c>
      <c r="T530" s="9">
        <v>93.061999999999998</v>
      </c>
      <c r="U530" s="9">
        <v>31.19</v>
      </c>
      <c r="V530" s="10">
        <v>0.1243100578703704</v>
      </c>
      <c r="W530" s="10">
        <v>1.4461805555555559E-2</v>
      </c>
      <c r="X530" s="10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3</v>
      </c>
      <c r="AE530" s="9" t="s">
        <v>84</v>
      </c>
      <c r="AF530" s="9" t="s">
        <v>292</v>
      </c>
      <c r="AG530" s="9" t="s">
        <v>4349</v>
      </c>
      <c r="AH530" s="9">
        <v>6.2557660000000004</v>
      </c>
      <c r="AI530" s="9">
        <v>-75.619710999999995</v>
      </c>
      <c r="AJ530" s="9" t="s">
        <v>4350</v>
      </c>
      <c r="AK530" s="9">
        <v>6.2469840000000003</v>
      </c>
      <c r="AL530" s="9">
        <v>-75.554086999999996</v>
      </c>
      <c r="AM530" s="26">
        <f t="shared" si="9"/>
        <v>0</v>
      </c>
    </row>
    <row r="531" spans="1:40" ht="15" x14ac:dyDescent="0.25">
      <c r="A531" s="9" t="s">
        <v>4351</v>
      </c>
      <c r="B531" s="9" t="s">
        <v>4352</v>
      </c>
      <c r="C531" s="9" t="s">
        <v>4353</v>
      </c>
      <c r="D531" s="9" t="s">
        <v>4274</v>
      </c>
      <c r="E531" s="9" t="s">
        <v>2619</v>
      </c>
      <c r="F531" s="9" t="s">
        <v>406</v>
      </c>
      <c r="G531" s="9" t="s">
        <v>97</v>
      </c>
      <c r="H531" s="9" t="s">
        <v>98</v>
      </c>
      <c r="I531" s="9" t="s">
        <v>115</v>
      </c>
      <c r="J531" s="9">
        <v>2218</v>
      </c>
      <c r="K531" s="9" t="s">
        <v>4354</v>
      </c>
      <c r="L531" s="9" t="s">
        <v>117</v>
      </c>
      <c r="M531" s="10">
        <v>2.299768518518518E-2</v>
      </c>
      <c r="N531" s="9" t="s">
        <v>127</v>
      </c>
      <c r="O531" s="9" t="s">
        <v>4355</v>
      </c>
      <c r="P531" s="9" t="s">
        <v>119</v>
      </c>
      <c r="Q531" s="10">
        <v>7.3726851851851849E-2</v>
      </c>
      <c r="R531" s="9" t="s">
        <v>56</v>
      </c>
      <c r="S531" s="10">
        <v>0.19927083333333331</v>
      </c>
      <c r="T531" s="9">
        <v>28.459</v>
      </c>
      <c r="U531" s="9">
        <v>8.06</v>
      </c>
      <c r="V531" s="10">
        <v>0.14703703703703699</v>
      </c>
      <c r="W531" s="10">
        <v>8.9282407407407408E-2</v>
      </c>
      <c r="X531" s="10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 t="s">
        <v>139</v>
      </c>
      <c r="AF531" s="9" t="s">
        <v>4356</v>
      </c>
      <c r="AG531" s="9" t="s">
        <v>4357</v>
      </c>
      <c r="AH531" s="9">
        <v>6.3092480000000002</v>
      </c>
      <c r="AI531" s="9">
        <v>-75.575903999999994</v>
      </c>
      <c r="AJ531" s="9" t="s">
        <v>4358</v>
      </c>
      <c r="AK531" s="9">
        <v>6.3090140000000003</v>
      </c>
      <c r="AL531" s="9">
        <v>-75.576318999999998</v>
      </c>
      <c r="AM531" s="26">
        <f t="shared" si="9"/>
        <v>7.3726851851851849E-2</v>
      </c>
    </row>
    <row r="532" spans="1:40" ht="15" x14ac:dyDescent="0.25">
      <c r="A532" s="9" t="s">
        <v>4359</v>
      </c>
      <c r="B532" s="9" t="s">
        <v>4360</v>
      </c>
      <c r="C532" s="9" t="s">
        <v>4361</v>
      </c>
      <c r="D532" s="9" t="s">
        <v>4362</v>
      </c>
      <c r="E532" s="9" t="s">
        <v>2619</v>
      </c>
      <c r="F532" s="9" t="s">
        <v>508</v>
      </c>
      <c r="G532" s="9" t="s">
        <v>38</v>
      </c>
      <c r="H532" s="9" t="s">
        <v>39</v>
      </c>
      <c r="I532" s="9" t="s">
        <v>40</v>
      </c>
      <c r="J532" s="9">
        <v>1295</v>
      </c>
      <c r="K532" s="9" t="s">
        <v>4363</v>
      </c>
      <c r="L532" s="9" t="s">
        <v>42</v>
      </c>
      <c r="M532" s="10">
        <v>1.65162037037037E-2</v>
      </c>
      <c r="N532" s="9" t="s">
        <v>43</v>
      </c>
      <c r="O532" s="9" t="s">
        <v>4364</v>
      </c>
      <c r="P532" s="9" t="s">
        <v>45</v>
      </c>
      <c r="Q532" s="10">
        <v>3.5763888888888889E-3</v>
      </c>
      <c r="R532" s="9" t="s">
        <v>46</v>
      </c>
      <c r="S532" s="10">
        <v>0.32039351851851849</v>
      </c>
      <c r="T532" s="9">
        <v>15.379</v>
      </c>
      <c r="U532" s="9">
        <v>5.72</v>
      </c>
      <c r="V532" s="10">
        <v>0.1120833333333333</v>
      </c>
      <c r="W532" s="10">
        <v>8.3564814814814814E-2</v>
      </c>
      <c r="X532" s="10">
        <v>0.10879629629629629</v>
      </c>
      <c r="Y532" s="9">
        <v>1</v>
      </c>
      <c r="Z532" s="9">
        <v>1</v>
      </c>
      <c r="AA532" s="9">
        <v>1</v>
      </c>
      <c r="AB532" s="9">
        <v>1</v>
      </c>
      <c r="AC532" s="9">
        <v>1</v>
      </c>
      <c r="AD532" s="9">
        <v>1</v>
      </c>
      <c r="AE532" s="9" t="s">
        <v>47</v>
      </c>
      <c r="AF532" s="9" t="s">
        <v>4365</v>
      </c>
      <c r="AG532" s="9" t="s">
        <v>4366</v>
      </c>
      <c r="AH532" s="9">
        <v>6.2034070000000003</v>
      </c>
      <c r="AI532" s="9">
        <v>-75.600691999999995</v>
      </c>
      <c r="AJ532" s="9" t="s">
        <v>4367</v>
      </c>
      <c r="AK532" s="9">
        <v>6.2215749999999996</v>
      </c>
      <c r="AL532" s="9">
        <v>-75.593852999999996</v>
      </c>
      <c r="AM532" s="26">
        <f t="shared" si="9"/>
        <v>1.65162037037037E-2</v>
      </c>
    </row>
    <row r="533" spans="1:40" ht="15" x14ac:dyDescent="0.25">
      <c r="A533" s="9" t="s">
        <v>4368</v>
      </c>
      <c r="B533" s="9" t="s">
        <v>4369</v>
      </c>
      <c r="C533" s="9" t="s">
        <v>4370</v>
      </c>
      <c r="D533" s="9" t="s">
        <v>4362</v>
      </c>
      <c r="E533" s="9" t="s">
        <v>2619</v>
      </c>
      <c r="F533" s="9" t="s">
        <v>508</v>
      </c>
      <c r="G533" s="9" t="s">
        <v>52</v>
      </c>
      <c r="H533" s="9" t="s">
        <v>53</v>
      </c>
      <c r="I533" s="9" t="s">
        <v>40</v>
      </c>
      <c r="J533" s="9">
        <v>3125</v>
      </c>
      <c r="K533" s="9" t="s">
        <v>4371</v>
      </c>
      <c r="L533" s="9" t="s">
        <v>42</v>
      </c>
      <c r="M533" s="10">
        <v>1.819444444444444E-2</v>
      </c>
      <c r="N533" s="9" t="s">
        <v>127</v>
      </c>
      <c r="O533" s="9" t="s">
        <v>4372</v>
      </c>
      <c r="P533" s="9" t="s">
        <v>45</v>
      </c>
      <c r="Q533" s="10">
        <v>1.701388888888889E-3</v>
      </c>
      <c r="R533" s="9" t="s">
        <v>46</v>
      </c>
      <c r="S533" s="10">
        <v>0.35322916666666659</v>
      </c>
      <c r="T533" s="9">
        <v>39.334000000000003</v>
      </c>
      <c r="U533" s="9">
        <v>8.41</v>
      </c>
      <c r="V533" s="10">
        <v>0.19497685185185179</v>
      </c>
      <c r="W533" s="10">
        <v>0.12534722222222219</v>
      </c>
      <c r="X533" s="10">
        <v>0</v>
      </c>
      <c r="Y533" s="9">
        <v>0</v>
      </c>
      <c r="Z533" s="9">
        <v>0</v>
      </c>
      <c r="AA533" s="9">
        <v>0</v>
      </c>
      <c r="AB533" s="9">
        <v>0</v>
      </c>
      <c r="AC533" s="9">
        <v>0</v>
      </c>
      <c r="AD533" s="9">
        <v>1</v>
      </c>
      <c r="AE533" s="9" t="s">
        <v>139</v>
      </c>
      <c r="AF533" s="9" t="s">
        <v>4373</v>
      </c>
      <c r="AG533" s="9" t="s">
        <v>4374</v>
      </c>
      <c r="AH533" s="9">
        <v>6.2256130000000001</v>
      </c>
      <c r="AI533" s="9">
        <v>-75.599299999999999</v>
      </c>
      <c r="AJ533" s="9" t="s">
        <v>4375</v>
      </c>
      <c r="AK533" s="9">
        <v>6.2477119999999999</v>
      </c>
      <c r="AL533" s="9">
        <v>-75.615081000000004</v>
      </c>
      <c r="AM533" s="26">
        <f t="shared" si="9"/>
        <v>0</v>
      </c>
    </row>
    <row r="534" spans="1:40" ht="15" x14ac:dyDescent="0.25">
      <c r="A534" s="9" t="s">
        <v>4376</v>
      </c>
      <c r="B534" s="9" t="s">
        <v>4377</v>
      </c>
      <c r="C534" s="9" t="s">
        <v>4378</v>
      </c>
      <c r="D534" s="9" t="s">
        <v>4362</v>
      </c>
      <c r="E534" s="9" t="s">
        <v>2619</v>
      </c>
      <c r="F534" s="9" t="s">
        <v>508</v>
      </c>
      <c r="G534" s="9" t="s">
        <v>62</v>
      </c>
      <c r="H534" s="9" t="s">
        <v>63</v>
      </c>
      <c r="I534" s="9" t="s">
        <v>40</v>
      </c>
      <c r="J534" s="9">
        <v>2689</v>
      </c>
      <c r="K534" s="9" t="s">
        <v>4379</v>
      </c>
      <c r="L534" s="9" t="s">
        <v>42</v>
      </c>
      <c r="M534" s="10">
        <v>8.472222222222223E-3</v>
      </c>
      <c r="N534" s="9" t="s">
        <v>65</v>
      </c>
      <c r="O534" s="9" t="s">
        <v>4380</v>
      </c>
      <c r="P534" s="9" t="s">
        <v>45</v>
      </c>
      <c r="Q534" s="10">
        <v>0.12221064814814819</v>
      </c>
      <c r="R534" s="9" t="s">
        <v>56</v>
      </c>
      <c r="S534" s="10">
        <v>0.21959490740740739</v>
      </c>
      <c r="T534" s="9">
        <v>36.213000000000001</v>
      </c>
      <c r="U534" s="9">
        <v>9.9</v>
      </c>
      <c r="V534" s="10">
        <v>0.15236111111111111</v>
      </c>
      <c r="W534" s="10">
        <v>9.1979166666666667E-2</v>
      </c>
      <c r="X534" s="10">
        <v>0</v>
      </c>
      <c r="Y534" s="9">
        <v>0</v>
      </c>
      <c r="Z534" s="9">
        <v>0</v>
      </c>
      <c r="AA534" s="9">
        <v>0</v>
      </c>
      <c r="AB534" s="9">
        <v>0</v>
      </c>
      <c r="AC534" s="9">
        <v>0</v>
      </c>
      <c r="AD534" s="9">
        <v>1</v>
      </c>
      <c r="AE534" s="9" t="s">
        <v>67</v>
      </c>
      <c r="AF534" s="9" t="s">
        <v>4381</v>
      </c>
      <c r="AG534" s="9" t="s">
        <v>4382</v>
      </c>
      <c r="AH534" s="9">
        <v>6.2257610000000003</v>
      </c>
      <c r="AI534" s="9">
        <v>-75.599428000000003</v>
      </c>
      <c r="AJ534" s="9" t="s">
        <v>4383</v>
      </c>
      <c r="AK534" s="9">
        <v>6.2905530000000001</v>
      </c>
      <c r="AL534" s="9">
        <v>-75.569749999999999</v>
      </c>
      <c r="AM534" s="26">
        <f t="shared" si="9"/>
        <v>0.12221064814814819</v>
      </c>
    </row>
    <row r="535" spans="1:40" ht="15" x14ac:dyDescent="0.25">
      <c r="A535" s="9" t="s">
        <v>4384</v>
      </c>
      <c r="B535" s="9" t="s">
        <v>4385</v>
      </c>
      <c r="C535" s="9" t="s">
        <v>4386</v>
      </c>
      <c r="D535" s="9" t="s">
        <v>4362</v>
      </c>
      <c r="E535" s="9" t="s">
        <v>2619</v>
      </c>
      <c r="F535" s="9" t="s">
        <v>508</v>
      </c>
      <c r="G535" s="9" t="s">
        <v>144</v>
      </c>
      <c r="H535" s="9" t="s">
        <v>145</v>
      </c>
      <c r="I535" s="9" t="s">
        <v>40</v>
      </c>
      <c r="J535" s="9">
        <v>4530</v>
      </c>
      <c r="K535" s="9" t="s">
        <v>4387</v>
      </c>
      <c r="L535" s="9" t="s">
        <v>42</v>
      </c>
      <c r="M535" s="10">
        <v>5.5555555555555558E-3</v>
      </c>
      <c r="N535" s="9" t="s">
        <v>65</v>
      </c>
      <c r="O535" s="9" t="s">
        <v>4388</v>
      </c>
      <c r="P535" s="9" t="s">
        <v>45</v>
      </c>
      <c r="Q535" s="10">
        <v>1.5844907407407412E-2</v>
      </c>
      <c r="R535" s="9" t="s">
        <v>56</v>
      </c>
      <c r="S535" s="10">
        <v>0.3230439814814815</v>
      </c>
      <c r="T535" s="9">
        <v>57.572000000000003</v>
      </c>
      <c r="U535" s="9">
        <v>10.16</v>
      </c>
      <c r="V535" s="10">
        <v>0.23621527777777779</v>
      </c>
      <c r="W535" s="10">
        <v>0.12913194444444451</v>
      </c>
      <c r="X535" s="10">
        <v>0</v>
      </c>
      <c r="Y535" s="9">
        <v>0</v>
      </c>
      <c r="Z535" s="9">
        <v>0</v>
      </c>
      <c r="AA535" s="9">
        <v>0</v>
      </c>
      <c r="AB535" s="9">
        <v>0</v>
      </c>
      <c r="AC535" s="9">
        <v>0</v>
      </c>
      <c r="AD535" s="9">
        <v>0</v>
      </c>
      <c r="AE535" s="9" t="s">
        <v>67</v>
      </c>
      <c r="AF535" s="9" t="s">
        <v>4389</v>
      </c>
      <c r="AG535" s="9" t="s">
        <v>4390</v>
      </c>
      <c r="AH535" s="9">
        <v>6.2256090000000004</v>
      </c>
      <c r="AI535" s="9">
        <v>-75.599514999999997</v>
      </c>
      <c r="AJ535" s="9" t="s">
        <v>4391</v>
      </c>
      <c r="AK535" s="9">
        <v>6.263744</v>
      </c>
      <c r="AL535" s="9">
        <v>-75.567603000000005</v>
      </c>
      <c r="AM535" s="26">
        <f t="shared" si="9"/>
        <v>1.5844907407407412E-2</v>
      </c>
    </row>
    <row r="536" spans="1:40" ht="15" x14ac:dyDescent="0.25">
      <c r="A536" s="9" t="s">
        <v>4392</v>
      </c>
      <c r="B536" s="9" t="s">
        <v>4393</v>
      </c>
      <c r="C536" s="9" t="s">
        <v>4394</v>
      </c>
      <c r="D536" s="9" t="s">
        <v>4362</v>
      </c>
      <c r="E536" s="9" t="s">
        <v>2619</v>
      </c>
      <c r="F536" s="9" t="s">
        <v>508</v>
      </c>
      <c r="G536" s="9" t="s">
        <v>89</v>
      </c>
      <c r="H536" s="9" t="s">
        <v>90</v>
      </c>
      <c r="I536" s="9" t="s">
        <v>40</v>
      </c>
      <c r="J536" s="9">
        <v>1529</v>
      </c>
      <c r="K536" s="9" t="s">
        <v>4395</v>
      </c>
      <c r="L536" s="9" t="s">
        <v>42</v>
      </c>
      <c r="M536" s="10">
        <v>7.013888888888889E-3</v>
      </c>
      <c r="N536" s="9" t="s">
        <v>65</v>
      </c>
      <c r="O536" s="9" t="s">
        <v>4396</v>
      </c>
      <c r="P536" s="9" t="s">
        <v>45</v>
      </c>
      <c r="Q536" s="10">
        <v>1.388888888888889E-2</v>
      </c>
      <c r="R536" s="9" t="s">
        <v>56</v>
      </c>
      <c r="S536" s="10">
        <v>0.31243055555555549</v>
      </c>
      <c r="T536" s="9">
        <v>16.675000000000001</v>
      </c>
      <c r="U536" s="9">
        <v>3.26</v>
      </c>
      <c r="V536" s="10">
        <v>0.2129861111111111</v>
      </c>
      <c r="W536" s="10">
        <v>0.18839120370370371</v>
      </c>
      <c r="X536" s="10">
        <v>0</v>
      </c>
      <c r="Y536" s="9">
        <v>0</v>
      </c>
      <c r="Z536" s="9">
        <v>0</v>
      </c>
      <c r="AA536" s="9">
        <v>0</v>
      </c>
      <c r="AB536" s="9">
        <v>0</v>
      </c>
      <c r="AC536" s="9">
        <v>0</v>
      </c>
      <c r="AD536" s="9">
        <v>0</v>
      </c>
      <c r="AE536" s="9" t="s">
        <v>67</v>
      </c>
      <c r="AF536" s="9" t="s">
        <v>4397</v>
      </c>
      <c r="AG536" s="9" t="s">
        <v>4398</v>
      </c>
      <c r="AH536" s="9">
        <v>6.2266620000000001</v>
      </c>
      <c r="AI536" s="9">
        <v>-75.599292000000005</v>
      </c>
      <c r="AJ536" s="9" t="s">
        <v>4399</v>
      </c>
      <c r="AK536" s="9">
        <v>6.2466369999999998</v>
      </c>
      <c r="AL536" s="9">
        <v>-75.570026999999996</v>
      </c>
      <c r="AM536" s="26">
        <f t="shared" si="9"/>
        <v>1.388888888888889E-2</v>
      </c>
    </row>
    <row r="537" spans="1:40" ht="15" x14ac:dyDescent="0.25">
      <c r="A537" s="9" t="s">
        <v>4400</v>
      </c>
      <c r="B537" s="9" t="s">
        <v>4401</v>
      </c>
      <c r="C537" s="9" t="s">
        <v>4402</v>
      </c>
      <c r="D537" s="9" t="s">
        <v>4362</v>
      </c>
      <c r="E537" s="9" t="s">
        <v>2619</v>
      </c>
      <c r="F537" s="9" t="s">
        <v>508</v>
      </c>
      <c r="G537" s="9" t="s">
        <v>105</v>
      </c>
      <c r="H537" s="9" t="s">
        <v>106</v>
      </c>
      <c r="I537" s="9" t="s">
        <v>40</v>
      </c>
      <c r="J537" s="9">
        <v>4278</v>
      </c>
      <c r="K537" s="9" t="s">
        <v>4403</v>
      </c>
      <c r="L537" s="9" t="s">
        <v>42</v>
      </c>
      <c r="M537" s="10">
        <v>8.9733796296296298E-2</v>
      </c>
      <c r="N537" s="9" t="s">
        <v>43</v>
      </c>
      <c r="O537" s="9" t="s">
        <v>4404</v>
      </c>
      <c r="P537" s="9" t="s">
        <v>45</v>
      </c>
      <c r="Q537" s="10">
        <v>6.958333333333333E-2</v>
      </c>
      <c r="R537" s="9" t="s">
        <v>56</v>
      </c>
      <c r="S537" s="10">
        <v>0.17401620370370369</v>
      </c>
      <c r="T537" s="9">
        <v>70.099999999999994</v>
      </c>
      <c r="U537" s="9">
        <v>21.01</v>
      </c>
      <c r="V537" s="10">
        <v>0.13900462962962959</v>
      </c>
      <c r="W537" s="10">
        <v>5.8738425925925923E-2</v>
      </c>
      <c r="X537" s="10">
        <v>4.6412037037037038E-3</v>
      </c>
      <c r="Y537" s="9">
        <v>0</v>
      </c>
      <c r="Z537" s="9">
        <v>0</v>
      </c>
      <c r="AA537" s="9">
        <v>0</v>
      </c>
      <c r="AB537" s="9">
        <v>0</v>
      </c>
      <c r="AC537" s="9">
        <v>0</v>
      </c>
      <c r="AD537" s="9">
        <v>1</v>
      </c>
      <c r="AE537" s="9" t="s">
        <v>57</v>
      </c>
      <c r="AF537" s="9" t="s">
        <v>4405</v>
      </c>
      <c r="AG537" s="9" t="s">
        <v>4406</v>
      </c>
      <c r="AH537" s="9">
        <v>6.258375</v>
      </c>
      <c r="AI537" s="9">
        <v>-75.615757000000002</v>
      </c>
      <c r="AJ537" s="9" t="s">
        <v>4407</v>
      </c>
      <c r="AK537" s="9">
        <v>6.2585220000000001</v>
      </c>
      <c r="AL537" s="9">
        <v>-75.616169999999997</v>
      </c>
      <c r="AM537" s="26">
        <f t="shared" si="9"/>
        <v>0.15931712962962963</v>
      </c>
    </row>
    <row r="538" spans="1:40" ht="15" x14ac:dyDescent="0.25">
      <c r="A538" s="9" t="s">
        <v>4408</v>
      </c>
      <c r="B538" s="9" t="s">
        <v>4409</v>
      </c>
      <c r="C538" s="9" t="s">
        <v>4410</v>
      </c>
      <c r="D538" s="9" t="s">
        <v>4362</v>
      </c>
      <c r="E538" s="9" t="s">
        <v>2619</v>
      </c>
      <c r="F538" s="9" t="s">
        <v>508</v>
      </c>
      <c r="G538" s="9" t="s">
        <v>113</v>
      </c>
      <c r="H538" s="9" t="s">
        <v>114</v>
      </c>
      <c r="I538" s="9" t="s">
        <v>115</v>
      </c>
      <c r="J538" s="9">
        <v>2123</v>
      </c>
      <c r="K538" s="9" t="s">
        <v>4411</v>
      </c>
      <c r="L538" s="9" t="s">
        <v>117</v>
      </c>
      <c r="M538" s="10">
        <v>2.8009259259259259E-3</v>
      </c>
      <c r="N538" s="9" t="s">
        <v>65</v>
      </c>
      <c r="O538" s="9" t="s">
        <v>4412</v>
      </c>
      <c r="P538" s="9" t="s">
        <v>119</v>
      </c>
      <c r="Q538" s="10">
        <v>7.2789351851851855E-2</v>
      </c>
      <c r="R538" s="9" t="s">
        <v>56</v>
      </c>
      <c r="S538" s="10">
        <v>0.1744097222222222</v>
      </c>
      <c r="T538" s="9">
        <v>26.995000000000001</v>
      </c>
      <c r="U538" s="9">
        <v>10.23</v>
      </c>
      <c r="V538" s="10">
        <v>0.10998842592592591</v>
      </c>
      <c r="W538" s="10">
        <v>5.8229166666666672E-2</v>
      </c>
      <c r="X538" s="10">
        <v>0</v>
      </c>
      <c r="Y538" s="9">
        <v>0</v>
      </c>
      <c r="Z538" s="9">
        <v>0</v>
      </c>
      <c r="AA538" s="9">
        <v>0</v>
      </c>
      <c r="AB538" s="9">
        <v>0</v>
      </c>
      <c r="AC538" s="9">
        <v>0</v>
      </c>
      <c r="AD538" s="9">
        <v>0</v>
      </c>
      <c r="AE538" s="9" t="s">
        <v>67</v>
      </c>
      <c r="AF538" s="9" t="s">
        <v>4413</v>
      </c>
      <c r="AG538" s="9" t="s">
        <v>4414</v>
      </c>
      <c r="AH538" s="9">
        <v>6.2503349999999998</v>
      </c>
      <c r="AI538" s="9">
        <v>-75.600363999999999</v>
      </c>
      <c r="AJ538" s="9" t="s">
        <v>4415</v>
      </c>
      <c r="AK538" s="9">
        <v>6.2506919999999999</v>
      </c>
      <c r="AL538" s="9">
        <v>-75.60154</v>
      </c>
      <c r="AM538" s="26">
        <f t="shared" si="9"/>
        <v>7.2789351851851855E-2</v>
      </c>
      <c r="AN538" s="1" t="s">
        <v>4061</v>
      </c>
    </row>
    <row r="539" spans="1:40" ht="15" x14ac:dyDescent="0.25">
      <c r="A539" s="9" t="s">
        <v>4416</v>
      </c>
      <c r="B539" s="9" t="s">
        <v>4417</v>
      </c>
      <c r="C539" s="9" t="s">
        <v>4418</v>
      </c>
      <c r="D539" s="9" t="s">
        <v>4362</v>
      </c>
      <c r="E539" s="9" t="s">
        <v>2619</v>
      </c>
      <c r="F539" s="9" t="s">
        <v>508</v>
      </c>
      <c r="G539" s="9" t="s">
        <v>124</v>
      </c>
      <c r="H539" s="9" t="s">
        <v>125</v>
      </c>
      <c r="I539" s="9" t="s">
        <v>115</v>
      </c>
      <c r="J539" s="9">
        <v>5852</v>
      </c>
      <c r="K539" s="9" t="s">
        <v>4419</v>
      </c>
      <c r="L539" s="9" t="s">
        <v>117</v>
      </c>
      <c r="M539" s="10">
        <v>5.9409722222222218E-2</v>
      </c>
      <c r="N539" s="9" t="s">
        <v>127</v>
      </c>
      <c r="O539" s="9" t="s">
        <v>4420</v>
      </c>
      <c r="P539" s="9" t="s">
        <v>119</v>
      </c>
      <c r="Q539" s="10">
        <v>1.0949074074074069E-2</v>
      </c>
      <c r="R539" s="9" t="s">
        <v>129</v>
      </c>
      <c r="S539" s="10">
        <v>0.32035879629629632</v>
      </c>
      <c r="T539" s="9">
        <v>74.962999999999994</v>
      </c>
      <c r="U539" s="9">
        <v>12.45</v>
      </c>
      <c r="V539" s="10">
        <v>0.25081018518518522</v>
      </c>
      <c r="W539" s="10">
        <v>9.9386574074074072E-2</v>
      </c>
      <c r="X539" s="10">
        <v>1.525462962962963E-2</v>
      </c>
      <c r="Y539" s="9">
        <v>1</v>
      </c>
      <c r="Z539" s="9">
        <v>1</v>
      </c>
      <c r="AA539" s="9">
        <v>0</v>
      </c>
      <c r="AB539" s="9">
        <v>0</v>
      </c>
      <c r="AC539" s="9">
        <v>0</v>
      </c>
      <c r="AD539" s="9">
        <v>0</v>
      </c>
      <c r="AE539" s="9" t="s">
        <v>130</v>
      </c>
      <c r="AF539" s="9" t="s">
        <v>4421</v>
      </c>
      <c r="AG539" s="9" t="s">
        <v>4422</v>
      </c>
      <c r="AH539" s="9">
        <v>6.2254690000000004</v>
      </c>
      <c r="AI539" s="9">
        <v>-75.599356</v>
      </c>
      <c r="AJ539" s="9" t="s">
        <v>4423</v>
      </c>
      <c r="AK539" s="9">
        <v>6.2726179999999996</v>
      </c>
      <c r="AL539" s="9">
        <v>-75.601983000000004</v>
      </c>
      <c r="AM539" s="26">
        <f t="shared" si="9"/>
        <v>0</v>
      </c>
      <c r="AN539" s="1" t="s">
        <v>4061</v>
      </c>
    </row>
    <row r="540" spans="1:40" ht="15" x14ac:dyDescent="0.25">
      <c r="A540" s="9" t="s">
        <v>4424</v>
      </c>
      <c r="B540" s="9" t="s">
        <v>4425</v>
      </c>
      <c r="C540" s="9" t="s">
        <v>4426</v>
      </c>
      <c r="D540" s="9" t="s">
        <v>4362</v>
      </c>
      <c r="E540" s="9" t="s">
        <v>2619</v>
      </c>
      <c r="F540" s="9" t="s">
        <v>508</v>
      </c>
      <c r="G540" s="9" t="s">
        <v>135</v>
      </c>
      <c r="H540" s="9" t="s">
        <v>136</v>
      </c>
      <c r="I540" s="9" t="s">
        <v>115</v>
      </c>
      <c r="J540" s="9">
        <v>1179</v>
      </c>
      <c r="K540" s="9" t="s">
        <v>4427</v>
      </c>
      <c r="L540" s="9" t="s">
        <v>117</v>
      </c>
      <c r="M540" s="10">
        <v>7.526620370370371E-2</v>
      </c>
      <c r="N540" s="9" t="s">
        <v>127</v>
      </c>
      <c r="O540" s="9" t="s">
        <v>4428</v>
      </c>
      <c r="P540" s="9" t="s">
        <v>119</v>
      </c>
      <c r="Q540" s="10">
        <v>2.0023148148148148E-3</v>
      </c>
      <c r="R540" s="9" t="s">
        <v>46</v>
      </c>
      <c r="S540" s="10">
        <v>0.32326388888888891</v>
      </c>
      <c r="T540" s="9">
        <v>37.79</v>
      </c>
      <c r="U540" s="9">
        <v>20.78</v>
      </c>
      <c r="V540" s="10">
        <v>7.5775462962962961E-2</v>
      </c>
      <c r="W540" s="10">
        <v>3.8530092592592588E-2</v>
      </c>
      <c r="X540" s="10">
        <v>0</v>
      </c>
      <c r="Y540" s="9">
        <v>0</v>
      </c>
      <c r="Z540" s="9">
        <v>0</v>
      </c>
      <c r="AA540" s="9">
        <v>0</v>
      </c>
      <c r="AB540" s="9">
        <v>0</v>
      </c>
      <c r="AC540" s="9">
        <v>0</v>
      </c>
      <c r="AD540" s="9">
        <v>3</v>
      </c>
      <c r="AE540" s="9" t="s">
        <v>139</v>
      </c>
      <c r="AF540" s="9" t="s">
        <v>4429</v>
      </c>
      <c r="AG540" s="9" t="s">
        <v>4430</v>
      </c>
      <c r="AH540" s="9">
        <v>6.2257619999999996</v>
      </c>
      <c r="AI540" s="9">
        <v>-75.599109999999996</v>
      </c>
      <c r="AJ540" s="9" t="s">
        <v>4431</v>
      </c>
      <c r="AK540" s="9">
        <v>6.2250120000000004</v>
      </c>
      <c r="AL540" s="9">
        <v>-75.599492999999995</v>
      </c>
      <c r="AM540" s="26">
        <f t="shared" si="9"/>
        <v>0</v>
      </c>
      <c r="AN540" s="1" t="s">
        <v>4061</v>
      </c>
    </row>
    <row r="541" spans="1:40" ht="15" x14ac:dyDescent="0.25">
      <c r="A541" s="9" t="s">
        <v>4432</v>
      </c>
      <c r="B541" s="9" t="s">
        <v>4433</v>
      </c>
      <c r="C541" s="9" t="s">
        <v>4434</v>
      </c>
      <c r="D541" s="9" t="s">
        <v>4362</v>
      </c>
      <c r="E541" s="9" t="s">
        <v>2619</v>
      </c>
      <c r="F541" s="9" t="s">
        <v>508</v>
      </c>
      <c r="G541" s="9" t="s">
        <v>72</v>
      </c>
      <c r="H541" s="9" t="s">
        <v>73</v>
      </c>
      <c r="I541" s="9" t="s">
        <v>115</v>
      </c>
      <c r="J541" s="9">
        <v>2109</v>
      </c>
      <c r="K541" s="9" t="s">
        <v>4435</v>
      </c>
      <c r="L541" s="9" t="s">
        <v>117</v>
      </c>
      <c r="M541" s="10">
        <v>4.1562500000000002E-2</v>
      </c>
      <c r="N541" s="9" t="s">
        <v>127</v>
      </c>
      <c r="O541" s="9" t="s">
        <v>4436</v>
      </c>
      <c r="P541" s="9" t="s">
        <v>119</v>
      </c>
      <c r="Q541" s="10">
        <v>6.1145833333333337E-2</v>
      </c>
      <c r="R541" s="9" t="s">
        <v>56</v>
      </c>
      <c r="S541" s="10">
        <v>0.23041666666666669</v>
      </c>
      <c r="T541" s="9">
        <v>29.806000000000001</v>
      </c>
      <c r="U541" s="9">
        <v>10.25</v>
      </c>
      <c r="V541" s="10">
        <v>0.1211805555555556</v>
      </c>
      <c r="W541" s="10">
        <v>8.0706018518518524E-2</v>
      </c>
      <c r="X541" s="10">
        <v>0</v>
      </c>
      <c r="Y541" s="9">
        <v>0</v>
      </c>
      <c r="Z541" s="9">
        <v>0</v>
      </c>
      <c r="AA541" s="9">
        <v>0</v>
      </c>
      <c r="AB541" s="9">
        <v>0</v>
      </c>
      <c r="AC541" s="9">
        <v>0</v>
      </c>
      <c r="AD541" s="9">
        <v>1</v>
      </c>
      <c r="AE541" s="9" t="s">
        <v>139</v>
      </c>
      <c r="AF541" s="9" t="s">
        <v>4437</v>
      </c>
      <c r="AG541" s="9" t="s">
        <v>4438</v>
      </c>
      <c r="AH541" s="9">
        <v>6.2253780000000001</v>
      </c>
      <c r="AI541" s="9">
        <v>-75.599435</v>
      </c>
      <c r="AJ541" s="9" t="s">
        <v>4439</v>
      </c>
      <c r="AK541" s="9">
        <v>6.2369779999999997</v>
      </c>
      <c r="AL541" s="9">
        <v>-75.558823000000004</v>
      </c>
      <c r="AM541" s="26">
        <f t="shared" si="9"/>
        <v>6.1145833333333337E-2</v>
      </c>
      <c r="AN541" s="1" t="s">
        <v>4061</v>
      </c>
    </row>
    <row r="542" spans="1:40" ht="15" x14ac:dyDescent="0.25">
      <c r="A542" s="9" t="s">
        <v>4440</v>
      </c>
      <c r="B542" s="9" t="s">
        <v>4441</v>
      </c>
      <c r="C542" s="9" t="s">
        <v>4442</v>
      </c>
      <c r="D542" s="9" t="s">
        <v>4362</v>
      </c>
      <c r="E542" s="9" t="s">
        <v>2619</v>
      </c>
      <c r="F542" s="9" t="s">
        <v>508</v>
      </c>
      <c r="G542" s="9" t="s">
        <v>80</v>
      </c>
      <c r="H542" s="9" t="s">
        <v>81</v>
      </c>
      <c r="I542" s="9" t="s">
        <v>115</v>
      </c>
      <c r="J542" s="9">
        <v>5789</v>
      </c>
      <c r="K542" s="9" t="s">
        <v>4443</v>
      </c>
      <c r="L542" s="9" t="s">
        <v>117</v>
      </c>
      <c r="M542" s="10">
        <v>6.564386574074074E-3</v>
      </c>
      <c r="N542" s="9" t="s">
        <v>65</v>
      </c>
      <c r="O542" s="9" t="s">
        <v>4444</v>
      </c>
      <c r="P542" s="9" t="s">
        <v>119</v>
      </c>
      <c r="Q542" s="10">
        <v>5.3287962962962968E-3</v>
      </c>
      <c r="R542" s="9" t="s">
        <v>46</v>
      </c>
      <c r="S542" s="10">
        <v>0.23810681712962961</v>
      </c>
      <c r="T542" s="9">
        <v>48.529000000000003</v>
      </c>
      <c r="U542" s="9">
        <v>23.12</v>
      </c>
      <c r="V542" s="10">
        <v>8.7473287037036968E-2</v>
      </c>
      <c r="W542" s="10">
        <v>2.789581018518519E-2</v>
      </c>
      <c r="X542" s="10">
        <v>0</v>
      </c>
      <c r="Y542" s="9">
        <v>0</v>
      </c>
      <c r="Z542" s="9">
        <v>0</v>
      </c>
      <c r="AA542" s="9">
        <v>0</v>
      </c>
      <c r="AB542" s="9">
        <v>0</v>
      </c>
      <c r="AC542" s="9">
        <v>0</v>
      </c>
      <c r="AD542" s="9">
        <v>7</v>
      </c>
      <c r="AE542" s="9" t="s">
        <v>84</v>
      </c>
      <c r="AF542" s="9" t="s">
        <v>2832</v>
      </c>
      <c r="AG542" s="9" t="s">
        <v>4445</v>
      </c>
      <c r="AH542" s="9">
        <v>6.1904450000000004</v>
      </c>
      <c r="AI542" s="9">
        <v>-75.577248999999995</v>
      </c>
      <c r="AJ542" s="9" t="s">
        <v>4446</v>
      </c>
      <c r="AK542" s="9">
        <v>6.2556419999999999</v>
      </c>
      <c r="AL542" s="9">
        <v>-75.620604</v>
      </c>
      <c r="AM542" s="26">
        <f t="shared" si="9"/>
        <v>0</v>
      </c>
      <c r="AN542" s="1" t="s">
        <v>4061</v>
      </c>
    </row>
    <row r="543" spans="1:40" ht="15" x14ac:dyDescent="0.25">
      <c r="A543" s="9" t="s">
        <v>4447</v>
      </c>
      <c r="B543" s="9" t="s">
        <v>4448</v>
      </c>
      <c r="C543" s="9" t="s">
        <v>4449</v>
      </c>
      <c r="D543" s="9" t="s">
        <v>4362</v>
      </c>
      <c r="E543" s="9" t="s">
        <v>2619</v>
      </c>
      <c r="F543" s="9" t="s">
        <v>508</v>
      </c>
      <c r="G543" s="9" t="s">
        <v>160</v>
      </c>
      <c r="H543" s="9" t="s">
        <v>161</v>
      </c>
      <c r="I543" s="9" t="s">
        <v>115</v>
      </c>
      <c r="J543" s="9">
        <v>15127</v>
      </c>
      <c r="K543" s="9" t="s">
        <v>4450</v>
      </c>
      <c r="L543" s="9" t="s">
        <v>117</v>
      </c>
      <c r="M543" s="10">
        <v>6.2735798611111102E-2</v>
      </c>
      <c r="N543" s="9" t="s">
        <v>127</v>
      </c>
      <c r="O543" s="9" t="s">
        <v>4451</v>
      </c>
      <c r="P543" s="9" t="s">
        <v>119</v>
      </c>
      <c r="Q543" s="10">
        <v>8.884513888888888E-3</v>
      </c>
      <c r="R543" s="9" t="s">
        <v>46</v>
      </c>
      <c r="S543" s="10">
        <v>0.32162031250000001</v>
      </c>
      <c r="T543" s="9">
        <v>90.927999999999997</v>
      </c>
      <c r="U543" s="9">
        <v>17.809999999999999</v>
      </c>
      <c r="V543" s="10">
        <v>0.21276561342592579</v>
      </c>
      <c r="W543" s="10">
        <v>0.1150462847222222</v>
      </c>
      <c r="X543" s="10">
        <v>0</v>
      </c>
      <c r="Y543" s="9">
        <v>0</v>
      </c>
      <c r="Z543" s="9">
        <v>0</v>
      </c>
      <c r="AA543" s="9">
        <v>0</v>
      </c>
      <c r="AB543" s="9">
        <v>0</v>
      </c>
      <c r="AC543" s="9">
        <v>0</v>
      </c>
      <c r="AD543" s="9">
        <v>3</v>
      </c>
      <c r="AE543" s="9" t="s">
        <v>139</v>
      </c>
      <c r="AF543" s="9" t="s">
        <v>4452</v>
      </c>
      <c r="AG543" s="9" t="s">
        <v>4453</v>
      </c>
      <c r="AH543" s="9">
        <v>6.2266300000000001</v>
      </c>
      <c r="AI543" s="9">
        <v>-75.599256999999994</v>
      </c>
      <c r="AJ543" s="9" t="s">
        <v>4454</v>
      </c>
      <c r="AK543" s="9">
        <v>6.2574920000000001</v>
      </c>
      <c r="AL543" s="9">
        <v>-75.583867999999995</v>
      </c>
      <c r="AM543" s="26">
        <f t="shared" si="9"/>
        <v>0</v>
      </c>
      <c r="AN543" s="1" t="s">
        <v>4061</v>
      </c>
    </row>
    <row r="544" spans="1:40" ht="15" x14ac:dyDescent="0.25">
      <c r="A544" s="9" t="s">
        <v>4455</v>
      </c>
      <c r="B544" s="9" t="s">
        <v>4456</v>
      </c>
      <c r="C544" s="9" t="s">
        <v>4457</v>
      </c>
      <c r="D544" s="9" t="s">
        <v>4362</v>
      </c>
      <c r="E544" s="9" t="s">
        <v>2619</v>
      </c>
      <c r="F544" s="9" t="s">
        <v>508</v>
      </c>
      <c r="G544" s="9" t="s">
        <v>97</v>
      </c>
      <c r="H544" s="9" t="s">
        <v>98</v>
      </c>
      <c r="I544" s="9" t="s">
        <v>115</v>
      </c>
      <c r="J544" s="9">
        <v>1859</v>
      </c>
      <c r="K544" s="9" t="s">
        <v>4458</v>
      </c>
      <c r="L544" s="9" t="s">
        <v>117</v>
      </c>
      <c r="M544" s="10">
        <v>4.4120370370370372E-2</v>
      </c>
      <c r="N544" s="9" t="s">
        <v>43</v>
      </c>
      <c r="O544" s="9" t="s">
        <v>4459</v>
      </c>
      <c r="P544" s="9" t="s">
        <v>119</v>
      </c>
      <c r="Q544" s="10">
        <v>1.068287037037037E-2</v>
      </c>
      <c r="R544" s="9" t="s">
        <v>56</v>
      </c>
      <c r="S544" s="10">
        <v>0.19519675925925931</v>
      </c>
      <c r="T544" s="9">
        <v>24.123999999999999</v>
      </c>
      <c r="U544" s="9">
        <v>8.67</v>
      </c>
      <c r="V544" s="10">
        <v>0.1159953703703704</v>
      </c>
      <c r="W544" s="10">
        <v>7.0023148148148154E-2</v>
      </c>
      <c r="X544" s="10">
        <v>0</v>
      </c>
      <c r="Y544" s="9">
        <v>0</v>
      </c>
      <c r="Z544" s="9">
        <v>0</v>
      </c>
      <c r="AA544" s="9">
        <v>0</v>
      </c>
      <c r="AB544" s="9">
        <v>0</v>
      </c>
      <c r="AC544" s="9">
        <v>0</v>
      </c>
      <c r="AD544" s="9">
        <v>0</v>
      </c>
      <c r="AE544" s="9" t="s">
        <v>57</v>
      </c>
      <c r="AF544" s="9" t="s">
        <v>4460</v>
      </c>
      <c r="AG544" s="9" t="s">
        <v>4461</v>
      </c>
      <c r="AH544" s="9">
        <v>6.2227949999999996</v>
      </c>
      <c r="AI544" s="9">
        <v>-75.598664999999997</v>
      </c>
      <c r="AJ544" s="9" t="s">
        <v>4462</v>
      </c>
      <c r="AK544" s="9">
        <v>6.3079090000000004</v>
      </c>
      <c r="AL544" s="9">
        <v>-75.582012000000006</v>
      </c>
      <c r="AM544" s="26">
        <f t="shared" si="9"/>
        <v>5.4803240740740743E-2</v>
      </c>
      <c r="AN544" s="1" t="s">
        <v>4061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1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2026-10-27T18:59:21Z</dcterms:modified>
</cp:coreProperties>
</file>