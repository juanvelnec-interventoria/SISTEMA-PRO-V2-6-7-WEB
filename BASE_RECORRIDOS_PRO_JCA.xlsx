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C71ABAD8-7BC2-4C05-9170-B8D4600A20A8}" xr6:coauthVersionLast="47" xr6:coauthVersionMax="47" xr10:uidLastSave="{00000000-0000-0000-0000-000000000000}"/>
  <bookViews>
    <workbookView xWindow="20370" yWindow="-120" windowWidth="24240" windowHeight="13020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2" r:id="rId8"/>
    <pivotCache cacheId="3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20" i="2" l="1"/>
  <c r="AM321" i="2"/>
  <c r="AM322" i="2"/>
  <c r="AM323" i="2"/>
  <c r="AM324" i="2"/>
  <c r="AM311" i="2"/>
  <c r="AM312" i="2"/>
  <c r="AM313" i="2"/>
  <c r="AM314" i="2"/>
  <c r="AM315" i="2"/>
  <c r="AM316" i="2"/>
  <c r="AM317" i="2"/>
  <c r="AM318" i="2"/>
  <c r="AM319" i="2"/>
  <c r="AM306" i="2"/>
  <c r="AM307" i="2"/>
  <c r="AM308" i="2"/>
  <c r="AM309" i="2"/>
  <c r="AM310" i="2"/>
  <c r="AM305" i="2"/>
  <c r="AM297" i="2"/>
  <c r="AM298" i="2"/>
  <c r="AM299" i="2"/>
  <c r="AM300" i="2"/>
  <c r="AM301" i="2"/>
  <c r="AM302" i="2"/>
  <c r="AM303" i="2"/>
  <c r="AM304" i="2"/>
  <c r="AM292" i="2"/>
  <c r="AM293" i="2"/>
  <c r="AM294" i="2"/>
  <c r="AM295" i="2"/>
  <c r="AM296" i="2"/>
  <c r="AM283" i="2" l="1"/>
  <c r="AM284" i="2"/>
  <c r="AM285" i="2"/>
  <c r="AM286" i="2"/>
  <c r="AM287" i="2"/>
  <c r="AM288" i="2"/>
  <c r="AM289" i="2"/>
  <c r="AM290" i="2"/>
  <c r="AM291" i="2"/>
  <c r="AM278" i="2"/>
  <c r="AM279" i="2"/>
  <c r="AM280" i="2"/>
  <c r="AM281" i="2"/>
  <c r="AM282" i="2"/>
  <c r="AM277" i="2"/>
  <c r="AM270" i="2"/>
  <c r="AM271" i="2"/>
  <c r="AM272" i="2"/>
  <c r="AM273" i="2"/>
  <c r="AM274" i="2"/>
  <c r="AM275" i="2"/>
  <c r="AM276" i="2"/>
  <c r="AM264" i="2" l="1"/>
  <c r="AM265" i="2"/>
  <c r="AM266" i="2"/>
  <c r="AM267" i="2"/>
  <c r="AM268" i="2"/>
  <c r="AM269" i="2"/>
  <c r="AM263" i="2"/>
  <c r="AM254" i="2"/>
  <c r="AM255" i="2"/>
  <c r="AM256" i="2"/>
  <c r="AM257" i="2"/>
  <c r="AM258" i="2"/>
  <c r="AM259" i="2"/>
  <c r="AM260" i="2"/>
  <c r="AM261" i="2"/>
  <c r="AM262" i="2"/>
  <c r="AM250" i="2"/>
  <c r="AM251" i="2"/>
  <c r="AM252" i="2"/>
  <c r="AM253" i="2"/>
  <c r="AM241" i="2"/>
  <c r="AM242" i="2"/>
  <c r="AM243" i="2"/>
  <c r="AM244" i="2"/>
  <c r="AM245" i="2"/>
  <c r="AM246" i="2"/>
  <c r="AM247" i="2"/>
  <c r="AM248" i="2"/>
  <c r="AM249" i="2"/>
  <c r="AM237" i="2"/>
  <c r="AM238" i="2"/>
  <c r="AM239" i="2"/>
  <c r="AM240" i="2"/>
  <c r="AM227" i="2"/>
  <c r="AM228" i="2"/>
  <c r="AM229" i="2"/>
  <c r="AM230" i="2"/>
  <c r="AM231" i="2"/>
  <c r="AM232" i="2"/>
  <c r="AM233" i="2"/>
  <c r="AM234" i="2"/>
  <c r="AM235" i="2"/>
  <c r="AM236" i="2"/>
  <c r="AM226" i="2"/>
  <c r="AM222" i="2"/>
  <c r="AM223" i="2"/>
  <c r="AM224" i="2"/>
  <c r="AM225" i="2"/>
  <c r="AM213" i="2"/>
  <c r="AM214" i="2"/>
  <c r="AM215" i="2"/>
  <c r="AM216" i="2"/>
  <c r="AM217" i="2"/>
  <c r="AM218" i="2"/>
  <c r="AM219" i="2"/>
  <c r="AM220" i="2"/>
  <c r="AM221" i="2"/>
  <c r="AM212" i="2"/>
  <c r="AM208" i="2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<sst xmlns="http://schemas.openxmlformats.org/spreadsheetml/2006/main" count="7116" uniqueCount="2730">
  <si>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</si>
  <si>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</si>
  <si>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</si>
  <si>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</si>
  <si>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</si>
  <si>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</si>
  <si>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</si>
  <si>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</si>
  <si>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</si>
  <si>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</si>
  <si>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</si>
  <si>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</si>
  <si>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</si>
  <si>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</si>
  <si>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</si>
  <si>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</si>
  <si>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</si>
  <si>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</si>
  <si>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</si>
  <si>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</si>
  <si>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</si>
  <si>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</si>
  <si>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</si>
  <si>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</si>
  <si>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</si>
  <si>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</si>
  <si>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</si>
  <si>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</si>
  <si>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</si>
  <si>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</si>
  <si>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</si>
  <si>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</si>
  <si>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</si>
  <si>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</si>
  <si>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</si>
  <si>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</si>
  <si>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</si>
  <si>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</si>
  <si>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</si>
  <si>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</si>
  <si>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</si>
  <si>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</si>
  <si>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</si>
  <si>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</si>
  <si>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</si>
  <si>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</si>
  <si>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</si>
  <si>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</si>
  <si>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</si>
  <si>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</si>
  <si>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</si>
  <si>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</si>
  <si>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</si>
  <si>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</si>
  <si>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</si>
  <si>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</si>
  <si>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</si>
  <si>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</si>
  <si>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</si>
  <si>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</si>
  <si>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</si>
  <si>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</si>
  <si>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</si>
  <si>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</si>
  <si>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</si>
  <si>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</si>
  <si>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</si>
  <si>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</si>
  <si>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</si>
  <si>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</si>
  <si>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</si>
  <si>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</si>
  <si>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</si>
  <si>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</si>
  <si>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</si>
  <si>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</si>
  <si>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</si>
  <si>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</si>
  <si>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</si>
  <si>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</si>
  <si>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</si>
  <si>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</si>
  <si>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</si>
  <si>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</si>
  <si>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</si>
  <si>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</si>
  <si>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</si>
  <si>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</si>
  <si>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</si>
  <si>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</si>
  <si>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</si>
  <si>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</si>
  <si>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</si>
  <si>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</si>
  <si>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</si>
  <si>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</si>
  <si>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</si>
  <si>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</si>
  <si>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</si>
  <si>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</si>
  <si>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</si>
  <si>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</si>
  <si>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</si>
  <si>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</si>
  <si>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</si>
  <si>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</si>
  <si>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</si>
  <si>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</si>
  <si>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</si>
  <si>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</si>
  <si>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</si>
  <si>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</si>
  <si>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</si>
  <si>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</si>
  <si>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</si>
  <si>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</si>
  <si>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</si>
  <si>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</si>
  <si>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</si>
  <si>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</si>
  <si>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</si>
  <si>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</si>
  <si>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</si>
  <si>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</si>
  <si>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</si>
  <si>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</si>
  <si>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</si>
  <si>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</si>
  <si>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</si>
  <si>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</si>
  <si>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</si>
  <si>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</si>
  <si>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</si>
  <si>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</si>
  <si>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</si>
  <si>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</si>
  <si>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</si>
  <si>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</si>
  <si>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</si>
  <si>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</si>
  <si>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</si>
  <si>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</si>
  <si>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</si>
  <si>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</si>
  <si>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</si>
  <si>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</si>
  <si>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</si>
  <si>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</si>
  <si>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</si>
  <si>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</si>
  <si>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</si>
  <si>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</si>
  <si>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</si>
  <si>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</si>
  <si>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</si>
  <si>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</si>
  <si>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</si>
  <si>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</si>
  <si>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</si>
  <si>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</si>
  <si>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</si>
  <si>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</si>
  <si>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</si>
  <si>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</si>
  <si>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</si>
  <si>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</si>
  <si>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</si>
  <si>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</si>
  <si>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</si>
  <si>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</si>
  <si>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</si>
  <si>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</si>
  <si>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</si>
  <si>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</si>
  <si>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</si>
  <si>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</si>
  <si>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</si>
  <si>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</si>
  <si>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</si>
  <si>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</si>
  <si>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</si>
  <si>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</si>
  <si>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</si>
  <si>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</si>
  <si>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</si>
  <si>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</si>
  <si>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</si>
  <si>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</si>
  <si>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</si>
  <si>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</si>
  <si>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</si>
  <si>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</si>
  <si>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</si>
  <si>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</si>
  <si>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</si>
  <si>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</si>
  <si>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</si>
  <si>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</si>
  <si>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</si>
  <si>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</si>
  <si>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</si>
  <si>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</si>
  <si>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</si>
  <si>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</si>
  <si>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</si>
  <si>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</si>
  <si>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</si>
  <si>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</si>
  <si>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</si>
  <si>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</si>
  <si>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</si>
  <si>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</si>
  <si>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</si>
  <si>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</si>
  <si>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</si>
  <si>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</si>
  <si>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</si>
  <si>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</si>
  <si>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</si>
  <si>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</si>
  <si>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</si>
  <si>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</si>
  <si>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</si>
  <si>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</si>
  <si>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</si>
  <si>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</si>
  <si>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</si>
  <si>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</si>
  <si>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</si>
  <si>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</si>
  <si>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</si>
  <si>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</si>
  <si>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</si>
  <si>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</si>
  <si>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</si>
  <si>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</si>
  <si>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</si>
  <si>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</si>
  <si>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</si>
  <si>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</si>
  <si>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</si>
  <si>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</si>
  <si>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</si>
  <si>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</si>
  <si>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</si>
  <si>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</si>
  <si>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</si>
  <si>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</si>
  <si>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</si>
  <si>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</si>
  <si>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</si>
  <si>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</si>
  <si>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</si>
  <si>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</si>
  <si>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</si>
  <si>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</si>
  <si>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</si>
  <si>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</si>
  <si>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</si>
  <si>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</si>
  <si>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</si>
  <si>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</si>
  <si>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</si>
  <si>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</si>
  <si>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</si>
  <si>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</si>
  <si>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</si>
  <si>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</si>
  <si>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</si>
  <si>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</si>
  <si>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</si>
  <si>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</si>
  <si>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</si>
  <si>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</si>
  <si>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</si>
  <si>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</si>
  <si>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</si>
  <si>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</si>
  <si>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</si>
  <si>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</si>
  <si>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</si>
  <si>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</si>
  <si>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</si>
  <si>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</si>
  <si>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</si>
  <si>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</si>
  <si>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</si>
  <si>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</si>
  <si>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</si>
  <si>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</si>
  <si>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</si>
  <si>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</si>
  <si>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</si>
  <si>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</si>
  <si>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</si>
  <si>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</si>
  <si>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</si>
  <si>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</si>
  <si>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</si>
  <si>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</si>
  <si>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</si>
  <si>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</si>
  <si>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</si>
  <si>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</si>
  <si>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</si>
  <si>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</si>
  <si>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</si>
  <si>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</si>
  <si>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</si>
  <si>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</si>
  <si>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</si>
  <si>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</si>
  <si>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</si>
  <si>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</si>
  <si>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</si>
  <si>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</si>
  <si>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</si>
  <si>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</si>
  <si>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</si>
  <si>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</si>
  <si>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</si>
  <si>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</si>
  <si>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</si>
  <si>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</si>
  <si>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</si>
  <si>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</si>
  <si>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</si>
  <si>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</si>
  <si>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</si>
  <si>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</si>
  <si>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</si>
  <si>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</si>
  <si>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</si>
  <si>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</si>
  <si>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</si>
  <si>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</si>
  <si>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</si>
  <si>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</si>
  <si>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</si>
  <si>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</si>
  <si>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</si>
  <si>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</si>
  <si>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</si>
  <si>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</si>
  <si>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</si>
  <si>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</si>
  <si>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</si>
  <si>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</si>
  <si>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</si>
  <si>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</si>
  <si>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</si>
  <si>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</si>
  <si>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</si>
  <si>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</si>
  <si>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</si>
  <si>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</si>
  <si>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</si>
  <si>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</si>
  <si>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</si>
  <si>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</si>
  <si>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</si>
  <si>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</si>
  <si>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</si>
  <si>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</si>
  <si>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</si>
  <si>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</si>
  <si>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</si>
  <si>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</si>
  <si>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</si>
  <si>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</si>
  <si>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</si>
  <si>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</si>
  <si>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</si>
  <si>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</si>
  <si>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</si>
  <si>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</si>
  <si>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</si>
  <si>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</si>
  <si>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</si>
  <si>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</si>
  <si>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</si>
  <si>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</si>
  <si>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</si>
  <si>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</si>
  <si>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</si>
  <si>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</si>
  <si>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</si>
  <si>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</si>
  <si>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</si>
  <si>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</si>
  <si>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</si>
  <si>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</si>
  <si>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</si>
  <si>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</si>
  <si>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</si>
  <si>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</si>
  <si>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</si>
  <si>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</si>
  <si>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</si>
  <si>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</si>
  <si>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</si>
  <si>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</si>
  <si>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</si>
  <si>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</si>
  <si>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</si>
  <si>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</si>
  <si>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</si>
  <si>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</si>
  <si>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</si>
  <si>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</si>
  <si>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</si>
  <si>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</si>
  <si>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</si>
  <si>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</si>
  <si>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</si>
  <si>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</si>
  <si>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</si>
  <si>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</si>
  <si>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</si>
  <si>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</si>
  <si>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</si>
  <si>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</si>
  <si>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</si>
  <si>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</si>
  <si>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</si>
  <si>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</si>
  <si>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</si>
  <si>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</si>
  <si>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</si>
  <si>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</si>
  <si>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</si>
  <si>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</si>
  <si>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</si>
  <si>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</si>
  <si>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</si>
  <si>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</si>
  <si>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</si>
  <si>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</si>
  <si>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</si>
  <si>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</si>
  <si>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</si>
  <si>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</si>
  <si>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</si>
  <si>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</si>
  <si>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</si>
  <si>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</si>
  <si>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</si>
  <si>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</si>
  <si>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</si>
  <si>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</si>
  <si>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</si>
  <si>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</si>
  <si>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</si>
  <si>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</si>
  <si>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</si>
  <si>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</si>
  <si>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</si>
  <si>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</si>
  <si>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</si>
  <si>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</si>
  <si>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</si>
  <si>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</si>
  <si>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</si>
  <si>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</si>
  <si>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</si>
  <si>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</si>
  <si>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</si>
  <si>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</si>
  <si>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</si>
  <si>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</si>
  <si>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</si>
  <si>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</si>
  <si>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</si>
  <si>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</si>
  <si>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</si>
  <si>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</si>
  <si>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</si>
  <si>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</si>
  <si>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</si>
  <si>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</si>
  <si>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</si>
  <si>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</si>
  <si>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</si>
  <si>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</si>
  <si>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</si>
  <si>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</si>
  <si>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</si>
  <si>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</si>
  <si>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</si>
  <si>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</si>
  <si>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</si>
  <si>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</si>
  <si>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</si>
  <si>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</si>
  <si>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</si>
  <si>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</si>
  <si>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</si>
  <si>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</si>
  <si>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</si>
  <si>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</si>
  <si>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</si>
  <si>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</si>
  <si>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</si>
  <si>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</si>
  <si>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</si>
  <si>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</si>
  <si>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</si>
  <si>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</si>
  <si>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</si>
  <si>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</si>
  <si>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</si>
  <si>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</si>
  <si>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</si>
  <si>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</si>
  <si>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</si>
  <si>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</si>
  <si>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</si>
  <si>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</si>
  <si>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</si>
  <si>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</si>
  <si>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</si>
  <si>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</si>
  <si>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</si>
  <si>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</si>
  <si>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</si>
  <si>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</si>
  <si>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</si>
  <si>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</si>
  <si>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</si>
  <si>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</si>
  <si>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</si>
  <si>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</si>
  <si>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</si>
  <si>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</si>
  <si>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</si>
  <si>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</si>
  <si>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</si>
  <si>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</si>
  <si>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</si>
  <si>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</si>
  <si>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</si>
  <si>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</si>
  <si>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</si>
  <si>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</si>
  <si>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</si>
  <si>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</si>
  <si>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</si>
  <si>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</si>
  <si>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</si>
  <si>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</si>
  <si>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</si>
  <si>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</si>
  <si>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</si>
  <si>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</si>
  <si>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</si>
  <si>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</si>
  <si>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</si>
  <si>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</si>
  <si>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</si>
  <si>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</si>
  <si>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</si>
  <si>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</si>
  <si>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</si>
  <si>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</si>
  <si>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</si>
  <si>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</si>
  <si>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</si>
  <si>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</si>
  <si>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</si>
  <si>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</si>
  <si>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</si>
  <si>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</si>
  <si>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</si>
  <si>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</si>
  <si>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</si>
  <si>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</si>
  <si>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</si>
  <si>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</si>
  <si>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</si>
  <si>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</si>
  <si>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</si>
  <si>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</si>
  <si>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</si>
  <si>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</si>
  <si>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</si>
  <si>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</si>
  <si>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</si>
  <si>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</si>
  <si>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</si>
  <si>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</si>
  <si>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</si>
  <si>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</si>
  <si>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</si>
  <si>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</si>
  <si>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</si>
  <si>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</si>
  <si>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</si>
  <si>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</si>
  <si>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</si>
  <si>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</si>
  <si>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</si>
  <si>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</si>
  <si>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</si>
  <si>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</si>
  <si>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</si>
  <si>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</si>
  <si>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</si>
  <si>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</si>
  <si>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</si>
  <si>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</si>
  <si>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</si>
  <si>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</si>
  <si>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</si>
  <si>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</si>
  <si>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</si>
  <si>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</si>
  <si>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</si>
  <si>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</si>
  <si>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</si>
  <si>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</si>
  <si>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</si>
  <si>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</si>
  <si>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</si>
  <si>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</si>
  <si>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</si>
  <si>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</si>
  <si>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</si>
  <si>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</si>
  <si>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</si>
  <si>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</si>
  <si>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</si>
  <si>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</si>
  <si>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</si>
  <si>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</si>
  <si>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</si>
  <si>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</si>
  <si>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</si>
  <si>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</si>
  <si>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</si>
  <si>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</si>
  <si>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</si>
  <si>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</si>
  <si>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</si>
  <si>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</si>
  <si>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</si>
  <si>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</si>
  <si>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</si>
  <si>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</si>
  <si>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</si>
  <si>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</si>
  <si>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</si>
  <si>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</si>
  <si>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</si>
  <si>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</si>
  <si>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</si>
  <si>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</si>
  <si>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</si>
  <si>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</si>
  <si>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</si>
  <si>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</si>
  <si>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</si>
  <si>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</si>
  <si>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</si>
  <si>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</si>
  <si>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</si>
  <si>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</si>
  <si>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</si>
  <si>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</si>
  <si>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</si>
  <si>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</si>
  <si>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</si>
  <si>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</si>
  <si>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</si>
  <si>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</si>
  <si>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</si>
  <si>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</si>
  <si>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</si>
  <si>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</si>
  <si>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</si>
  <si>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</si>
  <si>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</si>
  <si>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</si>
  <si>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</si>
  <si>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</si>
  <si>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</si>
  <si>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</si>
  <si>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</si>
  <si>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</si>
  <si>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</si>
  <si>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</si>
  <si>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</si>
  <si>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</si>
  <si>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</si>
  <si>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</si>
  <si>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</si>
  <si>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</si>
  <si>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</si>
  <si>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</si>
  <si>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</si>
  <si>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</si>
  <si>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</si>
  <si>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</si>
  <si>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</si>
  <si>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</si>
  <si>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</si>
  <si>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</si>
  <si>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</si>
  <si>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</si>
  <si>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</si>
  <si>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</si>
  <si>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</si>
  <si>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</si>
  <si>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</si>
  <si>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</si>
  <si>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</si>
  <si>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</si>
  <si>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</si>
  <si>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</si>
  <si>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</si>
  <si>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</si>
  <si>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</si>
  <si>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</si>
  <si>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</si>
  <si>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</si>
  <si>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</si>
  <si>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</si>
  <si>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</si>
  <si>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</si>
  <si>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</si>
  <si>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</si>
  <si>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</si>
  <si>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</si>
  <si>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</si>
  <si>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</si>
  <si>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</si>
  <si>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</si>
  <si>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</si>
  <si>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</si>
  <si>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</si>
  <si>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</si>
  <si>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</si>
  <si>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</si>
  <si>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</si>
  <si>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</si>
  <si>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</si>
  <si>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</si>
  <si>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</si>
  <si>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</si>
  <si>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</si>
  <si>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</si>
  <si>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</si>
  <si>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</si>
  <si>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</si>
  <si>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</si>
  <si>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</si>
  <si>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</si>
  <si>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</si>
  <si>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</si>
  <si>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</si>
  <si>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</si>
  <si>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</si>
  <si>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</si>
  <si>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</si>
  <si>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</si>
  <si>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</si>
  <si>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</si>
  <si>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</si>
  <si>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</si>
  <si>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</si>
  <si>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</si>
  <si>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</si>
  <si>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</si>
  <si>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</si>
  <si>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</si>
  <si>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</si>
  <si>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</si>
  <si>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</si>
  <si>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</si>
  <si>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</si>
  <si>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</si>
  <si>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</si>
  <si>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</si>
  <si>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</si>
  <si>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</si>
  <si>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</si>
  <si>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</si>
  <si>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</si>
  <si>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</si>
  <si>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</si>
  <si>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</si>
  <si>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</si>
  <si>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</si>
  <si>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</si>
  <si>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</si>
  <si>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</si>
  <si>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</si>
  <si>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</si>
  <si>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</si>
  <si>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</si>
  <si>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</si>
  <si>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</si>
  <si>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</si>
  <si>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</si>
  <si>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</si>
  <si>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</si>
  <si>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</si>
  <si>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</si>
  <si>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</si>
  <si>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</si>
  <si>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</si>
  <si>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</si>
  <si>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</si>
  <si>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</si>
  <si>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</si>
  <si>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</si>
  <si>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</si>
  <si>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</si>
  <si>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</si>
  <si>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</si>
  <si>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</si>
  <si>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</si>
  <si>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</si>
  <si>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</si>
  <si>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</si>
  <si>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</si>
  <si>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</si>
  <si>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</si>
  <si>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</si>
  <si>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</si>
  <si>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</si>
  <si>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</si>
  <si>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</si>
  <si>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</si>
  <si>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</si>
  <si>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</si>
  <si>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</si>
  <si>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</si>
  <si>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</si>
  <si>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</si>
  <si>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</si>
  <si>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</si>
  <si>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</si>
  <si>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</si>
  <si>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</si>
  <si>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</si>
  <si>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</si>
  <si>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</si>
  <si>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</si>
  <si>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</si>
  <si>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</si>
  <si>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</si>
  <si>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</si>
  <si>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</si>
  <si>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</si>
  <si>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</si>
  <si>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</si>
  <si>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</si>
  <si>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</si>
  <si>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</si>
  <si>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</si>
  <si>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</si>
  <si>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</si>
  <si>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</si>
  <si>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</si>
  <si>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</si>
  <si>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</si>
  <si>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</si>
  <si>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</si>
  <si>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</si>
  <si>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</si>
  <si>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</si>
  <si>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</si>
  <si>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</si>
  <si>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</si>
  <si>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</si>
  <si>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</si>
  <si>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</si>
  <si>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</si>
  <si>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</si>
  <si>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</si>
  <si>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</si>
  <si>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</si>
  <si>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</si>
  <si>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</si>
  <si>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</si>
  <si>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</si>
  <si>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</si>
  <si>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</si>
  <si>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</si>
  <si>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</si>
  <si>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</si>
  <si>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</si>
  <si>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</si>
  <si>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</si>
  <si>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</si>
  <si>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</si>
  <si>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</si>
  <si>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</si>
  <si>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</si>
  <si>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</si>
  <si>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</si>
  <si>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</si>
  <si>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</si>
  <si>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</si>
  <si>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</si>
  <si>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</si>
  <si>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</si>
  <si>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</si>
  <si>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</si>
  <si>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</si>
  <si>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</si>
  <si>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</si>
  <si>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</si>
  <si>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</si>
  <si>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</si>
  <si>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</si>
  <si>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</si>
  <si>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</si>
  <si>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</si>
  <si>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</si>
  <si>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</si>
  <si>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</si>
  <si>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</si>
  <si>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</si>
  <si>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</si>
  <si>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</si>
  <si>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</si>
  <si>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</si>
  <si>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</si>
  <si>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</si>
  <si>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</si>
  <si>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</si>
  <si>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</si>
  <si>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</si>
  <si>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</si>
  <si>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</si>
  <si>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</si>
  <si>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</si>
  <si>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</si>
  <si>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</si>
  <si>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</si>
  <si>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</si>
  <si>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</si>
  <si>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</si>
  <si>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</si>
  <si>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</si>
  <si>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</si>
  <si>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</si>
  <si>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</si>
  <si>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</si>
  <si>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</si>
  <si>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</si>
  <si>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</si>
  <si>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</si>
  <si>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</si>
  <si>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</si>
  <si>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</si>
  <si>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</si>
  <si>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</si>
  <si>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</si>
  <si>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</si>
  <si>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</si>
  <si>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</si>
  <si>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</si>
  <si>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</si>
  <si>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</si>
  <si>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</si>
  <si>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</si>
  <si>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</si>
  <si>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</si>
  <si>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</si>
  <si>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</si>
  <si>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</si>
  <si>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</si>
  <si>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</si>
  <si>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</si>
  <si>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</si>
  <si>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</si>
  <si>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</si>
  <si>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</si>
  <si>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</si>
  <si>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</si>
  <si>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</si>
  <si>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</si>
  <si>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</si>
  <si>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</si>
  <si>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</si>
  <si>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</si>
  <si>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</si>
  <si>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</si>
  <si>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</si>
  <si>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</si>
  <si>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</si>
  <si>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</si>
  <si>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</si>
  <si>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</si>
  <si>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</si>
  <si>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</si>
  <si>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</si>
  <si>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</si>
  <si>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</si>
  <si>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</si>
  <si>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</si>
  <si>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</si>
  <si>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</si>
  <si>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</si>
  <si>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</si>
  <si>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</si>
  <si>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</si>
  <si>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</si>
  <si>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</si>
  <si>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</si>
  <si>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</si>
  <si>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</si>
  <si>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</si>
  <si>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</si>
  <si>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</si>
  <si>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</si>
  <si>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</si>
  <si>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</si>
  <si>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</si>
  <si>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</si>
  <si>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</si>
  <si>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</si>
  <si>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</si>
  <si>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</si>
  <si>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</si>
  <si>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</si>
  <si>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</si>
  <si>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</si>
  <si>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</si>
  <si>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</si>
  <si>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</si>
  <si>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</si>
  <si>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</si>
  <si>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</si>
  <si>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</si>
  <si>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</si>
  <si>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</si>
  <si>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</si>
  <si>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</si>
  <si>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</si>
  <si>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</si>
  <si>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</si>
  <si>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</si>
  <si>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</si>
  <si>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</si>
  <si>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</si>
  <si>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</si>
  <si>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</si>
  <si>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</si>
  <si>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</si>
  <si>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</si>
  <si>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</si>
  <si>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</si>
  <si>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</si>
  <si>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</si>
  <si>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</si>
  <si>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</si>
  <si>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</si>
  <si>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</si>
  <si>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</si>
  <si>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</si>
  <si>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</si>
  <si>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</si>
  <si>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</si>
  <si>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</si>
  <si>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</si>
  <si>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</si>
  <si>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</si>
  <si>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</si>
  <si>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</si>
  <si>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</si>
  <si>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</si>
  <si>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</si>
  <si>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</si>
  <si>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</si>
  <si>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</si>
  <si>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</si>
  <si>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</si>
  <si>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</si>
  <si>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</si>
  <si>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</si>
  <si>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</si>
  <si>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</si>
  <si>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</si>
  <si>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</si>
  <si>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</si>
  <si>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</si>
  <si>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</si>
  <si>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</si>
  <si>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</si>
  <si>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</si>
  <si>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</si>
  <si>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</si>
  <si>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</si>
  <si>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</si>
  <si>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</si>
  <si>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</si>
  <si>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</si>
  <si>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</si>
  <si>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</si>
  <si>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</si>
  <si>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</si>
  <si>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</si>
  <si>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</si>
  <si>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</si>
  <si>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</si>
  <si>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</si>
  <si>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</si>
  <si>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</si>
  <si>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</si>
  <si>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</si>
  <si>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</si>
  <si>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</si>
  <si>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</si>
  <si>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</si>
  <si>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</si>
  <si>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</si>
  <si>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</si>
  <si>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</si>
  <si>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</si>
  <si>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</si>
  <si>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</si>
  <si>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</si>
  <si>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</si>
  <si>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</si>
  <si>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</si>
  <si>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</si>
  <si>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</si>
  <si>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</si>
  <si>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</si>
  <si>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</si>
  <si>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</si>
  <si>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</si>
  <si>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</si>
  <si>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</si>
  <si>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</si>
  <si>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</si>
  <si>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</si>
  <si>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</si>
  <si>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</si>
  <si>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</si>
  <si>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</si>
  <si>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</si>
  <si>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</si>
  <si>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</si>
  <si>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</si>
  <si>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</si>
  <si>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</si>
  <si>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</si>
  <si>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</si>
  <si>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</si>
  <si>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</si>
  <si>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</si>
  <si>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</si>
  <si>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</si>
  <si>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</si>
  <si>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</si>
  <si>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</si>
  <si>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</si>
  <si>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</si>
  <si>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</si>
  <si>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</si>
  <si>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</si>
  <si>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</si>
  <si>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</si>
  <si>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</si>
  <si>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</si>
  <si>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</si>
  <si>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</si>
  <si>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</si>
  <si>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</si>
  <si>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</si>
  <si>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</si>
  <si>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</si>
  <si>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</si>
  <si>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</si>
  <si>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</si>
  <si>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</si>
  <si>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</si>
  <si>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</si>
  <si>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</si>
  <si>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</si>
  <si>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</si>
  <si>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</si>
  <si>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</si>
  <si>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</si>
  <si>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</si>
  <si>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</si>
  <si>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</si>
  <si>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</si>
  <si>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</si>
  <si>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</si>
  <si>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</si>
  <si>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</si>
  <si>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</si>
  <si>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</si>
  <si>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</si>
  <si>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</si>
  <si>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</si>
  <si>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</si>
  <si>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</si>
  <si>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</si>
  <si>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</si>
  <si>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</si>
  <si>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</si>
  <si>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</si>
  <si>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</si>
  <si>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</si>
  <si>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</si>
  <si>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</si>
  <si>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</si>
  <si>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</si>
  <si>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</si>
  <si>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</si>
  <si>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</si>
  <si>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</si>
  <si>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</si>
  <si>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</si>
  <si>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</si>
  <si>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</si>
  <si>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</si>
  <si>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</si>
  <si>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</si>
  <si>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</si>
  <si>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</si>
  <si>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</si>
  <si>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</si>
  <si>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</si>
  <si>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</si>
  <si>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</si>
  <si>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</si>
  <si>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</si>
  <si>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</si>
  <si>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</si>
  <si>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</si>
  <si>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</si>
  <si>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</si>
  <si>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</si>
  <si>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</si>
  <si>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</si>
  <si>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</si>
  <si>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</si>
  <si>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</si>
  <si>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</si>
  <si>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</si>
  <si>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</si>
  <si>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</si>
  <si>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</si>
  <si>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</si>
  <si>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</si>
  <si>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</si>
  <si>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</si>
  <si>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</si>
  <si>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</si>
  <si>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</si>
  <si>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</si>
  <si>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</si>
  <si>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</si>
  <si>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</si>
  <si>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</si>
  <si>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</si>
  <si>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</si>
  <si>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</si>
  <si>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</si>
  <si>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</si>
  <si>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</si>
  <si>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</si>
  <si>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</si>
  <si>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</si>
  <si>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</si>
  <si>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</si>
  <si>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</si>
  <si>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</si>
  <si>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</si>
  <si>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</si>
  <si>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</si>
  <si>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</si>
  <si>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</si>
  <si>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</si>
  <si>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</si>
  <si>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</si>
  <si>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</si>
  <si>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</si>
  <si>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</si>
  <si>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</si>
  <si>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</si>
  <si>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</si>
  <si>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</si>
  <si>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</si>
  <si>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</si>
  <si>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</si>
  <si>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</si>
  <si>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</si>
  <si>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</si>
  <si>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</si>
  <si>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</si>
  <si>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</si>
  <si>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</si>
  <si>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</si>
  <si>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</si>
  <si>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</si>
  <si>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</si>
  <si>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</si>
  <si>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</si>
  <si>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</si>
  <si>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</si>
  <si>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</si>
  <si>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</si>
  <si>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</si>
  <si>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</si>
  <si>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</si>
  <si>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</si>
  <si>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</si>
  <si>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</si>
  <si>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</si>
  <si>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</si>
  <si>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</si>
  <si>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</si>
  <si>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</si>
  <si>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</si>
  <si>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</si>
  <si>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</si>
  <si>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</si>
  <si>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</si>
  <si>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</si>
  <si>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</si>
  <si>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</si>
  <si>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</si>
  <si>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</si>
  <si>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</si>
  <si>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</si>
  <si>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</si>
  <si>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</si>
  <si>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</si>
  <si>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</si>
  <si>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</si>
  <si>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</si>
  <si>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</si>
  <si>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</si>
  <si>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</si>
  <si>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</si>
  <si>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</si>
  <si>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</si>
  <si>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</si>
  <si>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</si>
  <si>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</si>
  <si>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</si>
  <si>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</si>
  <si>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</si>
  <si>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</si>
  <si>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</si>
  <si>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</si>
  <si>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</si>
  <si>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</si>
  <si>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</si>
  <si>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</si>
  <si>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</si>
  <si>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</si>
  <si>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</si>
  <si>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</si>
  <si>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</si>
  <si>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</si>
  <si>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</si>
  <si>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</si>
  <si>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</si>
  <si>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</si>
  <si>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</si>
  <si>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</si>
  <si>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</si>
  <si>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</si>
  <si>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</si>
  <si>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</si>
  <si>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</si>
  <si>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</si>
  <si>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</si>
  <si>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</si>
  <si>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</si>
  <si>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</si>
  <si>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</si>
  <si>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</si>
  <si>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</si>
  <si>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</si>
  <si>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</si>
  <si>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</si>
  <si>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</si>
  <si>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</si>
  <si>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</si>
  <si>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</si>
  <si>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</si>
  <si>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</si>
  <si>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</si>
  <si>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</si>
  <si>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</si>
  <si>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</si>
  <si>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</si>
  <si>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</si>
  <si>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</si>
  <si>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</si>
  <si>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</si>
  <si>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</si>
  <si>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</si>
  <si>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</si>
  <si>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</si>
  <si>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</si>
  <si>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</si>
  <si>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</si>
  <si>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</si>
  <si>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</si>
  <si>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</si>
  <si>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</si>
  <si>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</si>
  <si>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</si>
  <si>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</si>
  <si>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</si>
  <si>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</si>
  <si>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</si>
  <si>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</si>
  <si>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</si>
  <si>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</si>
  <si>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</si>
  <si>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</si>
  <si>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</si>
  <si>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</si>
  <si>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</si>
  <si>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</si>
  <si>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</si>
  <si>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</si>
  <si>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</si>
  <si>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</si>
  <si>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</si>
  <si>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</si>
  <si>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</si>
  <si>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</si>
  <si>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</si>
  <si>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</si>
  <si>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</si>
  <si>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</si>
  <si>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</si>
  <si>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</si>
  <si>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</si>
  <si>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</si>
  <si>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</si>
  <si>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</si>
  <si>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</si>
  <si>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</si>
  <si>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</si>
  <si>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</si>
  <si>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</si>
  <si>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</si>
  <si>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</si>
  <si>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</si>
  <si>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</si>
  <si>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</si>
  <si>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</si>
  <si>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</si>
  <si>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</si>
  <si>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</si>
  <si>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</si>
  <si>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</si>
  <si>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</si>
  <si>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</si>
  <si>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</si>
  <si>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</si>
  <si>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</si>
  <si>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</si>
  <si>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</si>
  <si>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</si>
  <si>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</si>
  <si>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</si>
  <si>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</si>
  <si>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</si>
  <si>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</si>
  <si>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</si>
  <si>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</si>
  <si>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</si>
  <si>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</si>
  <si>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</si>
  <si>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</si>
  <si>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</si>
  <si>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</si>
  <si>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</si>
  <si>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</si>
  <si>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</si>
  <si>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</si>
  <si>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</si>
  <si>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</si>
  <si>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</si>
  <si>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</si>
  <si>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</si>
  <si>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</si>
  <si>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</si>
  <si>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</si>
  <si>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</si>
  <si>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</si>
  <si>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</si>
  <si>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</si>
  <si>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</si>
  <si>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</si>
  <si>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</si>
  <si>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</si>
  <si>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</si>
  <si>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</si>
  <si>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</si>
  <si>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</si>
  <si>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</si>
  <si>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</si>
  <si>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</si>
  <si>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</si>
  <si>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</si>
  <si>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</si>
  <si>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</si>
  <si>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</si>
  <si>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</si>
  <si>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</si>
  <si>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</si>
  <si>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</si>
  <si>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</si>
  <si>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</si>
  <si>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</si>
  <si>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</si>
  <si>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</si>
  <si>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</si>
  <si>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</si>
  <si>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</si>
  <si>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</si>
  <si>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</si>
  <si>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</si>
  <si>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</si>
  <si>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</si>
  <si>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</si>
  <si>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</si>
  <si>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</si>
  <si>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</si>
  <si>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</si>
  <si>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</si>
  <si>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</si>
  <si>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</si>
  <si>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</si>
  <si>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</si>
  <si>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</si>
  <si>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</si>
  <si>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</si>
  <si>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</si>
  <si>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</si>
  <si>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</si>
  <si>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</si>
  <si>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</si>
  <si>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</si>
  <si>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</si>
  <si>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</si>
  <si>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</si>
  <si>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</si>
  <si>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</si>
  <si>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</si>
  <si>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</si>
  <si>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</si>
  <si>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</si>
  <si>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</si>
  <si>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</si>
  <si>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</si>
  <si>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</si>
  <si>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</si>
  <si>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</si>
  <si>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</si>
  <si>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</si>
  <si>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</si>
  <si>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</si>
  <si>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</si>
  <si>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</si>
  <si>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</si>
  <si>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</si>
  <si>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</si>
  <si>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</si>
  <si>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</si>
  <si>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</si>
  <si>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</si>
  <si>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</si>
  <si>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</si>
  <si>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</si>
  <si>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</si>
  <si>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</si>
  <si>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</si>
  <si>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</si>
  <si>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</si>
  <si>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</si>
  <si>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</si>
  <si>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</si>
  <si>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</si>
  <si>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</si>
  <si>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</si>
  <si>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</si>
  <si>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</si>
  <si>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</si>
  <si>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</si>
  <si>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</si>
  <si>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</si>
  <si>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</si>
  <si>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</si>
  <si>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</si>
  <si>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</si>
  <si>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</si>
  <si>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</si>
  <si>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</si>
  <si>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</si>
  <si>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</si>
  <si>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</si>
  <si>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</si>
  <si>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</si>
  <si>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</si>
  <si>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</si>
  <si>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</si>
  <si>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</si>
  <si>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</si>
  <si>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</si>
  <si>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</si>
  <si>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</si>
  <si>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</si>
  <si>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</si>
  <si>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</si>
  <si>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</si>
  <si>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</si>
  <si>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</si>
  <si>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</si>
  <si>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</si>
  <si>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</si>
  <si>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</si>
  <si>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</si>
  <si>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</si>
  <si>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</si>
  <si>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</si>
  <si>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</si>
  <si>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</si>
  <si>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</si>
  <si>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</si>
  <si>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</si>
  <si>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</si>
  <si>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</si>
  <si>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</si>
  <si>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</si>
  <si>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</si>
  <si>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</si>
  <si>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</si>
  <si>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</si>
  <si>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</si>
  <si>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</si>
  <si>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</si>
  <si>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</si>
  <si>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</si>
  <si>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</si>
  <si>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</si>
  <si>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</si>
  <si>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</si>
  <si>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</si>
  <si>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</si>
  <si>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</si>
  <si>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</si>
  <si>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</si>
  <si>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</si>
  <si>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</si>
  <si>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</si>
  <si>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</si>
  <si>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</si>
  <si>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</si>
  <si>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</si>
  <si>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</si>
  <si>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</si>
  <si>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</si>
  <si>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</si>
  <si>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</si>
  <si>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</si>
  <si>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</si>
  <si>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</si>
  <si>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</si>
  <si>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</si>
  <si>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</si>
  <si>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</si>
  <si>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</si>
  <si>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</si>
  <si>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</si>
  <si>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</si>
  <si>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</si>
  <si>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</si>
  <si>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</si>
  <si>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</si>
  <si>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</si>
  <si>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</si>
  <si>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</si>
  <si>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</si>
  <si>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</si>
  <si>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</si>
  <si>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</si>
  <si>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</si>
  <si>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</si>
  <si>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</si>
  <si>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</si>
  <si>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</si>
  <si>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</si>
  <si>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</si>
  <si>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</si>
  <si>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</si>
  <si>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</si>
  <si>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</si>
  <si>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</si>
  <si>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</si>
  <si>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</si>
  <si>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</si>
  <si>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</si>
  <si>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</si>
  <si>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</si>
  <si>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</si>
  <si>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</si>
  <si>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</si>
  <si>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</si>
  <si>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</si>
  <si>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</si>
  <si>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</si>
  <si>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</si>
  <si>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</si>
  <si>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</si>
  <si>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</si>
  <si>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</si>
  <si>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</si>
  <si>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</si>
  <si>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</si>
  <si>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</si>
  <si>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</si>
  <si>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</si>
  <si>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</si>
  <si>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</si>
  <si>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</si>
  <si>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</si>
  <si>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</si>
  <si>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</si>
  <si>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</si>
  <si>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</si>
  <si>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</si>
  <si>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</si>
  <si>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</si>
  <si>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</si>
  <si>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</si>
  <si>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</si>
  <si>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</si>
  <si>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</si>
  <si>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</si>
  <si>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</si>
  <si>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</si>
  <si>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</si>
  <si>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</si>
  <si>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</si>
  <si>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</si>
  <si>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</si>
  <si>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</si>
  <si>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</si>
  <si>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</si>
  <si>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</si>
  <si>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</si>
  <si>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</si>
  <si>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</si>
  <si>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</si>
  <si>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</si>
  <si>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</si>
  <si>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</si>
  <si>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</si>
  <si>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</si>
  <si>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</si>
  <si>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</si>
  <si>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</si>
  <si>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</si>
  <si>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</si>
  <si>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</si>
  <si>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</si>
  <si>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</si>
  <si>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</si>
  <si>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</si>
  <si>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</si>
  <si>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</si>
  <si>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</si>
  <si>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</si>
  <si>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</si>
  <si>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</si>
  <si>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</si>
  <si>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</si>
  <si>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</si>
  <si>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</si>
  <si>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</si>
  <si>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</si>
  <si>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</si>
  <si>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</si>
  <si>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</si>
  <si>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</si>
  <si>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</si>
  <si>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</si>
  <si>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</si>
  <si>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</si>
  <si>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</si>
  <si>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</si>
  <si>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</si>
  <si>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</si>
  <si>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</si>
  <si>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</si>
  <si>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</si>
  <si>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</si>
  <si>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</si>
  <si>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</si>
  <si>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</si>
  <si>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</si>
  <si>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</si>
  <si>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</si>
  <si>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</si>
  <si>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</si>
  <si>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</si>
  <si>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</si>
  <si>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</si>
  <si>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</si>
  <si>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</si>
  <si>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</si>
  <si>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</si>
  <si>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</si>
  <si>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</si>
  <si>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</si>
  <si>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</si>
  <si>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</si>
  <si>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</si>
  <si>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</si>
  <si>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</si>
  <si>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</si>
  <si>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</si>
  <si>
    <t>74495a6fa19689de</t>
  </si>
  <si>
    <t>21_09_2026_IQ_Noct.gpx</t>
  </si>
  <si>
    <t>74495a6fa19689dec156654a51031c211e6db1b376f23ddef8a0e02cd742a84e</t>
  </si>
  <si>
    <t>21/09/2026 16:52:55</t>
  </si>
  <si>
    <t>21/09/2026 23:52:10</t>
  </si>
  <si>
    <t>Inicio GPS anterior al horario: 01:07:05 antes de las 18:00.; Fin GPS dentro de la tolerancia del horario programado.; 4 hueco(s) GPS &gt;= 10 min.</t>
  </si>
  <si>
    <t>6.307972, -75.566957</t>
  </si>
  <si>
    <t>2a5d12d522d0ec56</t>
  </si>
  <si>
    <t>22_09_2026_AO_Diur.gpx</t>
  </si>
  <si>
    <t>2a5d12d522d0ec56261ab7d8d6b1630a43e635bab73594f1404ba06b34c31210</t>
  </si>
  <si>
    <t>22/09/2026</t>
  </si>
  <si>
    <t>22/09/2026 08:59:19</t>
  </si>
  <si>
    <t>22/09/2026 15:52:59</t>
  </si>
  <si>
    <t>Inicio GPS tardío: 00:29:20 después de las 08:30.; Fin GPS anticipado: 00:37:01 antes de las 16:30.; 4 hueco(s) GPS &gt;= 10 min.</t>
  </si>
  <si>
    <t>6.202817, -75.600998</t>
  </si>
  <si>
    <t>6.221707, -75.593844</t>
  </si>
  <si>
    <t>7dc74d5317f3bd9f</t>
  </si>
  <si>
    <t>22_09_2026_AR_Diur.gpx</t>
  </si>
  <si>
    <t>7dc74d5317f3bd9fe1c3149f518fceb8b65009e52b7a0f0f33c11d75a47426b8</t>
  </si>
  <si>
    <t>22/09/2026 08:02:58</t>
  </si>
  <si>
    <t>22/09/2026 16:27:39</t>
  </si>
  <si>
    <t>Inicio GPS anterior al horario: 00:27:02 antes de las 08:30.; Fin GPS dentro de la tolerancia del horario programado.; 2 hueco(s) GPS &gt;= 10 min.</t>
  </si>
  <si>
    <t>6.225834, -75.599425</t>
  </si>
  <si>
    <t>6.243712, -75.598613</t>
  </si>
  <si>
    <t>70230eb672e9cc1f</t>
  </si>
  <si>
    <t>22_09_2026_DR_Diur.gpx</t>
  </si>
  <si>
    <t>70230eb672e9cc1f3460be4ad96f5705a18da9ce7ecdad2e58586d5e223e77af</t>
  </si>
  <si>
    <t>22/09/2026 08:32:25</t>
  </si>
  <si>
    <t>22/09/2026 16:42:18</t>
  </si>
  <si>
    <t>6.235689, -75.602202</t>
  </si>
  <si>
    <t>6.256139, -75.598315</t>
  </si>
  <si>
    <t>98c040a5bcec5b7b</t>
  </si>
  <si>
    <t>22_09_2026_HC_Diur.gpx</t>
  </si>
  <si>
    <t>98c040a5bcec5b7bf78e262a0f96c39560ec3f7438dae6d9eda28651eefdd49d</t>
  </si>
  <si>
    <t>22/09/2026 08:22:01</t>
  </si>
  <si>
    <t>22/09/2026 14:08:55</t>
  </si>
  <si>
    <t>Inicio GPS dentro de la tolerancia del horario programado.; Fin GPS anticipado: 02:21:05 antes de las 16:30.; 1 hueco(s) GPS &gt;= 10 min.</t>
  </si>
  <si>
    <t>6.225723, -75.599263</t>
  </si>
  <si>
    <t>6.259351, -75.597240</t>
  </si>
  <si>
    <t>244c815a07a75689</t>
  </si>
  <si>
    <t>22_09_2026_JA_Diur.gpx</t>
  </si>
  <si>
    <t>244c815a07a75689811bc095a5e4a5678d913ccb5415086f04a495333900a1b9</t>
  </si>
  <si>
    <t>22/09/2026 08:33:40</t>
  </si>
  <si>
    <t>22/09/2026 13:22:19</t>
  </si>
  <si>
    <t>Inicio GPS dentro de la tolerancia del horario programado.; Fin GPS anticipado: 03:07:41 antes de las 16:30.</t>
  </si>
  <si>
    <t>6.225658, -75.599198</t>
  </si>
  <si>
    <t>6.236572, -75.558755</t>
  </si>
  <si>
    <t>6c10f9a23867b808</t>
  </si>
  <si>
    <t>22_09_2026_JO_Diur.gpx</t>
  </si>
  <si>
    <t>6c10f9a23867b80804f0e0d3026cbd2377a4e84295aabb81f604aef45752b27f</t>
  </si>
  <si>
    <t>22/09/2026 08:20:47</t>
  </si>
  <si>
    <t>22/09/2026 16:34:54</t>
  </si>
  <si>
    <t>Inicio GPS dentro de la tolerancia del horario programado.; Fin GPS dentro de la tolerancia del horario programado.; 14 hueco(s) GPS &gt;= 10 min.</t>
  </si>
  <si>
    <t>6.225457, -75.599381</t>
  </si>
  <si>
    <t>6.259262, -75.620933</t>
  </si>
  <si>
    <t>f27b71b164cba290</t>
  </si>
  <si>
    <t>22_09_2026_JZ_Diur.gpx</t>
  </si>
  <si>
    <t>f27b71b164cba290e70f9cddfe830ad09af83e603900c2951d4a153691fc0b60</t>
  </si>
  <si>
    <t>22/09/2026 08:30:53</t>
  </si>
  <si>
    <t>22/09/2026 16:32:51</t>
  </si>
  <si>
    <t>6.226507, -75.599345</t>
  </si>
  <si>
    <t>6.279424, -75.569649</t>
  </si>
  <si>
    <t>0b975ab9cf7f549f</t>
  </si>
  <si>
    <t>22_09_2026_SJ_Diur.gpx</t>
  </si>
  <si>
    <t>0b975ab9cf7f549facbafc790c2cc7d87714627553ac9528f465dd26e9525b18</t>
  </si>
  <si>
    <t>22/09/2026 08:22:52</t>
  </si>
  <si>
    <t>22/09/2026 16:24:55</t>
  </si>
  <si>
    <t>6.225703, -75.599447</t>
  </si>
  <si>
    <t>6.308651, -75.580760</t>
  </si>
  <si>
    <t>08614fea07320d08</t>
  </si>
  <si>
    <t>22_09_2026_YL_Diur.gpx</t>
  </si>
  <si>
    <t>08614fea07320d08084c2296fd70d2e13d8b0c1f17fdd4872e33583594595dbf</t>
  </si>
  <si>
    <t>22/09/2026 08:32:21</t>
  </si>
  <si>
    <t>22/09/2026 16:33:25</t>
  </si>
  <si>
    <t>6.225757, -75.599180</t>
  </si>
  <si>
    <t>6.258719, -75.616753</t>
  </si>
  <si>
    <t>22e3cf1e69577752</t>
  </si>
  <si>
    <t>22_09_2026_IQ_Noct.gpx</t>
  </si>
  <si>
    <t>22e3cf1e6957775221afa64285023da562984dae936caa954ee47dc6fc339b1e</t>
  </si>
  <si>
    <t>22/09/2026 16:26:00</t>
  </si>
  <si>
    <t>22/09/2026 23:44:29</t>
  </si>
  <si>
    <t>Inicio GPS anterior al horario: 01:34:00 antes de las 18:00.; Fin GPS anticipado: 00:15:31 antes de las 00:00.; 3 hueco(s) GPS &gt;= 10 min.</t>
  </si>
  <si>
    <t>6.225582, -75.599125</t>
  </si>
  <si>
    <t>6.243778, -75.556727</t>
  </si>
  <si>
    <t>030c093ed850598e</t>
  </si>
  <si>
    <t>22_09_2026_JHP_Noct.gpx</t>
  </si>
  <si>
    <t>030c093ed850598ec0b41fe7b3c85401960f95f2dbbed6b59963263368016517</t>
  </si>
  <si>
    <t>22/09/2026 17:21:13</t>
  </si>
  <si>
    <t>23/09/2026 00:01:55</t>
  </si>
  <si>
    <t>Inicio GPS anterior al horario: 00:38:47 antes de las 18:00.; Fin GPS dentro de la tolerancia del horario programado.</t>
  </si>
  <si>
    <t>6.226689, -75.599312</t>
  </si>
  <si>
    <t>6.290541, -75.546397</t>
  </si>
  <si>
    <t>6c6a01bf19af2e78</t>
  </si>
  <si>
    <t>22_09_2026_JP_Noct.gpx</t>
  </si>
  <si>
    <t>6c6a01bf19af2e78e9bcfc6cc317e47b2a3f8fca1ba9f4a003178fda7d114836</t>
  </si>
  <si>
    <t>22/09/2026 17:43:40</t>
  </si>
  <si>
    <t>22/09/2026 22:07:06</t>
  </si>
  <si>
    <t>Inicio GPS anterior al horario: 00:16:20 antes de las 18:00.; Fin GPS anticipado: 01:52:54 antes de las 00:00.</t>
  </si>
  <si>
    <t>6.226945, -75.599697</t>
  </si>
  <si>
    <t>6.251832, -75.551803</t>
  </si>
  <si>
    <t>e2ed9061be63926a</t>
  </si>
  <si>
    <t>e2ed9061be63926a391cd48dc7c044e90a74ac21cbda166b2d4e8ac09b45c814</t>
  </si>
  <si>
    <t>22/09/2026 17:01:15</t>
  </si>
  <si>
    <t>22/09/2026 23:57:14</t>
  </si>
  <si>
    <t>6.226620, -75.598615</t>
  </si>
  <si>
    <t>6.252440, -75.582687</t>
  </si>
  <si>
    <t>43299031c0ccff50</t>
  </si>
  <si>
    <t>22_09_2026_DV_Noct.gpx</t>
  </si>
  <si>
    <t>43299031c0ccff50294b6f975c848301f36803586ffe271406e537e2a79cdfa0</t>
  </si>
  <si>
    <t>22/09/2026 16:55:24</t>
  </si>
  <si>
    <t>23/09/2026 00:21:54</t>
  </si>
  <si>
    <t>Inicio GPS anterior al horario: 01:04:36 antes de las 18:00.; Fin GPS posterior: 00:21:54 después de las 00:00.</t>
  </si>
  <si>
    <t>6.263043, -75.595582</t>
  </si>
  <si>
    <t>6.272825, -75.602050</t>
  </si>
  <si>
    <t>22_09_2026_LA_Noct.gpx</t>
  </si>
  <si>
    <t>Inicio GPS anterior al horario: 00:58:45 antes de las 18:00.; Fin GPS dentro de la tolerancia del horario programado.; 3 hueco(s) GPS &gt;= 10 min.</t>
  </si>
  <si>
    <t>27bf9ccc57f408d3</t>
  </si>
  <si>
    <t>23_09_2026_AO_Diur.gpx</t>
  </si>
  <si>
    <t>27bf9ccc57f408d3a1e58989de7178cb85dd167049fa727b70aa3a0879a845cb</t>
  </si>
  <si>
    <t>23/09/2026</t>
  </si>
  <si>
    <t>23/09/2026 09:17:02</t>
  </si>
  <si>
    <t>23/09/2026 17:09:42</t>
  </si>
  <si>
    <t>Inicio GPS tardío: 00:47:03 después de las 08:30.; Fin GPS posterior: 00:39:43 después de las 16:30.; 4 hueco(s) GPS &gt;= 10 min.</t>
  </si>
  <si>
    <t>6.203335, -75.600755</t>
  </si>
  <si>
    <t>6.233316, -75.603455</t>
  </si>
  <si>
    <t>7a91edd00a841142</t>
  </si>
  <si>
    <t>23_09_2026_AR_Diur.gpx</t>
  </si>
  <si>
    <t>7a91edd00a8411422c22e48ab6aa40db972723a3e6f81e1d911b47c901f33c40</t>
  </si>
  <si>
    <t>23/09/2026 08:16:16</t>
  </si>
  <si>
    <t>23/09/2026 16:11:11</t>
  </si>
  <si>
    <t>Inicio GPS dentro de la tolerancia del horario programado.; Fin GPS anticipado: 00:18:49 antes de las 16:30.; 2 hueco(s) GPS &gt;= 10 min.</t>
  </si>
  <si>
    <t>6.225747, -75.599410</t>
  </si>
  <si>
    <t>6.255957, -75.616418</t>
  </si>
  <si>
    <t>4408ac1d649faca3</t>
  </si>
  <si>
    <t>23_09_2026_DR_Diur.gpx</t>
  </si>
  <si>
    <t>4408ac1d649faca302b1a8ecf19b979de608bcd9adef35bce34292cd26b3aeb6</t>
  </si>
  <si>
    <t>23/09/2026 08:51:52</t>
  </si>
  <si>
    <t>23/09/2026 16:41:32</t>
  </si>
  <si>
    <t>Inicio GPS tardío: 00:21:52 después de las 08:30.; Fin GPS dentro de la tolerancia del horario programado.; 3 hueco(s) GPS &gt;= 10 min.</t>
  </si>
  <si>
    <t>6.232912, -75.602197</t>
  </si>
  <si>
    <t>6.250884, -75.621311</t>
  </si>
  <si>
    <t>cee7dbc94d8380b9</t>
  </si>
  <si>
    <t>23_09_2026_HC_Diur.gpx</t>
  </si>
  <si>
    <t>cee7dbc94d8380b967c51fa1a926584f6f8387e40221a1c8e56431369faf5ba9</t>
  </si>
  <si>
    <t>23/09/2026 08:20:00</t>
  </si>
  <si>
    <t>23/09/2026 14:17:50</t>
  </si>
  <si>
    <t>Inicio GPS dentro de la tolerancia del horario programado.; Fin GPS anticipado: 02:12:10 antes de las 16:30.</t>
  </si>
  <si>
    <t>6.225662, -75.599078</t>
  </si>
  <si>
    <t>6.271636, -75.597142</t>
  </si>
  <si>
    <t>abbfd962adecc6f9</t>
  </si>
  <si>
    <t>23_09_2026_JA_Diur1.gpx</t>
  </si>
  <si>
    <t>abbfd962adecc6f91b4e71bf28b254f741a22c8e9aedc308cb409194fbd1ad5b</t>
  </si>
  <si>
    <t>23/09/2026 16:26:53</t>
  </si>
  <si>
    <t>23/09/2026 17:31:38</t>
  </si>
  <si>
    <t>PARTE DE RECORRIDO</t>
  </si>
  <si>
    <t>dba3452836ba7e50</t>
  </si>
  <si>
    <t>23_09_2026_JA_Diur2.gpx</t>
  </si>
  <si>
    <t>dba3452836ba7e50cc3f660a7059238423e73768e6e6d9c1ebe7ef47a5a38bab</t>
  </si>
  <si>
    <t>23/09/2026 08:50:57</t>
  </si>
  <si>
    <t>23/09/2026 12:14:38</t>
  </si>
  <si>
    <t>025a647a490108ab</t>
  </si>
  <si>
    <t>23_09_2026_JO_Diur.gpx</t>
  </si>
  <si>
    <t>025a647a490108ab58e8e211691c0f25058cad25387522be9e59a593723a511c</t>
  </si>
  <si>
    <t>23/09/2026 08:45:49</t>
  </si>
  <si>
    <t>23/09/2026 16:45:11</t>
  </si>
  <si>
    <t>Inicio GPS tardío: 00:15:49 después de las 08:30.; Fin GPS posterior: 00:15:11 después de las 16:30.; 10 hueco(s) GPS &gt;= 10 min.</t>
  </si>
  <si>
    <t>6.225619, -75.599349</t>
  </si>
  <si>
    <t>6.246063, -75.561330</t>
  </si>
  <si>
    <t>902a3fd7e70712ae</t>
  </si>
  <si>
    <t>23_09_2026_JZ_Diur.gpx</t>
  </si>
  <si>
    <t>902a3fd7e70712aeca6629d519f06105047cecdd8a4069792258d07bdd369e43</t>
  </si>
  <si>
    <t>23/09/2026 08:04:28</t>
  </si>
  <si>
    <t>23/09/2026 16:34:36</t>
  </si>
  <si>
    <t>Inicio GPS anterior al horario: 00:25:32 antes de las 08:30.; Fin GPS dentro de la tolerancia del horario programado.; 3 hueco(s) GPS &gt;= 10 min.</t>
  </si>
  <si>
    <t>6.226573, -75.599305</t>
  </si>
  <si>
    <t>6.279455, -75.570395</t>
  </si>
  <si>
    <t>a87b9c61f88f6dc6</t>
  </si>
  <si>
    <t>23_09_2026_SJ_Diur.gpx</t>
  </si>
  <si>
    <t>a87b9c61f88f6dc61d7c57e704a7019cfeeb155863211b6fcd05b1a5345a41e2</t>
  </si>
  <si>
    <t>23/09/2026 08:39:04</t>
  </si>
  <si>
    <t>23/09/2026 16:04:43</t>
  </si>
  <si>
    <t>Inicio GPS dentro de la tolerancia del horario programado.; Fin GPS anticipado: 00:25:17 antes de las 16:30.; 1 hueco(s) GPS &gt;= 10 min.</t>
  </si>
  <si>
    <t>6.225663, -75.599389</t>
  </si>
  <si>
    <t>6.308000, -75.581952</t>
  </si>
  <si>
    <t>562b967a6b961354</t>
  </si>
  <si>
    <t>23_09_2026_YL_Diur.gpx</t>
  </si>
  <si>
    <t>562b967a6b961354db78b9cffe2da313776b367f0271c4f71ff1efefdac672ff</t>
  </si>
  <si>
    <t>23/09/2026 08:49:21</t>
  </si>
  <si>
    <t>23/09/2026 16:45:00</t>
  </si>
  <si>
    <t>Inicio GPS tardío: 00:19:21 después de las 08:30.; Fin GPS dentro de la tolerancia del horario programado.</t>
  </si>
  <si>
    <t>6.225580, -75.599298</t>
  </si>
  <si>
    <t>6.258559, -75.616272</t>
  </si>
  <si>
    <t>Recorrido fragmentado 2 parte(s): INICIO DE RECORRIDO. Inicio operativo 08:50:57 y fin operativo 17:31:38.; Inicio GPS tardío: 00:20:57 después de las 08:30.</t>
  </si>
  <si>
    <t>6.225734, -75.599447</t>
  </si>
  <si>
    <t>6.235813, -75.555079</t>
  </si>
  <si>
    <t>Recorrido fragmentado 2 parte(s): FIN DE RECORRIDO. Inicio operativo 08:50:57 y fin operativo 17:31:38.; Fin GPS posterior: 01:01:38 después de las 16:30.</t>
  </si>
  <si>
    <t>6.236402, -75.560054</t>
  </si>
  <si>
    <t>6.237026, -75.558757</t>
  </si>
  <si>
    <t>c7bcdda3448eca70</t>
  </si>
  <si>
    <t>23_09_2026_DV_Noct.gpx</t>
  </si>
  <si>
    <t>c7bcdda3448eca7014a76963f98c28a7628c901ad953ed367050d466f0da05ff</t>
  </si>
  <si>
    <t>23/09/2026 17:50:48</t>
  </si>
  <si>
    <t>24/09/2026 00:23:26</t>
  </si>
  <si>
    <t>Inicio GPS dentro de la tolerancia del horario programado.; Fin GPS posterior: 00:23:26 después de las 00:00.</t>
  </si>
  <si>
    <t>6.226789, -75.599344</t>
  </si>
  <si>
    <t>6.272684, -75.602048</t>
  </si>
  <si>
    <t>854b85750ca295ba</t>
  </si>
  <si>
    <t>23_09_2026_IQ_Noct.gpx</t>
  </si>
  <si>
    <t>854b85750ca295bab2dbaff996de56ef78092891b34f495b545a89ffb99f5af8</t>
  </si>
  <si>
    <t>23/09/2026 17:35:20</t>
  </si>
  <si>
    <t>23/09/2026 23:57:48</t>
  </si>
  <si>
    <t>Inicio GPS anterior al horario: 00:24:40 antes de las 18:00.; Fin GPS dentro de la tolerancia del horario programado.; 6 hueco(s) GPS &gt;= 10 min.</t>
  </si>
  <si>
    <t>6.213995, -75.596642</t>
  </si>
  <si>
    <t>6.270932, -75.554243</t>
  </si>
  <si>
    <t>1524ebf6e64c53aa</t>
  </si>
  <si>
    <t>23_09_2026_JP_Noct.gpx</t>
  </si>
  <si>
    <t>1524ebf6e64c53aa5e6027a2d921e2541675d5de5bc7ab5d37d972940274a473</t>
  </si>
  <si>
    <t>23/09/2026 17:30:41</t>
  </si>
  <si>
    <t>23/09/2026 21:41:04</t>
  </si>
  <si>
    <t>Inicio GPS anterior al horario: 00:29:19 antes de las 18:00.; Fin GPS anticipado: 02:18:56 antes de las 00:00.</t>
  </si>
  <si>
    <t>6.226977, -75.599622</t>
  </si>
  <si>
    <t>6.251832, -75.551835</t>
  </si>
  <si>
    <t>c28c6adae2a52086</t>
  </si>
  <si>
    <t>23_09_2026_LA_Noct.gpx</t>
  </si>
  <si>
    <t>c28c6adae2a52086a5b43f8adf2f7efb0ab6d21e943556b357652747d7f1966b</t>
  </si>
  <si>
    <t>23/09/2026 17:41:21</t>
  </si>
  <si>
    <t>24/09/2026 00:07:53</t>
  </si>
  <si>
    <t>Inicio GPS anterior al horario: 00:18:39 antes de las 18:00.; Fin GPS dentro de la tolerancia del horario programado.; 2 hueco(s) GPS &gt;= 10 min.</t>
  </si>
  <si>
    <t>6.226768, -75.599312</t>
  </si>
  <si>
    <t>6.268597, -75.599288</t>
  </si>
  <si>
    <t>d8610283ab31c17b</t>
  </si>
  <si>
    <t>24_09_2026_AO_Diur.gpx</t>
  </si>
  <si>
    <t>d8610283ab31c17b60cf55c57f3fef35c24792cb35cd6303472074d6dc57a9e2</t>
  </si>
  <si>
    <t>24/09/2026</t>
  </si>
  <si>
    <t>24/09/2026 09:11:42</t>
  </si>
  <si>
    <t>24/09/2026 15:36:24</t>
  </si>
  <si>
    <t>Inicio GPS tardío: 00:41:43 después de las 08:30.; Fin GPS anticipado: 00:53:36 antes de las 16:30.; 4 hueco(s) GPS &gt;= 10 min.</t>
  </si>
  <si>
    <t>6.216154, -75.597554</t>
  </si>
  <si>
    <t>6.222023, -75.593338</t>
  </si>
  <si>
    <t>80b1d8418c2b1eaa</t>
  </si>
  <si>
    <t>24_09_2026_AR_Diur.gpx</t>
  </si>
  <si>
    <t>80b1d8418c2b1eaab60e02e6a877ea0131fa1acbbaf1244fd97677a34ac1ea83</t>
  </si>
  <si>
    <t>24/09/2026 08:14:20</t>
  </si>
  <si>
    <t>24/09/2026 16:32:03</t>
  </si>
  <si>
    <t>Inicio GPS anterior al horario: 00:15:40 antes de las 08:30.; Fin GPS dentro de la tolerancia del horario programado.; 4 hueco(s) GPS &gt;= 10 min.</t>
  </si>
  <si>
    <t>6.225782, -75.599368</t>
  </si>
  <si>
    <t>6.247414, -75.615005</t>
  </si>
  <si>
    <t>26d8bdaf1d13469e</t>
  </si>
  <si>
    <t>24_09_2026_DR_Diur.gpx</t>
  </si>
  <si>
    <t>26d8bdaf1d13469ee33712c9bfcbfe9c5901905e2a80baf0fe4c1f50012cf2f3</t>
  </si>
  <si>
    <t>24/09/2026 08:27:18</t>
  </si>
  <si>
    <t>24/09/2026 15:51:15</t>
  </si>
  <si>
    <t>Inicio GPS dentro de la tolerancia del horario programado.; Fin GPS anticipado: 00:38:45 antes de las 16:30.; 2 hueco(s) GPS &gt;= 10 min.</t>
  </si>
  <si>
    <t>6.238194, -75.603010</t>
  </si>
  <si>
    <t>6.248174, -75.605002</t>
  </si>
  <si>
    <t>92b923405ece402b</t>
  </si>
  <si>
    <t>24_09_2026_HC_Diur.gpx</t>
  </si>
  <si>
    <t>92b923405ece402b75cd59de5c90e486ec87dfad75c78c4f899255e5739248da</t>
  </si>
  <si>
    <t>24/09/2026 09:16:50</t>
  </si>
  <si>
    <t>24/09/2026 13:34:41</t>
  </si>
  <si>
    <t>Inicio GPS tardío: 00:46:50 después de las 08:30.; Fin GPS anticipado: 02:55:19 antes de las 16:30.; 1 hueco(s) GPS &gt;= 10 min.</t>
  </si>
  <si>
    <t>6.225663, -75.599553</t>
  </si>
  <si>
    <t>6.261435, -75.603897</t>
  </si>
  <si>
    <t>676d50fbccc03774</t>
  </si>
  <si>
    <t>24_09_2026_JA_Diur.gpx</t>
  </si>
  <si>
    <t>676d50fbccc0377475a506b4c473ea57a7024889c5da3b94f8b6202fc5952dfe</t>
  </si>
  <si>
    <t>24/09/2026 08:52:25</t>
  </si>
  <si>
    <t>24/09/2026 12:37:22</t>
  </si>
  <si>
    <t>Inicio GPS tardío: 00:22:25 después de las 08:30.; Fin GPS anticipado: 03:52:38 antes de las 16:30.</t>
  </si>
  <si>
    <t>6.225514, -75.599447</t>
  </si>
  <si>
    <t>6.236992, -75.558877</t>
  </si>
  <si>
    <t>b4281bc6eb1402cd</t>
  </si>
  <si>
    <t>24_09_2026_JO_Diur.gpx</t>
  </si>
  <si>
    <t>b4281bc6eb1402cd6b1c175a0e75d9bca1eb794b273c036c77cd612468789d15</t>
  </si>
  <si>
    <t>24/09/2026 08:53:59</t>
  </si>
  <si>
    <t>24/09/2026 16:24:23</t>
  </si>
  <si>
    <t>Inicio GPS tardío: 00:23:59 después de las 08:30.; Fin GPS dentro de la tolerancia del horario programado.; 14 hueco(s) GPS &gt;= 10 min.</t>
  </si>
  <si>
    <t>6.225613, -75.599412</t>
  </si>
  <si>
    <t>6.246439, -75.552709</t>
  </si>
  <si>
    <t>9f4f0535ce907d5c</t>
  </si>
  <si>
    <t>24_09_2026_JZ_Diur.gpx</t>
  </si>
  <si>
    <t>9f4f0535ce907d5c87d52ce754bb4b9539a103e71e85d5792a13d7c8617a20d6</t>
  </si>
  <si>
    <t>24/09/2026 08:33:45</t>
  </si>
  <si>
    <t>24/09/2026 16:40:46</t>
  </si>
  <si>
    <t>6.226663, -75.599202</t>
  </si>
  <si>
    <t>6.279131, -75.569137</t>
  </si>
  <si>
    <t>6c891630b524a9ff</t>
  </si>
  <si>
    <t>24_09_2026_SJ_Diur.gpx</t>
  </si>
  <si>
    <t>6c891630b524a9ffafdb948e9cbc7937f36d22b6ca2cbcba2289b40b905b476d</t>
  </si>
  <si>
    <t>24/09/2026 08:53:57</t>
  </si>
  <si>
    <t>24/09/2026 15:52:13</t>
  </si>
  <si>
    <t>Inicio GPS tardío: 00:23:57 después de las 08:30.; Fin GPS anticipado: 00:37:47 antes de las 16:30.; 1 hueco(s) GPS &gt;= 10 min.</t>
  </si>
  <si>
    <t>6.225561, -75.599342</t>
  </si>
  <si>
    <t>6.311430, -75.558457</t>
  </si>
  <si>
    <t>564426f7571d7fb3</t>
  </si>
  <si>
    <t>24_09_2026_YL_Diur.gpx</t>
  </si>
  <si>
    <t>564426f7571d7fb39bec01e73fe74859f78006eae2f3d66e604884dc4b8f07a3</t>
  </si>
  <si>
    <t>24/09/2026 08:29:19</t>
  </si>
  <si>
    <t>24/09/2026 16:35:40</t>
  </si>
  <si>
    <t>6.225586, -75.599145</t>
  </si>
  <si>
    <t>6.258532, -75.615984</t>
  </si>
  <si>
    <t>bab305730ba056d1</t>
  </si>
  <si>
    <t>24_09_2026_DV_Noct.gpx</t>
  </si>
  <si>
    <t>bab305730ba056d176d0642f5f7797bef81782d99654b9a7d153eca74bc51454</t>
  </si>
  <si>
    <t>24/09/2026 17:45:06</t>
  </si>
  <si>
    <t>25/09/2026 00:20:21</t>
  </si>
  <si>
    <t>Inicio GPS dentro de la tolerancia del horario programado.; Fin GPS posterior: 00:20:21 después de las 00:00.</t>
  </si>
  <si>
    <t>6.226775, -75.599357</t>
  </si>
  <si>
    <t>6.272680, -75.601973</t>
  </si>
  <si>
    <t>517e09ca382f2401</t>
  </si>
  <si>
    <t>24_09_2026_IQ_Noct.gpx</t>
  </si>
  <si>
    <t>517e09ca382f240146f4d160e91a2e77611b8b3c7b2749178d70cd88ebdba105</t>
  </si>
  <si>
    <t>24/09/2026 16:44:27</t>
  </si>
  <si>
    <t>24/09/2026 23:53:58</t>
  </si>
  <si>
    <t>Inicio GPS anterior al horario: 01:15:33 antes de las 18:00.; Fin GPS dentro de la tolerancia del horario programado.; 2 hueco(s) GPS &gt;= 10 min.</t>
  </si>
  <si>
    <t>6.228867, -75.596225</t>
  </si>
  <si>
    <t>6.294895, -75.543944</t>
  </si>
  <si>
    <t>c91268ef9d9bb5cd</t>
  </si>
  <si>
    <t>24_09_2026_JP_Noct.gpx</t>
  </si>
  <si>
    <t>c91268ef9d9bb5cde23a9219657fe3b734c5e105bab9c46f195b8e269fa1ffd3</t>
  </si>
  <si>
    <t>24/09/2026 17:43:58</t>
  </si>
  <si>
    <t>24/09/2026 22:51:32</t>
  </si>
  <si>
    <t>Inicio GPS anterior al horario: 00:16:02 antes de las 18:00.; Fin GPS anticipado: 01:08:28 antes de las 00:00.</t>
  </si>
  <si>
    <t>6.226888, -75.599710</t>
  </si>
  <si>
    <t>6.251725, -75.551782</t>
  </si>
  <si>
    <t>7bc001476223be32</t>
  </si>
  <si>
    <t>24_09_2026_LA_Noct.gpx</t>
  </si>
  <si>
    <t>7bc001476223be32ca2e18bfca848d78c20a463a1f334d53d5ae105117f98a46</t>
  </si>
  <si>
    <t>24/09/2026 17:26:54</t>
  </si>
  <si>
    <t>25/09/2026 00:05:11</t>
  </si>
  <si>
    <t>Inicio GPS anterior al horario: 00:33:06 antes de las 18:00.; Fin GPS dentro de la tolerancia del horario programado.; 3 hueco(s) GPS &gt;= 10 min.</t>
  </si>
  <si>
    <t>6.226773, -75.599313</t>
  </si>
  <si>
    <t>6.263545, -75.596572</t>
  </si>
  <si>
    <t>66823889791403a1</t>
  </si>
  <si>
    <t>25_09_2026_AO_Diur.gpx</t>
  </si>
  <si>
    <t>66823889791403a126d911dc47e1d121fe441ef26c47416174d39d07380224a7</t>
  </si>
  <si>
    <t>25/09/2026</t>
  </si>
  <si>
    <t>25/09/2026 09:17:31</t>
  </si>
  <si>
    <t>25/09/2026 16:01:29</t>
  </si>
  <si>
    <t>Inicio GPS tardío: 00:47:32 después de las 08:30.; Fin GPS dentro de la tolerancia del horario programado.; 5 hueco(s) GPS &gt;= 10 min.</t>
  </si>
  <si>
    <t>6.220678, -75.593290</t>
  </si>
  <si>
    <t>6.221836, -75.593831</t>
  </si>
  <si>
    <t>f003510ff71a767b</t>
  </si>
  <si>
    <t>25_09_2026_AR_Diur.gpx</t>
  </si>
  <si>
    <t>f003510ff71a767bc3ed575332c6e60823f2ef2112d58474ef892ed3cb349b48</t>
  </si>
  <si>
    <t>25/09/2026 08:17:26</t>
  </si>
  <si>
    <t>25/09/2026 16:03:38</t>
  </si>
  <si>
    <t>6.225593, -75.599538</t>
  </si>
  <si>
    <t>6.247700, -75.615107</t>
  </si>
  <si>
    <t>cec1be82c82d8e62</t>
  </si>
  <si>
    <t>25_09_2026_DR_Diur.gpx</t>
  </si>
  <si>
    <t>cec1be82c82d8e62da311bb07b83e550afd873d4fecd0d016da15ee7afc2b77b</t>
  </si>
  <si>
    <t>25/09/2026 08:40:49</t>
  </si>
  <si>
    <t>25/09/2026 13:58:26</t>
  </si>
  <si>
    <t>Inicio GPS dentro de la tolerancia del horario programado.; Fin GPS anticipado: 02:01:34 antes de las 16:00.; 1 hueco(s) GPS &gt;= 10 min.</t>
  </si>
  <si>
    <t>6.238038, -75.602919</t>
  </si>
  <si>
    <t>6.250678, -75.602010</t>
  </si>
  <si>
    <t>dbe485f0783f5711</t>
  </si>
  <si>
    <t>25_09_2026_HC_Diur.gpx</t>
  </si>
  <si>
    <t>dbe485f0783f5711d5aeff872143aa2a4942a8963022affc3f06e544fe8ca4ad</t>
  </si>
  <si>
    <t>25/09/2026 08:29:46</t>
  </si>
  <si>
    <t>25/09/2026 14:29:25</t>
  </si>
  <si>
    <t>Inicio GPS dentro de la tolerancia del horario programado.; Fin GPS anticipado: 01:30:35 antes de las 16:00.</t>
  </si>
  <si>
    <t>6.225806, -75.599375</t>
  </si>
  <si>
    <t>6.296980, -75.582724</t>
  </si>
  <si>
    <t>667ac675a4f68eaf</t>
  </si>
  <si>
    <t>25_09_2026_JA_Diur.gpx</t>
  </si>
  <si>
    <t>667ac675a4f68eafc3da38fa706169b8e2184f033be2437f1d09db1f7d69088e</t>
  </si>
  <si>
    <t>25/09/2026 08:29:20</t>
  </si>
  <si>
    <t>25/09/2026 12:54:58</t>
  </si>
  <si>
    <t>Inicio GPS dentro de la tolerancia del horario programado.; Fin GPS anticipado: 03:05:02 antes de las 16:00.; 2 hueco(s) GPS &gt;= 10 min.</t>
  </si>
  <si>
    <t>6.225645, -75.599042</t>
  </si>
  <si>
    <t>6.237027, -75.558895</t>
  </si>
  <si>
    <t>b010c76cac8409c2</t>
  </si>
  <si>
    <t>25_09_2026_JO_Diur.gpx</t>
  </si>
  <si>
    <t>b010c76cac8409c2a157749e925a74b96d69d911005a380d7266c184438cbdcd</t>
  </si>
  <si>
    <t>25/09/2026 08:30:59</t>
  </si>
  <si>
    <t>25/09/2026 16:04:35</t>
  </si>
  <si>
    <t>6.225840, -75.599376</t>
  </si>
  <si>
    <t>6.259314, -75.620380</t>
  </si>
  <si>
    <t>4179c4693bca0dbb</t>
  </si>
  <si>
    <t>25_09_2026_JZ_Diur.gpx</t>
  </si>
  <si>
    <t>4179c4693bca0dbb3c70994a99f8c396a7b13745649d5c6657d557357528533b</t>
  </si>
  <si>
    <t>25/09/2026 08:13:48</t>
  </si>
  <si>
    <t>25/09/2026 14:39:11</t>
  </si>
  <si>
    <t>Inicio GPS anterior al horario: 00:16:12 antes de las 08:30.; Fin GPS anticipado: 01:20:49 antes de las 16:00.</t>
  </si>
  <si>
    <t>6.226632, -75.599344</t>
  </si>
  <si>
    <t>6.280067, -75.635467</t>
  </si>
  <si>
    <t>0701bdacf7671d43</t>
  </si>
  <si>
    <t>25_09_2026_SJ_Diur.gpx</t>
  </si>
  <si>
    <t>0701bdacf7671d43bf0f7a3a9f4e7bfa0432ce044dd120ea07efbcf187c6cd18</t>
  </si>
  <si>
    <t>25/09/2026 08:33:57</t>
  </si>
  <si>
    <t>25/09/2026 15:27:48</t>
  </si>
  <si>
    <t>Inicio GPS dentro de la tolerancia del horario programado.; Fin GPS anticipado: 00:32:12 antes de las 16:00.</t>
  </si>
  <si>
    <t>6.225620, -75.599405</t>
  </si>
  <si>
    <t>6.305035, -75.577577</t>
  </si>
  <si>
    <t>c322c2c243de6f1e</t>
  </si>
  <si>
    <t>25_09_2026_YL_Diur.gpx</t>
  </si>
  <si>
    <t>c322c2c243de6f1ee20eb3e05fd6f6fedfe6aa9c2d18fa10f21a216c72de0d01</t>
  </si>
  <si>
    <t>25/09/2026 09:22:22</t>
  </si>
  <si>
    <t>25/09/2026 16:07:40</t>
  </si>
  <si>
    <t>Inicio GPS tardío: 00:52:22 después de las 08:30.; Fin GPS dentro de la tolerancia del horario programado.; 1 hueco(s) GPS &gt;= 10 min.</t>
  </si>
  <si>
    <t>6.258981, -75.620635</t>
  </si>
  <si>
    <t>6.258362, -75.616013</t>
  </si>
  <si>
    <t>7d32aa5979d2510b</t>
  </si>
  <si>
    <t>26_09_2026_DR_Diur.gpx</t>
  </si>
  <si>
    <t>7d32aa5979d2510b20610445a2ecdaaec04d4a8bd9c9df4ba25d5854761f537c</t>
  </si>
  <si>
    <t>26/09/2026</t>
  </si>
  <si>
    <t>26/09/2026 09:20:19</t>
  </si>
  <si>
    <t>26/09/2026 16:27:06</t>
  </si>
  <si>
    <t>Inicio GPS tardío: 00:50:19 después de las 08:30.; Fin GPS posterior: 00:27:06 después de las 16:00.; 1 hueco(s) GPS &gt;= 10 min.</t>
  </si>
  <si>
    <t>6.247793, -75.615010</t>
  </si>
  <si>
    <t>6.198403, -75.593670</t>
  </si>
  <si>
    <t>f66a8c100b6e848a</t>
  </si>
  <si>
    <t>25_09_2026_DV_Noct.gpx</t>
  </si>
  <si>
    <t>f66a8c100b6e848a43fcac6a219f933bcf584666963af5f21548233d53e25cad</t>
  </si>
  <si>
    <t>25/09/2026 17:44:15</t>
  </si>
  <si>
    <t>26/09/2026 00:11:13</t>
  </si>
  <si>
    <t>Inicio GPS anterior al horario: 00:15:45 antes de las 18:00.; Fin GPS dentro de la tolerancia del horario programado.</t>
  </si>
  <si>
    <t>6.270332, -75.601577</t>
  </si>
  <si>
    <t>6.272546, -75.602211</t>
  </si>
  <si>
    <t>98ef2bb1e3bcdcdd</t>
  </si>
  <si>
    <t>25_09_2026_IQ_Noct.gpx</t>
  </si>
  <si>
    <t>98ef2bb1e3bcdcdd99d965cfc5ce068c8503b148f06f512488c3a213747fd43c</t>
  </si>
  <si>
    <t>25/09/2026 18:06:05</t>
  </si>
  <si>
    <t>25/09/2026 23:56:45</t>
  </si>
  <si>
    <t>6.276154, -75.547662</t>
  </si>
  <si>
    <t>d39b266810f7b37d</t>
  </si>
  <si>
    <t>25_09_2026_JHP_Noct.gpx</t>
  </si>
  <si>
    <t>d39b266810f7b37d1abf0df1454fa1c93c3fad59baee67376620344f8f8f9ea4</t>
  </si>
  <si>
    <t>25/09/2026 17:29:46</t>
  </si>
  <si>
    <t>25/09/2026 23:57:37</t>
  </si>
  <si>
    <t>Inicio GPS anterior al horario: 00:30:14 antes de las 18:00.; Fin GPS dentro de la tolerancia del horario programado.</t>
  </si>
  <si>
    <t>6.290356, -75.546460</t>
  </si>
  <si>
    <t>6.290575, -75.546401</t>
  </si>
  <si>
    <t>682f7b4c5630e227</t>
  </si>
  <si>
    <t>25_09_2026_JP_Noct.gpx</t>
  </si>
  <si>
    <t>682f7b4c5630e2272bb65f5837f35785f61bbb1e5c7d814072f85aceb352512c</t>
  </si>
  <si>
    <t>25/09/2026 17:59:05</t>
  </si>
  <si>
    <t>25/09/2026 21:49:32</t>
  </si>
  <si>
    <t>Inicio GPS dentro de la tolerancia del horario programado.; Fin GPS anticipado: 02:10:28 antes de las 00:00.</t>
  </si>
  <si>
    <t>6.250437, -75.552270</t>
  </si>
  <si>
    <t>6.251762, -75.551820</t>
  </si>
  <si>
    <t>229a5714387857ca</t>
  </si>
  <si>
    <t>25_09_2026_LA_Noct.gpx</t>
  </si>
  <si>
    <t>229a5714387857ca22b14197aba262334262bbc235c0e96cd056dc90088a6a12</t>
  </si>
  <si>
    <t>25/09/2026 17:53:08</t>
  </si>
  <si>
    <t>26/09/2026 00:08:46</t>
  </si>
  <si>
    <t>6.229498, -75.573103</t>
  </si>
  <si>
    <t>6.268447, -75.599478</t>
  </si>
  <si>
    <t>2f7a8ac218c53801</t>
  </si>
  <si>
    <t>26_09_2026_SJ_Noct.gpx</t>
  </si>
  <si>
    <t>2f7a8ac218c53801dbef96673bb11296ba26c958e205594090aa11249d471ff5</t>
  </si>
  <si>
    <t>26/09/2026 18:07:10</t>
  </si>
  <si>
    <t>27/09/2026 00:01:21</t>
  </si>
  <si>
    <t>Inicio GPS dentro de la tolerancia del horario programado.; Fin GPS dentro de la tolerancia del horario programado.; Sábado nocturno: verificar técnico asignado.</t>
  </si>
  <si>
    <t>6.308102, -75.582305</t>
  </si>
  <si>
    <t>6.310506, -75.578899</t>
  </si>
  <si>
    <t>e09abcfb16b8d148</t>
  </si>
  <si>
    <t>28_09_2026_AO_Diur.gpx</t>
  </si>
  <si>
    <t>e09abcfb16b8d148ee331ec53c480d3b7cbf22398c7bb29410be479d22da54cd</t>
  </si>
  <si>
    <t>28/09/2026</t>
  </si>
  <si>
    <t>28/09/2026 09:35:20</t>
  </si>
  <si>
    <t>28/09/2026 16:32:29</t>
  </si>
  <si>
    <t>Inicio GPS tardío: 01:05:20 después de las 08:30.; Fin GPS dentro de la tolerancia del horario programado.; 6 hueco(s) GPS &gt;= 10 min.</t>
  </si>
  <si>
    <t>6.225351, -75.599309</t>
  </si>
  <si>
    <t>6.223378, -75.595094</t>
  </si>
  <si>
    <t>9b16b42bb88697bf</t>
  </si>
  <si>
    <t>28_09_2026_AR_Diur.gpx</t>
  </si>
  <si>
    <t>9b16b42bb88697bfee1cfa01facf792fbe7fac95664b452176df52802a9f43da</t>
  </si>
  <si>
    <t>28/09/2026 08:48:50</t>
  </si>
  <si>
    <t>28/09/2026 16:33:03</t>
  </si>
  <si>
    <t>Inicio GPS tardío: 00:18:50 después de las 08:30.; Fin GPS dentro de la tolerancia del horario programado.; 4 hueco(s) GPS &gt;= 10 min.</t>
  </si>
  <si>
    <t>6.225617, -75.599421</t>
  </si>
  <si>
    <t>6.247649, -75.614938</t>
  </si>
  <si>
    <t>201ca3d0893d110b</t>
  </si>
  <si>
    <t>28_09_2026_HC_Diur.gpx</t>
  </si>
  <si>
    <t>201ca3d0893d110b69b3ff18f2455d01b453f9da146f32173b2d611789a14525</t>
  </si>
  <si>
    <t>28/09/2026 08:57:38</t>
  </si>
  <si>
    <t>28/09/2026 15:05:18</t>
  </si>
  <si>
    <t>Inicio GPS tardío: 00:27:38 después de las 08:30.; Fin GPS anticipado: 01:24:42 antes de las 16:30.</t>
  </si>
  <si>
    <t>6.225656, -75.599446</t>
  </si>
  <si>
    <t>6.285821, -75.584148</t>
  </si>
  <si>
    <t>55d70ad7975d0363</t>
  </si>
  <si>
    <t>28_09_2026_JA_Diur.gpx</t>
  </si>
  <si>
    <t>55d70ad7975d0363b44b368c702afb05fde4141435e3ab8b9e9eed35819b91f0</t>
  </si>
  <si>
    <t>28/09/2026 08:33:03</t>
  </si>
  <si>
    <t>28/09/2026 15:40:15</t>
  </si>
  <si>
    <t>Inicio GPS dentro de la tolerancia del horario programado.; Fin GPS anticipado: 00:49:45 antes de las 16:30.; 3 hueco(s) GPS &gt;= 10 min.</t>
  </si>
  <si>
    <t>6.225779, -75.599106</t>
  </si>
  <si>
    <t>6.245380, -75.571899</t>
  </si>
  <si>
    <t>96393fa30f5e8f00</t>
  </si>
  <si>
    <t>28_09_2026_JO_Diur.gpx</t>
  </si>
  <si>
    <t>96393fa30f5e8f00c86b506ef386a507b49d49562446d05be83d39d7b68277fd</t>
  </si>
  <si>
    <t>28/09/2026 09:18:49</t>
  </si>
  <si>
    <t>28/09/2026 16:26:00</t>
  </si>
  <si>
    <t>Inicio GPS tardío: 00:48:50 después de las 08:30.; Fin GPS dentro de la tolerancia del horario programado.; 8 hueco(s) GPS &gt;= 10 min.</t>
  </si>
  <si>
    <t>6.225461, -75.599212</t>
  </si>
  <si>
    <t>6.259254, -75.620910</t>
  </si>
  <si>
    <t>188c643cbefd7248</t>
  </si>
  <si>
    <t>28_09_2026_JZ_Diur.gpx</t>
  </si>
  <si>
    <t>188c643cbefd724868fbdfe05dd0bc08d588b11553ad07272605920ba2b04e47</t>
  </si>
  <si>
    <t>28/09/2026 08:21:27</t>
  </si>
  <si>
    <t>28/09/2026 16:37:25</t>
  </si>
  <si>
    <t>6.226722, -75.599289</t>
  </si>
  <si>
    <t>6.278847, -75.569133</t>
  </si>
  <si>
    <t>13a4011fb745e888</t>
  </si>
  <si>
    <t>28_09_2026_YL_Diur.gpx</t>
  </si>
  <si>
    <t>13a4011fb745e888f0c90c875d605ef3d7d1b4e4dc61732c958344172ffe8a1a</t>
  </si>
  <si>
    <t>28/09/2026 13:32:17</t>
  </si>
  <si>
    <t>28/09/2026 17:26:42</t>
  </si>
  <si>
    <t>Inicio GPS tardío: 05:02:17 después de las 08:30.; Fin GPS posterior: 00:56:42 después de las 16:30.</t>
  </si>
  <si>
    <t>6.259445, -75.599486</t>
  </si>
  <si>
    <t>6.258664, -75.616157</t>
  </si>
  <si>
    <t>b78760f0aa2ccf3b</t>
  </si>
  <si>
    <t>28_09_2026_DR_Diur.gpx</t>
  </si>
  <si>
    <t>b78760f0aa2ccf3b65363a2914f113ad8ced9b3fa9159b6541a9cfd3f072c103</t>
  </si>
  <si>
    <t>28/09/2026 09:14:07</t>
  </si>
  <si>
    <t>28/09/2026 16:17:38</t>
  </si>
  <si>
    <t>Inicio GPS tardío: 00:44:07 después de las 08:30.; Fin GPS dentro de la tolerancia del horario programado.; 2 hueco(s) GPS &gt;= 10 min.</t>
  </si>
  <si>
    <t>6.230128, -75.602008</t>
  </si>
  <si>
    <t>6.212384, -75.585820</t>
  </si>
  <si>
    <t>c95621971b404441</t>
  </si>
  <si>
    <t>28_09_2026_DV_Noct.gpx</t>
  </si>
  <si>
    <t>c95621971b404441dd1fb0c5f53f5eb3d09ba6b64da8ef77098bbd7ec5dbc0ec</t>
  </si>
  <si>
    <t>28/09/2026 17:36:42</t>
  </si>
  <si>
    <t>29/09/2026 00:10:58</t>
  </si>
  <si>
    <t>Inicio GPS anterior al horario: 00:23:18 antes de las 18:00.; Fin GPS dentro de la tolerancia del horario programado.</t>
  </si>
  <si>
    <t>6.227602, -75.599126</t>
  </si>
  <si>
    <t>6.272692, -75.601998</t>
  </si>
  <si>
    <t>4be13dd5ceb8b546</t>
  </si>
  <si>
    <t>28_09_2026_IQ_Noct.gpx</t>
  </si>
  <si>
    <t>4be13dd5ceb8b5461403faccc3fb970a8cb5c50a328069f17bf11d7009dfb820</t>
  </si>
  <si>
    <t>28/09/2026 16:58:01</t>
  </si>
  <si>
    <t>28/09/2026 23:54:55</t>
  </si>
  <si>
    <t>Inicio GPS anterior al horario: 01:01:59 antes de las 18:00.; Fin GPS dentro de la tolerancia del horario programado.; 3 hueco(s) GPS &gt;= 10 min.</t>
  </si>
  <si>
    <t>6.225432, -75.598767</t>
  </si>
  <si>
    <t>6.262243, -75.563856</t>
  </si>
  <si>
    <t>a02f732692cccbda</t>
  </si>
  <si>
    <t>28_09_2026_JHP_Noct.gpx</t>
  </si>
  <si>
    <t>a02f732692cccbdaa15ef541e635e3c20df3040343ad705250374d77e232d106</t>
  </si>
  <si>
    <t>28/09/2026 17:05:56</t>
  </si>
  <si>
    <t>29/09/2026 00:04:24</t>
  </si>
  <si>
    <t>Inicio GPS anterior al horario: 00:54:04 antes de las 18:00.; Fin GPS dentro de la tolerancia del horario programado.</t>
  </si>
  <si>
    <t>6.225661, -75.598487</t>
  </si>
  <si>
    <t>6.290383, -75.546595</t>
  </si>
  <si>
    <t>cbba0bb5622a2f00</t>
  </si>
  <si>
    <t>28_09_2026_JP_Noct.gpx</t>
  </si>
  <si>
    <t>cbba0bb5622a2f00356bd5d651455b9c7356c8f23b1af9ea04da9f48db91325e</t>
  </si>
  <si>
    <t>28/09/2026 17:19:11</t>
  </si>
  <si>
    <t>28/09/2026 22:27:09</t>
  </si>
  <si>
    <t>Inicio GPS anterior al horario: 00:40:49 antes de las 18:00.; Fin GPS anticipado: 01:32:51 antes de las 00:00.</t>
  </si>
  <si>
    <t>6.225658, -75.599368</t>
  </si>
  <si>
    <t>6.251833, -75.551855</t>
  </si>
  <si>
    <t>6776b68fc161c06e</t>
  </si>
  <si>
    <t>28_09_2026_LA_Noct.gpx</t>
  </si>
  <si>
    <t>6776b68fc161c06e663a6ea647c849f1691b6835e7daa54696ba7b34b6a6cb20</t>
  </si>
  <si>
    <t>28/09/2026 17:27:43</t>
  </si>
  <si>
    <t>29/09/2026 00:09:48</t>
  </si>
  <si>
    <t>Inicio GPS anterior al horario: 00:32:16 antes de las 18:00.; Fin GPS dentro de la tolerancia del horario programado.; 1 hueco(s) GPS &gt;= 10 min.</t>
  </si>
  <si>
    <t>6.226752, -75.599197</t>
  </si>
  <si>
    <t>6.268515, -75.599338</t>
  </si>
  <si>
    <t>Se inicio tarde ya que el tecnologo estaba entregando las actividades del dia</t>
  </si>
  <si>
    <t>OBSERVACIONES TECNICAS</t>
  </si>
  <si>
    <t>29fa25cdffae7211</t>
  </si>
  <si>
    <t>29_09_2026_AO_Diur.gpx</t>
  </si>
  <si>
    <t>29fa25cdffae7211db43cb658e22bb6b29565cdb8f8aeac561b57387d599ab8d</t>
  </si>
  <si>
    <t>29/09/2026</t>
  </si>
  <si>
    <t>29/09/2026 09:48:28</t>
  </si>
  <si>
    <t>29/09/2026 15:59:10</t>
  </si>
  <si>
    <t>Inicio GPS tardío: 01:18:29 después de las 08:30.; Fin GPS anticipado: 00:30:50 antes de las 16:30.; 4 hueco(s) GPS &gt;= 10 min.</t>
  </si>
  <si>
    <t>6.255719, -75.613168</t>
  </si>
  <si>
    <t>6.231463, -75.596321</t>
  </si>
  <si>
    <t>8246689c2d78bfb4</t>
  </si>
  <si>
    <t>29_09_2026_AR_Diur.gpx</t>
  </si>
  <si>
    <t>8246689c2d78bfb488b4224bc0c39a533018b048796fe1c7ebc8136d968deead</t>
  </si>
  <si>
    <t>29/09/2026 08:14:04</t>
  </si>
  <si>
    <t>29/09/2026 16:31:01</t>
  </si>
  <si>
    <t>Inicio GPS anterior al horario: 00:15:56 antes de las 08:30.; Fin GPS dentro de la tolerancia del horario programado.; 1 hueco(s) GPS &gt;= 10 min.</t>
  </si>
  <si>
    <t>6.225755, -75.599535</t>
  </si>
  <si>
    <t>6.247738, -75.614967</t>
  </si>
  <si>
    <t>b7b4f0a8ec1e9555</t>
  </si>
  <si>
    <t>29_09_2026_DR_Diur.gpx</t>
  </si>
  <si>
    <t>b7b4f0a8ec1e95559d87b25d5ecfbbd2dae166d2a196661c7996bda877bea030</t>
  </si>
  <si>
    <t>29/09/2026 08:39:58</t>
  </si>
  <si>
    <t>29/09/2026 15:49:06</t>
  </si>
  <si>
    <t>Inicio GPS dentro de la tolerancia del horario programado.; Fin GPS anticipado: 00:40:54 antes de las 16:30.; 3 hueco(s) GPS &gt;= 10 min.</t>
  </si>
  <si>
    <t>6.238225, -75.603070</t>
  </si>
  <si>
    <t>6.238777, -75.603745</t>
  </si>
  <si>
    <t>6135921608f0259e</t>
  </si>
  <si>
    <t>29_09_2026_HC_Diur.gpx</t>
  </si>
  <si>
    <t>6135921608f0259e1b8e5dd0e3361a6431ffa2ed98247402f9b2788fe48f7322</t>
  </si>
  <si>
    <t>29/09/2026 08:34:41</t>
  </si>
  <si>
    <t>29/09/2026 13:50:30</t>
  </si>
  <si>
    <t>Inicio GPS dentro de la tolerancia del horario programado.; Fin GPS anticipado: 02:39:30 antes de las 16:30.</t>
  </si>
  <si>
    <t>6.225921, -75.599410</t>
  </si>
  <si>
    <t>6.308389, -75.571086</t>
  </si>
  <si>
    <t>ffafebbe09c9bb93</t>
  </si>
  <si>
    <t>29_09_2026_JA_Diur.gpx</t>
  </si>
  <si>
    <t>ffafebbe09c9bb93ab06e67ccba4ac6173312addace65c02ca5cf189d111c167</t>
  </si>
  <si>
    <t>29/09/2026 08:43:26</t>
  </si>
  <si>
    <t>29/09/2026 13:16:49</t>
  </si>
  <si>
    <t>Inicio GPS dentro de la tolerancia del horario programado.; Fin GPS anticipado: 03:13:11 antes de las 16:30.; 1 hueco(s) GPS &gt;= 10 min.</t>
  </si>
  <si>
    <t>6.225841, -75.599694</t>
  </si>
  <si>
    <t>6.237045, -75.558818</t>
  </si>
  <si>
    <t>4f51a1dba469d9e1</t>
  </si>
  <si>
    <t>29_09_2026_JO_Diur.gpx</t>
  </si>
  <si>
    <t>4f51a1dba469d9e153f7bc32313f4969f48841444036759aa969f6c3e11758d5</t>
  </si>
  <si>
    <t>29/09/2026 09:24:53</t>
  </si>
  <si>
    <t>29/09/2026 16:14:09</t>
  </si>
  <si>
    <t>Inicio GPS tardío: 00:54:53 después de las 08:30.; Fin GPS anticipado: 00:15:51 antes de las 16:30.; 9 hueco(s) GPS &gt;= 10 min.</t>
  </si>
  <si>
    <t>6.225662, -75.599446</t>
  </si>
  <si>
    <t>6.246903, -75.554122</t>
  </si>
  <si>
    <t>59add364d9fa99e5</t>
  </si>
  <si>
    <t>29_09_2026_JZ_Diur.gpx</t>
  </si>
  <si>
    <t>59add364d9fa99e541a18ce4bd75f3485f24c81306df5fefbff91051cfc82f29</t>
  </si>
  <si>
    <t>29/09/2026 08:28:06</t>
  </si>
  <si>
    <t>29/09/2026 16:34:47</t>
  </si>
  <si>
    <t>6.226627, -75.599292</t>
  </si>
  <si>
    <t>6.278881, -75.569232</t>
  </si>
  <si>
    <t>0525223656604059</t>
  </si>
  <si>
    <t>29_09_2026_SJ_Diur.gpx</t>
  </si>
  <si>
    <t>05252236566040590deacac32ef84237f7b86802a50cdc698a93ced643febae6</t>
  </si>
  <si>
    <t>29/09/2026 08:39:43</t>
  </si>
  <si>
    <t>29/09/2026 15:59:39</t>
  </si>
  <si>
    <t>Inicio GPS dentro de la tolerancia del horario programado.; Fin GPS anticipado: 00:30:21 antes de las 16:30.; 1 permanencia(s) GPS detectada(s); requiere contexto.</t>
  </si>
  <si>
    <t>6.225829, -75.599388</t>
  </si>
  <si>
    <t>6.307830, -75.577472</t>
  </si>
  <si>
    <t>988c5ffb82e294ff</t>
  </si>
  <si>
    <t>29_09_2026_YL_Diur.gpx</t>
  </si>
  <si>
    <t>988c5ffb82e294ff30c17167c870986dc69e3d36a41699f7d2fa0d03f34d837b</t>
  </si>
  <si>
    <t>29/09/2026 08:46:19</t>
  </si>
  <si>
    <t>29/09/2026 15:17:02</t>
  </si>
  <si>
    <t>Inicio GPS tardío: 00:16:19 después de las 08:30.; Fin GPS anticipado: 01:12:58 antes de las 16:30.</t>
  </si>
  <si>
    <t>6.225785, -75.598634</t>
  </si>
  <si>
    <t>6.260023, -75.621120</t>
  </si>
  <si>
    <t>El tecnico estaba en cita medica entre 2:30 pm y 3:30 pm</t>
  </si>
  <si>
    <t>637012304ec244fd</t>
  </si>
  <si>
    <t>29_09_2026_DV_Noct.gpx</t>
  </si>
  <si>
    <t>637012304ec244fd23288c482baf6e70e02bcdbeb8b0014da77cb0884f675547</t>
  </si>
  <si>
    <t>29/09/2026 17:36:43</t>
  </si>
  <si>
    <t>30/09/2026 00:20:12</t>
  </si>
  <si>
    <t>Inicio GPS anterior al horario: 00:23:17 antes de las 18:00.; Fin GPS posterior: 00:20:12 después de las 00:00.; 1 hueco(s) GPS &gt;= 10 min.; 1 permanencia(s) GPS detectada(s); requiere contexto.</t>
  </si>
  <si>
    <t>6.226605, -75.599282</t>
  </si>
  <si>
    <t>6.272650, -75.601763</t>
  </si>
  <si>
    <t>5c8a35e773a8f9df</t>
  </si>
  <si>
    <t>29_09_2026_IQ_Noct.gpx</t>
  </si>
  <si>
    <t>5c8a35e773a8f9dfdea08493b318733f313254ae45acd01f23a7ee33e08b031c</t>
  </si>
  <si>
    <t>29/09/2026 16:49:08</t>
  </si>
  <si>
    <t>29/09/2026 23:51:48</t>
  </si>
  <si>
    <t>Inicio GPS anterior al horario: 01:10:52 antes de las 18:00.; Fin GPS dentro de la tolerancia del horario programado.; 7 hueco(s) GPS &gt;= 10 min.</t>
  </si>
  <si>
    <t>6.225573, -75.599452</t>
  </si>
  <si>
    <t>6.276114, -75.572663</t>
  </si>
  <si>
    <t>21e599f20e901e72</t>
  </si>
  <si>
    <t>29_09_2026_JHP_Noct.gpx</t>
  </si>
  <si>
    <t>21e599f20e901e720df8171920522b92965acbf1f29ec998126f75dcd44163e3</t>
  </si>
  <si>
    <t>29/09/2026 17:32:26</t>
  </si>
  <si>
    <t>29/09/2026 23:56:47</t>
  </si>
  <si>
    <t>Inicio GPS anterior al horario: 00:27:34 antes de las 18:00.; Fin GPS dentro de la tolerancia del horario programado.; 1 permanencia(s) GPS detectada(s); requiere contexto.</t>
  </si>
  <si>
    <t>6.226820, -75.599361</t>
  </si>
  <si>
    <t>6.290393, -75.546638</t>
  </si>
  <si>
    <t>0b0ef25ae6d19c0c</t>
  </si>
  <si>
    <t>29_09_2026_JP_Noct.gpx</t>
  </si>
  <si>
    <t>0b0ef25ae6d19c0c9456df6f1c08e465455052ac96234850ba3c019433ba550a</t>
  </si>
  <si>
    <t>29/09/2026 16:53:28</t>
  </si>
  <si>
    <t>29/09/2026 21:23:58</t>
  </si>
  <si>
    <t>Inicio GPS anterior al horario: 01:06:32 antes de las 18:00.; Fin GPS anticipado: 02:36:02 antes de las 00:00.; 1 hueco(s) GPS &gt;= 10 min.</t>
  </si>
  <si>
    <t>6.225657, -75.599422</t>
  </si>
  <si>
    <t>6.251825, -75.551900</t>
  </si>
  <si>
    <t>8a0f842ca0f96d9a</t>
  </si>
  <si>
    <t>29_09_2026_LA_Noct.gpx</t>
  </si>
  <si>
    <t>8a0f842ca0f96d9ae5bc5d3abc20ae11bf395a5017ee3dada2d79f364386aa9a</t>
  </si>
  <si>
    <t>29/09/2026 17:37:44</t>
  </si>
  <si>
    <t>30/09/2026 00:05:23</t>
  </si>
  <si>
    <t>Inicio GPS anterior al horario: 00:22:15 antes de las 18:00.; Fin GPS dentro de la tolerancia del horario programado.; 5 hueco(s) GPS &gt;= 10 min.</t>
  </si>
  <si>
    <t>6.227305, -75.599290</t>
  </si>
  <si>
    <t>6.268510, -75.599528</t>
  </si>
  <si>
    <t>6d4db840ac5e8c70</t>
  </si>
  <si>
    <t>30_09_2026_AO_Diur.gpx</t>
  </si>
  <si>
    <t>6d4db840ac5e8c70c58d6f077f271a9185021c031435d4d1960784206f2518ee</t>
  </si>
  <si>
    <t>30/09/2026</t>
  </si>
  <si>
    <t>30/09/2026 09:44:16</t>
  </si>
  <si>
    <t>30/09/2026 16:31:58</t>
  </si>
  <si>
    <t>Inicio GPS tardío: 01:14:16 después de las 08:30.; Fin GPS dentro de la tolerancia del horario programado.; 4 hueco(s) GPS &gt;= 10 min.</t>
  </si>
  <si>
    <t>6.221738, -75.593904</t>
  </si>
  <si>
    <t>6.245557, -75.583619</t>
  </si>
  <si>
    <t>764dc906fa83482e</t>
  </si>
  <si>
    <t>30_09_2026_AR_Diur.gpx</t>
  </si>
  <si>
    <t>764dc906fa83482ece90d4753dd8013fc7fc1662193a2e3f3e8186f56a5faa7f</t>
  </si>
  <si>
    <t>30/09/2026 08:16:32</t>
  </si>
  <si>
    <t>30/09/2026 18:00:58</t>
  </si>
  <si>
    <t>Inicio GPS dentro de la tolerancia del horario programado.; Fin GPS posterior: 01:30:58 después de las 16:30.; 5 hueco(s) GPS &gt;= 10 min.</t>
  </si>
  <si>
    <t>6.225666, -75.599403</t>
  </si>
  <si>
    <t>6.247758, -75.614985</t>
  </si>
  <si>
    <t>ad3e89aec19d71c5</t>
  </si>
  <si>
    <t>30_09_2026_DR_Diur.gpx</t>
  </si>
  <si>
    <t>ad3e89aec19d71c5d90e94d81bbe93682fc666acef829563760091be63de0ef3</t>
  </si>
  <si>
    <t>30/09/2026 08:39:29</t>
  </si>
  <si>
    <t>30/09/2026 16:31:55</t>
  </si>
  <si>
    <t>6.225550, -75.599417</t>
  </si>
  <si>
    <t>6.237958, -75.577249</t>
  </si>
  <si>
    <t>45dfc1f89a7dde74</t>
  </si>
  <si>
    <t>30_09_2026_HC_Diur.gpx</t>
  </si>
  <si>
    <t>45dfc1f89a7dde74a4415fb0e04641b88b2c76d8686c46f58268c64e067358f3</t>
  </si>
  <si>
    <t>30/09/2026 08:47:31</t>
  </si>
  <si>
    <t>30/09/2026 14:10:55</t>
  </si>
  <si>
    <t>Inicio GPS tardío: 00:17:31 después de las 08:30.; Fin GPS anticipado: 02:19:05 antes de las 16:30.; 1 permanencia(s) GPS detectada(s); requiere contexto.</t>
  </si>
  <si>
    <t>6.225625, -75.599011</t>
  </si>
  <si>
    <t>6.297761, -75.572980</t>
  </si>
  <si>
    <t>81b6406bb181788e</t>
  </si>
  <si>
    <t>30_09_2026_JA_Diur.gpx</t>
  </si>
  <si>
    <t>81b6406bb181788eb2b977a7e337b7fe1276e5e1b20bdb6aae5deca28aa1d7a3</t>
  </si>
  <si>
    <t>30/09/2026 08:34:34</t>
  </si>
  <si>
    <t>30/09/2026 11:56:39</t>
  </si>
  <si>
    <t>Inicio GPS dentro de la tolerancia del horario programado.; Fin GPS anticipado: 04:33:21 antes de las 16:30.; 1 hueco(s) GPS &gt;= 10 min.; 1 permanencia(s) GPS detectada(s); requiere contexto.</t>
  </si>
  <si>
    <t>6.224020, -75.601588</t>
  </si>
  <si>
    <t>6.241441, -75.559990</t>
  </si>
  <si>
    <t>5dddf97e3fd340a8</t>
  </si>
  <si>
    <t>30_09_2026_JO_Diur.gpx</t>
  </si>
  <si>
    <t>5dddf97e3fd340a86d473b626223cd317e35621f6dd5d8003f064828d682f918</t>
  </si>
  <si>
    <t>30/09/2026 08:36:36</t>
  </si>
  <si>
    <t>30/09/2026 16:28:53</t>
  </si>
  <si>
    <t>6.225662, -75.599354</t>
  </si>
  <si>
    <t>6.259229, -75.620970</t>
  </si>
  <si>
    <t>dde41d6e25042436</t>
  </si>
  <si>
    <t>30_09_2026_SJ_Diur.gpx</t>
  </si>
  <si>
    <t>dde41d6e250424368b9ac4dcff46f2b8c9029f30e3bfcd0b95c93daa45d9f3f3</t>
  </si>
  <si>
    <t>30/09/2026 08:34:27</t>
  </si>
  <si>
    <t>30/09/2026 16:24:18</t>
  </si>
  <si>
    <t>6.225575, -75.599417</t>
  </si>
  <si>
    <t>6.305221, -75.581879</t>
  </si>
  <si>
    <t>cd9924f35ffea61b</t>
  </si>
  <si>
    <t>30_09_2026_YL_Diur.gpx</t>
  </si>
  <si>
    <t>cd9924f35ffea61bcb0a084ae07eef5fa73b252e6417504c98b88d43d9e6cabd</t>
  </si>
  <si>
    <t>30/09/2026 08:40:36</t>
  </si>
  <si>
    <t>30/09/2026 16:05:03</t>
  </si>
  <si>
    <t>Inicio GPS dentro de la tolerancia del horario programado.; Fin GPS anticipado: 00:24:57 antes de las 16:30.; 5 hueco(s) GPS &gt;= 10 min.</t>
  </si>
  <si>
    <t>6.225478, -75.598914</t>
  </si>
  <si>
    <t>6.258690, -75.616228</t>
  </si>
  <si>
    <t>eb8524d06b9e5987</t>
  </si>
  <si>
    <t>eb8524d06b9e59872d4e7dd2f448bf165c8d0b8d7d2c28cdeeec7a68372a3829</t>
  </si>
  <si>
    <t>30/09/2026 08:42:19</t>
  </si>
  <si>
    <t>30/09/2026 16:37:02</t>
  </si>
  <si>
    <t>6.230354, -75.596052</t>
  </si>
  <si>
    <t>6.279095, -75.569126</t>
  </si>
  <si>
    <t>30_09_2026_JZ_Diur.gpx</t>
  </si>
  <si>
    <t>fee34950d931678f</t>
  </si>
  <si>
    <t>30_09_2026_DV_Noct.gpx</t>
  </si>
  <si>
    <t>fee34950d931678f0623a4acba5d69bab63a804529a0077727f9af12d01052e8</t>
  </si>
  <si>
    <t>30/09/2026 17:47:46</t>
  </si>
  <si>
    <t>01/10/2026 00:34:24</t>
  </si>
  <si>
    <t>Inicio GPS dentro de la tolerancia del horario programado.; Fin GPS posterior: 00:34:24 después de las 00:00.; 1 permanencia(s) GPS detectada(s); requiere contexto.</t>
  </si>
  <si>
    <t>6.228812, -75.597750</t>
  </si>
  <si>
    <t>6.272695, -75.602036</t>
  </si>
  <si>
    <t>ea68dcf2ddbc20ee</t>
  </si>
  <si>
    <t>30_09_2026_IQ_Noct.gpx</t>
  </si>
  <si>
    <t>ea68dcf2ddbc20ee9c4204fd85de82fad42c5536486aefc4bfd9cd996b6b30f1</t>
  </si>
  <si>
    <t>30/09/2026 16:48:36</t>
  </si>
  <si>
    <t>30/09/2026 23:55:18</t>
  </si>
  <si>
    <t>Inicio GPS anterior al horario: 01:11:24 antes de las 18:00.; Fin GPS dentro de la tolerancia del horario programado.; 5 hueco(s) GPS &gt;= 10 min.</t>
  </si>
  <si>
    <t>6.225570, -75.599332</t>
  </si>
  <si>
    <t>6.294171, -75.582820</t>
  </si>
  <si>
    <t>0aee5c24d8a08ec5</t>
  </si>
  <si>
    <t>30_09_2026_JHP_Noct.gpx</t>
  </si>
  <si>
    <t>0aee5c24d8a08ec5091ca828c3c5c9837fa8451b6df055fb02a2d7e02aa6f0dd</t>
  </si>
  <si>
    <t>30/09/2026 17:07:26</t>
  </si>
  <si>
    <t>01/10/2026 00:17:21</t>
  </si>
  <si>
    <t>Inicio GPS anterior al horario: 00:52:34 antes de las 18:00.; Fin GPS posterior: 00:17:21 después de las 00:00.</t>
  </si>
  <si>
    <t>6.226824, -75.599195</t>
  </si>
  <si>
    <t>6.290427, -75.546575</t>
  </si>
  <si>
    <t>de7d5603252942ad</t>
  </si>
  <si>
    <t>30_09_2026_JP_Noct.gpx</t>
  </si>
  <si>
    <t>de7d5603252942ada85328fb515221939c4a53af79be17ec17d8a3588bf56727</t>
  </si>
  <si>
    <t>30/09/2026 17:19:50</t>
  </si>
  <si>
    <t>30/09/2026 21:25:10</t>
  </si>
  <si>
    <t>Inicio GPS anterior al horario: 00:40:10 antes de las 18:00.; Fin GPS anticipado: 02:34:50 antes de las 00:00.</t>
  </si>
  <si>
    <t>6.228055, -75.599642</t>
  </si>
  <si>
    <t>6.251797, -75.551833</t>
  </si>
  <si>
    <t>1c0870d922c26ec1</t>
  </si>
  <si>
    <t>30_09_2026_LA_Noct.gpx</t>
  </si>
  <si>
    <t>1c0870d922c26ec19a7f22e1fd36ad2453230e4aff5e321c253e8992f45fb09e</t>
  </si>
  <si>
    <t>30/09/2026 17:38:58</t>
  </si>
  <si>
    <t>01/10/2026 00:00:10</t>
  </si>
  <si>
    <t>Inicio GPS anterior al horario: 00:21:02 antes de las 18:00.; Fin GPS dentro de la tolerancia del horario programado.; 3 hueco(s) GPS &gt;= 10 min.</t>
  </si>
  <si>
    <t>6.226787, -75.599262</t>
  </si>
  <si>
    <t>6.260170, -75.590198</t>
  </si>
  <si>
    <t>c32a8abfac3f0cbb</t>
  </si>
  <si>
    <t>01_10_2026_AO_Diur.gpx</t>
  </si>
  <si>
    <t>c32a8abfac3f0cbb861425af46f181a8243c374ba042a5af797b025cd293a190</t>
  </si>
  <si>
    <t>01/10/2026</t>
  </si>
  <si>
    <t>2026-10</t>
  </si>
  <si>
    <t>01/10/2026 09:34:03</t>
  </si>
  <si>
    <t>01/10/2026 17:04:27</t>
  </si>
  <si>
    <t>Inicio GPS tardío: 01:04:03 después de las 08:30.; Fin GPS posterior: 00:34:27 después de las 16:30.; 4 hueco(s) GPS &gt;= 10 min.; 1 permanencia(s) GPS detectada(s); requiere contexto.</t>
  </si>
  <si>
    <t>6.203297, -75.600991</t>
  </si>
  <si>
    <t>6.225552, -75.599130</t>
  </si>
  <si>
    <t>b5f0bf45945924ee</t>
  </si>
  <si>
    <t>01_10_2026_AR_Diur.gpx</t>
  </si>
  <si>
    <t>b5f0bf45945924eeed233dd1f781269a583139dfbff864997ef171ca82b7896b</t>
  </si>
  <si>
    <t>01/10/2026 09:04:46</t>
  </si>
  <si>
    <t>01/10/2026 16:17:14</t>
  </si>
  <si>
    <t>Inicio GPS tardío: 00:34:46 después de las 08:30.; Fin GPS dentro de la tolerancia del horario programado.; 2 hueco(s) GPS &gt;= 10 min.</t>
  </si>
  <si>
    <t>6.225631, -75.599385</t>
  </si>
  <si>
    <t>6.247747, -75.615037</t>
  </si>
  <si>
    <t>2bb4c020051e3381</t>
  </si>
  <si>
    <t>01_10_2026_DR_Diur.gpx</t>
  </si>
  <si>
    <t>2bb4c020051e3381d275fc2a1d744b82a2702f2085e6535d9c2e769ecb922275</t>
  </si>
  <si>
    <t>01/10/2026 09:28:38</t>
  </si>
  <si>
    <t>01/10/2026 16:29:24</t>
  </si>
  <si>
    <t>Inicio GPS tardío: 00:58:38 después de las 08:30.; Fin GPS dentro de la tolerancia del horario programado.; 2 hueco(s) GPS &gt;= 10 min.</t>
  </si>
  <si>
    <t>6.226977, -75.601635</t>
  </si>
  <si>
    <t>6.263678, -75.597012</t>
  </si>
  <si>
    <t>430141200c1e47c7</t>
  </si>
  <si>
    <t>01_10_2026_HC_Diur.gpx</t>
  </si>
  <si>
    <t>430141200c1e47c7c45b965db8507d1dc65af95a444f37a289e7c99051bdfd86</t>
  </si>
  <si>
    <t>01/10/2026 09:15:08</t>
  </si>
  <si>
    <t>01/10/2026 14:31:11</t>
  </si>
  <si>
    <t>Inicio GPS tardío: 00:45:08 después de las 08:30.; Fin GPS anticipado: 01:58:49 antes de las 16:30.</t>
  </si>
  <si>
    <t>6.225890, -75.599391</t>
  </si>
  <si>
    <t>6.304655, -75.569093</t>
  </si>
  <si>
    <t>2cab6e52e20f06ed</t>
  </si>
  <si>
    <t>01_10_2026_JA_Diur.gpx</t>
  </si>
  <si>
    <t>2cab6e52e20f06ed01b2a1f47f66b9b682689ef160a4003d79b00764edcf56b5</t>
  </si>
  <si>
    <t>01/10/2026 09:02:45</t>
  </si>
  <si>
    <t>01/10/2026 12:54:27</t>
  </si>
  <si>
    <t>Inicio GPS tardío: 00:32:45 después de las 08:30.; Fin GPS anticipado: 03:35:33 antes de las 16:30.</t>
  </si>
  <si>
    <t>6.225504, -75.599470</t>
  </si>
  <si>
    <t>6.236640, -75.559618</t>
  </si>
  <si>
    <t>ec846357b19abfae</t>
  </si>
  <si>
    <t>01_10_2026_JO_Diur.gpx</t>
  </si>
  <si>
    <t>ec846357b19abfae921d6e88f05a8363dccb7f3c0a29c20007544526b3411bfa</t>
  </si>
  <si>
    <t>01/10/2026 09:13:21</t>
  </si>
  <si>
    <t>01/10/2026 16:31:02</t>
  </si>
  <si>
    <t>Inicio GPS tardío: 00:43:21 después de las 08:30.; Fin GPS dentro de la tolerancia del horario programado.; 12 hueco(s) GPS &gt;= 10 min.; 1 permanencia(s) GPS detectada(s); requiere contexto.</t>
  </si>
  <si>
    <t>6.225577, -75.599403</t>
  </si>
  <si>
    <t>6.257788, -75.614191</t>
  </si>
  <si>
    <t>fad2dc235b63c1ec</t>
  </si>
  <si>
    <t>01_10_2026_JZ_Diur.gpx</t>
  </si>
  <si>
    <t>fad2dc235b63c1ec507431018e59133443622367dbb99a4b4cd6552a0418a62a</t>
  </si>
  <si>
    <t>01/10/2026 09:17:31</t>
  </si>
  <si>
    <t>01/10/2026 16:37:14</t>
  </si>
  <si>
    <t>Inicio GPS tardío: 00:47:31 después de las 08:30.; Fin GPS dentro de la tolerancia del horario programado.</t>
  </si>
  <si>
    <t>6.226567, -75.599173</t>
  </si>
  <si>
    <t>6.280118, -75.572308</t>
  </si>
  <si>
    <t>5f25d1d423ead8c0</t>
  </si>
  <si>
    <t>01_10_2026_SJ_Diur.gpx</t>
  </si>
  <si>
    <t>5f25d1d423ead8c030453c8cfba94b35fb6ffe31a1e151caddd65bd0591b36bd</t>
  </si>
  <si>
    <t>01/10/2026 08:59:51</t>
  </si>
  <si>
    <t>01/10/2026 16:28:22</t>
  </si>
  <si>
    <t>Inicio GPS tardío: 00:29:51 después de las 08:30.; Fin GPS dentro de la tolerancia del horario programado.</t>
  </si>
  <si>
    <t>6.225674, -75.599473</t>
  </si>
  <si>
    <t>6.304127, -75.581996</t>
  </si>
  <si>
    <t>c02bd79f578567ea</t>
  </si>
  <si>
    <t>01_10_2026_YL_Diur.gpx</t>
  </si>
  <si>
    <t>c02bd79f578567ea711c8aa642d38225310391b00b5e467caf67751bc3512d13</t>
  </si>
  <si>
    <t>01/10/2026 08:51:05</t>
  </si>
  <si>
    <t>01/10/2026 16:01:33</t>
  </si>
  <si>
    <t>Inicio GPS tardío: 00:21:05 después de las 08:30.; Fin GPS anticipado: 00:28:27 antes de las 16:30.; 1 hueco(s) GPS &gt;= 10 min.</t>
  </si>
  <si>
    <t>6.225526, -75.599444</t>
  </si>
  <si>
    <t>6.258196, -75.615996</t>
  </si>
  <si>
    <t>Se inició tarde el recorrido debido a capacitación de SSTT</t>
  </si>
  <si>
    <t>45ce0489dbd41294</t>
  </si>
  <si>
    <t>01_10_2026_DV_Noct.gpx</t>
  </si>
  <si>
    <t>45ce0489dbd4129473f5975af56c55383dc7002ca63aba9025b55d4533bddca4</t>
  </si>
  <si>
    <t>01/10/2026 16:47:18</t>
  </si>
  <si>
    <t>02/10/2026 00:18:12</t>
  </si>
  <si>
    <t>Inicio GPS anterior al horario: 01:12:42 antes de las 18:00.; Fin GPS posterior: 00:18:12 después de las 00:00.; 1 permanencia(s) GPS detectada(s); requiere contexto.</t>
  </si>
  <si>
    <t>6.225959, -75.599347</t>
  </si>
  <si>
    <t>6.272609, -75.602417</t>
  </si>
  <si>
    <t>a5865019b3da8b06</t>
  </si>
  <si>
    <t>01_10_2026_IQ_Noct.gpx</t>
  </si>
  <si>
    <t>a5865019b3da8b06bbf3725788ca0b1e1b459e8829b7b75c2f501a71f63920cd</t>
  </si>
  <si>
    <t>01/10/2026 16:59:31</t>
  </si>
  <si>
    <t>01/10/2026 23:42:28</t>
  </si>
  <si>
    <t>Inicio GPS anterior al horario: 01:00:29 antes de las 18:00.; Fin GPS anticipado: 00:17:32 antes de las 00:00.; 2 hueco(s) GPS &gt;= 10 min.</t>
  </si>
  <si>
    <t>6.225705, -75.599190</t>
  </si>
  <si>
    <t>6.295184, -75.554970</t>
  </si>
  <si>
    <t>73a450d8d2a5a73a</t>
  </si>
  <si>
    <t>01_10_2026_JHP_Noct.gpx</t>
  </si>
  <si>
    <t>73a450d8d2a5a73a8f4c1838150a60b678ab53372292019b0b1ad7afd20d62cb</t>
  </si>
  <si>
    <t>01/10/2026 17:33:15</t>
  </si>
  <si>
    <t>02/10/2026 01:02:42</t>
  </si>
  <si>
    <t>Inicio GPS anterior al horario: 00:26:45 antes de las 18:00.; Fin GPS posterior: 01:02:42 después de las 00:00.</t>
  </si>
  <si>
    <t>6.226865, -75.599376</t>
  </si>
  <si>
    <t>6.290404, -75.546580</t>
  </si>
  <si>
    <t>8c3b221084febd16</t>
  </si>
  <si>
    <t>01_10_2026_JP_Noct.gpx</t>
  </si>
  <si>
    <t>8c3b221084febd168ca23c8424974201e3351d7364ae431c34ddfd64c834b201</t>
  </si>
  <si>
    <t>01/10/2026 17:14:19</t>
  </si>
  <si>
    <t>01/10/2026 20:54:30</t>
  </si>
  <si>
    <t>Inicio GPS anterior al horario: 00:45:41 antes de las 18:00.; Fin GPS anticipado: 03:05:30 antes de las 00:00.; 1 hueco(s) GPS &gt;= 10 min.</t>
  </si>
  <si>
    <t>6.226025, -75.599370</t>
  </si>
  <si>
    <t>6.251767, -75.551830</t>
  </si>
  <si>
    <t>37c8b9ed40881b86</t>
  </si>
  <si>
    <t>01_10_2026_LA_Noct.gpx</t>
  </si>
  <si>
    <t>37c8b9ed40881b86418f46dfa5ab38c65bdea4f2b6480b215a3e55958cdd5ab4</t>
  </si>
  <si>
    <t>01/10/2026 17:31:45</t>
  </si>
  <si>
    <t>02/10/2026 00:21:08</t>
  </si>
  <si>
    <t>Inicio GPS anterior al horario: 00:28:15 antes de las 18:00.; Fin GPS posterior: 00:21:09 después de las 00:00.; 3 hueco(s) GPS &gt;= 10 min.; 1 permanencia(s) GPS detectada(s); requiere contexto.</t>
  </si>
  <si>
    <t>6.226470, -75.599548</t>
  </si>
  <si>
    <t>6.268432, -75.599477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</si>
</sst>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1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6" fontId="10" fillId="0" borderId="1" xfId="0" applyNumberFormat="1" applyFont="1" applyBorder="1" applyAlignment="1">
      <alignment horizontal="center" vertical="center"/>
    </xf>
    <xf numFmtId="0" fontId="8" fillId="0" borderId="0" xfId="0" pivotButton="1" applyFont="1"/>
    <xf numFmtId="0" fontId="8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46" fontId="2" fillId="0" borderId="1" xfId="0" applyNumberFormat="1" applyFont="1" applyBorder="1" applyAlignment="1">
      <alignment horizontal="center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26" formatCode="h:mm:ss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8</c:v>
                </c:pt>
                <c:pt idx="1">
                  <c:v>2</c:v>
                </c:pt>
                <c:pt idx="2">
                  <c:v>14</c:v>
                </c:pt>
                <c:pt idx="3">
                  <c:v>18</c:v>
                </c:pt>
                <c:pt idx="4">
                  <c:v>4</c:v>
                </c:pt>
                <c:pt idx="5">
                  <c:v>14</c:v>
                </c:pt>
                <c:pt idx="6">
                  <c:v>5</c:v>
                </c:pt>
                <c:pt idx="7">
                  <c:v>2</c:v>
                </c:pt>
                <c:pt idx="8">
                  <c:v>18</c:v>
                </c:pt>
                <c:pt idx="9">
                  <c:v>5</c:v>
                </c:pt>
                <c:pt idx="10">
                  <c:v>13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3</c:v>
                </c:pt>
                <c:pt idx="1">
                  <c:v>2</c:v>
                </c:pt>
                <c:pt idx="2">
                  <c:v>12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15</c:v>
                </c:pt>
                <c:pt idx="7">
                  <c:v>3</c:v>
                </c:pt>
                <c:pt idx="8">
                  <c:v>7</c:v>
                </c:pt>
                <c:pt idx="9">
                  <c:v>4</c:v>
                </c:pt>
                <c:pt idx="10">
                  <c:v>1</c:v>
                </c:pt>
                <c:pt idx="11">
                  <c:v>5</c:v>
                </c:pt>
                <c:pt idx="12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0.30244212962962957</c:v>
                </c:pt>
                <c:pt idx="1">
                  <c:v>0.46855324074074078</c:v>
                </c:pt>
                <c:pt idx="2">
                  <c:v>1.5733333333333337</c:v>
                </c:pt>
                <c:pt idx="3">
                  <c:v>1.4687152777777779</c:v>
                </c:pt>
                <c:pt idx="4">
                  <c:v>0.18077546296296296</c:v>
                </c:pt>
                <c:pt idx="5">
                  <c:v>0.55533564814814818</c:v>
                </c:pt>
                <c:pt idx="6">
                  <c:v>0.49004629629629637</c:v>
                </c:pt>
                <c:pt idx="7">
                  <c:v>0.19089120370370369</c:v>
                </c:pt>
                <c:pt idx="8">
                  <c:v>3.0831365740740742</c:v>
                </c:pt>
                <c:pt idx="9">
                  <c:v>1.1536689814814813</c:v>
                </c:pt>
                <c:pt idx="10">
                  <c:v>0.83086805555555565</c:v>
                </c:pt>
                <c:pt idx="11">
                  <c:v>0.13722222222222222</c:v>
                </c:pt>
                <c:pt idx="12">
                  <c:v>0</c:v>
                </c:pt>
                <c:pt idx="13">
                  <c:v>0.73365740740740737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45833" createdVersion="8" refreshedVersion="8" minRefreshableVersion="3" recordCount="272" xr:uid="{FDEF9B37-15CF-42E8-BC5E-E1CE4649CF2B}">
  <cacheSource type="worksheet">
    <worksheetSource ref="A1:AM549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24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52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d v="1899-12-30T00:32:13"/>
        <d v="1899-12-30T02:39:14"/>
        <d v="1899-12-30T00:17:08"/>
        <d v="1899-12-30T03:54:56"/>
        <d v="1899-12-30T00:16:28"/>
        <d v="1899-12-30T01:11:56"/>
        <d v="1899-12-30T00:31:10"/>
        <d v="1899-12-30T00:17:14"/>
        <d v="1899-12-30T02:35:31"/>
        <d v="1899-12-30T00:52:05"/>
        <d v="1899-12-30T04:19:51"/>
        <d v="1899-12-30T00:15:25"/>
        <d v="1899-12-30T00:23:21"/>
        <d v="1899-12-30T00:49:43"/>
        <d v="1899-12-30T01:18:43"/>
        <d v="1899-12-30T01:56:47"/>
        <d v="1899-12-30T04:25:34"/>
        <d v="1899-12-30T00:22:04"/>
        <d v="1899-12-30T00:23:20"/>
        <d v="1899-12-30T02:19:18"/>
        <d v="1899-12-30T01:06:21"/>
        <d v="1899-12-30T02:21:05"/>
        <d v="1899-12-30T03:07:41"/>
        <d v="1899-12-30T00:15:31"/>
        <d v="1899-12-30T01:52:54"/>
        <d v="1899-12-30T00:47:03"/>
        <d v="1899-12-30T00:18:49"/>
        <d v="1899-12-30T00:21:52"/>
        <d v="1899-12-30T02:12:10"/>
        <d v="1899-12-30T00:15:49"/>
        <d v="1899-12-30T00:25:17"/>
        <d v="1899-12-30T00:19:21"/>
        <d v="1899-12-30T00:20:57"/>
        <d v="1899-12-30T02:18:56"/>
        <d v="1899-12-30T01:35:18"/>
        <d v="1899-12-30T00:38:45"/>
        <d v="1899-12-30T03:42:09"/>
        <d v="1899-12-30T04:15:03"/>
        <d v="1899-12-30T00:23:59"/>
        <d v="1899-12-30T01:01:44"/>
        <d v="1899-12-30T01:08:28"/>
        <d v="1899-12-30T00:47:32"/>
        <d v="1899-12-30T02:01:34"/>
        <d v="1899-12-30T01:30:35"/>
        <d v="1899-12-30T03:05:02"/>
        <d v="1899-12-30T01:20:49"/>
        <d v="1899-12-30T00:52:22"/>
        <d v="1899-12-30T00:50:19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805554" createdVersion="8" refreshedVersion="8" minRefreshableVersion="3" recordCount="272" xr:uid="{4743F9B8-9139-4DCD-A807-2514F242574C}">
  <cacheSource type="worksheet">
    <worksheetSource ref="A1:AF1048568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25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6">
        <s v="INICIO TARDÍO"/>
        <s v="INICIO CUMPLE"/>
        <s v="INICIO ANTES DEL HORARIO"/>
        <s v="PARTE DE RECORRID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6">
        <s v="FIN CUMPLE"/>
        <s v="TERMINÓ ANTES"/>
        <s v="TERMINÓ DESPUÉS"/>
        <s v="PARTE DE RECORRIDO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4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4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4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4"/>
  </r>
  <r>
    <s v="574ed8d39c896c02"/>
    <s v="18_09_2026_AO_Diur.gpx"/>
    <s v="574ed8d39c896c0247f665ebcba8d2a772669a22f14ae0070f8da719917542de"/>
    <x v="15"/>
    <x v="0"/>
    <s v="Viernes"/>
    <x v="0"/>
    <s v="AO"/>
    <s v="DIURNO"/>
    <n v="6065"/>
    <s v="18/09/2026 08:35:14"/>
    <s v="08:30"/>
    <d v="1899-12-30T00:05:14"/>
    <s v="INICIO CUMPLE"/>
    <s v="18/09/2026 16:03:43"/>
    <s v="16:00"/>
    <d v="1899-12-30T00:03:43"/>
    <s v="FIN CUMPLE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  <s v="6.225611, -75.599078"/>
    <n v="6.2256109999999998"/>
    <n v="-75.599078000000006"/>
    <s v="6.238764, -75.607866"/>
    <n v="6.2387639999999998"/>
    <n v="-75.607866000000001"/>
    <x v="4"/>
  </r>
  <r>
    <s v="db75e5dbfc3c1eec"/>
    <s v="18_09_2026_AR_Diur.gpx"/>
    <s v="db75e5dbfc3c1eecb9afb154e5d6a0d39956d0605060534e537b415b99a07c0a"/>
    <x v="15"/>
    <x v="0"/>
    <s v="Viernes"/>
    <x v="1"/>
    <s v="AR"/>
    <s v="DIURNO"/>
    <n v="1949"/>
    <s v="18/09/2026 08:29:36"/>
    <s v="08:30"/>
    <d v="1899-12-30T00:00:24"/>
    <s v="INICIO CUMPLE"/>
    <s v="18/09/2026 16:01:24"/>
    <s v="16:00"/>
    <d v="1899-12-30T00:01:24"/>
    <s v="FIN CUMPLE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697, -75.599436"/>
    <n v="6.2256970000000003"/>
    <n v="-75.599435999999997"/>
    <s v="6.247761, -75.614860"/>
    <n v="6.2477609999999997"/>
    <n v="-75.614859999999993"/>
    <x v="4"/>
  </r>
  <r>
    <s v="28351e32ecc3aab7"/>
    <s v="18_09_2026_DR_Diur.gpx"/>
    <s v="28351e32ecc3aab71e662aabbd511301bdc231f6293fc5ff9d746e362336fe1a"/>
    <x v="15"/>
    <x v="0"/>
    <s v="Viernes"/>
    <x v="8"/>
    <s v="DR"/>
    <s v="DIURNO"/>
    <n v="1910"/>
    <s v="18/09/2026 08:37:58"/>
    <s v="08:30"/>
    <d v="1899-12-30T00:07:58"/>
    <s v="INICIO CUMPLE"/>
    <s v="18/09/2026 15:42:52"/>
    <s v="16:00"/>
    <d v="1899-12-30T00:17:08"/>
    <s v="TERMINÓ ANTES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  <s v="6.230816, -75.601884"/>
    <n v="6.2308159999999999"/>
    <n v="-75.601883999999998"/>
    <s v="6.239649, -75.608310"/>
    <n v="6.239649"/>
    <n v="-75.608310000000003"/>
    <x v="105"/>
  </r>
  <r>
    <s v="760f3e903b5a7381"/>
    <s v="18_09_2026_JA_Diur.gpx"/>
    <s v="760f3e903b5a7381a552db57ff0e37600bba53b1b5771d9f6458bc584420641b"/>
    <x v="15"/>
    <x v="0"/>
    <s v="Viernes"/>
    <x v="3"/>
    <s v="JA"/>
    <s v="DIURNO"/>
    <n v="2871"/>
    <s v="18/09/2026 08:43:57"/>
    <s v="08:30"/>
    <d v="1899-12-30T00:13:57"/>
    <s v="INICIO CUMPLE"/>
    <s v="18/09/2026 12:05:04"/>
    <s v="16:00"/>
    <d v="1899-12-30T03:54:56"/>
    <s v="TERMINÓ ANTES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  <s v="6.225685, -75.599091"/>
    <n v="6.2256850000000004"/>
    <n v="-75.599091000000001"/>
    <s v="6.237138, -75.558726"/>
    <n v="6.2371379999999998"/>
    <n v="-75.558725999999993"/>
    <x v="106"/>
  </r>
  <r>
    <s v="09ab39dc75e7d94d"/>
    <s v="18_09_2026_JO_Diur.gpx"/>
    <s v="09ab39dc75e7d94d5332ccc0420aa8c018154017de4e948142214b7b19dd0966"/>
    <x v="15"/>
    <x v="0"/>
    <s v="Viernes"/>
    <x v="4"/>
    <s v="JO"/>
    <s v="DIURNO"/>
    <n v="5700"/>
    <s v="18/09/2026 08:46:27"/>
    <s v="08:30"/>
    <d v="1899-12-30T00:16:28"/>
    <s v="INICIO TARDÍO"/>
    <s v="18/09/2026 16:00:31"/>
    <s v="16:00"/>
    <d v="1899-12-30T00:00:32"/>
    <s v="FIN CUMPLE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  <s v="6.225605, -75.599091"/>
    <n v="6.2256049999999998"/>
    <n v="-75.599091000000001"/>
    <s v="6.246771, -75.554138"/>
    <n v="6.2467709999999999"/>
    <n v="-75.554137999999995"/>
    <x v="107"/>
  </r>
  <r>
    <s v="9031de5bb9e7b3c5"/>
    <s v="18_09_2026_JZ_Diur.gpx"/>
    <s v="9031de5bb9e7b3c53e589e5b129dad5824953847aaa15e3f4a325f215adbb8cd"/>
    <x v="15"/>
    <x v="0"/>
    <s v="Viernes"/>
    <x v="5"/>
    <s v="JZ"/>
    <s v="DIURNO"/>
    <n v="5344"/>
    <s v="18/09/2026 08:10:59"/>
    <s v="08:30"/>
    <d v="1899-12-30T00:19:01"/>
    <s v="INICIO ANTES DEL HORARIO"/>
    <s v="18/09/2026 14:48:04"/>
    <s v="16:00"/>
    <d v="1899-12-30T01:11:56"/>
    <s v="TERMINÓ ANTES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  <s v="6.226691, -75.599234"/>
    <n v="6.2266909999999998"/>
    <n v="-75.599233999999996"/>
    <s v="6.241651, -75.516547"/>
    <n v="6.2416510000000001"/>
    <n v="-75.516547000000003"/>
    <x v="108"/>
  </r>
  <r>
    <s v="d4b7f60cdb6f56d4"/>
    <s v="18_09_2026_SJ_Diur.gpx"/>
    <s v="d4b7f60cdb6f56d4d15ed5e2a9c06189fdbb0bf21191b183fc95e0debaba2af6"/>
    <x v="15"/>
    <x v="0"/>
    <s v="Viernes"/>
    <x v="6"/>
    <s v="SJ"/>
    <s v="DIURNO"/>
    <n v="2704"/>
    <s v="18/09/2026 08:40:31"/>
    <s v="08:30"/>
    <d v="1899-12-30T00:10:31"/>
    <s v="INICIO CUMPLE"/>
    <s v="18/09/2026 15:28:50"/>
    <s v="16:00"/>
    <d v="1899-12-30T00:31:10"/>
    <s v="TERMINÓ ANTES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  <s v="6.225759, -75.599410"/>
    <n v="6.225759"/>
    <n v="-75.599410000000006"/>
    <s v="6.304929, -75.577502"/>
    <n v="6.3049289999999996"/>
    <n v="-75.577501999999996"/>
    <x v="109"/>
  </r>
  <r>
    <s v="6dd1257b59b28db6"/>
    <s v="18_09_2026_YL_Diur.gpx"/>
    <s v="6dd1257b59b28db66571c1c0235809e4044da3a8f08fe8f8e2c5599b906ad4eb"/>
    <x v="15"/>
    <x v="0"/>
    <s v="Viernes"/>
    <x v="7"/>
    <s v="YL"/>
    <s v="DIURNO"/>
    <n v="3812"/>
    <s v="18/09/2026 08:47:14"/>
    <s v="08:30"/>
    <d v="1899-12-30T00:17:14"/>
    <s v="INICIO TARDÍO"/>
    <s v="18/09/2026 15:59:49"/>
    <s v="16:00"/>
    <d v="1899-12-30T00:00:11"/>
    <s v="FIN CUMPLE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  <s v="6.225650, -75.599074"/>
    <n v="6.2256499999999999"/>
    <n v="-75.599074000000002"/>
    <s v="6.258732, -75.616245"/>
    <n v="6.2587320000000002"/>
    <n v="-75.616245000000006"/>
    <x v="110"/>
  </r>
  <r>
    <s v="08841ee0ded3204b"/>
    <s v="19_09_2026_DR_Diur.gpx"/>
    <s v="08841ee0ded3204baf0f20b9363ccba0e7e3c445dfce38bd70bfa3a7b5a4ec8c"/>
    <x v="16"/>
    <x v="0"/>
    <s v="Sábado"/>
    <x v="8"/>
    <s v="DR"/>
    <s v="DIURNO"/>
    <n v="1982"/>
    <s v="19/09/2026 09:28:26"/>
    <s v="08:30"/>
    <d v="1899-12-30T00:58:26"/>
    <s v="INICIO TARDÍO"/>
    <s v="19/09/2026 14:22:55"/>
    <s v="16:00"/>
    <d v="1899-12-30T01:37:05"/>
    <s v="TERMINÓ ANTES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  <s v="6.252651, -75.609697"/>
    <n v="6.2526510000000002"/>
    <n v="-75.609696999999997"/>
    <s v="6.243433, -75.602993"/>
    <n v="6.2434329999999996"/>
    <n v="-75.602992999999998"/>
    <x v="111"/>
  </r>
  <r>
    <s v="d7b664ef81ad9651"/>
    <s v="18_09_2026_DV_Noct1.gpx"/>
    <s v="d7b664ef81ad9651554f4d4fa4321cd936eac554b8e90b2d1b9a7efec9642fb0"/>
    <x v="15"/>
    <x v="0"/>
    <s v="Viernes"/>
    <x v="9"/>
    <s v="DV"/>
    <s v="NOCTURNO"/>
    <n v="2110"/>
    <s v="18/09/2026 18:14:24"/>
    <s v="18:00"/>
    <d v="1899-12-30T00:14:24"/>
    <s v="INICIO CUMPLE"/>
    <s v="18/09/2026 23:07:55"/>
    <s v="00:00"/>
    <d v="1899-12-30T00:52:05"/>
    <s v="TERMINÓ ANTES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  <s v="6.270135, -75.601358"/>
    <n v="6.2701349999999998"/>
    <n v="-75.601358000000005"/>
    <s v="6.246358, -75.604612"/>
    <n v="6.2463579999999999"/>
    <n v="-75.604612000000003"/>
    <x v="112"/>
  </r>
  <r>
    <s v="0b3b3e04436c9877"/>
    <s v="18_09_2026_DV_Noct2.gpx"/>
    <s v="0b3b3e04436c9877c98cc7e76170acac75d69b6bfb77bc702a6e8b91134c7379"/>
    <x v="15"/>
    <x v="0"/>
    <s v="Viernes"/>
    <x v="9"/>
    <s v="DV"/>
    <s v="NOCTURNO"/>
    <n v="3418"/>
    <s v="18/09/2026 22:19:50"/>
    <s v="18:00"/>
    <d v="1899-12-30T04:19:51"/>
    <s v="INICIO TARDÍO"/>
    <s v="19/09/2026 00:13:49"/>
    <s v="00:00"/>
    <d v="1899-12-30T00:13:49"/>
    <s v="FIN CUMPLE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  <s v="6.251355, -75.607428"/>
    <n v="6.2513550000000002"/>
    <n v="-75.607427999999999"/>
    <s v="6.272566, -75.602164"/>
    <n v="6.2725660000000003"/>
    <n v="-75.602164000000002"/>
    <x v="113"/>
  </r>
  <r>
    <s v="411c6fb03be049a0"/>
    <s v="18_09_2026_IQ_Noct.gpx"/>
    <s v="411c6fb03be049a075a3b26e6982874b7088874c41de9683287188622862b445"/>
    <x v="15"/>
    <x v="0"/>
    <s v="Viernes"/>
    <x v="10"/>
    <s v="IQ"/>
    <s v="NOCTURNO"/>
    <n v="1869"/>
    <s v="18/09/2026 18:02:40"/>
    <s v="18:00"/>
    <d v="1899-12-30T00:02:40"/>
    <s v="INICIO CUMPLE"/>
    <s v="18/09/2026 23:44:35"/>
    <s v="00:00"/>
    <d v="1899-12-30T00:15:25"/>
    <s v="TERMINÓ ANTES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  <s v="6.271953, -75.540673"/>
    <n v="6.2719529999999999"/>
    <n v="-75.540672999999998"/>
    <s v="6.264430, -75.570660"/>
    <n v="6.2644299999999999"/>
    <n v="-75.570660000000004"/>
    <x v="114"/>
  </r>
  <r>
    <s v="1c33940de6d83ac0"/>
    <s v="18_09_2026_JHP_Noct.gpx"/>
    <s v="1c33940de6d83ac0ea53dec915860f2c48d3fa189da38e1c9f34d7786ab4c7ba"/>
    <x v="15"/>
    <x v="0"/>
    <s v="Viernes"/>
    <x v="11"/>
    <s v="JHP"/>
    <s v="NOCTURNO"/>
    <n v="7141"/>
    <s v="18/09/2026 17:31:58"/>
    <s v="18:00"/>
    <d v="1899-12-30T00:28:02"/>
    <s v="INICIO ANTES DEL HORARIO"/>
    <s v="19/09/2026 00:21:47"/>
    <s v="00:00"/>
    <d v="1899-12-30T00:21:47"/>
    <s v="TERMINÓ DESPUÉS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  <s v="6.290363, -75.546539"/>
    <n v="6.2903630000000001"/>
    <n v="-75.546538999999996"/>
    <s v="6.290377, -75.546586"/>
    <n v="6.2903770000000003"/>
    <n v="-75.546586000000005"/>
    <x v="4"/>
  </r>
  <r>
    <s v="1f282216ee6e37f2"/>
    <s v="18_09_2026_JP_Noct.gpx"/>
    <s v="1f282216ee6e37f2520889c4282cf35711e63dfc3ceb4eb4602373514907a767"/>
    <x v="15"/>
    <x v="0"/>
    <s v="Viernes"/>
    <x v="12"/>
    <s v="JP"/>
    <s v="NOCTURNO"/>
    <n v="1651"/>
    <s v="18/09/2026 17:58:21"/>
    <s v="18:00"/>
    <d v="1899-12-30T00:01:39"/>
    <s v="INICIO CUMPLE"/>
    <s v="18/09/2026 23:59:00"/>
    <s v="00:00"/>
    <d v="1899-12-30T00:01:00"/>
    <s v="FIN CUMPLE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52467, -75.551827"/>
    <n v="6.2524670000000002"/>
    <n v="-75.551827000000003"/>
    <s v="6.251812, -75.551810"/>
    <n v="6.2518120000000001"/>
    <n v="-75.551810000000003"/>
    <x v="4"/>
  </r>
  <r>
    <s v="4eaa6f0e3139ce9c"/>
    <s v="18_09_2026_LA_Noct.gpx"/>
    <s v="4eaa6f0e3139ce9c3a1da9d13c538d9ea5f60c113e3a1e72c2c5288d79d3016e"/>
    <x v="15"/>
    <x v="0"/>
    <s v="Viernes"/>
    <x v="13"/>
    <s v="LA"/>
    <s v="NOCTURNO"/>
    <n v="11062"/>
    <s v="18/09/2026 17:27:27"/>
    <s v="18:00"/>
    <d v="1899-12-30T00:32:33"/>
    <s v="INICIO ANTES DEL HORARIO"/>
    <s v="19/09/2026 00:00:48"/>
    <s v="00:00"/>
    <d v="1899-12-30T00:00:48"/>
    <s v="FIN CUMPLE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  <s v="6.268908, -75.598983"/>
    <n v="6.2689079999999997"/>
    <n v="-75.598983000000004"/>
    <s v="6.239752, -75.575770"/>
    <n v="6.2397520000000002"/>
    <n v="-75.575770000000006"/>
    <x v="4"/>
  </r>
  <r>
    <s v="3045fae0d268338d"/>
    <s v="19_09_2026_AR_Noct.gpx"/>
    <s v="3045fae0d268338d25d3cd23bdd9fd7b7ab66535277cf52b510b0f2255c64b2c"/>
    <x v="16"/>
    <x v="0"/>
    <s v="Sábado"/>
    <x v="1"/>
    <s v="AR"/>
    <s v="NOCTURNO"/>
    <n v="1907"/>
    <s v="19/09/2026 18:23:21"/>
    <s v="18:00"/>
    <d v="1899-12-30T00:23:21"/>
    <s v="INICIO TARDÍO"/>
    <s v="20/09/2026 00:05:17"/>
    <s v="00:00"/>
    <d v="1899-12-30T00:05:17"/>
    <s v="FIN CUMPLE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  <s v="6.247751, -75.614997"/>
    <n v="6.2477510000000001"/>
    <n v="-75.614997000000002"/>
    <s v="6.247642, -75.614915"/>
    <n v="6.2476419999999999"/>
    <n v="-75.614914999999996"/>
    <x v="115"/>
  </r>
  <r>
    <s v="f5cb150a19768be1"/>
    <s v="21_09_2026_AO_Diur.gpx"/>
    <s v="f5cb150a19768be11f5f5f899eca0440e6e3b31b79532bd3d2717e1843b2aeee"/>
    <x v="17"/>
    <x v="0"/>
    <s v="Lunes"/>
    <x v="0"/>
    <s v="AO"/>
    <s v="DIURNO"/>
    <n v="5940"/>
    <s v="21/09/2026 09:19:43"/>
    <s v="08:30"/>
    <d v="1899-12-30T00:49:43"/>
    <s v="INICIO TARDÍO"/>
    <s v="21/09/2026 16:31:57"/>
    <s v="16:30"/>
    <d v="1899-12-30T00:01:58"/>
    <s v="FIN CUMPLE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  <s v="6.215855, -75.597796"/>
    <n v="6.2158550000000004"/>
    <n v="-75.597796000000002"/>
    <s v="6.232111, -75.597014"/>
    <n v="6.2321109999999997"/>
    <n v="-75.597014000000001"/>
    <x v="116"/>
  </r>
  <r>
    <s v="4af9429c979acd31"/>
    <s v="21_09_2026_AR_Diur.gpx"/>
    <s v="4af9429c979acd311095eb9d774c8740b3b098e341a257bcd082b7d3d591eaf8"/>
    <x v="17"/>
    <x v="0"/>
    <s v="Lunes"/>
    <x v="1"/>
    <s v="AR"/>
    <s v="DIURNO"/>
    <n v="2849"/>
    <s v="21/09/2026 08:30:35"/>
    <s v="08:30"/>
    <d v="1899-12-30T00:00:35"/>
    <s v="INICIO CUMPLE"/>
    <s v="21/09/2026 16:31:01"/>
    <s v="16:30"/>
    <d v="1899-12-30T00:01:01"/>
    <s v="FIN CUMPLE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  <s v="6.225557, -75.599429"/>
    <n v="6.2255570000000002"/>
    <n v="-75.599429000000001"/>
    <s v="6.247690, -75.614950"/>
    <n v="6.2476900000000004"/>
    <n v="-75.614949999999993"/>
    <x v="4"/>
  </r>
  <r>
    <s v="b710dc61d83a58bb"/>
    <s v="21_09_2026_DR_Diur.gpx"/>
    <s v="b710dc61d83a58bb2fd6232a2081ad7f1b35edb95d53d9681cfb5d0fc0a9002f"/>
    <x v="17"/>
    <x v="0"/>
    <s v="Lunes"/>
    <x v="8"/>
    <s v="DR"/>
    <s v="DIURNO"/>
    <n v="2438"/>
    <s v="21/09/2026 08:34:46"/>
    <s v="08:30"/>
    <d v="1899-12-30T00:04:46"/>
    <s v="INICIO CUMPLE"/>
    <s v="21/09/2026 15:11:17"/>
    <s v="16:30"/>
    <d v="1899-12-30T01:18:43"/>
    <s v="TERMINÓ ANTES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  <s v="6.229786, -75.602256"/>
    <n v="6.2297859999999998"/>
    <n v="-75.602255999999997"/>
    <s v="6.250664, -75.602300"/>
    <n v="6.2506640000000004"/>
    <n v="-75.6023"/>
    <x v="117"/>
  </r>
  <r>
    <s v="df723bcb444a9b89"/>
    <s v="21_09_2026_HC_Diur.gpx"/>
    <s v="df723bcb444a9b89a96cfe59b0b091589c7ded961c305d4de77c75f601da7f63"/>
    <x v="17"/>
    <x v="0"/>
    <s v="Lunes"/>
    <x v="2"/>
    <s v="HC"/>
    <s v="DIURNO"/>
    <n v="4843"/>
    <s v="21/09/2026 08:20:27"/>
    <s v="08:30"/>
    <d v="1899-12-30T00:09:33"/>
    <s v="INICIO CUMPLE"/>
    <s v="21/09/2026 14:33:13"/>
    <s v="16:30"/>
    <d v="1899-12-30T01:56:47"/>
    <s v="TERMINÓ ANTES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  <s v="6.225705, -75.599133"/>
    <n v="6.2257049999999996"/>
    <n v="-75.599132999999995"/>
    <s v="6.272694, -75.593395"/>
    <n v="6.2726940000000004"/>
    <n v="-75.593395000000001"/>
    <x v="118"/>
  </r>
  <r>
    <s v="6f27f1f7911931ca"/>
    <s v="21_09_2026_JA_Diur.gpx"/>
    <s v="6f27f1f7911931ca3828937e00b0d9d7e4b7f2e3b4a744bbd82905cb69fa15fb"/>
    <x v="17"/>
    <x v="0"/>
    <s v="Lunes"/>
    <x v="3"/>
    <s v="JA"/>
    <s v="DIURNO"/>
    <n v="3629"/>
    <s v="21/09/2026 08:36:56"/>
    <s v="08:30"/>
    <d v="1899-12-30T00:06:56"/>
    <s v="INICIO CUMPLE"/>
    <s v="21/09/2026 12:04:26"/>
    <s v="16:30"/>
    <d v="1899-12-30T04:25:34"/>
    <s v="TERMINÓ ANTES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  <s v="6.225869, -75.599106"/>
    <n v="6.2258690000000003"/>
    <n v="-75.599106000000006"/>
    <s v="6.239244, -75.561041"/>
    <n v="6.2392440000000002"/>
    <n v="-75.561041000000003"/>
    <x v="119"/>
  </r>
  <r>
    <s v="27e8aa2b9041b83e"/>
    <s v="21_09_2026_JO_Diur.gpx"/>
    <s v="27e8aa2b9041b83e20a191f2772b4630e814d805f38d3a0411d9332a0dae3660"/>
    <x v="17"/>
    <x v="0"/>
    <s v="Lunes"/>
    <x v="4"/>
    <s v="JO"/>
    <s v="DIURNO"/>
    <n v="6889"/>
    <s v="21/09/2026 08:37:28"/>
    <s v="08:30"/>
    <d v="1899-12-30T00:07:29"/>
    <s v="INICIO CUMPLE"/>
    <s v="21/09/2026 16:43:37"/>
    <s v="16:30"/>
    <d v="1899-12-30T00:13:37"/>
    <s v="FIN CUMPLE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25603, -75.599496"/>
    <n v="6.2256030000000004"/>
    <n v="-75.599496000000002"/>
    <s v="6.259267, -75.620907"/>
    <n v="6.2592670000000004"/>
    <n v="-75.620907000000003"/>
    <x v="4"/>
  </r>
  <r>
    <s v="dde7444915f2b4e9"/>
    <s v="21_09_2026_JZ_Diur.gpx"/>
    <s v="dde7444915f2b4e92aec2f1f976d41ad31491801b484ddb32cf638a5e3f4489c"/>
    <x v="17"/>
    <x v="0"/>
    <s v="Lunes"/>
    <x v="5"/>
    <s v="JZ"/>
    <s v="DIURNO"/>
    <n v="6424"/>
    <s v="21/09/2026 08:24:13"/>
    <s v="08:30"/>
    <d v="1899-12-30T00:05:47"/>
    <s v="INICIO CUMPLE"/>
    <s v="21/09/2026 16:37:06"/>
    <s v="16:30"/>
    <d v="1899-12-30T00:07:06"/>
    <s v="FIN CUMPLE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45, -75.599253"/>
    <n v="6.2266450000000004"/>
    <n v="-75.599253000000004"/>
    <s v="6.279198, -75.569200"/>
    <n v="6.2791980000000001"/>
    <n v="-75.569199999999995"/>
    <x v="4"/>
  </r>
  <r>
    <s v="b634bea971084078"/>
    <s v="21_09_2026_SJ_Diur.gpx"/>
    <s v="b634bea971084078b58e036e265cc4e8a09286138fc0ba3da01e624fcd462fef"/>
    <x v="17"/>
    <x v="0"/>
    <s v="Lunes"/>
    <x v="6"/>
    <s v="SJ"/>
    <s v="DIURNO"/>
    <n v="3387"/>
    <s v="21/09/2026 08:26:09"/>
    <s v="08:30"/>
    <d v="1899-12-30T00:03:51"/>
    <s v="INICIO CUMPLE"/>
    <s v="21/09/2026 16:07:56"/>
    <s v="16:30"/>
    <d v="1899-12-30T00:22:04"/>
    <s v="TERMINÓ ANTES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  <s v="6.225533, -75.599530"/>
    <n v="6.2255330000000004"/>
    <n v="-75.599530000000001"/>
    <s v="6.305275, -75.581861"/>
    <n v="6.305275"/>
    <n v="-75.581861000000004"/>
    <x v="120"/>
  </r>
  <r>
    <s v="04d5b448cbe1d3e9"/>
    <s v="21_09_2026_YL_Diur.gpx"/>
    <s v="04d5b448cbe1d3e9f8fbfd0ec274e7c976ba2c0c9862da1199250c1f56a6b3e4"/>
    <x v="17"/>
    <x v="0"/>
    <s v="Lunes"/>
    <x v="7"/>
    <s v="YL"/>
    <s v="DIURNO"/>
    <n v="2857"/>
    <s v="21/09/2026 08:53:20"/>
    <s v="08:30"/>
    <d v="1899-12-30T00:23:20"/>
    <s v="INICIO TARDÍO"/>
    <s v="21/09/2026 16:34:39"/>
    <s v="16:30"/>
    <d v="1899-12-30T00:04:39"/>
    <s v="FIN CUMPLE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  <s v="6.225541, -75.599001"/>
    <n v="6.2255409999999998"/>
    <n v="-75.599001000000001"/>
    <s v="6.258346, -75.615844"/>
    <n v="6.2583460000000004"/>
    <n v="-75.615843999999996"/>
    <x v="121"/>
  </r>
  <r>
    <s v="4884f203cb19cd6f"/>
    <s v="21_09_2026_DV_Noct.gpx"/>
    <s v="4884f203cb19cd6f079a749132d411d17323f85c044649c665815bb14f94daf2"/>
    <x v="17"/>
    <x v="0"/>
    <s v="Lunes"/>
    <x v="9"/>
    <s v="DV"/>
    <s v="NOCTURNO"/>
    <n v="6533"/>
    <s v="21/09/2026 16:49:40"/>
    <s v="18:00"/>
    <d v="1899-12-30T01:10:20"/>
    <s v="INICIO ANTES DEL HORARIO"/>
    <s v="22/09/2026 00:19:36"/>
    <s v="00:00"/>
    <d v="1899-12-30T00:19:36"/>
    <s v="TERMINÓ DESPUÉS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  <s v="6.230358, -75.596036"/>
    <n v="6.2303579999999998"/>
    <n v="-75.596035999999998"/>
    <s v="6.272685, -75.601995"/>
    <n v="6.2726850000000001"/>
    <n v="-75.601995000000002"/>
    <x v="4"/>
  </r>
  <r>
    <s v="9e22990e3b4a2ca1"/>
    <s v="21_09_2026_JHP_Noct.gpx"/>
    <s v="9e22990e3b4a2ca1d3a52ec4fc41e1d02c472c3565f3e888499da61f9f20fd26"/>
    <x v="17"/>
    <x v="0"/>
    <s v="Lunes"/>
    <x v="11"/>
    <s v="JHP"/>
    <s v="NOCTURNO"/>
    <n v="6535"/>
    <s v="21/09/2026 17:13:19"/>
    <s v="18:00"/>
    <d v="1899-12-30T00:46:41"/>
    <s v="INICIO ANTES DEL HORARIO"/>
    <s v="21/09/2026 23:53:16"/>
    <s v="00:00"/>
    <d v="1899-12-30T00:06:44"/>
    <s v="FIN CUMPLE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  <s v="6.226799, -75.599269"/>
    <n v="6.2267989999999998"/>
    <n v="-75.599269000000007"/>
    <s v="6.290376, -75.546627"/>
    <n v="6.2903760000000002"/>
    <n v="-75.546627000000001"/>
    <x v="4"/>
  </r>
  <r>
    <s v="835e20c04a53828a"/>
    <s v="21_09_2026_JP_Noct.gpx"/>
    <s v="835e20c04a53828ac368be1f9fdba8cf009f6fbc15008e849ce99879df0dfc8c"/>
    <x v="17"/>
    <x v="0"/>
    <s v="Lunes"/>
    <x v="12"/>
    <s v="JP"/>
    <s v="NOCTURNO"/>
    <n v="2501"/>
    <s v="21/09/2026 17:18:13"/>
    <s v="18:00"/>
    <d v="1899-12-30T00:41:47"/>
    <s v="INICIO ANTES DEL HORARIO"/>
    <s v="21/09/2026 21:40:42"/>
    <s v="00:00"/>
    <d v="1899-12-30T02:19:18"/>
    <s v="TERMINÓ ANTES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  <s v="6.227053, -75.599640"/>
    <n v="6.2270529999999997"/>
    <n v="-75.599639999999994"/>
    <s v="6.251827, -75.551843"/>
    <n v="6.2518269999999996"/>
    <n v="-75.551843000000005"/>
    <x v="122"/>
  </r>
  <r>
    <s v="b907b156e6a5331b"/>
    <s v="21_09_2026_LA_Noct.gpx"/>
    <s v="b907b156e6a5331be632ae339c782b82f2745169ca62414b285562508b1a292d"/>
    <x v="17"/>
    <x v="0"/>
    <s v="Lunes"/>
    <x v="13"/>
    <s v="LA"/>
    <s v="NOCTURNO"/>
    <n v="7696"/>
    <s v="21/09/2026 17:05:19"/>
    <s v="18:00"/>
    <d v="1899-12-30T00:54:41"/>
    <s v="INICIO ANTES DEL HORARIO"/>
    <s v="21/09/2026 23:58:09"/>
    <s v="00:00"/>
    <d v="1899-12-30T00:01:51"/>
    <s v="FIN CUMPLE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  <s v="6.226718, -75.599287"/>
    <n v="6.226718"/>
    <n v="-75.599287000000004"/>
    <s v="6.261535, -75.592328"/>
    <n v="6.2615350000000003"/>
    <n v="-75.592327999999995"/>
    <x v="4"/>
  </r>
  <r>
    <s v="74495a6fa19689de"/>
    <s v="21_09_2026_IQ_Noct.gpx"/>
    <s v="74495a6fa19689dec156654a51031c211e6db1b376f23ddef8a0e02cd742a84e"/>
    <x v="17"/>
    <x v="0"/>
    <s v="Lunes"/>
    <x v="10"/>
    <s v="IQ"/>
    <s v="NOCTURNO"/>
    <n v="1903"/>
    <s v="21/09/2026 16:52:55"/>
    <s v="18:00"/>
    <d v="1899-12-30T01:07:05"/>
    <s v="INICIO ANTES DEL HORARIO"/>
    <s v="21/09/2026 23:52:10"/>
    <s v="00:00"/>
    <d v="1899-12-30T00:07:50"/>
    <s v="FIN CUMPLE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  <s v="6.264430, -75.570660"/>
    <n v="6.2644299999999999"/>
    <n v="-75.570660000000004"/>
    <s v="6.307972, -75.566957"/>
    <n v="6.3079720000000004"/>
    <n v="-75.566957000000002"/>
    <x v="4"/>
  </r>
  <r>
    <s v="2a5d12d522d0ec56"/>
    <s v="22_09_2026_AO_Diur.gpx"/>
    <s v="2a5d12d522d0ec56261ab7d8d6b1630a43e635bab73594f1404ba06b34c31210"/>
    <x v="18"/>
    <x v="0"/>
    <s v="Martes"/>
    <x v="0"/>
    <s v="AO"/>
    <s v="DIURNO"/>
    <n v="7151"/>
    <s v="22/09/2026 08:59:19"/>
    <s v="08:30"/>
    <d v="1899-12-30T00:29:20"/>
    <s v="INICIO TARDÍO"/>
    <s v="22/09/2026 15:52:59"/>
    <s v="16:30"/>
    <d v="1899-12-30T00:37:01"/>
    <s v="TERMINÓ ANTES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  <s v="6.202817, -75.600998"/>
    <n v="6.2028169999999996"/>
    <n v="-75.600998000000004"/>
    <s v="6.221707, -75.593844"/>
    <n v="6.2217070000000003"/>
    <n v="-75.593844000000004"/>
    <x v="123"/>
  </r>
  <r>
    <s v="7dc74d5317f3bd9f"/>
    <s v="22_09_2026_AR_Diur.gpx"/>
    <s v="7dc74d5317f3bd9fe1c3149f518fceb8b65009e52b7a0f0f33c11d75a47426b8"/>
    <x v="18"/>
    <x v="0"/>
    <s v="Martes"/>
    <x v="1"/>
    <s v="AR"/>
    <s v="DIURNO"/>
    <n v="3653"/>
    <s v="22/09/2026 08:02:58"/>
    <s v="08:30"/>
    <d v="1899-12-30T00:27:02"/>
    <s v="INICIO ANTES DEL HORARIO"/>
    <s v="22/09/2026 16:27:39"/>
    <s v="16:30"/>
    <d v="1899-12-30T00:02:21"/>
    <s v="FIN CUMPLE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  <s v="6.225834, -75.599425"/>
    <n v="6.2258339999999999"/>
    <n v="-75.599424999999997"/>
    <s v="6.243712, -75.598613"/>
    <n v="6.2437120000000004"/>
    <n v="-75.598613"/>
    <x v="4"/>
  </r>
  <r>
    <s v="70230eb672e9cc1f"/>
    <s v="22_09_2026_DR_Diur.gpx"/>
    <s v="70230eb672e9cc1f3460be4ad96f5705a18da9ce7ecdad2e58586d5e223e77af"/>
    <x v="18"/>
    <x v="0"/>
    <s v="Martes"/>
    <x v="8"/>
    <s v="DR"/>
    <s v="DIURNO"/>
    <n v="1798"/>
    <s v="22/09/2026 08:32:25"/>
    <s v="08:30"/>
    <d v="1899-12-30T00:02:25"/>
    <s v="INICIO CUMPLE"/>
    <s v="22/09/2026 16:42:18"/>
    <s v="16:30"/>
    <d v="1899-12-30T00:12:18"/>
    <s v="FIN CUMPLE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35689, -75.602202"/>
    <n v="6.2356889999999998"/>
    <n v="-75.602202000000005"/>
    <s v="6.256139, -75.598315"/>
    <n v="6.2561390000000001"/>
    <n v="-75.598314999999999"/>
    <x v="4"/>
  </r>
  <r>
    <s v="98c040a5bcec5b7b"/>
    <s v="22_09_2026_HC_Diur.gpx"/>
    <s v="98c040a5bcec5b7bf78e262a0f96c39560ec3f7438dae6d9eda28651eefdd49d"/>
    <x v="18"/>
    <x v="0"/>
    <s v="Martes"/>
    <x v="2"/>
    <s v="HC"/>
    <s v="DIURNO"/>
    <n v="3615"/>
    <s v="22/09/2026 08:22:01"/>
    <s v="08:30"/>
    <d v="1899-12-30T00:07:59"/>
    <s v="INICIO CUMPLE"/>
    <s v="22/09/2026 14:08:55"/>
    <s v="16:30"/>
    <d v="1899-12-30T02:21:05"/>
    <s v="TERMINÓ ANTES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  <s v="6.225723, -75.599263"/>
    <n v="6.2257230000000003"/>
    <n v="-75.599262999999993"/>
    <s v="6.259351, -75.597240"/>
    <n v="6.2593509999999997"/>
    <n v="-75.597239999999999"/>
    <x v="124"/>
  </r>
  <r>
    <s v="244c815a07a75689"/>
    <s v="22_09_2026_JA_Diur.gpx"/>
    <s v="244c815a07a75689811bc095a5e4a5678d913ccb5415086f04a495333900a1b9"/>
    <x v="18"/>
    <x v="0"/>
    <s v="Martes"/>
    <x v="3"/>
    <s v="JA"/>
    <s v="DIURNO"/>
    <n v="3597"/>
    <s v="22/09/2026 08:33:40"/>
    <s v="08:30"/>
    <d v="1899-12-30T00:03:40"/>
    <s v="INICIO CUMPLE"/>
    <s v="22/09/2026 13:22:19"/>
    <s v="16:30"/>
    <d v="1899-12-30T03:07:41"/>
    <s v="TERMINÓ ANTES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  <s v="6.225658, -75.599198"/>
    <n v="6.2256580000000001"/>
    <n v="-75.599198000000001"/>
    <s v="6.236572, -75.558755"/>
    <n v="6.2365719999999998"/>
    <n v="-75.558755000000005"/>
    <x v="125"/>
  </r>
  <r>
    <s v="6c10f9a23867b808"/>
    <s v="22_09_2026_JO_Diur.gpx"/>
    <s v="6c10f9a23867b80804f0e0d3026cbd2377a4e84295aabb81f604aef45752b27f"/>
    <x v="18"/>
    <x v="0"/>
    <s v="Martes"/>
    <x v="4"/>
    <s v="JO"/>
    <s v="DIURNO"/>
    <n v="6586"/>
    <s v="22/09/2026 08:20:47"/>
    <s v="08:30"/>
    <d v="1899-12-30T00:09:12"/>
    <s v="INICIO CUMPLE"/>
    <s v="22/09/2026 16:34:54"/>
    <s v="16:30"/>
    <d v="1899-12-30T00:04:55"/>
    <s v="FIN CUMPLE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  <s v="6.225457, -75.599381"/>
    <n v="6.2254569999999996"/>
    <n v="-75.599380999999994"/>
    <s v="6.259262, -75.620933"/>
    <n v="6.2592619999999997"/>
    <n v="-75.620932999999994"/>
    <x v="4"/>
  </r>
  <r>
    <s v="f27b71b164cba290"/>
    <s v="22_09_2026_JZ_Diur.gpx"/>
    <s v="f27b71b164cba290e70f9cddfe830ad09af83e603900c2951d4a153691fc0b60"/>
    <x v="18"/>
    <x v="0"/>
    <s v="Martes"/>
    <x v="5"/>
    <s v="JZ"/>
    <s v="DIURNO"/>
    <n v="4949"/>
    <s v="22/09/2026 08:30:53"/>
    <s v="08:30"/>
    <d v="1899-12-30T00:00:53"/>
    <s v="INICIO CUMPLE"/>
    <s v="22/09/2026 16:32:51"/>
    <s v="16:30"/>
    <d v="1899-12-30T00:02:51"/>
    <s v="FIN CUMPLE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507, -75.599345"/>
    <n v="6.2265069999999998"/>
    <n v="-75.599345"/>
    <s v="6.279424, -75.569649"/>
    <n v="6.2794239999999997"/>
    <n v="-75.569648999999998"/>
    <x v="4"/>
  </r>
  <r>
    <s v="0b975ab9cf7f549f"/>
    <s v="22_09_2026_SJ_Diur.gpx"/>
    <s v="0b975ab9cf7f549facbafc790c2cc7d87714627553ac9528f465dd26e9525b18"/>
    <x v="18"/>
    <x v="0"/>
    <s v="Martes"/>
    <x v="6"/>
    <s v="SJ"/>
    <s v="DIURNO"/>
    <n v="2061"/>
    <s v="22/09/2026 08:22:52"/>
    <s v="08:30"/>
    <d v="1899-12-30T00:07:08"/>
    <s v="INICIO CUMPLE"/>
    <s v="22/09/2026 16:24:55"/>
    <s v="16:30"/>
    <d v="1899-12-30T00:05:05"/>
    <s v="FIN CUMPLE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03, -75.599447"/>
    <n v="6.2257030000000002"/>
    <n v="-75.599446999999998"/>
    <s v="6.308651, -75.580760"/>
    <n v="6.3086510000000002"/>
    <n v="-75.580759999999998"/>
    <x v="4"/>
  </r>
  <r>
    <s v="08614fea07320d08"/>
    <s v="22_09_2026_YL_Diur.gpx"/>
    <s v="08614fea07320d08084c2296fd70d2e13d8b0c1f17fdd4872e33583594595dbf"/>
    <x v="18"/>
    <x v="0"/>
    <s v="Martes"/>
    <x v="7"/>
    <s v="YL"/>
    <s v="DIURNO"/>
    <n v="3254"/>
    <s v="22/09/2026 08:32:21"/>
    <s v="08:30"/>
    <d v="1899-12-30T00:02:21"/>
    <s v="INICIO CUMPLE"/>
    <s v="22/09/2026 16:33:25"/>
    <s v="16:30"/>
    <d v="1899-12-30T00:03:25"/>
    <s v="FIN CUMPLE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57, -75.599180"/>
    <n v="6.2257569999999998"/>
    <n v="-75.599180000000004"/>
    <s v="6.258719, -75.616753"/>
    <n v="6.2587190000000001"/>
    <n v="-75.616753000000003"/>
    <x v="4"/>
  </r>
  <r>
    <s v="22e3cf1e69577752"/>
    <s v="22_09_2026_IQ_Noct.gpx"/>
    <s v="22e3cf1e6957775221afa64285023da562984dae936caa954ee47dc6fc339b1e"/>
    <x v="18"/>
    <x v="0"/>
    <s v="Martes"/>
    <x v="10"/>
    <s v="IQ"/>
    <s v="NOCTURNO"/>
    <n v="3626"/>
    <s v="22/09/2026 16:26:00"/>
    <s v="18:00"/>
    <d v="1899-12-30T01:34:00"/>
    <s v="INICIO ANTES DEL HORARIO"/>
    <s v="22/09/2026 23:44:29"/>
    <s v="00:00"/>
    <d v="1899-12-30T00:15:31"/>
    <s v="TERMINÓ ANTES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  <s v="6.225582, -75.599125"/>
    <n v="6.2255820000000002"/>
    <n v="-75.599125000000001"/>
    <s v="6.243778, -75.556727"/>
    <n v="6.2437779999999998"/>
    <n v="-75.556726999999995"/>
    <x v="126"/>
  </r>
  <r>
    <s v="030c093ed850598e"/>
    <s v="22_09_2026_JHP_Noct.gpx"/>
    <s v="030c093ed850598ec0b41fe7b3c85401960f95f2dbbed6b59963263368016517"/>
    <x v="18"/>
    <x v="0"/>
    <s v="Martes"/>
    <x v="11"/>
    <s v="JHP"/>
    <s v="NOCTURNO"/>
    <n v="6526"/>
    <s v="22/09/2026 17:21:13"/>
    <s v="18:00"/>
    <d v="1899-12-30T00:38:47"/>
    <s v="INICIO ANTES DEL HORARIO"/>
    <s v="23/09/2026 00:01:55"/>
    <s v="00:00"/>
    <d v="1899-12-30T00:01:55"/>
    <s v="FIN CUMPLE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  <s v="6.226689, -75.599312"/>
    <n v="6.2266890000000004"/>
    <n v="-75.599311999999998"/>
    <s v="6.290541, -75.546397"/>
    <n v="6.2905410000000002"/>
    <n v="-75.546396999999999"/>
    <x v="4"/>
  </r>
  <r>
    <s v="6c6a01bf19af2e78"/>
    <s v="22_09_2026_JP_Noct.gpx"/>
    <s v="6c6a01bf19af2e78e9bcfc6cc317e47b2a3f8fca1ba9f4a003178fda7d114836"/>
    <x v="18"/>
    <x v="0"/>
    <s v="Martes"/>
    <x v="12"/>
    <s v="JP"/>
    <s v="NOCTURNO"/>
    <n v="2470"/>
    <s v="22/09/2026 17:43:40"/>
    <s v="18:00"/>
    <d v="1899-12-30T00:16:20"/>
    <s v="INICIO ANTES DEL HORARIO"/>
    <s v="22/09/2026 22:07:06"/>
    <s v="00:00"/>
    <d v="1899-12-30T01:52:54"/>
    <s v="TERMINÓ ANTES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  <s v="6.226945, -75.599697"/>
    <n v="6.2269449999999997"/>
    <n v="-75.599697000000006"/>
    <s v="6.251832, -75.551803"/>
    <n v="6.2518320000000003"/>
    <n v="-75.551803000000007"/>
    <x v="127"/>
  </r>
  <r>
    <s v="43299031c0ccff50"/>
    <s v="22_09_2026_DV_Noct.gpx"/>
    <s v="43299031c0ccff50294b6f975c848301f36803586ffe271406e537e2a79cdfa0"/>
    <x v="18"/>
    <x v="0"/>
    <s v="Martes"/>
    <x v="9"/>
    <s v="DV"/>
    <s v="NOCTURNO"/>
    <n v="4471"/>
    <s v="22/09/2026 16:55:24"/>
    <s v="18:00"/>
    <d v="1899-12-30T01:04:36"/>
    <s v="INICIO ANTES DEL HORARIO"/>
    <s v="23/09/2026 00:21:54"/>
    <s v="00:00"/>
    <d v="1899-12-30T00:21:54"/>
    <s v="TERMINÓ DESPUÉS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  <s v="6.263043, -75.595582"/>
    <n v="6.2630429999999997"/>
    <n v="-75.595581999999993"/>
    <s v="6.272825, -75.602050"/>
    <n v="6.2728250000000001"/>
    <n v="-75.602050000000006"/>
    <x v="4"/>
  </r>
  <r>
    <s v="e2ed9061be63926a"/>
    <s v="22_09_2026_LA_Noct.gpx"/>
    <s v="e2ed9061be63926a391cd48dc7c044e90a74ac21cbda166b2d4e8ac09b45c814"/>
    <x v="18"/>
    <x v="0"/>
    <s v="Martes"/>
    <x v="13"/>
    <s v="LA"/>
    <s v="NOCTURNO"/>
    <n v="7824"/>
    <s v="22/09/2026 17:01:15"/>
    <s v="18:00"/>
    <d v="1899-12-30T00:58:45"/>
    <s v="INICIO ANTES DEL HORARIO"/>
    <s v="22/09/2026 23:57:14"/>
    <s v="00:00"/>
    <d v="1899-12-30T00:02:46"/>
    <s v="FIN CUMPLE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  <s v="6.226620, -75.598615"/>
    <n v="6.2266199999999996"/>
    <n v="-75.598614999999995"/>
    <s v="6.252440, -75.582687"/>
    <n v="6.25244"/>
    <n v="-75.582687000000007"/>
    <x v="4"/>
  </r>
  <r>
    <s v="27bf9ccc57f408d3"/>
    <s v="23_09_2026_AO_Diur.gpx"/>
    <s v="27bf9ccc57f408d3a1e58989de7178cb85dd167049fa727b70aa3a0879a845cb"/>
    <x v="19"/>
    <x v="0"/>
    <s v="Miércoles"/>
    <x v="0"/>
    <s v="AO"/>
    <s v="DIURNO"/>
    <n v="5959"/>
    <s v="23/09/2026 09:17:02"/>
    <s v="08:30"/>
    <d v="1899-12-30T00:47:03"/>
    <s v="INICIO TARDÍO"/>
    <s v="23/09/2026 17:09:42"/>
    <s v="16:30"/>
    <d v="1899-12-30T00:39:43"/>
    <s v="TERMINÓ DESPUÉS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  <s v="6.203335, -75.600755"/>
    <n v="6.203335"/>
    <n v="-75.600755000000007"/>
    <s v="6.233316, -75.603455"/>
    <n v="6.2333160000000003"/>
    <n v="-75.603454999999997"/>
    <x v="128"/>
  </r>
  <r>
    <s v="7a91edd00a841142"/>
    <s v="23_09_2026_AR_Diur.gpx"/>
    <s v="7a91edd00a8411422c22e48ab6aa40db972723a3e6f81e1d911b47c901f33c40"/>
    <x v="19"/>
    <x v="0"/>
    <s v="Miércoles"/>
    <x v="1"/>
    <s v="AR"/>
    <s v="DIURNO"/>
    <n v="1868"/>
    <s v="23/09/2026 08:16:16"/>
    <s v="08:30"/>
    <d v="1899-12-30T00:13:44"/>
    <s v="INICIO CUMPLE"/>
    <s v="23/09/2026 16:11:11"/>
    <s v="16:30"/>
    <d v="1899-12-30T00:18:49"/>
    <s v="TERMINÓ ANTES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  <s v="6.225747, -75.599410"/>
    <n v="6.2257470000000001"/>
    <n v="-75.599410000000006"/>
    <s v="6.255957, -75.616418"/>
    <n v="6.2559570000000004"/>
    <n v="-75.616417999999996"/>
    <x v="129"/>
  </r>
  <r>
    <s v="4408ac1d649faca3"/>
    <s v="23_09_2026_DR_Diur.gpx"/>
    <s v="4408ac1d649faca302b1a8ecf19b979de608bcd9adef35bce34292cd26b3aeb6"/>
    <x v="19"/>
    <x v="0"/>
    <s v="Miércoles"/>
    <x v="8"/>
    <s v="DR"/>
    <s v="DIURNO"/>
    <n v="2244"/>
    <s v="23/09/2026 08:51:52"/>
    <s v="08:30"/>
    <d v="1899-12-30T00:21:52"/>
    <s v="INICIO TARDÍO"/>
    <s v="23/09/2026 16:41:32"/>
    <s v="16:30"/>
    <d v="1899-12-30T00:11:32"/>
    <s v="FIN CUMPLE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  <s v="6.232912, -75.602197"/>
    <n v="6.2329119999999998"/>
    <n v="-75.602197000000004"/>
    <s v="6.250884, -75.621311"/>
    <n v="6.2508840000000001"/>
    <n v="-75.621311000000006"/>
    <x v="130"/>
  </r>
  <r>
    <s v="cee7dbc94d8380b9"/>
    <s v="23_09_2026_HC_Diur.gpx"/>
    <s v="cee7dbc94d8380b967c51fa1a926584f6f8387e40221a1c8e56431369faf5ba9"/>
    <x v="19"/>
    <x v="0"/>
    <s v="Miércoles"/>
    <x v="2"/>
    <s v="HC"/>
    <s v="DIURNO"/>
    <n v="4411"/>
    <s v="23/09/2026 08:20:00"/>
    <s v="08:30"/>
    <d v="1899-12-30T00:10:00"/>
    <s v="INICIO CUMPLE"/>
    <s v="23/09/2026 14:17:50"/>
    <s v="16:30"/>
    <d v="1899-12-30T02:12:10"/>
    <s v="TERMINÓ ANTES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  <s v="6.225662, -75.599078"/>
    <n v="6.2256619999999998"/>
    <n v="-75.599078000000006"/>
    <s v="6.271636, -75.597142"/>
    <n v="6.271636"/>
    <n v="-75.597142000000005"/>
    <x v="131"/>
  </r>
  <r>
    <s v="025a647a490108ab"/>
    <s v="23_09_2026_JO_Diur.gpx"/>
    <s v="025a647a490108ab58e8e211691c0f25058cad25387522be9e59a593723a511c"/>
    <x v="19"/>
    <x v="0"/>
    <s v="Miércoles"/>
    <x v="4"/>
    <s v="JO"/>
    <s v="DIURNO"/>
    <n v="5246"/>
    <s v="23/09/2026 08:45:49"/>
    <s v="08:30"/>
    <d v="1899-12-30T00:15:49"/>
    <s v="INICIO TARDÍO"/>
    <s v="23/09/2026 16:45:11"/>
    <s v="16:30"/>
    <d v="1899-12-30T00:15:11"/>
    <s v="TERMINÓ DESPUÉS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  <s v="6.225619, -75.599349"/>
    <n v="6.225619"/>
    <n v="-75.599349000000004"/>
    <s v="6.246063, -75.561330"/>
    <n v="6.2460630000000004"/>
    <n v="-75.561329999999998"/>
    <x v="132"/>
  </r>
  <r>
    <s v="902a3fd7e70712ae"/>
    <s v="23_09_2026_JZ_Diur.gpx"/>
    <s v="902a3fd7e70712aeca6629d519f06105047cecdd8a4069792258d07bdd369e43"/>
    <x v="19"/>
    <x v="0"/>
    <s v="Miércoles"/>
    <x v="5"/>
    <s v="JZ"/>
    <s v="DIURNO"/>
    <n v="5580"/>
    <s v="23/09/2026 08:04:28"/>
    <s v="08:30"/>
    <d v="1899-12-30T00:25:32"/>
    <s v="INICIO ANTES DEL HORARIO"/>
    <s v="23/09/2026 16:34:36"/>
    <s v="16:30"/>
    <d v="1899-12-30T00:04:36"/>
    <s v="FIN CUMPLE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  <s v="6.226573, -75.599305"/>
    <n v="6.2265730000000001"/>
    <n v="-75.599305000000001"/>
    <s v="6.279455, -75.570395"/>
    <n v="6.2794549999999996"/>
    <n v="-75.570395000000005"/>
    <x v="4"/>
  </r>
  <r>
    <s v="a87b9c61f88f6dc6"/>
    <s v="23_09_2026_SJ_Diur.gpx"/>
    <s v="a87b9c61f88f6dc61d7c57e704a7019cfeeb155863211b6fcd05b1a5345a41e2"/>
    <x v="19"/>
    <x v="0"/>
    <s v="Miércoles"/>
    <x v="6"/>
    <s v="SJ"/>
    <s v="DIURNO"/>
    <n v="2385"/>
    <s v="23/09/2026 08:39:04"/>
    <s v="08:30"/>
    <d v="1899-12-30T00:09:04"/>
    <s v="INICIO CUMPLE"/>
    <s v="23/09/2026 16:04:43"/>
    <s v="16:30"/>
    <d v="1899-12-30T00:25:17"/>
    <s v="TERMINÓ ANTES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  <s v="6.225663, -75.599389"/>
    <n v="6.2256629999999999"/>
    <n v="-75.599389000000002"/>
    <s v="6.308000, -75.581952"/>
    <n v="6.3079999999999998"/>
    <n v="-75.581952000000001"/>
    <x v="133"/>
  </r>
  <r>
    <s v="562b967a6b961354"/>
    <s v="23_09_2026_YL_Diur.gpx"/>
    <s v="562b967a6b961354db78b9cffe2da313776b367f0271c4f71ff1efefdac672ff"/>
    <x v="19"/>
    <x v="0"/>
    <s v="Miércoles"/>
    <x v="7"/>
    <s v="YL"/>
    <s v="DIURNO"/>
    <n v="4294"/>
    <s v="23/09/2026 08:49:21"/>
    <s v="08:30"/>
    <d v="1899-12-30T00:19:21"/>
    <s v="INICIO TARDÍO"/>
    <s v="23/09/2026 16:45:00"/>
    <s v="16:30"/>
    <d v="1899-12-30T00:15:00"/>
    <s v="FIN CUMPLE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  <s v="6.225580, -75.599298"/>
    <n v="6.2255799999999999"/>
    <n v="-75.599298000000005"/>
    <s v="6.258559, -75.616272"/>
    <n v="6.258559"/>
    <n v="-75.616271999999995"/>
    <x v="134"/>
  </r>
  <r>
    <s v="dba3452836ba7e50"/>
    <s v="23_09_2026_JA_Diur1.gpx"/>
    <s v="dba3452836ba7e50cc3f660a7059238423e73768e6e6d9c1ebe7ef47a5a38bab"/>
    <x v="19"/>
    <x v="0"/>
    <s v="Miércoles"/>
    <x v="3"/>
    <s v="JA"/>
    <s v="DIURNO"/>
    <n v="1382"/>
    <s v="23/09/2026 08:50:57"/>
    <s v="08:30"/>
    <d v="1899-12-30T00:20:57"/>
    <s v="INICIO TARDÍO"/>
    <s v="23/09/2026 12:14:38"/>
    <s v="16:30"/>
    <m/>
    <s v="PARTE DE RECORRIDO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  <s v="6.225734, -75.599447"/>
    <n v="6.2257340000000001"/>
    <n v="-75.599446999999998"/>
    <s v="6.235813, -75.555079"/>
    <n v="6.2358130000000003"/>
    <n v="-75.555079000000006"/>
    <x v="135"/>
  </r>
  <r>
    <s v="abbfd962adecc6f9"/>
    <s v="23_09_2026_JA_Diur2.gpx"/>
    <s v="abbfd962adecc6f91b4e71bf28b254f741a22c8e9aedc308cb409194fbd1ad5b"/>
    <x v="19"/>
    <x v="0"/>
    <s v="Miércoles"/>
    <x v="3"/>
    <s v="JA"/>
    <s v="DIURNO"/>
    <n v="336"/>
    <s v="23/09/2026 16:26:53"/>
    <s v="08:30"/>
    <m/>
    <s v="PARTE DE RECORRIDO"/>
    <s v="23/09/2026 17:31:38"/>
    <s v="16:30"/>
    <d v="1899-12-30T01:01:38"/>
    <s v="TERMINÓ DESPUÉS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  <s v="6.236402, -75.560054"/>
    <n v="6.236402"/>
    <n v="-75.560053999999994"/>
    <s v="6.237026, -75.558757"/>
    <n v="6.2370260000000002"/>
    <n v="-75.558757"/>
    <x v="4"/>
  </r>
  <r>
    <s v="c7bcdda3448eca70"/>
    <s v="23_09_2026_DV_Noct.gpx"/>
    <s v="c7bcdda3448eca7014a76963f98c28a7628c901ad953ed367050d466f0da05ff"/>
    <x v="19"/>
    <x v="0"/>
    <s v="Miércoles"/>
    <x v="9"/>
    <s v="DV"/>
    <s v="NOCTURNO"/>
    <n v="5086"/>
    <s v="23/09/2026 17:50:48"/>
    <s v="18:00"/>
    <d v="1899-12-30T00:09:12"/>
    <s v="INICIO CUMPLE"/>
    <s v="24/09/2026 00:23:26"/>
    <s v="00:00"/>
    <d v="1899-12-30T00:23:26"/>
    <s v="TERMINÓ DESPUÉS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  <s v="6.226789, -75.599344"/>
    <n v="6.2267890000000001"/>
    <n v="-75.599344000000002"/>
    <s v="6.272684, -75.602048"/>
    <n v="6.2726839999999999"/>
    <n v="-75.602047999999996"/>
    <x v="4"/>
  </r>
  <r>
    <s v="854b85750ca295ba"/>
    <s v="23_09_2026_IQ_Noct.gpx"/>
    <s v="854b85750ca295bab2dbaff996de56ef78092891b34f495b545a89ffb99f5af8"/>
    <x v="19"/>
    <x v="0"/>
    <s v="Miércoles"/>
    <x v="10"/>
    <s v="IQ"/>
    <s v="NOCTURNO"/>
    <n v="2052"/>
    <s v="23/09/2026 17:35:20"/>
    <s v="18:00"/>
    <d v="1899-12-30T00:24:40"/>
    <s v="INICIO ANTES DEL HORARIO"/>
    <s v="23/09/2026 23:57:48"/>
    <s v="00:00"/>
    <d v="1899-12-30T00:02:12"/>
    <s v="FIN CUMPLE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  <s v="6.213995, -75.596642"/>
    <n v="6.2139949999999997"/>
    <n v="-75.596642000000003"/>
    <s v="6.270932, -75.554243"/>
    <n v="6.2709320000000002"/>
    <n v="-75.554243"/>
    <x v="4"/>
  </r>
  <r>
    <s v="1524ebf6e64c53aa"/>
    <s v="23_09_2026_JP_Noct.gpx"/>
    <s v="1524ebf6e64c53aa5e6027a2d921e2541675d5de5bc7ab5d37d972940274a473"/>
    <x v="19"/>
    <x v="0"/>
    <s v="Miércoles"/>
    <x v="12"/>
    <s v="JP"/>
    <s v="NOCTURNO"/>
    <n v="3372"/>
    <s v="23/09/2026 17:30:41"/>
    <s v="18:00"/>
    <d v="1899-12-30T00:29:19"/>
    <s v="INICIO ANTES DEL HORARIO"/>
    <s v="23/09/2026 21:41:04"/>
    <s v="00:00"/>
    <d v="1899-12-30T02:18:56"/>
    <s v="TERMINÓ ANTES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  <s v="6.226977, -75.599622"/>
    <n v="6.2269769999999998"/>
    <n v="-75.599621999999997"/>
    <s v="6.251832, -75.551835"/>
    <n v="6.2518320000000003"/>
    <n v="-75.551834999999997"/>
    <x v="136"/>
  </r>
  <r>
    <s v="c28c6adae2a52086"/>
    <s v="23_09_2026_LA_Noct.gpx"/>
    <s v="c28c6adae2a52086a5b43f8adf2f7efb0ab6d21e943556b357652747d7f1966b"/>
    <x v="19"/>
    <x v="0"/>
    <s v="Miércoles"/>
    <x v="13"/>
    <s v="LA"/>
    <s v="NOCTURNO"/>
    <n v="7287"/>
    <s v="23/09/2026 17:41:21"/>
    <s v="18:00"/>
    <d v="1899-12-30T00:18:39"/>
    <s v="INICIO ANTES DEL HORARIO"/>
    <s v="24/09/2026 00:07:53"/>
    <s v="00:00"/>
    <d v="1899-12-30T00:07:53"/>
    <s v="FIN CUMPLE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  <s v="6.226768, -75.599312"/>
    <n v="6.2267679999999999"/>
    <n v="-75.599311999999998"/>
    <s v="6.268597, -75.599288"/>
    <n v="6.2685969999999998"/>
    <n v="-75.599288000000001"/>
    <x v="4"/>
  </r>
  <r>
    <s v="d8610283ab31c17b"/>
    <s v="24_09_2026_AO_Diur.gpx"/>
    <s v="d8610283ab31c17b60cf55c57f3fef35c24792cb35cd6303472074d6dc57a9e2"/>
    <x v="20"/>
    <x v="0"/>
    <s v="Jueves"/>
    <x v="0"/>
    <s v="AO"/>
    <s v="DIURNO"/>
    <n v="3430"/>
    <s v="24/09/2026 09:11:42"/>
    <s v="08:30"/>
    <d v="1899-12-30T00:41:43"/>
    <s v="INICIO TARDÍO"/>
    <s v="24/09/2026 15:36:24"/>
    <s v="16:30"/>
    <d v="1899-12-30T00:53:36"/>
    <s v="TERMINÓ ANTES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  <s v="6.216154, -75.597554"/>
    <n v="6.2161540000000004"/>
    <n v="-75.597554000000002"/>
    <s v="6.222023, -75.593338"/>
    <n v="6.2220230000000001"/>
    <n v="-75.593338000000003"/>
    <x v="137"/>
  </r>
  <r>
    <s v="80b1d8418c2b1eaa"/>
    <s v="24_09_2026_AR_Diur.gpx"/>
    <s v="80b1d8418c2b1eaab60e02e6a877ea0131fa1acbbaf1244fd97677a34ac1ea83"/>
    <x v="20"/>
    <x v="0"/>
    <s v="Jueves"/>
    <x v="1"/>
    <s v="AR"/>
    <s v="DIURNO"/>
    <n v="1795"/>
    <s v="24/09/2026 08:14:20"/>
    <s v="08:30"/>
    <d v="1899-12-30T00:15:40"/>
    <s v="INICIO ANTES DEL HORARIO"/>
    <s v="24/09/2026 16:32:03"/>
    <s v="16:30"/>
    <d v="1899-12-30T00:02:03"/>
    <s v="FIN CUMPLE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  <s v="6.225782, -75.599368"/>
    <n v="6.2257819999999997"/>
    <n v="-75.599367999999998"/>
    <s v="6.247414, -75.615005"/>
    <n v="6.247414"/>
    <n v="-75.615004999999996"/>
    <x v="4"/>
  </r>
  <r>
    <s v="26d8bdaf1d13469e"/>
    <s v="24_09_2026_DR_Diur.gpx"/>
    <s v="26d8bdaf1d13469ee33712c9bfcbfe9c5901905e2a80baf0fe4c1f50012cf2f3"/>
    <x v="20"/>
    <x v="0"/>
    <s v="Jueves"/>
    <x v="8"/>
    <s v="DR"/>
    <s v="DIURNO"/>
    <n v="2721"/>
    <s v="24/09/2026 08:27:18"/>
    <s v="08:30"/>
    <d v="1899-12-30T00:02:42"/>
    <s v="INICIO CUMPLE"/>
    <s v="24/09/2026 15:51:15"/>
    <s v="16:30"/>
    <d v="1899-12-30T00:38:45"/>
    <s v="TERMINÓ ANTES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  <s v="6.238194, -75.603010"/>
    <n v="6.238194"/>
    <n v="-75.603009999999998"/>
    <s v="6.248174, -75.605002"/>
    <n v="6.2481739999999997"/>
    <n v="-75.605001999999999"/>
    <x v="138"/>
  </r>
  <r>
    <s v="92b923405ece402b"/>
    <s v="24_09_2026_HC_Diur.gpx"/>
    <s v="92b923405ece402b75cd59de5c90e486ec87dfad75c78c4f899255e5739248da"/>
    <x v="20"/>
    <x v="0"/>
    <s v="Jueves"/>
    <x v="2"/>
    <s v="HC"/>
    <s v="DIURNO"/>
    <n v="2783"/>
    <s v="24/09/2026 09:16:50"/>
    <s v="08:30"/>
    <d v="1899-12-30T00:46:50"/>
    <s v="INICIO TARDÍO"/>
    <s v="24/09/2026 13:34:41"/>
    <s v="16:30"/>
    <d v="1899-12-30T02:55:19"/>
    <s v="TERMINÓ ANTES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  <s v="6.225663, -75.599553"/>
    <n v="6.2256629999999999"/>
    <n v="-75.599553"/>
    <s v="6.261435, -75.603897"/>
    <n v="6.2614349999999996"/>
    <n v="-75.603897000000003"/>
    <x v="139"/>
  </r>
  <r>
    <s v="676d50fbccc03774"/>
    <s v="24_09_2026_JA_Diur.gpx"/>
    <s v="676d50fbccc0377475a506b4c473ea57a7024889c5da3b94f8b6202fc5952dfe"/>
    <x v="20"/>
    <x v="0"/>
    <s v="Jueves"/>
    <x v="3"/>
    <s v="JA"/>
    <s v="DIURNO"/>
    <n v="1079"/>
    <s v="24/09/2026 08:52:25"/>
    <s v="08:30"/>
    <d v="1899-12-30T00:22:25"/>
    <s v="INICIO TARDÍO"/>
    <s v="24/09/2026 12:37:22"/>
    <s v="16:30"/>
    <d v="1899-12-30T03:52:38"/>
    <s v="TERMINÓ ANTES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  <s v="6.225514, -75.599447"/>
    <n v="6.2255140000000004"/>
    <n v="-75.599446999999998"/>
    <s v="6.236992, -75.558877"/>
    <n v="6.2369919999999999"/>
    <n v="-75.558876999999995"/>
    <x v="140"/>
  </r>
  <r>
    <s v="b4281bc6eb1402cd"/>
    <s v="24_09_2026_JO_Diur.gpx"/>
    <s v="b4281bc6eb1402cd6b1c175a0e75d9bca1eb794b273c036c77cd612468789d15"/>
    <x v="20"/>
    <x v="0"/>
    <s v="Jueves"/>
    <x v="4"/>
    <s v="JO"/>
    <s v="DIURNO"/>
    <n v="4391"/>
    <s v="24/09/2026 08:53:59"/>
    <s v="08:30"/>
    <d v="1899-12-30T00:23:59"/>
    <s v="INICIO TARDÍO"/>
    <s v="24/09/2026 16:24:23"/>
    <s v="16:30"/>
    <d v="1899-12-30T00:05:37"/>
    <s v="FIN CUMPLE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  <s v="6.225613, -75.599412"/>
    <n v="6.2256130000000001"/>
    <n v="-75.599412000000001"/>
    <s v="6.246439, -75.552709"/>
    <n v="6.2464389999999996"/>
    <n v="-75.552708999999993"/>
    <x v="141"/>
  </r>
  <r>
    <s v="9f4f0535ce907d5c"/>
    <s v="24_09_2026_JZ_Diur.gpx"/>
    <s v="9f4f0535ce907d5c87d52ce754bb4b9539a103e71e85d5792a13d7c8617a20d6"/>
    <x v="20"/>
    <x v="0"/>
    <s v="Jueves"/>
    <x v="5"/>
    <s v="JZ"/>
    <s v="DIURNO"/>
    <n v="4312"/>
    <s v="24/09/2026 08:33:45"/>
    <s v="08:30"/>
    <d v="1899-12-30T00:03:45"/>
    <s v="INICIO CUMPLE"/>
    <s v="24/09/2026 16:40:46"/>
    <s v="16:30"/>
    <d v="1899-12-30T00:10:46"/>
    <s v="FIN CUMPLE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663, -75.599202"/>
    <n v="6.2266630000000003"/>
    <n v="-75.599202000000005"/>
    <s v="6.279131, -75.569137"/>
    <n v="6.2791309999999996"/>
    <n v="-75.569136999999998"/>
    <x v="4"/>
  </r>
  <r>
    <s v="6c891630b524a9ff"/>
    <s v="24_09_2026_SJ_Diur.gpx"/>
    <s v="6c891630b524a9ffafdb948e9cbc7937f36d22b6ca2cbcba2289b40b905b476d"/>
    <x v="20"/>
    <x v="0"/>
    <s v="Jueves"/>
    <x v="6"/>
    <s v="SJ"/>
    <s v="DIURNO"/>
    <n v="3465"/>
    <s v="24/09/2026 08:53:57"/>
    <s v="08:30"/>
    <d v="1899-12-30T00:23:57"/>
    <s v="INICIO TARDÍO"/>
    <s v="24/09/2026 15:52:13"/>
    <s v="16:30"/>
    <d v="1899-12-30T00:37:47"/>
    <s v="TERMINÓ ANTES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  <s v="6.225561, -75.599342"/>
    <n v="6.2255609999999999"/>
    <n v="-75.599341999999993"/>
    <s v="6.311430, -75.558457"/>
    <n v="6.3114299999999997"/>
    <n v="-75.558457000000004"/>
    <x v="142"/>
  </r>
  <r>
    <s v="564426f7571d7fb3"/>
    <s v="24_09_2026_YL_Diur.gpx"/>
    <s v="564426f7571d7fb39bec01e73fe74859f78006eae2f3d66e604884dc4b8f07a3"/>
    <x v="20"/>
    <x v="0"/>
    <s v="Jueves"/>
    <x v="7"/>
    <s v="YL"/>
    <s v="DIURNO"/>
    <n v="679"/>
    <s v="24/09/2026 08:29:19"/>
    <s v="08:30"/>
    <d v="1899-12-30T00:00:41"/>
    <s v="INICIO CUMPLE"/>
    <s v="24/09/2026 16:35:40"/>
    <s v="16:30"/>
    <d v="1899-12-30T00:05:40"/>
    <s v="FIN CUMPLE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586, -75.599145"/>
    <n v="6.2255859999999998"/>
    <n v="-75.599144999999993"/>
    <s v="6.258532, -75.615984"/>
    <n v="6.2585319999999998"/>
    <n v="-75.615983999999997"/>
    <x v="4"/>
  </r>
  <r>
    <s v="bab305730ba056d1"/>
    <s v="24_09_2026_DV_Noct.gpx"/>
    <s v="bab305730ba056d176d0642f5f7797bef81782d99654b9a7d153eca74bc51454"/>
    <x v="20"/>
    <x v="0"/>
    <s v="Jueves"/>
    <x v="9"/>
    <s v="DV"/>
    <s v="NOCTURNO"/>
    <n v="3161"/>
    <s v="24/09/2026 17:45:06"/>
    <s v="18:00"/>
    <d v="1899-12-30T00:14:54"/>
    <s v="INICIO CUMPLE"/>
    <s v="25/09/2026 00:20:21"/>
    <s v="00:00"/>
    <d v="1899-12-30T00:20:21"/>
    <s v="TERMINÓ DESPUÉS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  <s v="6.226775, -75.599357"/>
    <n v="6.2267749999999999"/>
    <n v="-75.599356999999998"/>
    <s v="6.272680, -75.601973"/>
    <n v="6.2726800000000003"/>
    <n v="-75.601973000000001"/>
    <x v="4"/>
  </r>
  <r>
    <s v="517e09ca382f2401"/>
    <s v="24_09_2026_IQ_Noct.gpx"/>
    <s v="517e09ca382f240146f4d160e91a2e77611b8b3c7b2749178d70cd88ebdba105"/>
    <x v="20"/>
    <x v="0"/>
    <s v="Jueves"/>
    <x v="10"/>
    <s v="IQ"/>
    <s v="NOCTURNO"/>
    <n v="1719"/>
    <s v="24/09/2026 16:44:27"/>
    <s v="18:00"/>
    <d v="1899-12-30T01:15:33"/>
    <s v="INICIO ANTES DEL HORARIO"/>
    <s v="24/09/2026 23:53:58"/>
    <s v="00:00"/>
    <d v="1899-12-30T00:06:02"/>
    <s v="FIN CUMPLE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  <s v="6.228867, -75.596225"/>
    <n v="6.2288670000000002"/>
    <n v="-75.596225000000004"/>
    <s v="6.294895, -75.543944"/>
    <n v="6.2948950000000004"/>
    <n v="-75.543943999999996"/>
    <x v="4"/>
  </r>
  <r>
    <s v="c91268ef9d9bb5cd"/>
    <s v="24_09_2026_JP_Noct.gpx"/>
    <s v="c91268ef9d9bb5cde23a9219657fe3b734c5e105bab9c46f195b8e269fa1ffd3"/>
    <x v="20"/>
    <x v="0"/>
    <s v="Jueves"/>
    <x v="12"/>
    <s v="JP"/>
    <s v="NOCTURNO"/>
    <n v="2463"/>
    <s v="24/09/2026 17:43:58"/>
    <s v="18:00"/>
    <d v="1899-12-30T00:16:02"/>
    <s v="INICIO ANTES DEL HORARIO"/>
    <s v="24/09/2026 22:51:32"/>
    <s v="00:00"/>
    <d v="1899-12-30T01:08:28"/>
    <s v="TERMINÓ ANTES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  <s v="6.226888, -75.599710"/>
    <n v="6.2268879999999998"/>
    <n v="-75.599710000000002"/>
    <s v="6.251725, -75.551782"/>
    <n v="6.2517250000000004"/>
    <n v="-75.551782000000003"/>
    <x v="143"/>
  </r>
  <r>
    <s v="7bc001476223be32"/>
    <s v="24_09_2026_LA_Noct.gpx"/>
    <s v="7bc001476223be32ca2e18bfca848d78c20a463a1f334d53d5ae105117f98a46"/>
    <x v="20"/>
    <x v="0"/>
    <s v="Jueves"/>
    <x v="13"/>
    <s v="LA"/>
    <s v="NOCTURNO"/>
    <n v="4867"/>
    <s v="24/09/2026 17:26:54"/>
    <s v="18:00"/>
    <d v="1899-12-30T00:33:06"/>
    <s v="INICIO ANTES DEL HORARIO"/>
    <s v="25/09/2026 00:05:11"/>
    <s v="00:00"/>
    <d v="1899-12-30T00:05:11"/>
    <s v="FIN CUMPLE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  <s v="6.226773, -75.599313"/>
    <n v="6.2267729999999997"/>
    <n v="-75.599312999999995"/>
    <s v="6.263545, -75.596572"/>
    <n v="6.2635449999999997"/>
    <n v="-75.596571999999995"/>
    <x v="4"/>
  </r>
  <r>
    <s v="66823889791403a1"/>
    <s v="25_09_2026_AO_Diur.gpx"/>
    <s v="66823889791403a126d911dc47e1d121fe441ef26c47416174d39d07380224a7"/>
    <x v="21"/>
    <x v="0"/>
    <s v="Viernes"/>
    <x v="0"/>
    <s v="AO"/>
    <s v="DIURNO"/>
    <n v="4768"/>
    <s v="25/09/2026 09:17:31"/>
    <s v="08:30"/>
    <d v="1899-12-30T00:47:32"/>
    <s v="INICIO TARDÍO"/>
    <s v="25/09/2026 16:01:29"/>
    <s v="16:00"/>
    <d v="1899-12-30T00:01:30"/>
    <s v="FIN CUMPLE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  <s v="6.220678, -75.593290"/>
    <n v="6.2206780000000004"/>
    <n v="-75.593289999999996"/>
    <s v="6.221836, -75.593831"/>
    <n v="6.2218359999999997"/>
    <n v="-75.593830999999994"/>
    <x v="144"/>
  </r>
  <r>
    <s v="f003510ff71a767b"/>
    <s v="25_09_2026_AR_Diur.gpx"/>
    <s v="f003510ff71a767bc3ed575332c6e60823f2ef2112d58474ef892ed3cb349b48"/>
    <x v="21"/>
    <x v="0"/>
    <s v="Viernes"/>
    <x v="1"/>
    <s v="AR"/>
    <s v="DIURNO"/>
    <n v="6506"/>
    <s v="25/09/2026 08:17:26"/>
    <s v="08:30"/>
    <d v="1899-12-30T00:12:34"/>
    <s v="INICIO CUMPLE"/>
    <s v="25/09/2026 16:03:38"/>
    <s v="16:00"/>
    <d v="1899-12-30T00:03:38"/>
    <s v="FIN CUMPLE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593, -75.599538"/>
    <n v="6.2255929999999999"/>
    <n v="-75.599537999999995"/>
    <s v="6.247700, -75.615107"/>
    <n v="6.2477"/>
    <n v="-75.615106999999995"/>
    <x v="4"/>
  </r>
  <r>
    <s v="cec1be82c82d8e62"/>
    <s v="25_09_2026_DR_Diur.gpx"/>
    <s v="cec1be82c82d8e62da311bb07b83e550afd873d4fecd0d016da15ee7afc2b77b"/>
    <x v="21"/>
    <x v="0"/>
    <s v="Viernes"/>
    <x v="8"/>
    <s v="DR"/>
    <s v="DIURNO"/>
    <n v="2565"/>
    <s v="25/09/2026 08:40:49"/>
    <s v="08:30"/>
    <d v="1899-12-30T00:10:49"/>
    <s v="INICIO CUMPLE"/>
    <s v="25/09/2026 13:58:26"/>
    <s v="16:00"/>
    <d v="1899-12-30T02:01:34"/>
    <s v="TERMINÓ ANTES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  <s v="6.238038, -75.602919"/>
    <n v="6.2380380000000004"/>
    <n v="-75.602919"/>
    <s v="6.250678, -75.602010"/>
    <n v="6.2506779999999997"/>
    <n v="-75.602010000000007"/>
    <x v="145"/>
  </r>
  <r>
    <s v="dbe485f0783f5711"/>
    <s v="25_09_2026_HC_Diur.gpx"/>
    <s v="dbe485f0783f5711d5aeff872143aa2a4942a8963022affc3f06e544fe8ca4ad"/>
    <x v="21"/>
    <x v="0"/>
    <s v="Viernes"/>
    <x v="2"/>
    <s v="HC"/>
    <s v="DIURNO"/>
    <n v="2599"/>
    <s v="25/09/2026 08:29:46"/>
    <s v="08:30"/>
    <d v="1899-12-30T00:00:14"/>
    <s v="INICIO CUMPLE"/>
    <s v="25/09/2026 14:29:25"/>
    <s v="16:00"/>
    <d v="1899-12-30T01:30:35"/>
    <s v="TERMINÓ ANTES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  <s v="6.225806, -75.599375"/>
    <n v="6.2258060000000004"/>
    <n v="-75.599374999999995"/>
    <s v="6.296980, -75.582724"/>
    <n v="6.2969799999999996"/>
    <n v="-75.582723999999999"/>
    <x v="146"/>
  </r>
  <r>
    <s v="667ac675a4f68eaf"/>
    <s v="25_09_2026_JA_Diur.gpx"/>
    <s v="667ac675a4f68eafc3da38fa706169b8e2184f033be2437f1d09db1f7d69088e"/>
    <x v="21"/>
    <x v="0"/>
    <s v="Viernes"/>
    <x v="3"/>
    <s v="JA"/>
    <s v="DIURNO"/>
    <n v="1190"/>
    <s v="25/09/2026 08:29:20"/>
    <s v="08:30"/>
    <d v="1899-12-30T00:00:40"/>
    <s v="INICIO CUMPLE"/>
    <s v="25/09/2026 12:54:58"/>
    <s v="16:00"/>
    <d v="1899-12-30T03:05:02"/>
    <s v="TERMINÓ ANTES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  <s v="6.225645, -75.599042"/>
    <n v="6.2256450000000001"/>
    <n v="-75.599041999999997"/>
    <s v="6.237027, -75.558895"/>
    <n v="6.2370270000000003"/>
    <n v="-75.558895000000007"/>
    <x v="147"/>
  </r>
  <r>
    <s v="b010c76cac8409c2"/>
    <s v="25_09_2026_JO_Diur.gpx"/>
    <s v="b010c76cac8409c2a157749e925a74b96d69d911005a380d7266c184438cbdcd"/>
    <x v="21"/>
    <x v="0"/>
    <s v="Viernes"/>
    <x v="4"/>
    <s v="JO"/>
    <s v="DIURNO"/>
    <n v="3651"/>
    <s v="25/09/2026 08:30:59"/>
    <s v="08:30"/>
    <d v="1899-12-30T00:00:59"/>
    <s v="INICIO CUMPLE"/>
    <s v="25/09/2026 16:04:35"/>
    <s v="16:00"/>
    <d v="1899-12-30T00:04:35"/>
    <s v="FIN CUMPLE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840, -75.599376"/>
    <n v="6.2258399999999998"/>
    <n v="-75.599376000000007"/>
    <s v="6.259314, -75.620380"/>
    <n v="6.2593139999999998"/>
    <n v="-75.620379999999997"/>
    <x v="4"/>
  </r>
  <r>
    <s v="4179c4693bca0dbb"/>
    <s v="25_09_2026_JZ_Diur.gpx"/>
    <s v="4179c4693bca0dbb3c70994a99f8c396a7b13745649d5c6657d557357528533b"/>
    <x v="21"/>
    <x v="0"/>
    <s v="Viernes"/>
    <x v="5"/>
    <s v="JZ"/>
    <s v="DIURNO"/>
    <n v="3573"/>
    <s v="25/09/2026 08:13:48"/>
    <s v="08:30"/>
    <d v="1899-12-30T00:16:12"/>
    <s v="INICIO ANTES DEL HORARIO"/>
    <s v="25/09/2026 14:39:11"/>
    <s v="16:00"/>
    <d v="1899-12-30T01:20:49"/>
    <s v="TERMINÓ ANTES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  <s v="6.226632, -75.599344"/>
    <n v="6.2266320000000004"/>
    <n v="-75.599344000000002"/>
    <s v="6.280067, -75.635467"/>
    <n v="6.2800669999999998"/>
    <n v="-75.635467000000006"/>
    <x v="148"/>
  </r>
  <r>
    <s v="0701bdacf7671d43"/>
    <s v="25_09_2026_SJ_Diur.gpx"/>
    <s v="0701bdacf7671d43bf0f7a3a9f4e7bfa0432ce044dd120ea07efbcf187c6cd18"/>
    <x v="21"/>
    <x v="0"/>
    <s v="Viernes"/>
    <x v="6"/>
    <s v="SJ"/>
    <s v="DIURNO"/>
    <n v="2794"/>
    <s v="25/09/2026 08:33:57"/>
    <s v="08:30"/>
    <d v="1899-12-30T00:03:57"/>
    <s v="INICIO CUMPLE"/>
    <s v="25/09/2026 15:27:48"/>
    <s v="16:00"/>
    <d v="1899-12-30T00:32:12"/>
    <s v="TERMINÓ ANTES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  <s v="6.225620, -75.599405"/>
    <n v="6.2256200000000002"/>
    <n v="-75.599405000000004"/>
    <s v="6.305035, -75.577577"/>
    <n v="6.3050350000000002"/>
    <n v="-75.577577000000005"/>
    <x v="24"/>
  </r>
  <r>
    <s v="c322c2c243de6f1e"/>
    <s v="25_09_2026_YL_Diur.gpx"/>
    <s v="c322c2c243de6f1ee20eb3e05fd6f6fedfe6aa9c2d18fa10f21a216c72de0d01"/>
    <x v="21"/>
    <x v="0"/>
    <s v="Viernes"/>
    <x v="7"/>
    <s v="YL"/>
    <s v="DIURNO"/>
    <n v="1429"/>
    <s v="25/09/2026 09:22:22"/>
    <s v="08:30"/>
    <d v="1899-12-30T00:52:22"/>
    <s v="INICIO TARDÍO"/>
    <s v="25/09/2026 16:07:40"/>
    <s v="16:00"/>
    <d v="1899-12-30T00:07:40"/>
    <s v="FIN CUMPLE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  <s v="6.258981, -75.620635"/>
    <n v="6.2589810000000003"/>
    <n v="-75.620634999999993"/>
    <s v="6.258362, -75.616013"/>
    <n v="6.258362"/>
    <n v="-75.616012999999995"/>
    <x v="149"/>
  </r>
  <r>
    <s v="7d32aa5979d2510b"/>
    <s v="26_09_2026_DR_Diur.gpx"/>
    <s v="7d32aa5979d2510b20610445a2ecdaaec04d4a8bd9c9df4ba25d5854761f537c"/>
    <x v="22"/>
    <x v="0"/>
    <s v="Sábado"/>
    <x v="8"/>
    <s v="DR"/>
    <s v="DIURNO"/>
    <n v="3409"/>
    <s v="26/09/2026 09:20:19"/>
    <s v="08:30"/>
    <d v="1899-12-30T00:50:19"/>
    <s v="INICIO TARDÍO"/>
    <s v="26/09/2026 16:27:06"/>
    <s v="16:00"/>
    <d v="1899-12-30T00:27:06"/>
    <s v="TERMINÓ DESPUÉS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  <s v="6.247793, -75.615010"/>
    <n v="6.2477929999999997"/>
    <n v="-75.615009999999998"/>
    <s v="6.198403, -75.593670"/>
    <n v="6.1984029999999999"/>
    <n v="-75.593670000000003"/>
    <x v="150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s v="574ed8d39c896c02"/>
    <s v="18_09_2026_AO_Diur.gpx"/>
    <s v="574ed8d39c896c0247f665ebcba8d2a772669a22f14ae0070f8da719917542de"/>
    <x v="15"/>
    <x v="0"/>
    <s v="Viernes"/>
    <x v="0"/>
    <s v="AO"/>
    <x v="0"/>
    <n v="6065"/>
    <s v="18/09/2026 08:35:14"/>
    <s v="08:30"/>
    <d v="1899-12-30T00:05:14"/>
    <x v="1"/>
    <s v="18/09/2026 16:03:43"/>
    <s v="16:00"/>
    <d v="1899-12-30T00:03:43"/>
    <x v="0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</r>
  <r>
    <s v="db75e5dbfc3c1eec"/>
    <s v="18_09_2026_AR_Diur.gpx"/>
    <s v="db75e5dbfc3c1eecb9afb154e5d6a0d39956d0605060534e537b415b99a07c0a"/>
    <x v="15"/>
    <x v="0"/>
    <s v="Viernes"/>
    <x v="1"/>
    <s v="AR"/>
    <x v="0"/>
    <n v="1949"/>
    <s v="18/09/2026 08:29:36"/>
    <s v="08:30"/>
    <d v="1899-12-30T00:00:24"/>
    <x v="1"/>
    <s v="18/09/2026 16:01:24"/>
    <s v="16:00"/>
    <d v="1899-12-30T00:01:24"/>
    <x v="0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28351e32ecc3aab7"/>
    <s v="18_09_2026_DR_Diur.gpx"/>
    <s v="28351e32ecc3aab71e662aabbd511301bdc231f6293fc5ff9d746e362336fe1a"/>
    <x v="15"/>
    <x v="0"/>
    <s v="Viernes"/>
    <x v="8"/>
    <s v="DR"/>
    <x v="0"/>
    <n v="1910"/>
    <s v="18/09/2026 08:37:58"/>
    <s v="08:30"/>
    <d v="1899-12-30T00:07:58"/>
    <x v="1"/>
    <s v="18/09/2026 15:42:52"/>
    <s v="16:00"/>
    <d v="1899-12-30T00:17:08"/>
    <x v="1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</r>
  <r>
    <s v="760f3e903b5a7381"/>
    <s v="18_09_2026_JA_Diur.gpx"/>
    <s v="760f3e903b5a7381a552db57ff0e37600bba53b1b5771d9f6458bc584420641b"/>
    <x v="15"/>
    <x v="0"/>
    <s v="Viernes"/>
    <x v="3"/>
    <s v="JA"/>
    <x v="0"/>
    <n v="2871"/>
    <s v="18/09/2026 08:43:57"/>
    <s v="08:30"/>
    <d v="1899-12-30T00:13:57"/>
    <x v="1"/>
    <s v="18/09/2026 12:05:04"/>
    <s v="16:00"/>
    <d v="1899-12-30T03:54:56"/>
    <x v="1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</r>
  <r>
    <s v="09ab39dc75e7d94d"/>
    <s v="18_09_2026_JO_Diur.gpx"/>
    <s v="09ab39dc75e7d94d5332ccc0420aa8c018154017de4e948142214b7b19dd0966"/>
    <x v="15"/>
    <x v="0"/>
    <s v="Viernes"/>
    <x v="4"/>
    <s v="JO"/>
    <x v="0"/>
    <n v="5700"/>
    <s v="18/09/2026 08:46:27"/>
    <s v="08:30"/>
    <d v="1899-12-30T00:16:28"/>
    <x v="0"/>
    <s v="18/09/2026 16:00:31"/>
    <s v="16:00"/>
    <d v="1899-12-30T00:00:32"/>
    <x v="0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</r>
  <r>
    <s v="9031de5bb9e7b3c5"/>
    <s v="18_09_2026_JZ_Diur.gpx"/>
    <s v="9031de5bb9e7b3c53e589e5b129dad5824953847aaa15e3f4a325f215adbb8cd"/>
    <x v="15"/>
    <x v="0"/>
    <s v="Viernes"/>
    <x v="5"/>
    <s v="JZ"/>
    <x v="0"/>
    <n v="5344"/>
    <s v="18/09/2026 08:10:59"/>
    <s v="08:30"/>
    <d v="1899-12-30T00:19:01"/>
    <x v="2"/>
    <s v="18/09/2026 14:48:04"/>
    <s v="16:00"/>
    <d v="1899-12-30T01:11:56"/>
    <x v="1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</r>
  <r>
    <s v="d4b7f60cdb6f56d4"/>
    <s v="18_09_2026_SJ_Diur.gpx"/>
    <s v="d4b7f60cdb6f56d4d15ed5e2a9c06189fdbb0bf21191b183fc95e0debaba2af6"/>
    <x v="15"/>
    <x v="0"/>
    <s v="Viernes"/>
    <x v="6"/>
    <s v="SJ"/>
    <x v="0"/>
    <n v="2704"/>
    <s v="18/09/2026 08:40:31"/>
    <s v="08:30"/>
    <d v="1899-12-30T00:10:31"/>
    <x v="1"/>
    <s v="18/09/2026 15:28:50"/>
    <s v="16:00"/>
    <d v="1899-12-30T00:31:10"/>
    <x v="1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</r>
  <r>
    <s v="6dd1257b59b28db6"/>
    <s v="18_09_2026_YL_Diur.gpx"/>
    <s v="6dd1257b59b28db66571c1c0235809e4044da3a8f08fe8f8e2c5599b906ad4eb"/>
    <x v="15"/>
    <x v="0"/>
    <s v="Viernes"/>
    <x v="7"/>
    <s v="YL"/>
    <x v="0"/>
    <n v="3812"/>
    <s v="18/09/2026 08:47:14"/>
    <s v="08:30"/>
    <d v="1899-12-30T00:17:14"/>
    <x v="0"/>
    <s v="18/09/2026 15:59:49"/>
    <s v="16:00"/>
    <d v="1899-12-30T00:00:11"/>
    <x v="0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</r>
  <r>
    <s v="08841ee0ded3204b"/>
    <s v="19_09_2026_DR_Diur.gpx"/>
    <s v="08841ee0ded3204baf0f20b9363ccba0e7e3c445dfce38bd70bfa3a7b5a4ec8c"/>
    <x v="16"/>
    <x v="0"/>
    <s v="Sábado"/>
    <x v="8"/>
    <s v="DR"/>
    <x v="0"/>
    <n v="1982"/>
    <s v="19/09/2026 09:28:26"/>
    <s v="08:30"/>
    <d v="1899-12-30T00:58:26"/>
    <x v="0"/>
    <s v="19/09/2026 14:22:55"/>
    <s v="16:00"/>
    <d v="1899-12-30T01:37:05"/>
    <x v="1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</r>
  <r>
    <s v="d7b664ef81ad9651"/>
    <s v="18_09_2026_DV_Noct1.gpx"/>
    <s v="d7b664ef81ad9651554f4d4fa4321cd936eac554b8e90b2d1b9a7efec9642fb0"/>
    <x v="15"/>
    <x v="0"/>
    <s v="Viernes"/>
    <x v="9"/>
    <s v="DV"/>
    <x v="1"/>
    <n v="2110"/>
    <s v="18/09/2026 18:14:24"/>
    <s v="18:00"/>
    <d v="1899-12-30T00:14:24"/>
    <x v="1"/>
    <s v="18/09/2026 23:07:55"/>
    <s v="00:00"/>
    <d v="1899-12-30T00:52:05"/>
    <x v="1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</r>
  <r>
    <s v="0b3b3e04436c9877"/>
    <s v="18_09_2026_DV_Noct2.gpx"/>
    <s v="0b3b3e04436c9877c98cc7e76170acac75d69b6bfb77bc702a6e8b91134c7379"/>
    <x v="15"/>
    <x v="0"/>
    <s v="Viernes"/>
    <x v="9"/>
    <s v="DV"/>
    <x v="1"/>
    <n v="3418"/>
    <s v="18/09/2026 22:19:50"/>
    <s v="18:00"/>
    <d v="1899-12-30T04:19:51"/>
    <x v="0"/>
    <s v="19/09/2026 00:13:49"/>
    <s v="00:00"/>
    <d v="1899-12-30T00:13:49"/>
    <x v="0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</r>
  <r>
    <s v="411c6fb03be049a0"/>
    <s v="18_09_2026_IQ_Noct.gpx"/>
    <s v="411c6fb03be049a075a3b26e6982874b7088874c41de9683287188622862b445"/>
    <x v="15"/>
    <x v="0"/>
    <s v="Viernes"/>
    <x v="10"/>
    <s v="IQ"/>
    <x v="1"/>
    <n v="1869"/>
    <s v="18/09/2026 18:02:40"/>
    <s v="18:00"/>
    <d v="1899-12-30T00:02:40"/>
    <x v="1"/>
    <s v="18/09/2026 23:44:35"/>
    <s v="00:00"/>
    <d v="1899-12-30T00:15:25"/>
    <x v="1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</r>
  <r>
    <s v="1c33940de6d83ac0"/>
    <s v="18_09_2026_JHP_Noct.gpx"/>
    <s v="1c33940de6d83ac0ea53dec915860f2c48d3fa189da38e1c9f34d7786ab4c7ba"/>
    <x v="15"/>
    <x v="0"/>
    <s v="Viernes"/>
    <x v="11"/>
    <s v="JHP"/>
    <x v="1"/>
    <n v="7141"/>
    <s v="18/09/2026 17:31:58"/>
    <s v="18:00"/>
    <d v="1899-12-30T00:28:02"/>
    <x v="2"/>
    <s v="19/09/2026 00:21:47"/>
    <s v="00:00"/>
    <d v="1899-12-30T00:21:47"/>
    <x v="2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</r>
  <r>
    <s v="1f282216ee6e37f2"/>
    <s v="18_09_2026_JP_Noct.gpx"/>
    <s v="1f282216ee6e37f2520889c4282cf35711e63dfc3ceb4eb4602373514907a767"/>
    <x v="15"/>
    <x v="0"/>
    <s v="Viernes"/>
    <x v="12"/>
    <s v="JP"/>
    <x v="1"/>
    <n v="1651"/>
    <s v="18/09/2026 17:58:21"/>
    <s v="18:00"/>
    <d v="1899-12-30T00:01:39"/>
    <x v="1"/>
    <s v="18/09/2026 23:59:00"/>
    <s v="00:00"/>
    <d v="1899-12-30T00:01:00"/>
    <x v="0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eaa6f0e3139ce9c"/>
    <s v="18_09_2026_LA_Noct.gpx"/>
    <s v="4eaa6f0e3139ce9c3a1da9d13c538d9ea5f60c113e3a1e72c2c5288d79d3016e"/>
    <x v="15"/>
    <x v="0"/>
    <s v="Viernes"/>
    <x v="13"/>
    <s v="LA"/>
    <x v="1"/>
    <n v="11062"/>
    <s v="18/09/2026 17:27:27"/>
    <s v="18:00"/>
    <d v="1899-12-30T00:32:33"/>
    <x v="2"/>
    <s v="19/09/2026 00:00:48"/>
    <s v="00:00"/>
    <d v="1899-12-30T00:00:48"/>
    <x v="0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</r>
  <r>
    <s v="3045fae0d268338d"/>
    <s v="19_09_2026_AR_Noct.gpx"/>
    <s v="3045fae0d268338d25d3cd23bdd9fd7b7ab66535277cf52b510b0f2255c64b2c"/>
    <x v="16"/>
    <x v="0"/>
    <s v="Sábado"/>
    <x v="1"/>
    <s v="AR"/>
    <x v="1"/>
    <n v="1907"/>
    <s v="19/09/2026 18:23:21"/>
    <s v="18:00"/>
    <d v="1899-12-30T00:23:21"/>
    <x v="0"/>
    <s v="20/09/2026 00:05:17"/>
    <s v="00:00"/>
    <d v="1899-12-30T00:05:17"/>
    <x v="0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</r>
  <r>
    <s v="f5cb150a19768be1"/>
    <s v="21_09_2026_AO_Diur.gpx"/>
    <s v="f5cb150a19768be11f5f5f899eca0440e6e3b31b79532bd3d2717e1843b2aeee"/>
    <x v="17"/>
    <x v="0"/>
    <s v="Lunes"/>
    <x v="0"/>
    <s v="AO"/>
    <x v="0"/>
    <n v="5940"/>
    <s v="21/09/2026 09:19:43"/>
    <s v="08:30"/>
    <d v="1899-12-30T00:49:43"/>
    <x v="0"/>
    <s v="21/09/2026 16:31:57"/>
    <s v="16:30"/>
    <d v="1899-12-30T00:01:58"/>
    <x v="0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</r>
  <r>
    <s v="4af9429c979acd31"/>
    <s v="21_09_2026_AR_Diur.gpx"/>
    <s v="4af9429c979acd311095eb9d774c8740b3b098e341a257bcd082b7d3d591eaf8"/>
    <x v="17"/>
    <x v="0"/>
    <s v="Lunes"/>
    <x v="1"/>
    <s v="AR"/>
    <x v="0"/>
    <n v="2849"/>
    <s v="21/09/2026 08:30:35"/>
    <s v="08:30"/>
    <d v="1899-12-30T00:00:35"/>
    <x v="1"/>
    <s v="21/09/2026 16:31:01"/>
    <s v="16:30"/>
    <d v="1899-12-30T00:01:01"/>
    <x v="0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</r>
  <r>
    <s v="b710dc61d83a58bb"/>
    <s v="21_09_2026_DR_Diur.gpx"/>
    <s v="b710dc61d83a58bb2fd6232a2081ad7f1b35edb95d53d9681cfb5d0fc0a9002f"/>
    <x v="17"/>
    <x v="0"/>
    <s v="Lunes"/>
    <x v="8"/>
    <s v="DR"/>
    <x v="0"/>
    <n v="2438"/>
    <s v="21/09/2026 08:34:46"/>
    <s v="08:30"/>
    <d v="1899-12-30T00:04:46"/>
    <x v="1"/>
    <s v="21/09/2026 15:11:17"/>
    <s v="16:30"/>
    <d v="1899-12-30T01:18:43"/>
    <x v="1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</r>
  <r>
    <s v="df723bcb444a9b89"/>
    <s v="21_09_2026_HC_Diur.gpx"/>
    <s v="df723bcb444a9b89a96cfe59b0b091589c7ded961c305d4de77c75f601da7f63"/>
    <x v="17"/>
    <x v="0"/>
    <s v="Lunes"/>
    <x v="2"/>
    <s v="HC"/>
    <x v="0"/>
    <n v="4843"/>
    <s v="21/09/2026 08:20:27"/>
    <s v="08:30"/>
    <d v="1899-12-30T00:09:33"/>
    <x v="1"/>
    <s v="21/09/2026 14:33:13"/>
    <s v="16:30"/>
    <d v="1899-12-30T01:56:47"/>
    <x v="1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</r>
  <r>
    <s v="6f27f1f7911931ca"/>
    <s v="21_09_2026_JA_Diur.gpx"/>
    <s v="6f27f1f7911931ca3828937e00b0d9d7e4b7f2e3b4a744bbd82905cb69fa15fb"/>
    <x v="17"/>
    <x v="0"/>
    <s v="Lunes"/>
    <x v="3"/>
    <s v="JA"/>
    <x v="0"/>
    <n v="3629"/>
    <s v="21/09/2026 08:36:56"/>
    <s v="08:30"/>
    <d v="1899-12-30T00:06:56"/>
    <x v="1"/>
    <s v="21/09/2026 12:04:26"/>
    <s v="16:30"/>
    <d v="1899-12-30T04:25:34"/>
    <x v="1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</r>
  <r>
    <s v="27e8aa2b9041b83e"/>
    <s v="21_09_2026_JO_Diur.gpx"/>
    <s v="27e8aa2b9041b83e20a191f2772b4630e814d805f38d3a0411d9332a0dae3660"/>
    <x v="17"/>
    <x v="0"/>
    <s v="Lunes"/>
    <x v="4"/>
    <s v="JO"/>
    <x v="0"/>
    <n v="6889"/>
    <s v="21/09/2026 08:37:28"/>
    <s v="08:30"/>
    <d v="1899-12-30T00:07:29"/>
    <x v="1"/>
    <s v="21/09/2026 16:43:37"/>
    <s v="16:30"/>
    <d v="1899-12-30T00:13:37"/>
    <x v="0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dde7444915f2b4e9"/>
    <s v="21_09_2026_JZ_Diur.gpx"/>
    <s v="dde7444915f2b4e92aec2f1f976d41ad31491801b484ddb32cf638a5e3f4489c"/>
    <x v="17"/>
    <x v="0"/>
    <s v="Lunes"/>
    <x v="5"/>
    <s v="JZ"/>
    <x v="0"/>
    <n v="6424"/>
    <s v="21/09/2026 08:24:13"/>
    <s v="08:30"/>
    <d v="1899-12-30T00:05:47"/>
    <x v="1"/>
    <s v="21/09/2026 16:37:06"/>
    <s v="16:30"/>
    <d v="1899-12-30T00:07:06"/>
    <x v="0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634bea971084078"/>
    <s v="21_09_2026_SJ_Diur.gpx"/>
    <s v="b634bea971084078b58e036e265cc4e8a09286138fc0ba3da01e624fcd462fef"/>
    <x v="17"/>
    <x v="0"/>
    <s v="Lunes"/>
    <x v="6"/>
    <s v="SJ"/>
    <x v="0"/>
    <n v="3387"/>
    <s v="21/09/2026 08:26:09"/>
    <s v="08:30"/>
    <d v="1899-12-30T00:03:51"/>
    <x v="1"/>
    <s v="21/09/2026 16:07:56"/>
    <s v="16:30"/>
    <d v="1899-12-30T00:22:04"/>
    <x v="1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</r>
  <r>
    <s v="04d5b448cbe1d3e9"/>
    <s v="21_09_2026_YL_Diur.gpx"/>
    <s v="04d5b448cbe1d3e9f8fbfd0ec274e7c976ba2c0c9862da1199250c1f56a6b3e4"/>
    <x v="17"/>
    <x v="0"/>
    <s v="Lunes"/>
    <x v="7"/>
    <s v="YL"/>
    <x v="0"/>
    <n v="2857"/>
    <s v="21/09/2026 08:53:20"/>
    <s v="08:30"/>
    <d v="1899-12-30T00:23:20"/>
    <x v="0"/>
    <s v="21/09/2026 16:34:39"/>
    <s v="16:30"/>
    <d v="1899-12-30T00:04:39"/>
    <x v="0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</r>
  <r>
    <s v="4884f203cb19cd6f"/>
    <s v="21_09_2026_DV_Noct.gpx"/>
    <s v="4884f203cb19cd6f079a749132d411d17323f85c044649c665815bb14f94daf2"/>
    <x v="17"/>
    <x v="0"/>
    <s v="Lunes"/>
    <x v="9"/>
    <s v="DV"/>
    <x v="1"/>
    <n v="6533"/>
    <s v="21/09/2026 16:49:40"/>
    <s v="18:00"/>
    <d v="1899-12-30T01:10:20"/>
    <x v="2"/>
    <s v="22/09/2026 00:19:36"/>
    <s v="00:00"/>
    <d v="1899-12-30T00:19:36"/>
    <x v="2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</r>
  <r>
    <s v="9e22990e3b4a2ca1"/>
    <s v="21_09_2026_JHP_Noct.gpx"/>
    <s v="9e22990e3b4a2ca1d3a52ec4fc41e1d02c472c3565f3e888499da61f9f20fd26"/>
    <x v="17"/>
    <x v="0"/>
    <s v="Lunes"/>
    <x v="11"/>
    <s v="JHP"/>
    <x v="1"/>
    <n v="6535"/>
    <s v="21/09/2026 17:13:19"/>
    <s v="18:00"/>
    <d v="1899-12-30T00:46:41"/>
    <x v="2"/>
    <s v="21/09/2026 23:53:16"/>
    <s v="00:00"/>
    <d v="1899-12-30T00:06:44"/>
    <x v="0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</r>
  <r>
    <s v="835e20c04a53828a"/>
    <s v="21_09_2026_JP_Noct.gpx"/>
    <s v="835e20c04a53828ac368be1f9fdba8cf009f6fbc15008e849ce99879df0dfc8c"/>
    <x v="17"/>
    <x v="0"/>
    <s v="Lunes"/>
    <x v="12"/>
    <s v="JP"/>
    <x v="1"/>
    <n v="2501"/>
    <s v="21/09/2026 17:18:13"/>
    <s v="18:00"/>
    <d v="1899-12-30T00:41:47"/>
    <x v="2"/>
    <s v="21/09/2026 21:40:42"/>
    <s v="00:00"/>
    <d v="1899-12-30T02:19:18"/>
    <x v="1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</r>
  <r>
    <s v="b907b156e6a5331b"/>
    <s v="21_09_2026_LA_Noct.gpx"/>
    <s v="b907b156e6a5331be632ae339c782b82f2745169ca62414b285562508b1a292d"/>
    <x v="17"/>
    <x v="0"/>
    <s v="Lunes"/>
    <x v="13"/>
    <s v="LA"/>
    <x v="1"/>
    <n v="7696"/>
    <s v="21/09/2026 17:05:19"/>
    <s v="18:00"/>
    <d v="1899-12-30T00:54:41"/>
    <x v="2"/>
    <s v="21/09/2026 23:58:09"/>
    <s v="00:00"/>
    <d v="1899-12-30T00:01:51"/>
    <x v="0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</r>
  <r>
    <s v="74495a6fa19689de"/>
    <s v="21_09_2026_IQ_Noct.gpx"/>
    <s v="74495a6fa19689dec156654a51031c211e6db1b376f23ddef8a0e02cd742a84e"/>
    <x v="17"/>
    <x v="0"/>
    <s v="Lunes"/>
    <x v="10"/>
    <s v="IQ"/>
    <x v="1"/>
    <n v="1903"/>
    <s v="21/09/2026 16:52:55"/>
    <s v="18:00"/>
    <d v="1899-12-30T01:07:05"/>
    <x v="2"/>
    <s v="21/09/2026 23:52:10"/>
    <s v="00:00"/>
    <d v="1899-12-30T00:07:50"/>
    <x v="0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</r>
  <r>
    <s v="2a5d12d522d0ec56"/>
    <s v="22_09_2026_AO_Diur.gpx"/>
    <s v="2a5d12d522d0ec56261ab7d8d6b1630a43e635bab73594f1404ba06b34c31210"/>
    <x v="18"/>
    <x v="0"/>
    <s v="Martes"/>
    <x v="0"/>
    <s v="AO"/>
    <x v="0"/>
    <n v="7151"/>
    <s v="22/09/2026 08:59:19"/>
    <s v="08:30"/>
    <d v="1899-12-30T00:29:20"/>
    <x v="0"/>
    <s v="22/09/2026 15:52:59"/>
    <s v="16:30"/>
    <d v="1899-12-30T00:37:01"/>
    <x v="1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</r>
  <r>
    <s v="7dc74d5317f3bd9f"/>
    <s v="22_09_2026_AR_Diur.gpx"/>
    <s v="7dc74d5317f3bd9fe1c3149f518fceb8b65009e52b7a0f0f33c11d75a47426b8"/>
    <x v="18"/>
    <x v="0"/>
    <s v="Martes"/>
    <x v="1"/>
    <s v="AR"/>
    <x v="0"/>
    <n v="3653"/>
    <s v="22/09/2026 08:02:58"/>
    <s v="08:30"/>
    <d v="1899-12-30T00:27:02"/>
    <x v="2"/>
    <s v="22/09/2026 16:27:39"/>
    <s v="16:30"/>
    <d v="1899-12-30T00:02:21"/>
    <x v="0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</r>
  <r>
    <s v="70230eb672e9cc1f"/>
    <s v="22_09_2026_DR_Diur.gpx"/>
    <s v="70230eb672e9cc1f3460be4ad96f5705a18da9ce7ecdad2e58586d5e223e77af"/>
    <x v="18"/>
    <x v="0"/>
    <s v="Martes"/>
    <x v="8"/>
    <s v="DR"/>
    <x v="0"/>
    <n v="1798"/>
    <s v="22/09/2026 08:32:25"/>
    <s v="08:30"/>
    <d v="1899-12-30T00:02:25"/>
    <x v="1"/>
    <s v="22/09/2026 16:42:18"/>
    <s v="16:30"/>
    <d v="1899-12-30T00:12:18"/>
    <x v="0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98c040a5bcec5b7b"/>
    <s v="22_09_2026_HC_Diur.gpx"/>
    <s v="98c040a5bcec5b7bf78e262a0f96c39560ec3f7438dae6d9eda28651eefdd49d"/>
    <x v="18"/>
    <x v="0"/>
    <s v="Martes"/>
    <x v="2"/>
    <s v="HC"/>
    <x v="0"/>
    <n v="3615"/>
    <s v="22/09/2026 08:22:01"/>
    <s v="08:30"/>
    <d v="1899-12-30T00:07:59"/>
    <x v="1"/>
    <s v="22/09/2026 14:08:55"/>
    <s v="16:30"/>
    <d v="1899-12-30T02:21:05"/>
    <x v="1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</r>
  <r>
    <s v="244c815a07a75689"/>
    <s v="22_09_2026_JA_Diur.gpx"/>
    <s v="244c815a07a75689811bc095a5e4a5678d913ccb5415086f04a495333900a1b9"/>
    <x v="18"/>
    <x v="0"/>
    <s v="Martes"/>
    <x v="3"/>
    <s v="JA"/>
    <x v="0"/>
    <n v="3597"/>
    <s v="22/09/2026 08:33:40"/>
    <s v="08:30"/>
    <d v="1899-12-30T00:03:40"/>
    <x v="1"/>
    <s v="22/09/2026 13:22:19"/>
    <s v="16:30"/>
    <d v="1899-12-30T03:07:41"/>
    <x v="1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</r>
  <r>
    <s v="6c10f9a23867b808"/>
    <s v="22_09_2026_JO_Diur.gpx"/>
    <s v="6c10f9a23867b80804f0e0d3026cbd2377a4e84295aabb81f604aef45752b27f"/>
    <x v="18"/>
    <x v="0"/>
    <s v="Martes"/>
    <x v="4"/>
    <s v="JO"/>
    <x v="0"/>
    <n v="6586"/>
    <s v="22/09/2026 08:20:47"/>
    <s v="08:30"/>
    <d v="1899-12-30T00:09:12"/>
    <x v="1"/>
    <s v="22/09/2026 16:34:54"/>
    <s v="16:30"/>
    <d v="1899-12-30T00:04:55"/>
    <x v="0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</r>
  <r>
    <s v="f27b71b164cba290"/>
    <s v="22_09_2026_JZ_Diur.gpx"/>
    <s v="f27b71b164cba290e70f9cddfe830ad09af83e603900c2951d4a153691fc0b60"/>
    <x v="18"/>
    <x v="0"/>
    <s v="Martes"/>
    <x v="5"/>
    <s v="JZ"/>
    <x v="0"/>
    <n v="4949"/>
    <s v="22/09/2026 08:30:53"/>
    <s v="08:30"/>
    <d v="1899-12-30T00:00:53"/>
    <x v="1"/>
    <s v="22/09/2026 16:32:51"/>
    <s v="16:30"/>
    <d v="1899-12-30T00:02:51"/>
    <x v="0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0b975ab9cf7f549f"/>
    <s v="22_09_2026_SJ_Diur.gpx"/>
    <s v="0b975ab9cf7f549facbafc790c2cc7d87714627553ac9528f465dd26e9525b18"/>
    <x v="18"/>
    <x v="0"/>
    <s v="Martes"/>
    <x v="6"/>
    <s v="SJ"/>
    <x v="0"/>
    <n v="2061"/>
    <s v="22/09/2026 08:22:52"/>
    <s v="08:30"/>
    <d v="1899-12-30T00:07:08"/>
    <x v="1"/>
    <s v="22/09/2026 16:24:55"/>
    <s v="16:30"/>
    <d v="1899-12-30T00:05:05"/>
    <x v="0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08614fea07320d08"/>
    <s v="22_09_2026_YL_Diur.gpx"/>
    <s v="08614fea07320d08084c2296fd70d2e13d8b0c1f17fdd4872e33583594595dbf"/>
    <x v="18"/>
    <x v="0"/>
    <s v="Martes"/>
    <x v="7"/>
    <s v="YL"/>
    <x v="0"/>
    <n v="3254"/>
    <s v="22/09/2026 08:32:21"/>
    <s v="08:30"/>
    <d v="1899-12-30T00:02:21"/>
    <x v="1"/>
    <s v="22/09/2026 16:33:25"/>
    <s v="16:30"/>
    <d v="1899-12-30T00:03:25"/>
    <x v="0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22e3cf1e69577752"/>
    <s v="22_09_2026_IQ_Noct.gpx"/>
    <s v="22e3cf1e6957775221afa64285023da562984dae936caa954ee47dc6fc339b1e"/>
    <x v="18"/>
    <x v="0"/>
    <s v="Martes"/>
    <x v="10"/>
    <s v="IQ"/>
    <x v="1"/>
    <n v="3626"/>
    <s v="22/09/2026 16:26:00"/>
    <s v="18:00"/>
    <d v="1899-12-30T01:34:00"/>
    <x v="2"/>
    <s v="22/09/2026 23:44:29"/>
    <s v="00:00"/>
    <d v="1899-12-30T00:15:31"/>
    <x v="1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</r>
  <r>
    <s v="030c093ed850598e"/>
    <s v="22_09_2026_JHP_Noct.gpx"/>
    <s v="030c093ed850598ec0b41fe7b3c85401960f95f2dbbed6b59963263368016517"/>
    <x v="18"/>
    <x v="0"/>
    <s v="Martes"/>
    <x v="11"/>
    <s v="JHP"/>
    <x v="1"/>
    <n v="6526"/>
    <s v="22/09/2026 17:21:13"/>
    <s v="18:00"/>
    <d v="1899-12-30T00:38:47"/>
    <x v="2"/>
    <s v="23/09/2026 00:01:55"/>
    <s v="00:00"/>
    <d v="1899-12-30T00:01:55"/>
    <x v="0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</r>
  <r>
    <s v="6c6a01bf19af2e78"/>
    <s v="22_09_2026_JP_Noct.gpx"/>
    <s v="6c6a01bf19af2e78e9bcfc6cc317e47b2a3f8fca1ba9f4a003178fda7d114836"/>
    <x v="18"/>
    <x v="0"/>
    <s v="Martes"/>
    <x v="12"/>
    <s v="JP"/>
    <x v="1"/>
    <n v="2470"/>
    <s v="22/09/2026 17:43:40"/>
    <s v="18:00"/>
    <d v="1899-12-30T00:16:20"/>
    <x v="2"/>
    <s v="22/09/2026 22:07:06"/>
    <s v="00:00"/>
    <d v="1899-12-30T01:52:54"/>
    <x v="1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</r>
  <r>
    <s v="43299031c0ccff50"/>
    <s v="22_09_2026_DV_Noct.gpx"/>
    <s v="43299031c0ccff50294b6f975c848301f36803586ffe271406e537e2a79cdfa0"/>
    <x v="18"/>
    <x v="0"/>
    <s v="Martes"/>
    <x v="9"/>
    <s v="DV"/>
    <x v="1"/>
    <n v="4471"/>
    <s v="22/09/2026 16:55:24"/>
    <s v="18:00"/>
    <d v="1899-12-30T01:04:36"/>
    <x v="2"/>
    <s v="23/09/2026 00:21:54"/>
    <s v="00:00"/>
    <d v="1899-12-30T00:21:54"/>
    <x v="2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</r>
  <r>
    <s v="e2ed9061be63926a"/>
    <s v="22_09_2026_LA_Noct.gpx"/>
    <s v="e2ed9061be63926a391cd48dc7c044e90a74ac21cbda166b2d4e8ac09b45c814"/>
    <x v="18"/>
    <x v="0"/>
    <s v="Martes"/>
    <x v="13"/>
    <s v="LA"/>
    <x v="1"/>
    <n v="7824"/>
    <s v="22/09/2026 17:01:15"/>
    <s v="18:00"/>
    <d v="1899-12-30T00:58:45"/>
    <x v="2"/>
    <s v="22/09/2026 23:57:14"/>
    <s v="00:00"/>
    <d v="1899-12-30T00:02:46"/>
    <x v="0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</r>
  <r>
    <s v="27bf9ccc57f408d3"/>
    <s v="23_09_2026_AO_Diur.gpx"/>
    <s v="27bf9ccc57f408d3a1e58989de7178cb85dd167049fa727b70aa3a0879a845cb"/>
    <x v="19"/>
    <x v="0"/>
    <s v="Miércoles"/>
    <x v="0"/>
    <s v="AO"/>
    <x v="0"/>
    <n v="5959"/>
    <s v="23/09/2026 09:17:02"/>
    <s v="08:30"/>
    <d v="1899-12-30T00:47:03"/>
    <x v="0"/>
    <s v="23/09/2026 17:09:42"/>
    <s v="16:30"/>
    <d v="1899-12-30T00:39:43"/>
    <x v="2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</r>
  <r>
    <s v="7a91edd00a841142"/>
    <s v="23_09_2026_AR_Diur.gpx"/>
    <s v="7a91edd00a8411422c22e48ab6aa40db972723a3e6f81e1d911b47c901f33c40"/>
    <x v="19"/>
    <x v="0"/>
    <s v="Miércoles"/>
    <x v="1"/>
    <s v="AR"/>
    <x v="0"/>
    <n v="1868"/>
    <s v="23/09/2026 08:16:16"/>
    <s v="08:30"/>
    <d v="1899-12-30T00:13:44"/>
    <x v="1"/>
    <s v="23/09/2026 16:11:11"/>
    <s v="16:30"/>
    <d v="1899-12-30T00:18:49"/>
    <x v="1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</r>
  <r>
    <s v="4408ac1d649faca3"/>
    <s v="23_09_2026_DR_Diur.gpx"/>
    <s v="4408ac1d649faca302b1a8ecf19b979de608bcd9adef35bce34292cd26b3aeb6"/>
    <x v="19"/>
    <x v="0"/>
    <s v="Miércoles"/>
    <x v="8"/>
    <s v="DR"/>
    <x v="0"/>
    <n v="2244"/>
    <s v="23/09/2026 08:51:52"/>
    <s v="08:30"/>
    <d v="1899-12-30T00:21:52"/>
    <x v="0"/>
    <s v="23/09/2026 16:41:32"/>
    <s v="16:30"/>
    <d v="1899-12-30T00:11:32"/>
    <x v="0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</r>
  <r>
    <s v="cee7dbc94d8380b9"/>
    <s v="23_09_2026_HC_Diur.gpx"/>
    <s v="cee7dbc94d8380b967c51fa1a926584f6f8387e40221a1c8e56431369faf5ba9"/>
    <x v="19"/>
    <x v="0"/>
    <s v="Miércoles"/>
    <x v="2"/>
    <s v="HC"/>
    <x v="0"/>
    <n v="4411"/>
    <s v="23/09/2026 08:20:00"/>
    <s v="08:30"/>
    <d v="1899-12-30T00:10:00"/>
    <x v="1"/>
    <s v="23/09/2026 14:17:50"/>
    <s v="16:30"/>
    <d v="1899-12-30T02:12:10"/>
    <x v="1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</r>
  <r>
    <s v="025a647a490108ab"/>
    <s v="23_09_2026_JO_Diur.gpx"/>
    <s v="025a647a490108ab58e8e211691c0f25058cad25387522be9e59a593723a511c"/>
    <x v="19"/>
    <x v="0"/>
    <s v="Miércoles"/>
    <x v="4"/>
    <s v="JO"/>
    <x v="0"/>
    <n v="5246"/>
    <s v="23/09/2026 08:45:49"/>
    <s v="08:30"/>
    <d v="1899-12-30T00:15:49"/>
    <x v="0"/>
    <s v="23/09/2026 16:45:11"/>
    <s v="16:30"/>
    <d v="1899-12-30T00:15:11"/>
    <x v="2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</r>
  <r>
    <s v="902a3fd7e70712ae"/>
    <s v="23_09_2026_JZ_Diur.gpx"/>
    <s v="902a3fd7e70712aeca6629d519f06105047cecdd8a4069792258d07bdd369e43"/>
    <x v="19"/>
    <x v="0"/>
    <s v="Miércoles"/>
    <x v="5"/>
    <s v="JZ"/>
    <x v="0"/>
    <n v="5580"/>
    <s v="23/09/2026 08:04:28"/>
    <s v="08:30"/>
    <d v="1899-12-30T00:25:32"/>
    <x v="2"/>
    <s v="23/09/2026 16:34:36"/>
    <s v="16:30"/>
    <d v="1899-12-30T00:04:36"/>
    <x v="0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</r>
  <r>
    <s v="a87b9c61f88f6dc6"/>
    <s v="23_09_2026_SJ_Diur.gpx"/>
    <s v="a87b9c61f88f6dc61d7c57e704a7019cfeeb155863211b6fcd05b1a5345a41e2"/>
    <x v="19"/>
    <x v="0"/>
    <s v="Miércoles"/>
    <x v="6"/>
    <s v="SJ"/>
    <x v="0"/>
    <n v="2385"/>
    <s v="23/09/2026 08:39:04"/>
    <s v="08:30"/>
    <d v="1899-12-30T00:09:04"/>
    <x v="1"/>
    <s v="23/09/2026 16:04:43"/>
    <s v="16:30"/>
    <d v="1899-12-30T00:25:17"/>
    <x v="1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</r>
  <r>
    <s v="562b967a6b961354"/>
    <s v="23_09_2026_YL_Diur.gpx"/>
    <s v="562b967a6b961354db78b9cffe2da313776b367f0271c4f71ff1efefdac672ff"/>
    <x v="19"/>
    <x v="0"/>
    <s v="Miércoles"/>
    <x v="7"/>
    <s v="YL"/>
    <x v="0"/>
    <n v="4294"/>
    <s v="23/09/2026 08:49:21"/>
    <s v="08:30"/>
    <d v="1899-12-30T00:19:21"/>
    <x v="0"/>
    <s v="23/09/2026 16:45:00"/>
    <s v="16:30"/>
    <d v="1899-12-30T00:15:00"/>
    <x v="0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</r>
  <r>
    <s v="dba3452836ba7e50"/>
    <s v="23_09_2026_JA_Diur1.gpx"/>
    <s v="dba3452836ba7e50cc3f660a7059238423e73768e6e6d9c1ebe7ef47a5a38bab"/>
    <x v="19"/>
    <x v="0"/>
    <s v="Miércoles"/>
    <x v="3"/>
    <s v="JA"/>
    <x v="0"/>
    <n v="1382"/>
    <s v="23/09/2026 08:50:57"/>
    <s v="08:30"/>
    <d v="1899-12-30T00:20:57"/>
    <x v="0"/>
    <s v="23/09/2026 12:14:38"/>
    <s v="16:30"/>
    <m/>
    <x v="3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</r>
  <r>
    <s v="abbfd962adecc6f9"/>
    <s v="23_09_2026_JA_Diur2.gpx"/>
    <s v="abbfd962adecc6f91b4e71bf28b254f741a22c8e9aedc308cb409194fbd1ad5b"/>
    <x v="19"/>
    <x v="0"/>
    <s v="Miércoles"/>
    <x v="3"/>
    <s v="JA"/>
    <x v="0"/>
    <n v="336"/>
    <s v="23/09/2026 16:26:53"/>
    <s v="08:30"/>
    <m/>
    <x v="3"/>
    <s v="23/09/2026 17:31:38"/>
    <s v="16:30"/>
    <d v="1899-12-30T01:01:38"/>
    <x v="2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</r>
  <r>
    <s v="c7bcdda3448eca70"/>
    <s v="23_09_2026_DV_Noct.gpx"/>
    <s v="c7bcdda3448eca7014a76963f98c28a7628c901ad953ed367050d466f0da05ff"/>
    <x v="19"/>
    <x v="0"/>
    <s v="Miércoles"/>
    <x v="9"/>
    <s v="DV"/>
    <x v="1"/>
    <n v="5086"/>
    <s v="23/09/2026 17:50:48"/>
    <s v="18:00"/>
    <d v="1899-12-30T00:09:12"/>
    <x v="1"/>
    <s v="24/09/2026 00:23:26"/>
    <s v="00:00"/>
    <d v="1899-12-30T00:23:26"/>
    <x v="2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</r>
  <r>
    <s v="854b85750ca295ba"/>
    <s v="23_09_2026_IQ_Noct.gpx"/>
    <s v="854b85750ca295bab2dbaff996de56ef78092891b34f495b545a89ffb99f5af8"/>
    <x v="19"/>
    <x v="0"/>
    <s v="Miércoles"/>
    <x v="10"/>
    <s v="IQ"/>
    <x v="1"/>
    <n v="2052"/>
    <s v="23/09/2026 17:35:20"/>
    <s v="18:00"/>
    <d v="1899-12-30T00:24:40"/>
    <x v="2"/>
    <s v="23/09/2026 23:57:48"/>
    <s v="00:00"/>
    <d v="1899-12-30T00:02:12"/>
    <x v="0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</r>
  <r>
    <s v="1524ebf6e64c53aa"/>
    <s v="23_09_2026_JP_Noct.gpx"/>
    <s v="1524ebf6e64c53aa5e6027a2d921e2541675d5de5bc7ab5d37d972940274a473"/>
    <x v="19"/>
    <x v="0"/>
    <s v="Miércoles"/>
    <x v="12"/>
    <s v="JP"/>
    <x v="1"/>
    <n v="3372"/>
    <s v="23/09/2026 17:30:41"/>
    <s v="18:00"/>
    <d v="1899-12-30T00:29:19"/>
    <x v="2"/>
    <s v="23/09/2026 21:41:04"/>
    <s v="00:00"/>
    <d v="1899-12-30T02:18:56"/>
    <x v="1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</r>
  <r>
    <s v="c28c6adae2a52086"/>
    <s v="23_09_2026_LA_Noct.gpx"/>
    <s v="c28c6adae2a52086a5b43f8adf2f7efb0ab6d21e943556b357652747d7f1966b"/>
    <x v="19"/>
    <x v="0"/>
    <s v="Miércoles"/>
    <x v="13"/>
    <s v="LA"/>
    <x v="1"/>
    <n v="7287"/>
    <s v="23/09/2026 17:41:21"/>
    <s v="18:00"/>
    <d v="1899-12-30T00:18:39"/>
    <x v="2"/>
    <s v="24/09/2026 00:07:53"/>
    <s v="00:00"/>
    <d v="1899-12-30T00:07:53"/>
    <x v="0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</r>
  <r>
    <s v="d8610283ab31c17b"/>
    <s v="24_09_2026_AO_Diur.gpx"/>
    <s v="d8610283ab31c17b60cf55c57f3fef35c24792cb35cd6303472074d6dc57a9e2"/>
    <x v="20"/>
    <x v="0"/>
    <s v="Jueves"/>
    <x v="0"/>
    <s v="AO"/>
    <x v="0"/>
    <n v="3430"/>
    <s v="24/09/2026 09:11:42"/>
    <s v="08:30"/>
    <d v="1899-12-30T00:41:43"/>
    <x v="0"/>
    <s v="24/09/2026 15:36:24"/>
    <s v="16:30"/>
    <d v="1899-12-30T00:53:36"/>
    <x v="1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</r>
  <r>
    <s v="80b1d8418c2b1eaa"/>
    <s v="24_09_2026_AR_Diur.gpx"/>
    <s v="80b1d8418c2b1eaab60e02e6a877ea0131fa1acbbaf1244fd97677a34ac1ea83"/>
    <x v="20"/>
    <x v="0"/>
    <s v="Jueves"/>
    <x v="1"/>
    <s v="AR"/>
    <x v="0"/>
    <n v="1795"/>
    <s v="24/09/2026 08:14:20"/>
    <s v="08:30"/>
    <d v="1899-12-30T00:15:40"/>
    <x v="2"/>
    <s v="24/09/2026 16:32:03"/>
    <s v="16:30"/>
    <d v="1899-12-30T00:02:03"/>
    <x v="0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</r>
  <r>
    <s v="26d8bdaf1d13469e"/>
    <s v="24_09_2026_DR_Diur.gpx"/>
    <s v="26d8bdaf1d13469ee33712c9bfcbfe9c5901905e2a80baf0fe4c1f50012cf2f3"/>
    <x v="20"/>
    <x v="0"/>
    <s v="Jueves"/>
    <x v="8"/>
    <s v="DR"/>
    <x v="0"/>
    <n v="2721"/>
    <s v="24/09/2026 08:27:18"/>
    <s v="08:30"/>
    <d v="1899-12-30T00:02:42"/>
    <x v="1"/>
    <s v="24/09/2026 15:51:15"/>
    <s v="16:30"/>
    <d v="1899-12-30T00:38:45"/>
    <x v="1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</r>
  <r>
    <s v="92b923405ece402b"/>
    <s v="24_09_2026_HC_Diur.gpx"/>
    <s v="92b923405ece402b75cd59de5c90e486ec87dfad75c78c4f899255e5739248da"/>
    <x v="20"/>
    <x v="0"/>
    <s v="Jueves"/>
    <x v="2"/>
    <s v="HC"/>
    <x v="0"/>
    <n v="2783"/>
    <s v="24/09/2026 09:16:50"/>
    <s v="08:30"/>
    <d v="1899-12-30T00:46:50"/>
    <x v="0"/>
    <s v="24/09/2026 13:34:41"/>
    <s v="16:30"/>
    <d v="1899-12-30T02:55:19"/>
    <x v="1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</r>
  <r>
    <s v="676d50fbccc03774"/>
    <s v="24_09_2026_JA_Diur.gpx"/>
    <s v="676d50fbccc0377475a506b4c473ea57a7024889c5da3b94f8b6202fc5952dfe"/>
    <x v="20"/>
    <x v="0"/>
    <s v="Jueves"/>
    <x v="3"/>
    <s v="JA"/>
    <x v="0"/>
    <n v="1079"/>
    <s v="24/09/2026 08:52:25"/>
    <s v="08:30"/>
    <d v="1899-12-30T00:22:25"/>
    <x v="0"/>
    <s v="24/09/2026 12:37:22"/>
    <s v="16:30"/>
    <d v="1899-12-30T03:52:38"/>
    <x v="1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</r>
  <r>
    <s v="b4281bc6eb1402cd"/>
    <s v="24_09_2026_JO_Diur.gpx"/>
    <s v="b4281bc6eb1402cd6b1c175a0e75d9bca1eb794b273c036c77cd612468789d15"/>
    <x v="20"/>
    <x v="0"/>
    <s v="Jueves"/>
    <x v="4"/>
    <s v="JO"/>
    <x v="0"/>
    <n v="4391"/>
    <s v="24/09/2026 08:53:59"/>
    <s v="08:30"/>
    <d v="1899-12-30T00:23:59"/>
    <x v="0"/>
    <s v="24/09/2026 16:24:23"/>
    <s v="16:30"/>
    <d v="1899-12-30T00:05:37"/>
    <x v="0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</r>
  <r>
    <s v="9f4f0535ce907d5c"/>
    <s v="24_09_2026_JZ_Diur.gpx"/>
    <s v="9f4f0535ce907d5c87d52ce754bb4b9539a103e71e85d5792a13d7c8617a20d6"/>
    <x v="20"/>
    <x v="0"/>
    <s v="Jueves"/>
    <x v="5"/>
    <s v="JZ"/>
    <x v="0"/>
    <n v="4312"/>
    <s v="24/09/2026 08:33:45"/>
    <s v="08:30"/>
    <d v="1899-12-30T00:03:45"/>
    <x v="1"/>
    <s v="24/09/2026 16:40:46"/>
    <s v="16:30"/>
    <d v="1899-12-30T00:10:46"/>
    <x v="0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6c891630b524a9ff"/>
    <s v="24_09_2026_SJ_Diur.gpx"/>
    <s v="6c891630b524a9ffafdb948e9cbc7937f36d22b6ca2cbcba2289b40b905b476d"/>
    <x v="20"/>
    <x v="0"/>
    <s v="Jueves"/>
    <x v="6"/>
    <s v="SJ"/>
    <x v="0"/>
    <n v="3465"/>
    <s v="24/09/2026 08:53:57"/>
    <s v="08:30"/>
    <d v="1899-12-30T00:23:57"/>
    <x v="0"/>
    <s v="24/09/2026 15:52:13"/>
    <s v="16:30"/>
    <d v="1899-12-30T00:37:47"/>
    <x v="1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</r>
  <r>
    <s v="564426f7571d7fb3"/>
    <s v="24_09_2026_YL_Diur.gpx"/>
    <s v="564426f7571d7fb39bec01e73fe74859f78006eae2f3d66e604884dc4b8f07a3"/>
    <x v="20"/>
    <x v="0"/>
    <s v="Jueves"/>
    <x v="7"/>
    <s v="YL"/>
    <x v="0"/>
    <n v="679"/>
    <s v="24/09/2026 08:29:19"/>
    <s v="08:30"/>
    <d v="1899-12-30T00:00:41"/>
    <x v="1"/>
    <s v="24/09/2026 16:35:40"/>
    <s v="16:30"/>
    <d v="1899-12-30T00:05:40"/>
    <x v="0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bab305730ba056d1"/>
    <s v="24_09_2026_DV_Noct.gpx"/>
    <s v="bab305730ba056d176d0642f5f7797bef81782d99654b9a7d153eca74bc51454"/>
    <x v="20"/>
    <x v="0"/>
    <s v="Jueves"/>
    <x v="9"/>
    <s v="DV"/>
    <x v="1"/>
    <n v="3161"/>
    <s v="24/09/2026 17:45:06"/>
    <s v="18:00"/>
    <d v="1899-12-30T00:14:54"/>
    <x v="1"/>
    <s v="25/09/2026 00:20:21"/>
    <s v="00:00"/>
    <d v="1899-12-30T00:20:21"/>
    <x v="2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</r>
  <r>
    <s v="517e09ca382f2401"/>
    <s v="24_09_2026_IQ_Noct.gpx"/>
    <s v="517e09ca382f240146f4d160e91a2e77611b8b3c7b2749178d70cd88ebdba105"/>
    <x v="20"/>
    <x v="0"/>
    <s v="Jueves"/>
    <x v="10"/>
    <s v="IQ"/>
    <x v="1"/>
    <n v="1719"/>
    <s v="24/09/2026 16:44:27"/>
    <s v="18:00"/>
    <d v="1899-12-30T01:15:33"/>
    <x v="2"/>
    <s v="24/09/2026 23:53:58"/>
    <s v="00:00"/>
    <d v="1899-12-30T00:06:02"/>
    <x v="0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</r>
  <r>
    <s v="c91268ef9d9bb5cd"/>
    <s v="24_09_2026_JP_Noct.gpx"/>
    <s v="c91268ef9d9bb5cde23a9219657fe3b734c5e105bab9c46f195b8e269fa1ffd3"/>
    <x v="20"/>
    <x v="0"/>
    <s v="Jueves"/>
    <x v="12"/>
    <s v="JP"/>
    <x v="1"/>
    <n v="2463"/>
    <s v="24/09/2026 17:43:58"/>
    <s v="18:00"/>
    <d v="1899-12-30T00:16:02"/>
    <x v="2"/>
    <s v="24/09/2026 22:51:32"/>
    <s v="00:00"/>
    <d v="1899-12-30T01:08:28"/>
    <x v="1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</r>
  <r>
    <s v="7bc001476223be32"/>
    <s v="24_09_2026_LA_Noct.gpx"/>
    <s v="7bc001476223be32ca2e18bfca848d78c20a463a1f334d53d5ae105117f98a46"/>
    <x v="20"/>
    <x v="0"/>
    <s v="Jueves"/>
    <x v="13"/>
    <s v="LA"/>
    <x v="1"/>
    <n v="4867"/>
    <s v="24/09/2026 17:26:54"/>
    <s v="18:00"/>
    <d v="1899-12-30T00:33:06"/>
    <x v="2"/>
    <s v="25/09/2026 00:05:11"/>
    <s v="00:00"/>
    <d v="1899-12-30T00:05:11"/>
    <x v="0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</r>
  <r>
    <s v="66823889791403a1"/>
    <s v="25_09_2026_AO_Diur.gpx"/>
    <s v="66823889791403a126d911dc47e1d121fe441ef26c47416174d39d07380224a7"/>
    <x v="21"/>
    <x v="0"/>
    <s v="Viernes"/>
    <x v="0"/>
    <s v="AO"/>
    <x v="0"/>
    <n v="4768"/>
    <s v="25/09/2026 09:17:31"/>
    <s v="08:30"/>
    <d v="1899-12-30T00:47:32"/>
    <x v="0"/>
    <s v="25/09/2026 16:01:29"/>
    <s v="16:00"/>
    <d v="1899-12-30T00:01:30"/>
    <x v="0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</r>
  <r>
    <s v="f003510ff71a767b"/>
    <s v="25_09_2026_AR_Diur.gpx"/>
    <s v="f003510ff71a767bc3ed575332c6e60823f2ef2112d58474ef892ed3cb349b48"/>
    <x v="21"/>
    <x v="0"/>
    <s v="Viernes"/>
    <x v="1"/>
    <s v="AR"/>
    <x v="0"/>
    <n v="6506"/>
    <s v="25/09/2026 08:17:26"/>
    <s v="08:30"/>
    <d v="1899-12-30T00:12:34"/>
    <x v="1"/>
    <s v="25/09/2026 16:03:38"/>
    <s v="16:00"/>
    <d v="1899-12-30T00:03:38"/>
    <x v="0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cec1be82c82d8e62"/>
    <s v="25_09_2026_DR_Diur.gpx"/>
    <s v="cec1be82c82d8e62da311bb07b83e550afd873d4fecd0d016da15ee7afc2b77b"/>
    <x v="21"/>
    <x v="0"/>
    <s v="Viernes"/>
    <x v="8"/>
    <s v="DR"/>
    <x v="0"/>
    <n v="2565"/>
    <s v="25/09/2026 08:40:49"/>
    <s v="08:30"/>
    <d v="1899-12-30T00:10:49"/>
    <x v="1"/>
    <s v="25/09/2026 13:58:26"/>
    <s v="16:00"/>
    <d v="1899-12-30T02:01:34"/>
    <x v="1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</r>
  <r>
    <s v="dbe485f0783f5711"/>
    <s v="25_09_2026_HC_Diur.gpx"/>
    <s v="dbe485f0783f5711d5aeff872143aa2a4942a8963022affc3f06e544fe8ca4ad"/>
    <x v="21"/>
    <x v="0"/>
    <s v="Viernes"/>
    <x v="2"/>
    <s v="HC"/>
    <x v="0"/>
    <n v="2599"/>
    <s v="25/09/2026 08:29:46"/>
    <s v="08:30"/>
    <d v="1899-12-30T00:00:14"/>
    <x v="1"/>
    <s v="25/09/2026 14:29:25"/>
    <s v="16:00"/>
    <d v="1899-12-30T01:30:35"/>
    <x v="1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</r>
  <r>
    <s v="667ac675a4f68eaf"/>
    <s v="25_09_2026_JA_Diur.gpx"/>
    <s v="667ac675a4f68eafc3da38fa706169b8e2184f033be2437f1d09db1f7d69088e"/>
    <x v="21"/>
    <x v="0"/>
    <s v="Viernes"/>
    <x v="3"/>
    <s v="JA"/>
    <x v="0"/>
    <n v="1190"/>
    <s v="25/09/2026 08:29:20"/>
    <s v="08:30"/>
    <d v="1899-12-30T00:00:40"/>
    <x v="1"/>
    <s v="25/09/2026 12:54:58"/>
    <s v="16:00"/>
    <d v="1899-12-30T03:05:02"/>
    <x v="1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</r>
  <r>
    <s v="b010c76cac8409c2"/>
    <s v="25_09_2026_JO_Diur.gpx"/>
    <s v="b010c76cac8409c2a157749e925a74b96d69d911005a380d7266c184438cbdcd"/>
    <x v="21"/>
    <x v="0"/>
    <s v="Viernes"/>
    <x v="4"/>
    <s v="JO"/>
    <x v="0"/>
    <n v="3651"/>
    <s v="25/09/2026 08:30:59"/>
    <s v="08:30"/>
    <d v="1899-12-30T00:00:59"/>
    <x v="1"/>
    <s v="25/09/2026 16:04:35"/>
    <s v="16:00"/>
    <d v="1899-12-30T00:04:35"/>
    <x v="0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4179c4693bca0dbb"/>
    <s v="25_09_2026_JZ_Diur.gpx"/>
    <s v="4179c4693bca0dbb3c70994a99f8c396a7b13745649d5c6657d557357528533b"/>
    <x v="21"/>
    <x v="0"/>
    <s v="Viernes"/>
    <x v="5"/>
    <s v="JZ"/>
    <x v="0"/>
    <n v="3573"/>
    <s v="25/09/2026 08:13:48"/>
    <s v="08:30"/>
    <d v="1899-12-30T00:16:12"/>
    <x v="2"/>
    <s v="25/09/2026 14:39:11"/>
    <s v="16:00"/>
    <d v="1899-12-30T01:20:49"/>
    <x v="1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</r>
  <r>
    <s v="0701bdacf7671d43"/>
    <s v="25_09_2026_SJ_Diur.gpx"/>
    <s v="0701bdacf7671d43bf0f7a3a9f4e7bfa0432ce044dd120ea07efbcf187c6cd18"/>
    <x v="21"/>
    <x v="0"/>
    <s v="Viernes"/>
    <x v="6"/>
    <s v="SJ"/>
    <x v="0"/>
    <n v="2794"/>
    <s v="25/09/2026 08:33:57"/>
    <s v="08:30"/>
    <d v="1899-12-30T00:03:57"/>
    <x v="1"/>
    <s v="25/09/2026 15:27:48"/>
    <s v="16:00"/>
    <d v="1899-12-30T00:32:12"/>
    <x v="1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</r>
  <r>
    <s v="c322c2c243de6f1e"/>
    <s v="25_09_2026_YL_Diur.gpx"/>
    <s v="c322c2c243de6f1ee20eb3e05fd6f6fedfe6aa9c2d18fa10f21a216c72de0d01"/>
    <x v="21"/>
    <x v="0"/>
    <s v="Viernes"/>
    <x v="7"/>
    <s v="YL"/>
    <x v="0"/>
    <n v="1429"/>
    <s v="25/09/2026 09:22:22"/>
    <s v="08:30"/>
    <d v="1899-12-30T00:52:22"/>
    <x v="0"/>
    <s v="25/09/2026 16:07:40"/>
    <s v="16:00"/>
    <d v="1899-12-30T00:07:40"/>
    <x v="0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</r>
  <r>
    <s v="7d32aa5979d2510b"/>
    <s v="26_09_2026_DR_Diur.gpx"/>
    <s v="7d32aa5979d2510b20610445a2ecdaaec04d4a8bd9c9df4ba25d5854761f537c"/>
    <x v="22"/>
    <x v="0"/>
    <s v="Sábado"/>
    <x v="8"/>
    <s v="DR"/>
    <x v="0"/>
    <n v="3409"/>
    <s v="26/09/2026 09:20:19"/>
    <s v="08:30"/>
    <d v="1899-12-30T00:50:19"/>
    <x v="0"/>
    <s v="26/09/2026 16:27:06"/>
    <s v="16:00"/>
    <d v="1899-12-30T00:27:06"/>
    <x v="2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15">
      <pivotArea outline="0" collapsedLevelsAreSubtotals="1" fieldPosition="0"/>
    </format>
    <format dxfId="14">
      <pivotArea field="6" type="button" dataOnly="0" labelOnly="1" outline="0" axis="axisRow" fieldPosition="0"/>
    </format>
    <format dxfId="13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2">
      <pivotArea dataOnly="0" labelOnly="1" grandRow="1" outline="0" fieldPosition="0"/>
    </format>
    <format dxfId="11">
      <pivotArea dataOnly="0" labelOnly="1" grandCol="1" outline="0" fieldPosition="0"/>
    </format>
    <format dxfId="10">
      <pivotArea outline="0" collapsedLevelsAreSubtotals="1" fieldPosition="0"/>
    </format>
    <format dxfId="9">
      <pivotArea field="6" type="button" dataOnly="0" labelOnly="1" outline="0" axis="axisRow" fieldPosition="0"/>
    </format>
    <format dxfId="8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7">
      <pivotArea dataOnly="0" labelOnly="1" grandRow="1" outline="0" fieldPosition="0"/>
    </format>
    <format dxfId="6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0"/>
        <item m="1" x="5"/>
        <item x="1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multipleItemSelectionAllowed="1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23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53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51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16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0"/>
        <item h="1" m="1" x="5"/>
        <item x="1"/>
        <item h="1" x="2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28">
      <pivotArea outline="0" collapsedLevelsAreSubtotals="1" fieldPosition="0"/>
    </format>
    <format dxfId="27">
      <pivotArea field="6" type="button" dataOnly="0" labelOnly="1" outline="0" axis="axisRow" fieldPosition="0"/>
    </format>
    <format dxfId="2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5">
      <pivotArea dataOnly="0" labelOnly="1" grandRow="1" outline="0" fieldPosition="0"/>
    </format>
    <format dxfId="24">
      <pivotArea dataOnly="0" labelOnly="1" fieldPosition="0">
        <references count="1">
          <reference field="17" count="0"/>
        </references>
      </pivotArea>
    </format>
    <format dxfId="23">
      <pivotArea dataOnly="0" labelOnly="1" grandCol="1" outline="0" fieldPosition="0"/>
    </format>
    <format dxfId="22">
      <pivotArea outline="0" collapsedLevelsAreSubtotals="1" fieldPosition="0"/>
    </format>
    <format dxfId="21">
      <pivotArea field="6" type="button" dataOnly="0" labelOnly="1" outline="0" axis="axisRow" fieldPosition="0"/>
    </format>
    <format dxfId="2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9">
      <pivotArea dataOnly="0" labelOnly="1" grandRow="1" outline="0" fieldPosition="0"/>
    </format>
    <format dxfId="18">
      <pivotArea dataOnly="0" labelOnly="1" fieldPosition="0">
        <references count="1">
          <reference field="17" count="0"/>
        </references>
      </pivotArea>
    </format>
    <format dxfId="17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2"/>
        <item h="1" x="1"/>
        <item x="0"/>
        <item h="1" m="1" x="5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38">
      <pivotArea outline="0" collapsedLevelsAreSubtotals="1" fieldPosition="0"/>
    </format>
    <format dxfId="37">
      <pivotArea field="6" type="button" dataOnly="0" labelOnly="1" outline="0" axis="axisRow" fieldPosition="0"/>
    </format>
    <format dxfId="3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5">
      <pivotArea dataOnly="0" labelOnly="1" grandRow="1" outline="0" fieldPosition="0"/>
    </format>
    <format dxfId="34">
      <pivotArea dataOnly="0" labelOnly="1" grandCol="1" outline="0" fieldPosition="0"/>
    </format>
    <format dxfId="33">
      <pivotArea outline="0" collapsedLevelsAreSubtotals="1" fieldPosition="0"/>
    </format>
    <format dxfId="32">
      <pivotArea field="6" type="button" dataOnly="0" labelOnly="1" outline="0" axis="axisRow" fieldPosition="0"/>
    </format>
    <format dxfId="31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0">
      <pivotArea dataOnly="0" labelOnly="1" grandRow="1" outline="0" fieldPosition="0"/>
    </format>
    <format dxfId="29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2"/>
        <item x="1"/>
        <item x="0"/>
        <item m="1" x="5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68" totalsRowShown="0" headerRowDxfId="72" dataDxfId="71">
  <autoFilter ref="A1:AF1048568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A234" zoomScale="70" zoomScaleNormal="70" workbookViewId="0">
      <selection activeCell="T172" sqref="T172:T173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20.5703125" bestFit="1" customWidth="1"/>
    <col min="4" max="4" width="23.85546875" bestFit="1" customWidth="1"/>
    <col min="5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4" t="s">
        <v>262</v>
      </c>
      <c r="AJ107" s="20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4" t="s">
        <v>262</v>
      </c>
      <c r="L108" s="20" t="s">
        <v>56</v>
      </c>
      <c r="M108" s="20" t="s">
        <v>263</v>
      </c>
      <c r="N108" s="20"/>
      <c r="O108" s="20"/>
      <c r="P108" s="20"/>
      <c r="W108" s="34" t="s">
        <v>262</v>
      </c>
      <c r="X108" t="s">
        <v>43</v>
      </c>
      <c r="Y108" s="20" t="s">
        <v>263</v>
      </c>
      <c r="AI108" s="35" t="s">
        <v>52</v>
      </c>
      <c r="AJ108" s="20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5" t="s">
        <v>52</v>
      </c>
      <c r="L109" s="20">
        <v>8</v>
      </c>
      <c r="M109" s="20">
        <v>8</v>
      </c>
      <c r="N109" s="20"/>
      <c r="O109" s="20"/>
      <c r="P109" s="20"/>
      <c r="W109" s="35" t="s">
        <v>52</v>
      </c>
      <c r="X109" s="20">
        <v>3</v>
      </c>
      <c r="Y109" s="20">
        <v>3</v>
      </c>
      <c r="AI109" s="35" t="s">
        <v>124</v>
      </c>
      <c r="AJ109" s="20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5" t="s">
        <v>124</v>
      </c>
      <c r="L110" s="20">
        <v>2</v>
      </c>
      <c r="M110" s="20">
        <v>2</v>
      </c>
      <c r="N110" s="20"/>
      <c r="O110" s="20"/>
      <c r="P110" s="20"/>
      <c r="W110" s="35" t="s">
        <v>124</v>
      </c>
      <c r="X110" s="20">
        <v>2</v>
      </c>
      <c r="Y110" s="20">
        <v>2</v>
      </c>
      <c r="AI110" s="35" t="s">
        <v>113</v>
      </c>
      <c r="AJ110" s="20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5" t="s">
        <v>113</v>
      </c>
      <c r="L111" s="20">
        <v>14</v>
      </c>
      <c r="M111" s="20">
        <v>14</v>
      </c>
      <c r="N111" s="20"/>
      <c r="O111" s="20"/>
      <c r="P111" s="20"/>
      <c r="W111" s="35" t="s">
        <v>113</v>
      </c>
      <c r="X111" s="20">
        <v>12</v>
      </c>
      <c r="Y111" s="20">
        <v>12</v>
      </c>
      <c r="AI111" s="35" t="s">
        <v>62</v>
      </c>
      <c r="AJ111" s="20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5" t="s">
        <v>62</v>
      </c>
      <c r="L112" s="20">
        <v>18</v>
      </c>
      <c r="M112" s="20">
        <v>18</v>
      </c>
      <c r="N112" s="20"/>
      <c r="O112" s="20"/>
      <c r="P112" s="20"/>
      <c r="W112" s="35" t="s">
        <v>62</v>
      </c>
      <c r="X112" s="20">
        <v>2</v>
      </c>
      <c r="Y112" s="20">
        <v>2</v>
      </c>
      <c r="AI112" s="35" t="s">
        <v>135</v>
      </c>
      <c r="AJ112" s="20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5" t="s">
        <v>135</v>
      </c>
      <c r="L113" s="20">
        <v>4</v>
      </c>
      <c r="M113" s="20">
        <v>4</v>
      </c>
      <c r="N113" s="20"/>
      <c r="O113" s="20"/>
      <c r="P113" s="20"/>
      <c r="W113" s="35" t="s">
        <v>135</v>
      </c>
      <c r="X113" s="20">
        <v>3</v>
      </c>
      <c r="Y113" s="20">
        <v>3</v>
      </c>
      <c r="AI113" s="35" t="s">
        <v>97</v>
      </c>
      <c r="AJ113" s="20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5" t="s">
        <v>97</v>
      </c>
      <c r="L114" s="20">
        <v>14</v>
      </c>
      <c r="M114" s="20">
        <v>14</v>
      </c>
      <c r="N114" s="20"/>
      <c r="O114" s="20"/>
      <c r="P114" s="20"/>
      <c r="W114" s="35" t="s">
        <v>97</v>
      </c>
      <c r="X114" s="20">
        <v>3</v>
      </c>
      <c r="Y114" s="20">
        <v>3</v>
      </c>
      <c r="AI114" s="35" t="s">
        <v>38</v>
      </c>
      <c r="AJ114" s="20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5" t="s">
        <v>38</v>
      </c>
      <c r="L115" s="20">
        <v>5</v>
      </c>
      <c r="M115" s="20">
        <v>5</v>
      </c>
      <c r="N115" s="20"/>
      <c r="O115" s="20"/>
      <c r="P115" s="20"/>
      <c r="W115" s="35" t="s">
        <v>38</v>
      </c>
      <c r="X115" s="20">
        <v>15</v>
      </c>
      <c r="Y115" s="20">
        <v>15</v>
      </c>
      <c r="AI115" s="35" t="s">
        <v>144</v>
      </c>
      <c r="AJ115" s="20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5" t="s">
        <v>144</v>
      </c>
      <c r="L116" s="20">
        <v>2</v>
      </c>
      <c r="M116" s="20">
        <v>2</v>
      </c>
      <c r="N116" s="20"/>
      <c r="O116" s="20"/>
      <c r="P116" s="20"/>
      <c r="W116" s="35" t="s">
        <v>144</v>
      </c>
      <c r="X116" s="20">
        <v>3</v>
      </c>
      <c r="Y116" s="20">
        <v>3</v>
      </c>
      <c r="AI116" s="35" t="s">
        <v>72</v>
      </c>
      <c r="AJ116" s="20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5" t="s">
        <v>72</v>
      </c>
      <c r="L117" s="20">
        <v>18</v>
      </c>
      <c r="M117" s="20">
        <v>18</v>
      </c>
      <c r="N117" s="20"/>
      <c r="O117" s="20"/>
      <c r="P117" s="20"/>
      <c r="W117" s="35" t="s">
        <v>72</v>
      </c>
      <c r="X117" s="20">
        <v>7</v>
      </c>
      <c r="Y117" s="20">
        <v>7</v>
      </c>
      <c r="AI117" s="35" t="s">
        <v>89</v>
      </c>
      <c r="AJ117" s="20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5" t="s">
        <v>89</v>
      </c>
      <c r="L118" s="20">
        <v>5</v>
      </c>
      <c r="M118" s="20">
        <v>5</v>
      </c>
      <c r="N118" s="20"/>
      <c r="O118" s="20"/>
      <c r="P118" s="20"/>
      <c r="W118" s="35" t="s">
        <v>89</v>
      </c>
      <c r="X118" s="20">
        <v>4</v>
      </c>
      <c r="Y118" s="20">
        <v>4</v>
      </c>
      <c r="AI118" s="35" t="s">
        <v>152</v>
      </c>
      <c r="AJ118" s="20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5" t="s">
        <v>152</v>
      </c>
      <c r="L119" s="20">
        <v>13</v>
      </c>
      <c r="M119" s="20">
        <v>13</v>
      </c>
      <c r="N119" s="20"/>
      <c r="O119" s="20"/>
      <c r="P119" s="20"/>
      <c r="W119" s="35" t="s">
        <v>152</v>
      </c>
      <c r="X119" s="20">
        <v>1</v>
      </c>
      <c r="Y119" s="20">
        <v>1</v>
      </c>
      <c r="AI119" s="35" t="s">
        <v>80</v>
      </c>
      <c r="AJ119" s="20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5" t="s">
        <v>80</v>
      </c>
      <c r="L120" s="20">
        <v>1</v>
      </c>
      <c r="M120" s="20">
        <v>1</v>
      </c>
      <c r="N120" s="20"/>
      <c r="O120" s="20"/>
      <c r="P120" s="20"/>
      <c r="W120" s="35" t="s">
        <v>80</v>
      </c>
      <c r="X120" s="20">
        <v>5</v>
      </c>
      <c r="Y120" s="20">
        <v>5</v>
      </c>
      <c r="AI120" s="6" t="s">
        <v>160</v>
      </c>
      <c r="AJ120" s="20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5" t="s">
        <v>105</v>
      </c>
      <c r="L121" s="20">
        <v>7</v>
      </c>
      <c r="M121" s="20">
        <v>7</v>
      </c>
      <c r="N121" s="20"/>
      <c r="O121" s="20"/>
      <c r="P121" s="20"/>
      <c r="W121" s="35" t="s">
        <v>105</v>
      </c>
      <c r="X121" s="20">
        <v>11</v>
      </c>
      <c r="Y121" s="20">
        <v>11</v>
      </c>
      <c r="AI121" s="35" t="s">
        <v>105</v>
      </c>
      <c r="AJ121" s="20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5" t="s">
        <v>263</v>
      </c>
      <c r="L122" s="20">
        <v>111</v>
      </c>
      <c r="M122" s="20">
        <v>111</v>
      </c>
      <c r="N122" s="20"/>
      <c r="O122" s="20"/>
      <c r="P122" s="20"/>
      <c r="W122" s="35" t="s">
        <v>263</v>
      </c>
      <c r="X122" s="20">
        <v>71</v>
      </c>
      <c r="Y122" s="20">
        <v>71</v>
      </c>
      <c r="AI122" s="35" t="s">
        <v>263</v>
      </c>
      <c r="AJ122" s="20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0.30244212962962957</v>
      </c>
    </row>
    <row r="171" spans="1:2" x14ac:dyDescent="0.25">
      <c r="A171" s="6" t="s">
        <v>124</v>
      </c>
      <c r="B171" s="21">
        <v>0.46855324074074078</v>
      </c>
    </row>
    <row r="172" spans="1:2" x14ac:dyDescent="0.25">
      <c r="A172" s="6" t="s">
        <v>113</v>
      </c>
      <c r="B172" s="21">
        <v>1.5733333333333337</v>
      </c>
    </row>
    <row r="173" spans="1:2" x14ac:dyDescent="0.25">
      <c r="A173" s="6" t="s">
        <v>62</v>
      </c>
      <c r="B173" s="21">
        <v>1.4687152777777779</v>
      </c>
    </row>
    <row r="174" spans="1:2" x14ac:dyDescent="0.25">
      <c r="A174" s="6" t="s">
        <v>135</v>
      </c>
      <c r="B174" s="21">
        <v>0.18077546296296296</v>
      </c>
    </row>
    <row r="175" spans="1:2" x14ac:dyDescent="0.25">
      <c r="A175" s="6" t="s">
        <v>97</v>
      </c>
      <c r="B175" s="21">
        <v>0.55533564814814818</v>
      </c>
    </row>
    <row r="176" spans="1:2" x14ac:dyDescent="0.25">
      <c r="A176" s="6" t="s">
        <v>38</v>
      </c>
      <c r="B176" s="21">
        <v>0.49004629629629637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3.0831365740740742</v>
      </c>
    </row>
    <row r="179" spans="1:2" x14ac:dyDescent="0.25">
      <c r="A179" s="6" t="s">
        <v>89</v>
      </c>
      <c r="B179" s="21">
        <v>1.1536689814814813</v>
      </c>
    </row>
    <row r="180" spans="1:2" x14ac:dyDescent="0.25">
      <c r="A180" s="6" t="s">
        <v>152</v>
      </c>
      <c r="B180" s="21">
        <v>0.83086805555555565</v>
      </c>
    </row>
    <row r="181" spans="1:2" x14ac:dyDescent="0.25">
      <c r="A181" s="6" t="s">
        <v>80</v>
      </c>
      <c r="B181" s="21">
        <v>0.13722222222222222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0.73365740740740737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11.168645833333333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A76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325"/>
  <sheetViews>
    <sheetView tabSelected="1" zoomScale="80" zoomScaleNormal="80" workbookViewId="0">
      <pane ySplit="1" topLeftCell="A312" activePane="bottomLeft" state="frozen"/>
      <selection pane="bottomLeft" activeCell="AM327" sqref="AM327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customWidth="1"/>
    <col min="4" max="4" width="14.7109375" style="9" customWidth="1"/>
    <col min="5" max="5" width="12.140625" style="9" customWidth="1"/>
    <col min="6" max="6" width="11" style="9" customWidth="1"/>
    <col min="7" max="7" width="33.42578125" style="9" customWidth="1"/>
    <col min="8" max="9" width="11" style="9" customWidth="1"/>
    <col min="10" max="10" width="15.140625" style="9" hidden="1" customWidth="1"/>
    <col min="11" max="11" width="24.85546875" style="9" customWidth="1"/>
    <col min="12" max="12" width="21.5703125" style="9" customWidth="1"/>
    <col min="13" max="16" width="24.85546875" style="9" customWidth="1"/>
    <col min="17" max="17" width="24.85546875" style="10" customWidth="1"/>
    <col min="18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2392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1556</v>
      </c>
      <c r="B178" s="9" t="s">
        <v>1557</v>
      </c>
      <c r="C178" s="9" t="s">
        <v>1558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1559</v>
      </c>
      <c r="L178" s="9" t="s">
        <v>117</v>
      </c>
      <c r="M178" s="10">
        <v>2.465277777777778E-3</v>
      </c>
      <c r="N178" s="9" t="s">
        <v>65</v>
      </c>
      <c r="O178" s="9" t="s">
        <v>1560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1561</v>
      </c>
      <c r="AH178" s="9">
        <v>6.2685789999999999</v>
      </c>
      <c r="AI178" s="9">
        <v>-75.597361000000006</v>
      </c>
      <c r="AJ178" s="9" t="s">
        <v>1562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1563</v>
      </c>
      <c r="B179" s="9" t="s">
        <v>1564</v>
      </c>
      <c r="C179" s="9" t="s">
        <v>1565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1566</v>
      </c>
      <c r="L179" s="9" t="s">
        <v>117</v>
      </c>
      <c r="M179" s="10">
        <v>1.6932870370370369E-2</v>
      </c>
      <c r="N179" s="9" t="s">
        <v>127</v>
      </c>
      <c r="O179" s="9" t="s">
        <v>1567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1568</v>
      </c>
      <c r="AG179" s="9" t="s">
        <v>1569</v>
      </c>
      <c r="AH179" s="9">
        <v>10.979990000000001</v>
      </c>
      <c r="AI179" s="9">
        <v>-74.803664999999995</v>
      </c>
      <c r="AJ179" s="9" t="s">
        <v>1570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1595</v>
      </c>
    </row>
    <row r="180" spans="1:40" ht="15" x14ac:dyDescent="0.25">
      <c r="A180" s="9" t="s">
        <v>1571</v>
      </c>
      <c r="B180" s="9" t="s">
        <v>1572</v>
      </c>
      <c r="C180" s="9" t="s">
        <v>1573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1574</v>
      </c>
      <c r="L180" s="9" t="s">
        <v>117</v>
      </c>
      <c r="M180" s="10">
        <v>3.709490740740741E-2</v>
      </c>
      <c r="N180" s="9" t="s">
        <v>127</v>
      </c>
      <c r="O180" s="9" t="s">
        <v>1575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1576</v>
      </c>
      <c r="AG180" s="9" t="s">
        <v>1577</v>
      </c>
      <c r="AH180" s="9">
        <v>6.2265810000000004</v>
      </c>
      <c r="AI180" s="9">
        <v>-75.599300999999997</v>
      </c>
      <c r="AJ180" s="9" t="s">
        <v>1578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1579</v>
      </c>
      <c r="B181" s="9" t="s">
        <v>1580</v>
      </c>
      <c r="C181" s="9" t="s">
        <v>1581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1582</v>
      </c>
      <c r="L181" s="9" t="s">
        <v>117</v>
      </c>
      <c r="M181" s="10">
        <v>2.2615740740740738E-2</v>
      </c>
      <c r="N181" s="9" t="s">
        <v>127</v>
      </c>
      <c r="O181" s="9" t="s">
        <v>1583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1584</v>
      </c>
      <c r="AG181" s="9" t="s">
        <v>1585</v>
      </c>
      <c r="AH181" s="9">
        <v>6.2268949999999998</v>
      </c>
      <c r="AI181" s="9">
        <v>-75.599648000000002</v>
      </c>
      <c r="AJ181" s="9" t="s">
        <v>1586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1587</v>
      </c>
      <c r="B182" s="9" t="s">
        <v>1588</v>
      </c>
      <c r="C182" s="9" t="s">
        <v>1589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1590</v>
      </c>
      <c r="L182" s="9" t="s">
        <v>117</v>
      </c>
      <c r="M182" s="10">
        <v>3.274662037037037E-2</v>
      </c>
      <c r="N182" s="9" t="s">
        <v>127</v>
      </c>
      <c r="O182" s="9" t="s">
        <v>1591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1592</v>
      </c>
      <c r="AG182" s="9" t="s">
        <v>1593</v>
      </c>
      <c r="AH182" s="9">
        <v>6.2266620000000001</v>
      </c>
      <c r="AI182" s="9">
        <v>-75.599261999999996</v>
      </c>
      <c r="AJ182" s="9" t="s">
        <v>1594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1596</v>
      </c>
      <c r="B183" s="9" t="s">
        <v>1597</v>
      </c>
      <c r="C183" s="9" t="s">
        <v>1598</v>
      </c>
      <c r="D183" s="9" t="s">
        <v>1599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1600</v>
      </c>
      <c r="L183" s="9" t="s">
        <v>42</v>
      </c>
      <c r="M183" s="10">
        <v>3.636782407407408E-3</v>
      </c>
      <c r="N183" s="9" t="s">
        <v>65</v>
      </c>
      <c r="O183" s="9" t="s">
        <v>1601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1602</v>
      </c>
      <c r="AG183" s="9" t="s">
        <v>1603</v>
      </c>
      <c r="AH183" s="9">
        <v>6.2256109999999998</v>
      </c>
      <c r="AI183" s="9">
        <v>-75.599078000000006</v>
      </c>
      <c r="AJ183" s="9" t="s">
        <v>1604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1605</v>
      </c>
      <c r="B184" s="9" t="s">
        <v>1606</v>
      </c>
      <c r="C184" s="9" t="s">
        <v>1607</v>
      </c>
      <c r="D184" s="9" t="s">
        <v>1599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1608</v>
      </c>
      <c r="L184" s="9" t="s">
        <v>42</v>
      </c>
      <c r="M184" s="10">
        <v>2.7777777777777778E-4</v>
      </c>
      <c r="N184" s="9" t="s">
        <v>65</v>
      </c>
      <c r="O184" s="9" t="s">
        <v>1609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1610</v>
      </c>
      <c r="AH184" s="9">
        <v>6.2256970000000003</v>
      </c>
      <c r="AI184" s="9">
        <v>-75.599435999999997</v>
      </c>
      <c r="AJ184" s="9" t="s">
        <v>1611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1612</v>
      </c>
      <c r="B185" s="9" t="s">
        <v>1613</v>
      </c>
      <c r="C185" s="9" t="s">
        <v>1614</v>
      </c>
      <c r="D185" s="9" t="s">
        <v>1599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1615</v>
      </c>
      <c r="L185" s="9" t="s">
        <v>42</v>
      </c>
      <c r="M185" s="10">
        <v>5.5324074074074078E-3</v>
      </c>
      <c r="N185" s="9" t="s">
        <v>65</v>
      </c>
      <c r="O185" s="9" t="s">
        <v>1616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1617</v>
      </c>
      <c r="AG185" s="9" t="s">
        <v>1618</v>
      </c>
      <c r="AH185" s="9">
        <v>6.2308159999999999</v>
      </c>
      <c r="AI185" s="9">
        <v>-75.601883999999998</v>
      </c>
      <c r="AJ185" s="9" t="s">
        <v>1619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1620</v>
      </c>
      <c r="B186" s="9" t="s">
        <v>1621</v>
      </c>
      <c r="C186" s="9" t="s">
        <v>1622</v>
      </c>
      <c r="D186" s="9" t="s">
        <v>1599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1623</v>
      </c>
      <c r="L186" s="9" t="s">
        <v>42</v>
      </c>
      <c r="M186" s="10">
        <v>9.6874999999999999E-3</v>
      </c>
      <c r="N186" s="9" t="s">
        <v>65</v>
      </c>
      <c r="O186" s="9" t="s">
        <v>1624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1625</v>
      </c>
      <c r="AG186" s="9" t="s">
        <v>1626</v>
      </c>
      <c r="AH186" s="9">
        <v>6.2256850000000004</v>
      </c>
      <c r="AI186" s="9">
        <v>-75.599091000000001</v>
      </c>
      <c r="AJ186" s="9" t="s">
        <v>1627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1628</v>
      </c>
      <c r="B187" s="9" t="s">
        <v>1629</v>
      </c>
      <c r="C187" s="9" t="s">
        <v>1630</v>
      </c>
      <c r="D187" s="9" t="s">
        <v>1599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1631</v>
      </c>
      <c r="L187" s="9" t="s">
        <v>42</v>
      </c>
      <c r="M187" s="10">
        <v>1.143086805555556E-2</v>
      </c>
      <c r="N187" s="9" t="s">
        <v>43</v>
      </c>
      <c r="O187" s="9" t="s">
        <v>1632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1633</v>
      </c>
      <c r="AG187" s="9" t="s">
        <v>1634</v>
      </c>
      <c r="AH187" s="9">
        <v>6.2256049999999998</v>
      </c>
      <c r="AI187" s="9">
        <v>-75.599091000000001</v>
      </c>
      <c r="AJ187" s="9" t="s">
        <v>1635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1636</v>
      </c>
      <c r="B188" s="9" t="s">
        <v>1637</v>
      </c>
      <c r="C188" s="9" t="s">
        <v>1638</v>
      </c>
      <c r="D188" s="9" t="s">
        <v>1599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1639</v>
      </c>
      <c r="L188" s="9" t="s">
        <v>42</v>
      </c>
      <c r="M188" s="10">
        <v>1.320601851851852E-2</v>
      </c>
      <c r="N188" s="9" t="s">
        <v>127</v>
      </c>
      <c r="O188" s="9" t="s">
        <v>1640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1641</v>
      </c>
      <c r="AG188" s="9" t="s">
        <v>1642</v>
      </c>
      <c r="AH188" s="9">
        <v>6.2266909999999998</v>
      </c>
      <c r="AI188" s="9">
        <v>-75.599233999999996</v>
      </c>
      <c r="AJ188" s="9" t="s">
        <v>1643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1669</v>
      </c>
    </row>
    <row r="189" spans="1:40" ht="15" x14ac:dyDescent="0.25">
      <c r="A189" s="9" t="s">
        <v>1644</v>
      </c>
      <c r="B189" s="9" t="s">
        <v>1645</v>
      </c>
      <c r="C189" s="9" t="s">
        <v>1646</v>
      </c>
      <c r="D189" s="9" t="s">
        <v>1599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1647</v>
      </c>
      <c r="L189" s="9" t="s">
        <v>42</v>
      </c>
      <c r="M189" s="10">
        <v>7.3032407407407404E-3</v>
      </c>
      <c r="N189" s="9" t="s">
        <v>65</v>
      </c>
      <c r="O189" s="9" t="s">
        <v>1648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1649</v>
      </c>
      <c r="AG189" s="9" t="s">
        <v>1650</v>
      </c>
      <c r="AH189" s="9">
        <v>6.225759</v>
      </c>
      <c r="AI189" s="9">
        <v>-75.599410000000006</v>
      </c>
      <c r="AJ189" s="9" t="s">
        <v>1651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1652</v>
      </c>
      <c r="B190" s="9" t="s">
        <v>1653</v>
      </c>
      <c r="C190" s="9" t="s">
        <v>1654</v>
      </c>
      <c r="D190" s="9" t="s">
        <v>1599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1655</v>
      </c>
      <c r="L190" s="9" t="s">
        <v>42</v>
      </c>
      <c r="M190" s="10">
        <v>1.196759259259259E-2</v>
      </c>
      <c r="N190" s="9" t="s">
        <v>43</v>
      </c>
      <c r="O190" s="9" t="s">
        <v>1656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1657</v>
      </c>
      <c r="AG190" s="9" t="s">
        <v>1658</v>
      </c>
      <c r="AH190" s="9">
        <v>6.2256499999999999</v>
      </c>
      <c r="AI190" s="9">
        <v>-75.599074000000002</v>
      </c>
      <c r="AJ190" s="9" t="s">
        <v>1659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1660</v>
      </c>
      <c r="B191" s="9" t="s">
        <v>1661</v>
      </c>
      <c r="C191" s="9" t="s">
        <v>1662</v>
      </c>
      <c r="D191" s="9" t="s">
        <v>1663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1664</v>
      </c>
      <c r="L191" s="9" t="s">
        <v>42</v>
      </c>
      <c r="M191" s="10">
        <v>4.0578703703703707E-2</v>
      </c>
      <c r="N191" s="9" t="s">
        <v>43</v>
      </c>
      <c r="O191" s="9" t="s">
        <v>1665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1666</v>
      </c>
      <c r="AG191" s="9" t="s">
        <v>1667</v>
      </c>
      <c r="AH191" s="9">
        <v>6.2526510000000002</v>
      </c>
      <c r="AI191" s="9">
        <v>-75.609696999999997</v>
      </c>
      <c r="AJ191" s="9" t="s">
        <v>1668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1670</v>
      </c>
      <c r="B192" s="9" t="s">
        <v>1671</v>
      </c>
      <c r="C192" s="9" t="s">
        <v>1672</v>
      </c>
      <c r="D192" s="9" t="s">
        <v>1599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1673</v>
      </c>
      <c r="L192" s="9" t="s">
        <v>117</v>
      </c>
      <c r="M192" s="10">
        <v>0.01</v>
      </c>
      <c r="N192" s="9" t="s">
        <v>65</v>
      </c>
      <c r="O192" s="9" t="s">
        <v>1674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1675</v>
      </c>
      <c r="AG192" s="9" t="s">
        <v>1676</v>
      </c>
      <c r="AH192" s="9">
        <v>6.2701349999999998</v>
      </c>
      <c r="AI192" s="9">
        <v>-75.601358000000005</v>
      </c>
      <c r="AJ192" s="9" t="s">
        <v>1677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1678</v>
      </c>
      <c r="B193" s="9" t="s">
        <v>1679</v>
      </c>
      <c r="C193" s="9" t="s">
        <v>1680</v>
      </c>
      <c r="D193" s="9" t="s">
        <v>1599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1681</v>
      </c>
      <c r="L193" s="9" t="s">
        <v>117</v>
      </c>
      <c r="M193" s="10">
        <v>0.18044956018518521</v>
      </c>
      <c r="N193" s="9" t="s">
        <v>43</v>
      </c>
      <c r="O193" s="9" t="s">
        <v>1682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1683</v>
      </c>
      <c r="AG193" s="9" t="s">
        <v>1684</v>
      </c>
      <c r="AH193" s="9">
        <v>6.2513550000000002</v>
      </c>
      <c r="AI193" s="9">
        <v>-75.607427999999999</v>
      </c>
      <c r="AJ193" s="9" t="s">
        <v>1685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1725</v>
      </c>
    </row>
    <row r="194" spans="1:40" ht="15" x14ac:dyDescent="0.25">
      <c r="A194" s="9" t="s">
        <v>1686</v>
      </c>
      <c r="B194" s="9" t="s">
        <v>1687</v>
      </c>
      <c r="C194" s="9" t="s">
        <v>1688</v>
      </c>
      <c r="D194" s="9" t="s">
        <v>1599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1689</v>
      </c>
      <c r="L194" s="9" t="s">
        <v>117</v>
      </c>
      <c r="M194" s="10">
        <v>1.8518518518518519E-3</v>
      </c>
      <c r="N194" s="9" t="s">
        <v>65</v>
      </c>
      <c r="O194" s="9" t="s">
        <v>1690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1691</v>
      </c>
      <c r="AG194" s="9" t="s">
        <v>1692</v>
      </c>
      <c r="AH194" s="9">
        <v>6.2719529999999999</v>
      </c>
      <c r="AI194" s="9">
        <v>-75.540672999999998</v>
      </c>
      <c r="AJ194" s="9" t="s">
        <v>1693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1694</v>
      </c>
      <c r="B195" s="9" t="s">
        <v>1695</v>
      </c>
      <c r="C195" s="9" t="s">
        <v>1696</v>
      </c>
      <c r="D195" s="9" t="s">
        <v>1599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1697</v>
      </c>
      <c r="L195" s="9" t="s">
        <v>117</v>
      </c>
      <c r="M195" s="10">
        <v>1.9467592592592588E-2</v>
      </c>
      <c r="N195" s="9" t="s">
        <v>127</v>
      </c>
      <c r="O195" s="9" t="s">
        <v>1698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1699</v>
      </c>
      <c r="AG195" s="9" t="s">
        <v>1700</v>
      </c>
      <c r="AH195" s="9">
        <v>6.2903630000000001</v>
      </c>
      <c r="AI195" s="9">
        <v>-75.546538999999996</v>
      </c>
      <c r="AJ195" s="9" t="s">
        <v>1701</v>
      </c>
      <c r="AK195" s="9">
        <v>6.2903770000000003</v>
      </c>
      <c r="AL195" s="9">
        <v>-75.546586000000005</v>
      </c>
      <c r="AM195" s="26">
        <f t="shared" ref="AM195:AM258" si="3">IF(N195="INICIO TARDÍO",M195,0)+IF(R195="TERMINÓ ANTES",Q195,0)</f>
        <v>0</v>
      </c>
      <c r="AN195" s="9"/>
    </row>
    <row r="196" spans="1:40" ht="15" x14ac:dyDescent="0.25">
      <c r="A196" s="9" t="s">
        <v>1702</v>
      </c>
      <c r="B196" s="9" t="s">
        <v>1703</v>
      </c>
      <c r="C196" s="9" t="s">
        <v>1704</v>
      </c>
      <c r="D196" s="9" t="s">
        <v>1599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1705</v>
      </c>
      <c r="L196" s="9" t="s">
        <v>117</v>
      </c>
      <c r="M196" s="10">
        <v>1.1458333333333329E-3</v>
      </c>
      <c r="N196" s="9" t="s">
        <v>65</v>
      </c>
      <c r="O196" s="9" t="s">
        <v>1706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1707</v>
      </c>
      <c r="AH196" s="9">
        <v>6.2524670000000002</v>
      </c>
      <c r="AI196" s="9">
        <v>-75.551827000000003</v>
      </c>
      <c r="AJ196" s="9" t="s">
        <v>1708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1709</v>
      </c>
      <c r="B197" s="9" t="s">
        <v>1710</v>
      </c>
      <c r="C197" s="9" t="s">
        <v>1711</v>
      </c>
      <c r="D197" s="9" t="s">
        <v>1599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1712</v>
      </c>
      <c r="L197" s="9" t="s">
        <v>117</v>
      </c>
      <c r="M197" s="10">
        <v>2.2600856481481479E-2</v>
      </c>
      <c r="N197" s="9" t="s">
        <v>127</v>
      </c>
      <c r="O197" s="9" t="s">
        <v>1713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1714</v>
      </c>
      <c r="AG197" s="9" t="s">
        <v>1715</v>
      </c>
      <c r="AH197" s="9">
        <v>6.2689079999999997</v>
      </c>
      <c r="AI197" s="9">
        <v>-75.598983000000004</v>
      </c>
      <c r="AJ197" s="9" t="s">
        <v>1716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1717</v>
      </c>
      <c r="B198" s="9" t="s">
        <v>1718</v>
      </c>
      <c r="C198" s="9" t="s">
        <v>1719</v>
      </c>
      <c r="D198" s="9" t="s">
        <v>1663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1720</v>
      </c>
      <c r="L198" s="9" t="s">
        <v>117</v>
      </c>
      <c r="M198" s="10">
        <v>1.621527777777778E-2</v>
      </c>
      <c r="N198" s="9" t="s">
        <v>43</v>
      </c>
      <c r="O198" s="9" t="s">
        <v>1721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1722</v>
      </c>
      <c r="AG198" s="9" t="s">
        <v>1723</v>
      </c>
      <c r="AH198" s="9">
        <v>6.2477510000000001</v>
      </c>
      <c r="AI198" s="9">
        <v>-75.614997000000002</v>
      </c>
      <c r="AJ198" s="9" t="s">
        <v>1724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1726</v>
      </c>
      <c r="B199" s="9" t="s">
        <v>1727</v>
      </c>
      <c r="C199" s="9" t="s">
        <v>1728</v>
      </c>
      <c r="D199" s="9" t="s">
        <v>1729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1730</v>
      </c>
      <c r="L199" s="9" t="s">
        <v>42</v>
      </c>
      <c r="M199" s="10">
        <v>3.4527638888888892E-2</v>
      </c>
      <c r="N199" s="9" t="s">
        <v>43</v>
      </c>
      <c r="O199" s="9" t="s">
        <v>1731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1732</v>
      </c>
      <c r="AG199" s="9" t="s">
        <v>1733</v>
      </c>
      <c r="AH199" s="9">
        <v>6.2158550000000004</v>
      </c>
      <c r="AI199" s="9">
        <v>-75.597796000000002</v>
      </c>
      <c r="AJ199" s="9" t="s">
        <v>1734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1735</v>
      </c>
      <c r="B200" s="9" t="s">
        <v>1736</v>
      </c>
      <c r="C200" s="9" t="s">
        <v>1737</v>
      </c>
      <c r="D200" s="9" t="s">
        <v>1729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1738</v>
      </c>
      <c r="L200" s="9" t="s">
        <v>42</v>
      </c>
      <c r="M200" s="10">
        <v>4.0509259259259258E-4</v>
      </c>
      <c r="N200" s="9" t="s">
        <v>65</v>
      </c>
      <c r="O200" s="9" t="s">
        <v>1739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1740</v>
      </c>
      <c r="AG200" s="9" t="s">
        <v>1741</v>
      </c>
      <c r="AH200" s="9">
        <v>6.2255570000000002</v>
      </c>
      <c r="AI200" s="9">
        <v>-75.599429000000001</v>
      </c>
      <c r="AJ200" s="9" t="s">
        <v>1742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1743</v>
      </c>
      <c r="B201" s="9" t="s">
        <v>1744</v>
      </c>
      <c r="C201" s="9" t="s">
        <v>1745</v>
      </c>
      <c r="D201" s="9" t="s">
        <v>1729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1746</v>
      </c>
      <c r="L201" s="9" t="s">
        <v>42</v>
      </c>
      <c r="M201" s="10">
        <v>3.3101851851851851E-3</v>
      </c>
      <c r="N201" s="9" t="s">
        <v>65</v>
      </c>
      <c r="O201" s="9" t="s">
        <v>1747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1748</v>
      </c>
      <c r="AG201" s="9" t="s">
        <v>1749</v>
      </c>
      <c r="AH201" s="9">
        <v>6.2297859999999998</v>
      </c>
      <c r="AI201" s="9">
        <v>-75.602255999999997</v>
      </c>
      <c r="AJ201" s="9" t="s">
        <v>1750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1751</v>
      </c>
      <c r="B202" s="9" t="s">
        <v>1752</v>
      </c>
      <c r="C202" s="9" t="s">
        <v>1753</v>
      </c>
      <c r="D202" s="9" t="s">
        <v>1729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1754</v>
      </c>
      <c r="L202" s="9" t="s">
        <v>42</v>
      </c>
      <c r="M202" s="10">
        <v>6.6319444444444446E-3</v>
      </c>
      <c r="N202" s="9" t="s">
        <v>65</v>
      </c>
      <c r="O202" s="9" t="s">
        <v>1755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1756</v>
      </c>
      <c r="AG202" s="9" t="s">
        <v>1757</v>
      </c>
      <c r="AH202" s="9">
        <v>6.2257049999999996</v>
      </c>
      <c r="AI202" s="9">
        <v>-75.599132999999995</v>
      </c>
      <c r="AJ202" s="9" t="s">
        <v>1758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1759</v>
      </c>
      <c r="B203" s="9" t="s">
        <v>1760</v>
      </c>
      <c r="C203" s="9" t="s">
        <v>1761</v>
      </c>
      <c r="D203" s="9" t="s">
        <v>1729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1762</v>
      </c>
      <c r="L203" s="9" t="s">
        <v>42</v>
      </c>
      <c r="M203" s="10">
        <v>4.8148148148148152E-3</v>
      </c>
      <c r="N203" s="9" t="s">
        <v>65</v>
      </c>
      <c r="O203" s="9" t="s">
        <v>1763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1764</v>
      </c>
      <c r="AG203" s="9" t="s">
        <v>1765</v>
      </c>
      <c r="AH203" s="9">
        <v>6.2258690000000003</v>
      </c>
      <c r="AI203" s="9">
        <v>-75.599106000000006</v>
      </c>
      <c r="AJ203" s="9" t="s">
        <v>1766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1767</v>
      </c>
      <c r="B204" s="9" t="s">
        <v>1768</v>
      </c>
      <c r="C204" s="9" t="s">
        <v>1769</v>
      </c>
      <c r="D204" s="9" t="s">
        <v>1729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1770</v>
      </c>
      <c r="L204" s="9" t="s">
        <v>42</v>
      </c>
      <c r="M204" s="10">
        <v>5.1966435185185188E-3</v>
      </c>
      <c r="N204" s="9" t="s">
        <v>65</v>
      </c>
      <c r="O204" s="9" t="s">
        <v>1771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1772</v>
      </c>
      <c r="AH204" s="9">
        <v>6.2256030000000004</v>
      </c>
      <c r="AI204" s="9">
        <v>-75.599496000000002</v>
      </c>
      <c r="AJ204" s="9" t="s">
        <v>1773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1774</v>
      </c>
      <c r="B205" s="9" t="s">
        <v>1775</v>
      </c>
      <c r="C205" s="9" t="s">
        <v>1776</v>
      </c>
      <c r="D205" s="9" t="s">
        <v>1729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1777</v>
      </c>
      <c r="L205" s="9" t="s">
        <v>42</v>
      </c>
      <c r="M205" s="10">
        <v>4.0162037037037041E-3</v>
      </c>
      <c r="N205" s="9" t="s">
        <v>65</v>
      </c>
      <c r="O205" s="9" t="s">
        <v>1778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1779</v>
      </c>
      <c r="AH205" s="9">
        <v>6.2266450000000004</v>
      </c>
      <c r="AI205" s="9">
        <v>-75.599253000000004</v>
      </c>
      <c r="AJ205" s="9" t="s">
        <v>1780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1781</v>
      </c>
      <c r="B206" s="9" t="s">
        <v>1782</v>
      </c>
      <c r="C206" s="9" t="s">
        <v>1783</v>
      </c>
      <c r="D206" s="9" t="s">
        <v>1729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1784</v>
      </c>
      <c r="L206" s="9" t="s">
        <v>42</v>
      </c>
      <c r="M206" s="10">
        <v>2.673611111111111E-3</v>
      </c>
      <c r="N206" s="9" t="s">
        <v>65</v>
      </c>
      <c r="O206" s="9" t="s">
        <v>1785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1786</v>
      </c>
      <c r="AG206" s="9" t="s">
        <v>1787</v>
      </c>
      <c r="AH206" s="9">
        <v>6.2255330000000004</v>
      </c>
      <c r="AI206" s="9">
        <v>-75.599530000000001</v>
      </c>
      <c r="AJ206" s="9" t="s">
        <v>1788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1789</v>
      </c>
      <c r="B207" s="9" t="s">
        <v>1790</v>
      </c>
      <c r="C207" s="9" t="s">
        <v>1791</v>
      </c>
      <c r="D207" s="9" t="s">
        <v>1729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1792</v>
      </c>
      <c r="L207" s="9" t="s">
        <v>42</v>
      </c>
      <c r="M207" s="10">
        <v>1.6203703703703699E-2</v>
      </c>
      <c r="N207" s="9" t="s">
        <v>43</v>
      </c>
      <c r="O207" s="9" t="s">
        <v>1793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1794</v>
      </c>
      <c r="AG207" s="9" t="s">
        <v>1795</v>
      </c>
      <c r="AH207" s="9">
        <v>6.2255409999999998</v>
      </c>
      <c r="AI207" s="9">
        <v>-75.599001000000001</v>
      </c>
      <c r="AJ207" s="9" t="s">
        <v>1796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1797</v>
      </c>
      <c r="B208" s="9" t="s">
        <v>1798</v>
      </c>
      <c r="C208" s="9" t="s">
        <v>1799</v>
      </c>
      <c r="D208" s="9" t="s">
        <v>1729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1800</v>
      </c>
      <c r="L208" s="9" t="s">
        <v>117</v>
      </c>
      <c r="M208" s="10">
        <v>4.884259259259259E-2</v>
      </c>
      <c r="N208" s="9" t="s">
        <v>127</v>
      </c>
      <c r="O208" s="9" t="s">
        <v>1801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1802</v>
      </c>
      <c r="AG208" s="9" t="s">
        <v>1803</v>
      </c>
      <c r="AH208" s="9">
        <v>6.2303579999999998</v>
      </c>
      <c r="AI208" s="9">
        <v>-75.596035999999998</v>
      </c>
      <c r="AJ208" s="9" t="s">
        <v>1804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1805</v>
      </c>
      <c r="B209" s="9" t="s">
        <v>1806</v>
      </c>
      <c r="C209" s="9" t="s">
        <v>1807</v>
      </c>
      <c r="D209" s="9" t="s">
        <v>1729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1808</v>
      </c>
      <c r="L209" s="9" t="s">
        <v>117</v>
      </c>
      <c r="M209" s="10">
        <v>3.2418981481481479E-2</v>
      </c>
      <c r="N209" s="9" t="s">
        <v>127</v>
      </c>
      <c r="O209" s="9" t="s">
        <v>1809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1810</v>
      </c>
      <c r="AG209" s="9" t="s">
        <v>1811</v>
      </c>
      <c r="AH209" s="9">
        <v>6.2267989999999998</v>
      </c>
      <c r="AI209" s="9">
        <v>-75.599269000000007</v>
      </c>
      <c r="AJ209" s="9" t="s">
        <v>1812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1813</v>
      </c>
      <c r="B210" s="9" t="s">
        <v>1814</v>
      </c>
      <c r="C210" s="9" t="s">
        <v>1815</v>
      </c>
      <c r="D210" s="9" t="s">
        <v>1729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1816</v>
      </c>
      <c r="L210" s="9" t="s">
        <v>117</v>
      </c>
      <c r="M210" s="10">
        <v>2.90162037037037E-2</v>
      </c>
      <c r="N210" s="9" t="s">
        <v>127</v>
      </c>
      <c r="O210" s="9" t="s">
        <v>1817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1818</v>
      </c>
      <c r="AG210" s="9" t="s">
        <v>1819</v>
      </c>
      <c r="AH210" s="9">
        <v>6.2270529999999997</v>
      </c>
      <c r="AI210" s="9">
        <v>-75.599639999999994</v>
      </c>
      <c r="AJ210" s="9" t="s">
        <v>1820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1821</v>
      </c>
      <c r="B211" s="9" t="s">
        <v>1827</v>
      </c>
      <c r="C211" s="9" t="s">
        <v>1822</v>
      </c>
      <c r="D211" s="9" t="s">
        <v>1729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1823</v>
      </c>
      <c r="L211" s="9" t="s">
        <v>117</v>
      </c>
      <c r="M211" s="10">
        <v>3.7970972222222232E-2</v>
      </c>
      <c r="N211" s="9" t="s">
        <v>127</v>
      </c>
      <c r="O211" s="9" t="s">
        <v>1824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1828</v>
      </c>
      <c r="AG211" s="9" t="s">
        <v>1825</v>
      </c>
      <c r="AH211" s="9">
        <v>6.226718</v>
      </c>
      <c r="AI211" s="9">
        <v>-75.599287000000004</v>
      </c>
      <c r="AJ211" s="9" t="s">
        <v>1826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ht="15" x14ac:dyDescent="0.25">
      <c r="A212" s="9" t="s">
        <v>1829</v>
      </c>
      <c r="B212" s="9" t="s">
        <v>1830</v>
      </c>
      <c r="C212" s="9" t="s">
        <v>1831</v>
      </c>
      <c r="D212" s="9" t="s">
        <v>1729</v>
      </c>
      <c r="E212" s="9" t="s">
        <v>36</v>
      </c>
      <c r="F212" s="9" t="s">
        <v>508</v>
      </c>
      <c r="G212" s="9" t="s">
        <v>135</v>
      </c>
      <c r="H212" s="9" t="s">
        <v>136</v>
      </c>
      <c r="I212" s="9" t="s">
        <v>115</v>
      </c>
      <c r="J212" s="9">
        <v>1903</v>
      </c>
      <c r="K212" s="9" t="s">
        <v>1832</v>
      </c>
      <c r="L212" s="9" t="s">
        <v>117</v>
      </c>
      <c r="M212" s="10">
        <v>4.6585648148148147E-2</v>
      </c>
      <c r="N212" s="9" t="s">
        <v>127</v>
      </c>
      <c r="O212" s="9" t="s">
        <v>1833</v>
      </c>
      <c r="P212" s="9" t="s">
        <v>119</v>
      </c>
      <c r="Q212" s="10">
        <v>5.4398148148148149E-3</v>
      </c>
      <c r="R212" s="9" t="s">
        <v>46</v>
      </c>
      <c r="S212" s="10">
        <v>0.29114583333333333</v>
      </c>
      <c r="T212" s="9">
        <v>37.201000000000001</v>
      </c>
      <c r="U212" s="9">
        <v>11.62</v>
      </c>
      <c r="V212" s="10">
        <v>0.13340277777777779</v>
      </c>
      <c r="W212" s="10">
        <v>9.931712962962963E-2</v>
      </c>
      <c r="X212" s="10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4</v>
      </c>
      <c r="AE212" s="9" t="s">
        <v>139</v>
      </c>
      <c r="AF212" s="9" t="s">
        <v>1834</v>
      </c>
      <c r="AG212" s="9" t="s">
        <v>1693</v>
      </c>
      <c r="AH212" s="9">
        <v>6.2644299999999999</v>
      </c>
      <c r="AI212" s="9">
        <v>-75.570660000000004</v>
      </c>
      <c r="AJ212" s="9" t="s">
        <v>1835</v>
      </c>
      <c r="AK212" s="9">
        <v>6.3079720000000004</v>
      </c>
      <c r="AL212" s="9">
        <v>-75.566957000000002</v>
      </c>
      <c r="AM212" s="26">
        <f t="shared" si="3"/>
        <v>0</v>
      </c>
      <c r="AN212" s="9"/>
    </row>
    <row r="213" spans="1:40" ht="15" x14ac:dyDescent="0.25">
      <c r="A213" s="9" t="s">
        <v>1836</v>
      </c>
      <c r="B213" s="9" t="s">
        <v>1837</v>
      </c>
      <c r="C213" s="9" t="s">
        <v>1838</v>
      </c>
      <c r="D213" s="9" t="s">
        <v>1839</v>
      </c>
      <c r="E213" s="9" t="s">
        <v>36</v>
      </c>
      <c r="F213" s="9" t="s">
        <v>37</v>
      </c>
      <c r="G213" s="9" t="s">
        <v>38</v>
      </c>
      <c r="H213" s="9" t="s">
        <v>39</v>
      </c>
      <c r="I213" s="9" t="s">
        <v>40</v>
      </c>
      <c r="J213" s="9">
        <v>7151</v>
      </c>
      <c r="K213" s="9" t="s">
        <v>1840</v>
      </c>
      <c r="L213" s="9" t="s">
        <v>42</v>
      </c>
      <c r="M213" s="10">
        <v>2.036958333333333E-2</v>
      </c>
      <c r="N213" s="9" t="s">
        <v>43</v>
      </c>
      <c r="O213" s="9" t="s">
        <v>1841</v>
      </c>
      <c r="P213" s="9" t="s">
        <v>45</v>
      </c>
      <c r="Q213" s="10">
        <v>2.5703993055555551E-2</v>
      </c>
      <c r="R213" s="9" t="s">
        <v>56</v>
      </c>
      <c r="S213" s="10">
        <v>0.28725975694444439</v>
      </c>
      <c r="T213" s="9">
        <v>52.847999999999999</v>
      </c>
      <c r="U213" s="9">
        <v>16.52</v>
      </c>
      <c r="V213" s="10">
        <v>0.13325322916666699</v>
      </c>
      <c r="W213" s="10">
        <v>7.095622685185185E-2</v>
      </c>
      <c r="X213" s="10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4</v>
      </c>
      <c r="AE213" s="9" t="s">
        <v>57</v>
      </c>
      <c r="AF213" s="9" t="s">
        <v>1842</v>
      </c>
      <c r="AG213" s="9" t="s">
        <v>1843</v>
      </c>
      <c r="AH213" s="9">
        <v>6.2028169999999996</v>
      </c>
      <c r="AI213" s="9">
        <v>-75.600998000000004</v>
      </c>
      <c r="AJ213" s="9" t="s">
        <v>1844</v>
      </c>
      <c r="AK213" s="9">
        <v>6.2217070000000003</v>
      </c>
      <c r="AL213" s="9">
        <v>-75.593844000000004</v>
      </c>
      <c r="AM213" s="26">
        <f t="shared" si="3"/>
        <v>4.6073576388888884E-2</v>
      </c>
      <c r="AN213" s="9"/>
    </row>
    <row r="214" spans="1:40" ht="15" x14ac:dyDescent="0.25">
      <c r="A214" s="9" t="s">
        <v>1845</v>
      </c>
      <c r="B214" s="9" t="s">
        <v>1846</v>
      </c>
      <c r="C214" s="9" t="s">
        <v>1847</v>
      </c>
      <c r="D214" s="9" t="s">
        <v>1839</v>
      </c>
      <c r="E214" s="9" t="s">
        <v>36</v>
      </c>
      <c r="F214" s="9" t="s">
        <v>37</v>
      </c>
      <c r="G214" s="9" t="s">
        <v>52</v>
      </c>
      <c r="H214" s="9" t="s">
        <v>53</v>
      </c>
      <c r="I214" s="9" t="s">
        <v>40</v>
      </c>
      <c r="J214" s="9">
        <v>3653</v>
      </c>
      <c r="K214" s="9" t="s">
        <v>1848</v>
      </c>
      <c r="L214" s="9" t="s">
        <v>42</v>
      </c>
      <c r="M214" s="10">
        <v>1.877314814814815E-2</v>
      </c>
      <c r="N214" s="9" t="s">
        <v>127</v>
      </c>
      <c r="O214" s="9" t="s">
        <v>1849</v>
      </c>
      <c r="P214" s="9" t="s">
        <v>45</v>
      </c>
      <c r="Q214" s="10">
        <v>1.631944444444445E-3</v>
      </c>
      <c r="R214" s="9" t="s">
        <v>46</v>
      </c>
      <c r="S214" s="10">
        <v>0.35047453703703701</v>
      </c>
      <c r="T214" s="9">
        <v>47.334000000000003</v>
      </c>
      <c r="U214" s="9">
        <v>8.1300000000000008</v>
      </c>
      <c r="V214" s="10">
        <v>0.2426388888888889</v>
      </c>
      <c r="W214" s="10">
        <v>0.16981481481481481</v>
      </c>
      <c r="X214" s="10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2</v>
      </c>
      <c r="AE214" s="9" t="s">
        <v>139</v>
      </c>
      <c r="AF214" s="9" t="s">
        <v>1850</v>
      </c>
      <c r="AG214" s="9" t="s">
        <v>1851</v>
      </c>
      <c r="AH214" s="9">
        <v>6.2258339999999999</v>
      </c>
      <c r="AI214" s="9">
        <v>-75.599424999999997</v>
      </c>
      <c r="AJ214" s="9" t="s">
        <v>1852</v>
      </c>
      <c r="AK214" s="9">
        <v>6.2437120000000004</v>
      </c>
      <c r="AL214" s="9">
        <v>-75.598613</v>
      </c>
      <c r="AM214" s="26">
        <f t="shared" si="3"/>
        <v>0</v>
      </c>
      <c r="AN214" s="9"/>
    </row>
    <row r="215" spans="1:40" ht="15" x14ac:dyDescent="0.25">
      <c r="A215" s="9" t="s">
        <v>1853</v>
      </c>
      <c r="B215" s="9" t="s">
        <v>1854</v>
      </c>
      <c r="C215" s="9" t="s">
        <v>1855</v>
      </c>
      <c r="D215" s="9" t="s">
        <v>1839</v>
      </c>
      <c r="E215" s="9" t="s">
        <v>36</v>
      </c>
      <c r="F215" s="9" t="s">
        <v>37</v>
      </c>
      <c r="G215" s="9" t="s">
        <v>113</v>
      </c>
      <c r="H215" s="9" t="s">
        <v>114</v>
      </c>
      <c r="I215" s="9" t="s">
        <v>40</v>
      </c>
      <c r="J215" s="9">
        <v>1798</v>
      </c>
      <c r="K215" s="9" t="s">
        <v>1856</v>
      </c>
      <c r="L215" s="9" t="s">
        <v>42</v>
      </c>
      <c r="M215" s="10">
        <v>1.678240740740741E-3</v>
      </c>
      <c r="N215" s="9" t="s">
        <v>65</v>
      </c>
      <c r="O215" s="9" t="s">
        <v>1857</v>
      </c>
      <c r="P215" s="9" t="s">
        <v>45</v>
      </c>
      <c r="Q215" s="10">
        <v>8.5416666666666662E-3</v>
      </c>
      <c r="R215" s="9" t="s">
        <v>46</v>
      </c>
      <c r="S215" s="10">
        <v>0.34019675925925918</v>
      </c>
      <c r="T215" s="9">
        <v>23.113</v>
      </c>
      <c r="U215" s="9">
        <v>3.66</v>
      </c>
      <c r="V215" s="10">
        <v>0.26317129629629632</v>
      </c>
      <c r="W215" s="10">
        <v>0.22045138888888891</v>
      </c>
      <c r="X215" s="10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2</v>
      </c>
      <c r="AE215" s="9" t="s">
        <v>84</v>
      </c>
      <c r="AF215" s="9" t="s">
        <v>1384</v>
      </c>
      <c r="AG215" s="9" t="s">
        <v>1858</v>
      </c>
      <c r="AH215" s="9">
        <v>6.2356889999999998</v>
      </c>
      <c r="AI215" s="9">
        <v>-75.602202000000005</v>
      </c>
      <c r="AJ215" s="9" t="s">
        <v>1859</v>
      </c>
      <c r="AK215" s="9">
        <v>6.2561390000000001</v>
      </c>
      <c r="AL215" s="9">
        <v>-75.598314999999999</v>
      </c>
      <c r="AM215" s="26">
        <f t="shared" si="3"/>
        <v>0</v>
      </c>
      <c r="AN215" s="9"/>
    </row>
    <row r="216" spans="1:40" ht="15" x14ac:dyDescent="0.25">
      <c r="A216" s="9" t="s">
        <v>1860</v>
      </c>
      <c r="B216" s="9" t="s">
        <v>1861</v>
      </c>
      <c r="C216" s="9" t="s">
        <v>1862</v>
      </c>
      <c r="D216" s="9" t="s">
        <v>1839</v>
      </c>
      <c r="E216" s="9" t="s">
        <v>36</v>
      </c>
      <c r="F216" s="9" t="s">
        <v>37</v>
      </c>
      <c r="G216" s="9" t="s">
        <v>62</v>
      </c>
      <c r="H216" s="9" t="s">
        <v>63</v>
      </c>
      <c r="I216" s="9" t="s">
        <v>40</v>
      </c>
      <c r="J216" s="9">
        <v>3615</v>
      </c>
      <c r="K216" s="9" t="s">
        <v>1863</v>
      </c>
      <c r="L216" s="9" t="s">
        <v>42</v>
      </c>
      <c r="M216" s="10">
        <v>5.5439814814814813E-3</v>
      </c>
      <c r="N216" s="9" t="s">
        <v>65</v>
      </c>
      <c r="O216" s="9" t="s">
        <v>1864</v>
      </c>
      <c r="P216" s="9" t="s">
        <v>45</v>
      </c>
      <c r="Q216" s="10">
        <v>9.7974537037037041E-2</v>
      </c>
      <c r="R216" s="9" t="s">
        <v>56</v>
      </c>
      <c r="S216" s="10">
        <v>0.2409027777777778</v>
      </c>
      <c r="T216" s="9">
        <v>46.113</v>
      </c>
      <c r="U216" s="9">
        <v>12.03</v>
      </c>
      <c r="V216" s="10">
        <v>0.15967592592592589</v>
      </c>
      <c r="W216" s="10">
        <v>6.6458333333333328E-2</v>
      </c>
      <c r="X216" s="10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1</v>
      </c>
      <c r="AE216" s="9" t="s">
        <v>67</v>
      </c>
      <c r="AF216" s="9" t="s">
        <v>1865</v>
      </c>
      <c r="AG216" s="9" t="s">
        <v>1866</v>
      </c>
      <c r="AH216" s="9">
        <v>6.2257230000000003</v>
      </c>
      <c r="AI216" s="9">
        <v>-75.599262999999993</v>
      </c>
      <c r="AJ216" s="9" t="s">
        <v>1867</v>
      </c>
      <c r="AK216" s="9">
        <v>6.2593509999999997</v>
      </c>
      <c r="AL216" s="9">
        <v>-75.597239999999999</v>
      </c>
      <c r="AM216" s="26">
        <f t="shared" si="3"/>
        <v>9.7974537037037041E-2</v>
      </c>
      <c r="AN216" s="9"/>
    </row>
    <row r="217" spans="1:40" ht="15" x14ac:dyDescent="0.25">
      <c r="A217" s="9" t="s">
        <v>1868</v>
      </c>
      <c r="B217" s="9" t="s">
        <v>1869</v>
      </c>
      <c r="C217" s="9" t="s">
        <v>1870</v>
      </c>
      <c r="D217" s="9" t="s">
        <v>1839</v>
      </c>
      <c r="E217" s="9" t="s">
        <v>36</v>
      </c>
      <c r="F217" s="9" t="s">
        <v>37</v>
      </c>
      <c r="G217" s="9" t="s">
        <v>72</v>
      </c>
      <c r="H217" s="9" t="s">
        <v>73</v>
      </c>
      <c r="I217" s="9" t="s">
        <v>40</v>
      </c>
      <c r="J217" s="9">
        <v>3597</v>
      </c>
      <c r="K217" s="9" t="s">
        <v>1871</v>
      </c>
      <c r="L217" s="9" t="s">
        <v>42</v>
      </c>
      <c r="M217" s="10">
        <v>2.5462962962962969E-3</v>
      </c>
      <c r="N217" s="9" t="s">
        <v>65</v>
      </c>
      <c r="O217" s="9" t="s">
        <v>1872</v>
      </c>
      <c r="P217" s="9" t="s">
        <v>45</v>
      </c>
      <c r="Q217" s="10">
        <v>0.13033564814814819</v>
      </c>
      <c r="R217" s="9" t="s">
        <v>56</v>
      </c>
      <c r="S217" s="10">
        <v>0.20045138888888889</v>
      </c>
      <c r="T217" s="9">
        <v>49.512</v>
      </c>
      <c r="U217" s="9">
        <v>13.5</v>
      </c>
      <c r="V217" s="10">
        <v>0.15283564814814821</v>
      </c>
      <c r="W217" s="10">
        <v>8.7638888888888891E-2</v>
      </c>
      <c r="X217" s="10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 t="s">
        <v>67</v>
      </c>
      <c r="AF217" s="9" t="s">
        <v>1873</v>
      </c>
      <c r="AG217" s="9" t="s">
        <v>1874</v>
      </c>
      <c r="AH217" s="9">
        <v>6.2256580000000001</v>
      </c>
      <c r="AI217" s="9">
        <v>-75.599198000000001</v>
      </c>
      <c r="AJ217" s="9" t="s">
        <v>1875</v>
      </c>
      <c r="AK217" s="9">
        <v>6.2365719999999998</v>
      </c>
      <c r="AL217" s="9">
        <v>-75.558755000000005</v>
      </c>
      <c r="AM217" s="26">
        <f t="shared" si="3"/>
        <v>0.13033564814814819</v>
      </c>
      <c r="AN217" s="9"/>
    </row>
    <row r="218" spans="1:40" ht="15" x14ac:dyDescent="0.25">
      <c r="A218" s="9" t="s">
        <v>1876</v>
      </c>
      <c r="B218" s="9" t="s">
        <v>1877</v>
      </c>
      <c r="C218" s="9" t="s">
        <v>1878</v>
      </c>
      <c r="D218" s="9" t="s">
        <v>1839</v>
      </c>
      <c r="E218" s="9" t="s">
        <v>36</v>
      </c>
      <c r="F218" s="9" t="s">
        <v>37</v>
      </c>
      <c r="G218" s="9" t="s">
        <v>80</v>
      </c>
      <c r="H218" s="9" t="s">
        <v>81</v>
      </c>
      <c r="I218" s="9" t="s">
        <v>40</v>
      </c>
      <c r="J218" s="9">
        <v>6586</v>
      </c>
      <c r="K218" s="9" t="s">
        <v>1879</v>
      </c>
      <c r="L218" s="9" t="s">
        <v>42</v>
      </c>
      <c r="M218" s="10">
        <v>6.3894212962962967E-3</v>
      </c>
      <c r="N218" s="9" t="s">
        <v>65</v>
      </c>
      <c r="O218" s="9" t="s">
        <v>1880</v>
      </c>
      <c r="P218" s="9" t="s">
        <v>45</v>
      </c>
      <c r="Q218" s="10">
        <v>3.4135300925925921E-3</v>
      </c>
      <c r="R218" s="9" t="s">
        <v>46</v>
      </c>
      <c r="S218" s="10">
        <v>0.34313628472222218</v>
      </c>
      <c r="T218" s="9">
        <v>44.564</v>
      </c>
      <c r="U218" s="9">
        <v>18.09</v>
      </c>
      <c r="V218" s="10">
        <v>0.102656215277778</v>
      </c>
      <c r="W218" s="10">
        <v>4.8033599537037043E-2</v>
      </c>
      <c r="X218" s="10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0</v>
      </c>
      <c r="AD218" s="9">
        <v>14</v>
      </c>
      <c r="AE218" s="9" t="s">
        <v>84</v>
      </c>
      <c r="AF218" s="9" t="s">
        <v>1881</v>
      </c>
      <c r="AG218" s="9" t="s">
        <v>1882</v>
      </c>
      <c r="AH218" s="9">
        <v>6.2254569999999996</v>
      </c>
      <c r="AI218" s="9">
        <v>-75.599380999999994</v>
      </c>
      <c r="AJ218" s="9" t="s">
        <v>1883</v>
      </c>
      <c r="AK218" s="9">
        <v>6.2592619999999997</v>
      </c>
      <c r="AL218" s="9">
        <v>-75.620932999999994</v>
      </c>
      <c r="AM218" s="26">
        <f t="shared" si="3"/>
        <v>0</v>
      </c>
      <c r="AN218" s="9"/>
    </row>
    <row r="219" spans="1:40" ht="15" x14ac:dyDescent="0.25">
      <c r="A219" s="9" t="s">
        <v>1884</v>
      </c>
      <c r="B219" s="9" t="s">
        <v>1885</v>
      </c>
      <c r="C219" s="9" t="s">
        <v>1886</v>
      </c>
      <c r="D219" s="9" t="s">
        <v>1839</v>
      </c>
      <c r="E219" s="9" t="s">
        <v>36</v>
      </c>
      <c r="F219" s="9" t="s">
        <v>37</v>
      </c>
      <c r="G219" s="9" t="s">
        <v>89</v>
      </c>
      <c r="H219" s="9" t="s">
        <v>90</v>
      </c>
      <c r="I219" s="9" t="s">
        <v>40</v>
      </c>
      <c r="J219" s="9">
        <v>4949</v>
      </c>
      <c r="K219" s="9" t="s">
        <v>1887</v>
      </c>
      <c r="L219" s="9" t="s">
        <v>42</v>
      </c>
      <c r="M219" s="10">
        <v>6.134259259259259E-4</v>
      </c>
      <c r="N219" s="9" t="s">
        <v>65</v>
      </c>
      <c r="O219" s="9" t="s">
        <v>1888</v>
      </c>
      <c r="P219" s="9" t="s">
        <v>45</v>
      </c>
      <c r="Q219" s="10">
        <v>1.9791666666666668E-3</v>
      </c>
      <c r="R219" s="9" t="s">
        <v>46</v>
      </c>
      <c r="S219" s="10">
        <v>0.33469907407407412</v>
      </c>
      <c r="T219" s="9">
        <v>69.007999999999996</v>
      </c>
      <c r="U219" s="9">
        <v>11.6</v>
      </c>
      <c r="V219" s="10">
        <v>0.24787037037037041</v>
      </c>
      <c r="W219" s="10">
        <v>0.1212037037037037</v>
      </c>
      <c r="X219" s="10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1</v>
      </c>
      <c r="AE219" s="9" t="s">
        <v>84</v>
      </c>
      <c r="AF219" s="9" t="s">
        <v>324</v>
      </c>
      <c r="AG219" s="9" t="s">
        <v>1889</v>
      </c>
      <c r="AH219" s="9">
        <v>6.2265069999999998</v>
      </c>
      <c r="AI219" s="9">
        <v>-75.599345</v>
      </c>
      <c r="AJ219" s="9" t="s">
        <v>1890</v>
      </c>
      <c r="AK219" s="9">
        <v>6.2794239999999997</v>
      </c>
      <c r="AL219" s="9">
        <v>-75.569648999999998</v>
      </c>
      <c r="AM219" s="26">
        <f t="shared" si="3"/>
        <v>0</v>
      </c>
      <c r="AN219" s="9"/>
    </row>
    <row r="220" spans="1:40" ht="15" x14ac:dyDescent="0.25">
      <c r="A220" s="9" t="s">
        <v>1891</v>
      </c>
      <c r="B220" s="9" t="s">
        <v>1892</v>
      </c>
      <c r="C220" s="9" t="s">
        <v>1893</v>
      </c>
      <c r="D220" s="9" t="s">
        <v>1839</v>
      </c>
      <c r="E220" s="9" t="s">
        <v>36</v>
      </c>
      <c r="F220" s="9" t="s">
        <v>37</v>
      </c>
      <c r="G220" s="9" t="s">
        <v>97</v>
      </c>
      <c r="H220" s="9" t="s">
        <v>98</v>
      </c>
      <c r="I220" s="9" t="s">
        <v>40</v>
      </c>
      <c r="J220" s="9">
        <v>2061</v>
      </c>
      <c r="K220" s="9" t="s">
        <v>1894</v>
      </c>
      <c r="L220" s="9" t="s">
        <v>42</v>
      </c>
      <c r="M220" s="10">
        <v>4.9537037037037041E-3</v>
      </c>
      <c r="N220" s="9" t="s">
        <v>65</v>
      </c>
      <c r="O220" s="9" t="s">
        <v>1895</v>
      </c>
      <c r="P220" s="9" t="s">
        <v>45</v>
      </c>
      <c r="Q220" s="10">
        <v>3.530092592592592E-3</v>
      </c>
      <c r="R220" s="9" t="s">
        <v>46</v>
      </c>
      <c r="S220" s="10">
        <v>0.33475694444444443</v>
      </c>
      <c r="T220" s="9">
        <v>26.77</v>
      </c>
      <c r="U220" s="9">
        <v>6.61</v>
      </c>
      <c r="V220" s="10">
        <v>0.16878472222222221</v>
      </c>
      <c r="W220" s="10">
        <v>0.1227314814814815</v>
      </c>
      <c r="X220" s="10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 t="s">
        <v>84</v>
      </c>
      <c r="AF220" s="9" t="s">
        <v>352</v>
      </c>
      <c r="AG220" s="9" t="s">
        <v>1896</v>
      </c>
      <c r="AH220" s="9">
        <v>6.2257030000000002</v>
      </c>
      <c r="AI220" s="9">
        <v>-75.599446999999998</v>
      </c>
      <c r="AJ220" s="9" t="s">
        <v>1897</v>
      </c>
      <c r="AK220" s="9">
        <v>6.3086510000000002</v>
      </c>
      <c r="AL220" s="9">
        <v>-75.580759999999998</v>
      </c>
      <c r="AM220" s="26">
        <f t="shared" si="3"/>
        <v>0</v>
      </c>
      <c r="AN220" s="9"/>
    </row>
    <row r="221" spans="1:40" ht="15" x14ac:dyDescent="0.25">
      <c r="A221" s="9" t="s">
        <v>1898</v>
      </c>
      <c r="B221" s="9" t="s">
        <v>1899</v>
      </c>
      <c r="C221" s="9" t="s">
        <v>1900</v>
      </c>
      <c r="D221" s="9" t="s">
        <v>1839</v>
      </c>
      <c r="E221" s="9" t="s">
        <v>36</v>
      </c>
      <c r="F221" s="9" t="s">
        <v>37</v>
      </c>
      <c r="G221" s="9" t="s">
        <v>105</v>
      </c>
      <c r="H221" s="9" t="s">
        <v>106</v>
      </c>
      <c r="I221" s="9" t="s">
        <v>40</v>
      </c>
      <c r="J221" s="9">
        <v>3254</v>
      </c>
      <c r="K221" s="9" t="s">
        <v>1901</v>
      </c>
      <c r="L221" s="9" t="s">
        <v>42</v>
      </c>
      <c r="M221" s="10">
        <v>1.631944444444445E-3</v>
      </c>
      <c r="N221" s="9" t="s">
        <v>65</v>
      </c>
      <c r="O221" s="9" t="s">
        <v>1902</v>
      </c>
      <c r="P221" s="9" t="s">
        <v>45</v>
      </c>
      <c r="Q221" s="10">
        <v>2.3726851851851851E-3</v>
      </c>
      <c r="R221" s="9" t="s">
        <v>46</v>
      </c>
      <c r="S221" s="10">
        <v>0.33407407407407408</v>
      </c>
      <c r="T221" s="9">
        <v>43.088000000000001</v>
      </c>
      <c r="U221" s="9">
        <v>11.09</v>
      </c>
      <c r="V221" s="10">
        <v>0.1618171296296296</v>
      </c>
      <c r="W221" s="10">
        <v>9.2245370370370366E-2</v>
      </c>
      <c r="X221" s="10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 t="s">
        <v>84</v>
      </c>
      <c r="AF221" s="9" t="s">
        <v>352</v>
      </c>
      <c r="AG221" s="9" t="s">
        <v>1903</v>
      </c>
      <c r="AH221" s="9">
        <v>6.2257569999999998</v>
      </c>
      <c r="AI221" s="9">
        <v>-75.599180000000004</v>
      </c>
      <c r="AJ221" s="9" t="s">
        <v>1904</v>
      </c>
      <c r="AK221" s="9">
        <v>6.2587190000000001</v>
      </c>
      <c r="AL221" s="9">
        <v>-75.616753000000003</v>
      </c>
      <c r="AM221" s="26">
        <f t="shared" si="3"/>
        <v>0</v>
      </c>
      <c r="AN221" s="9"/>
    </row>
    <row r="222" spans="1:40" ht="15" x14ac:dyDescent="0.25">
      <c r="A222" s="9" t="s">
        <v>1905</v>
      </c>
      <c r="B222" s="9" t="s">
        <v>1906</v>
      </c>
      <c r="C222" s="9" t="s">
        <v>1907</v>
      </c>
      <c r="D222" s="9" t="s">
        <v>1839</v>
      </c>
      <c r="E222" s="9" t="s">
        <v>36</v>
      </c>
      <c r="F222" s="9" t="s">
        <v>37</v>
      </c>
      <c r="G222" s="9" t="s">
        <v>135</v>
      </c>
      <c r="H222" s="9" t="s">
        <v>136</v>
      </c>
      <c r="I222" s="9" t="s">
        <v>115</v>
      </c>
      <c r="J222" s="9">
        <v>3626</v>
      </c>
      <c r="K222" s="9" t="s">
        <v>1908</v>
      </c>
      <c r="L222" s="9" t="s">
        <v>117</v>
      </c>
      <c r="M222" s="10">
        <v>6.5277777777777782E-2</v>
      </c>
      <c r="N222" s="9" t="s">
        <v>127</v>
      </c>
      <c r="O222" s="9" t="s">
        <v>1909</v>
      </c>
      <c r="P222" s="9" t="s">
        <v>119</v>
      </c>
      <c r="Q222" s="10">
        <v>1.0775462962962961E-2</v>
      </c>
      <c r="R222" s="9" t="s">
        <v>56</v>
      </c>
      <c r="S222" s="10">
        <v>0.30450231481481482</v>
      </c>
      <c r="T222" s="9">
        <v>51.329000000000001</v>
      </c>
      <c r="U222" s="9">
        <v>13.16</v>
      </c>
      <c r="V222" s="10">
        <v>0.16250000000000001</v>
      </c>
      <c r="W222" s="10">
        <v>9.2280092592592594E-2</v>
      </c>
      <c r="X222" s="10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3</v>
      </c>
      <c r="AE222" s="9" t="s">
        <v>139</v>
      </c>
      <c r="AF222" s="9" t="s">
        <v>1910</v>
      </c>
      <c r="AG222" s="9" t="s">
        <v>1911</v>
      </c>
      <c r="AH222" s="9">
        <v>6.2255820000000002</v>
      </c>
      <c r="AI222" s="9">
        <v>-75.599125000000001</v>
      </c>
      <c r="AJ222" s="9" t="s">
        <v>1912</v>
      </c>
      <c r="AK222" s="9">
        <v>6.2437779999999998</v>
      </c>
      <c r="AL222" s="9">
        <v>-75.556726999999995</v>
      </c>
      <c r="AM222" s="26">
        <f t="shared" si="3"/>
        <v>1.0775462962962961E-2</v>
      </c>
      <c r="AN222" s="9"/>
    </row>
    <row r="223" spans="1:40" ht="15" x14ac:dyDescent="0.25">
      <c r="A223" s="9" t="s">
        <v>1913</v>
      </c>
      <c r="B223" s="9" t="s">
        <v>1914</v>
      </c>
      <c r="C223" s="9" t="s">
        <v>1915</v>
      </c>
      <c r="D223" s="9" t="s">
        <v>1839</v>
      </c>
      <c r="E223" s="9" t="s">
        <v>36</v>
      </c>
      <c r="F223" s="9" t="s">
        <v>37</v>
      </c>
      <c r="G223" s="9" t="s">
        <v>144</v>
      </c>
      <c r="H223" s="9" t="s">
        <v>145</v>
      </c>
      <c r="I223" s="9" t="s">
        <v>115</v>
      </c>
      <c r="J223" s="9">
        <v>6526</v>
      </c>
      <c r="K223" s="9" t="s">
        <v>1916</v>
      </c>
      <c r="L223" s="9" t="s">
        <v>117</v>
      </c>
      <c r="M223" s="10">
        <v>2.6932870370370371E-2</v>
      </c>
      <c r="N223" s="9" t="s">
        <v>127</v>
      </c>
      <c r="O223" s="9" t="s">
        <v>1917</v>
      </c>
      <c r="P223" s="9" t="s">
        <v>119</v>
      </c>
      <c r="Q223" s="10">
        <v>1.3310185185185181E-3</v>
      </c>
      <c r="R223" s="9" t="s">
        <v>46</v>
      </c>
      <c r="S223" s="10">
        <v>0.27826388888888892</v>
      </c>
      <c r="T223" s="9">
        <v>90.361999999999995</v>
      </c>
      <c r="U223" s="9">
        <v>16.829999999999998</v>
      </c>
      <c r="V223" s="10">
        <v>0.22364583333333329</v>
      </c>
      <c r="W223" s="10">
        <v>8.1701388888888893E-2</v>
      </c>
      <c r="X223" s="10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 t="s">
        <v>139</v>
      </c>
      <c r="AF223" s="9" t="s">
        <v>1918</v>
      </c>
      <c r="AG223" s="9" t="s">
        <v>1919</v>
      </c>
      <c r="AH223" s="9">
        <v>6.2266890000000004</v>
      </c>
      <c r="AI223" s="9">
        <v>-75.599311999999998</v>
      </c>
      <c r="AJ223" s="9" t="s">
        <v>1920</v>
      </c>
      <c r="AK223" s="9">
        <v>6.2905410000000002</v>
      </c>
      <c r="AL223" s="9">
        <v>-75.546396999999999</v>
      </c>
      <c r="AM223" s="26">
        <f t="shared" si="3"/>
        <v>0</v>
      </c>
      <c r="AN223" s="9"/>
    </row>
    <row r="224" spans="1:40" ht="15" x14ac:dyDescent="0.25">
      <c r="A224" s="9" t="s">
        <v>1921</v>
      </c>
      <c r="B224" s="9" t="s">
        <v>1922</v>
      </c>
      <c r="C224" s="9" t="s">
        <v>1923</v>
      </c>
      <c r="D224" s="9" t="s">
        <v>1839</v>
      </c>
      <c r="E224" s="9" t="s">
        <v>36</v>
      </c>
      <c r="F224" s="9" t="s">
        <v>37</v>
      </c>
      <c r="G224" s="9" t="s">
        <v>152</v>
      </c>
      <c r="H224" s="9" t="s">
        <v>153</v>
      </c>
      <c r="I224" s="9" t="s">
        <v>115</v>
      </c>
      <c r="J224" s="9">
        <v>2470</v>
      </c>
      <c r="K224" s="9" t="s">
        <v>1924</v>
      </c>
      <c r="L224" s="9" t="s">
        <v>117</v>
      </c>
      <c r="M224" s="10">
        <v>1.134259259259259E-2</v>
      </c>
      <c r="N224" s="9" t="s">
        <v>127</v>
      </c>
      <c r="O224" s="9" t="s">
        <v>1925</v>
      </c>
      <c r="P224" s="9" t="s">
        <v>119</v>
      </c>
      <c r="Q224" s="10">
        <v>7.840277777777778E-2</v>
      </c>
      <c r="R224" s="9" t="s">
        <v>56</v>
      </c>
      <c r="S224" s="10">
        <v>0.18293981481481481</v>
      </c>
      <c r="T224" s="9">
        <v>32.774000000000001</v>
      </c>
      <c r="U224" s="9">
        <v>10.53</v>
      </c>
      <c r="V224" s="10">
        <v>0.12971064814814809</v>
      </c>
      <c r="W224" s="10">
        <v>8.3935185185185182E-2</v>
      </c>
      <c r="X224" s="10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 t="s">
        <v>139</v>
      </c>
      <c r="AF224" s="9" t="s">
        <v>1926</v>
      </c>
      <c r="AG224" s="9" t="s">
        <v>1927</v>
      </c>
      <c r="AH224" s="9">
        <v>6.2269449999999997</v>
      </c>
      <c r="AI224" s="9">
        <v>-75.599697000000006</v>
      </c>
      <c r="AJ224" s="9" t="s">
        <v>1928</v>
      </c>
      <c r="AK224" s="9">
        <v>6.2518320000000003</v>
      </c>
      <c r="AL224" s="9">
        <v>-75.551803000000007</v>
      </c>
      <c r="AM224" s="26">
        <f t="shared" si="3"/>
        <v>7.840277777777778E-2</v>
      </c>
      <c r="AN224" s="9"/>
    </row>
    <row r="225" spans="1:40" ht="15" x14ac:dyDescent="0.25">
      <c r="A225" s="9" t="s">
        <v>1935</v>
      </c>
      <c r="B225" s="9" t="s">
        <v>1936</v>
      </c>
      <c r="C225" s="9" t="s">
        <v>1937</v>
      </c>
      <c r="D225" s="9" t="s">
        <v>1839</v>
      </c>
      <c r="E225" s="9" t="s">
        <v>36</v>
      </c>
      <c r="F225" s="9" t="s">
        <v>37</v>
      </c>
      <c r="G225" s="9" t="s">
        <v>124</v>
      </c>
      <c r="H225" s="9" t="s">
        <v>125</v>
      </c>
      <c r="I225" s="9" t="s">
        <v>115</v>
      </c>
      <c r="J225" s="9">
        <v>4471</v>
      </c>
      <c r="K225" s="9" t="s">
        <v>1938</v>
      </c>
      <c r="L225" s="9" t="s">
        <v>117</v>
      </c>
      <c r="M225" s="10">
        <v>4.4861111111111109E-2</v>
      </c>
      <c r="N225" s="9" t="s">
        <v>127</v>
      </c>
      <c r="O225" s="9" t="s">
        <v>1939</v>
      </c>
      <c r="P225" s="9" t="s">
        <v>119</v>
      </c>
      <c r="Q225" s="10">
        <v>1.5208333333333331E-2</v>
      </c>
      <c r="R225" s="9" t="s">
        <v>129</v>
      </c>
      <c r="S225" s="10">
        <v>0.31006944444444451</v>
      </c>
      <c r="T225" s="9">
        <v>56.018999999999998</v>
      </c>
      <c r="U225" s="9">
        <v>11.32</v>
      </c>
      <c r="V225" s="10">
        <v>0.20616898148148149</v>
      </c>
      <c r="W225" s="10">
        <v>5.7951388888888893E-2</v>
      </c>
      <c r="X225" s="10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 t="s">
        <v>130</v>
      </c>
      <c r="AF225" s="9" t="s">
        <v>1940</v>
      </c>
      <c r="AG225" s="9" t="s">
        <v>1941</v>
      </c>
      <c r="AH225" s="9">
        <v>6.2630429999999997</v>
      </c>
      <c r="AI225" s="9">
        <v>-75.595581999999993</v>
      </c>
      <c r="AJ225" s="9" t="s">
        <v>1942</v>
      </c>
      <c r="AK225" s="9">
        <v>6.2728250000000001</v>
      </c>
      <c r="AL225" s="9">
        <v>-75.602050000000006</v>
      </c>
      <c r="AM225" s="26">
        <f t="shared" si="3"/>
        <v>0</v>
      </c>
      <c r="AN225" s="9"/>
    </row>
    <row r="226" spans="1:40" ht="15" x14ac:dyDescent="0.25">
      <c r="A226" s="9" t="s">
        <v>1929</v>
      </c>
      <c r="B226" s="9" t="s">
        <v>1943</v>
      </c>
      <c r="C226" s="9" t="s">
        <v>1930</v>
      </c>
      <c r="D226" s="9" t="s">
        <v>1839</v>
      </c>
      <c r="E226" s="9" t="s">
        <v>36</v>
      </c>
      <c r="F226" s="9" t="s">
        <v>37</v>
      </c>
      <c r="G226" s="9" t="s">
        <v>160</v>
      </c>
      <c r="H226" s="9" t="s">
        <v>161</v>
      </c>
      <c r="I226" s="9" t="s">
        <v>115</v>
      </c>
      <c r="J226" s="9">
        <v>7824</v>
      </c>
      <c r="K226" s="9" t="s">
        <v>1931</v>
      </c>
      <c r="L226" s="9" t="s">
        <v>117</v>
      </c>
      <c r="M226" s="10">
        <v>4.0795046296296288E-2</v>
      </c>
      <c r="N226" s="9" t="s">
        <v>127</v>
      </c>
      <c r="O226" s="9" t="s">
        <v>1932</v>
      </c>
      <c r="P226" s="9" t="s">
        <v>119</v>
      </c>
      <c r="Q226" s="10">
        <v>1.9177314814814821E-3</v>
      </c>
      <c r="R226" s="9" t="s">
        <v>46</v>
      </c>
      <c r="S226" s="10">
        <v>0.28887731481481482</v>
      </c>
      <c r="T226" s="9">
        <v>50.188000000000002</v>
      </c>
      <c r="U226" s="9">
        <v>12.01</v>
      </c>
      <c r="V226" s="10">
        <v>0.17411025462962959</v>
      </c>
      <c r="W226" s="10">
        <v>0.1166204050925926</v>
      </c>
      <c r="X226" s="10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3</v>
      </c>
      <c r="AE226" s="9" t="s">
        <v>139</v>
      </c>
      <c r="AF226" s="9" t="s">
        <v>1944</v>
      </c>
      <c r="AG226" s="9" t="s">
        <v>1933</v>
      </c>
      <c r="AH226" s="9">
        <v>6.2266199999999996</v>
      </c>
      <c r="AI226" s="9">
        <v>-75.598614999999995</v>
      </c>
      <c r="AJ226" s="9" t="s">
        <v>1934</v>
      </c>
      <c r="AK226" s="9">
        <v>6.25244</v>
      </c>
      <c r="AL226" s="9">
        <v>-75.582687000000007</v>
      </c>
      <c r="AM226" s="26">
        <f t="shared" si="3"/>
        <v>0</v>
      </c>
      <c r="AN226" s="9"/>
    </row>
    <row r="227" spans="1:40" ht="15" x14ac:dyDescent="0.25">
      <c r="A227" s="9" t="s">
        <v>1945</v>
      </c>
      <c r="B227" s="9" t="s">
        <v>1946</v>
      </c>
      <c r="C227" s="9" t="s">
        <v>1947</v>
      </c>
      <c r="D227" s="9" t="s">
        <v>1948</v>
      </c>
      <c r="E227" s="9" t="s">
        <v>36</v>
      </c>
      <c r="F227" s="9" t="s">
        <v>169</v>
      </c>
      <c r="G227" s="9" t="s">
        <v>38</v>
      </c>
      <c r="H227" s="9" t="s">
        <v>39</v>
      </c>
      <c r="I227" s="9" t="s">
        <v>40</v>
      </c>
      <c r="J227" s="9">
        <v>5959</v>
      </c>
      <c r="K227" s="9" t="s">
        <v>1949</v>
      </c>
      <c r="L227" s="9" t="s">
        <v>42</v>
      </c>
      <c r="M227" s="10">
        <v>3.2673252314814813E-2</v>
      </c>
      <c r="N227" s="9" t="s">
        <v>43</v>
      </c>
      <c r="O227" s="9" t="s">
        <v>1950</v>
      </c>
      <c r="P227" s="9" t="s">
        <v>45</v>
      </c>
      <c r="Q227" s="10">
        <v>2.7579675925925931E-2</v>
      </c>
      <c r="R227" s="9" t="s">
        <v>129</v>
      </c>
      <c r="S227" s="10">
        <v>0.32823975694444452</v>
      </c>
      <c r="T227" s="9">
        <v>33.295999999999999</v>
      </c>
      <c r="U227" s="9">
        <v>9.5399999999999991</v>
      </c>
      <c r="V227" s="10">
        <v>0.14539078703703681</v>
      </c>
      <c r="W227" s="10">
        <v>0.1105644560185185</v>
      </c>
      <c r="X227" s="10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0</v>
      </c>
      <c r="AD227" s="9">
        <v>4</v>
      </c>
      <c r="AE227" s="9" t="s">
        <v>130</v>
      </c>
      <c r="AF227" s="9" t="s">
        <v>1951</v>
      </c>
      <c r="AG227" s="9" t="s">
        <v>1952</v>
      </c>
      <c r="AH227" s="9">
        <v>6.203335</v>
      </c>
      <c r="AI227" s="9">
        <v>-75.600755000000007</v>
      </c>
      <c r="AJ227" s="9" t="s">
        <v>1953</v>
      </c>
      <c r="AK227" s="9">
        <v>6.2333160000000003</v>
      </c>
      <c r="AL227" s="9">
        <v>-75.603454999999997</v>
      </c>
      <c r="AM227" s="26">
        <f t="shared" si="3"/>
        <v>3.2673252314814813E-2</v>
      </c>
      <c r="AN227" s="9"/>
    </row>
    <row r="228" spans="1:40" ht="15" x14ac:dyDescent="0.25">
      <c r="A228" s="9" t="s">
        <v>1954</v>
      </c>
      <c r="B228" s="9" t="s">
        <v>1955</v>
      </c>
      <c r="C228" s="9" t="s">
        <v>1956</v>
      </c>
      <c r="D228" s="9" t="s">
        <v>1948</v>
      </c>
      <c r="E228" s="9" t="s">
        <v>36</v>
      </c>
      <c r="F228" s="9" t="s">
        <v>169</v>
      </c>
      <c r="G228" s="9" t="s">
        <v>52</v>
      </c>
      <c r="H228" s="9" t="s">
        <v>53</v>
      </c>
      <c r="I228" s="9" t="s">
        <v>40</v>
      </c>
      <c r="J228" s="9">
        <v>1868</v>
      </c>
      <c r="K228" s="9" t="s">
        <v>1957</v>
      </c>
      <c r="L228" s="9" t="s">
        <v>42</v>
      </c>
      <c r="M228" s="10">
        <v>9.5370370370370366E-3</v>
      </c>
      <c r="N228" s="9" t="s">
        <v>65</v>
      </c>
      <c r="O228" s="9" t="s">
        <v>1958</v>
      </c>
      <c r="P228" s="9" t="s">
        <v>45</v>
      </c>
      <c r="Q228" s="10">
        <v>1.306712962962963E-2</v>
      </c>
      <c r="R228" s="9" t="s">
        <v>56</v>
      </c>
      <c r="S228" s="10">
        <v>0.32980324074074069</v>
      </c>
      <c r="T228" s="9">
        <v>22.170999999999999</v>
      </c>
      <c r="U228" s="9">
        <v>4.5</v>
      </c>
      <c r="V228" s="10">
        <v>0.205162037037037</v>
      </c>
      <c r="W228" s="10">
        <v>0.1571990740740741</v>
      </c>
      <c r="X228" s="10">
        <v>0</v>
      </c>
      <c r="Y228" s="9">
        <v>0</v>
      </c>
      <c r="Z228" s="9">
        <v>0</v>
      </c>
      <c r="AA228" s="9">
        <v>0</v>
      </c>
      <c r="AB228" s="9">
        <v>0</v>
      </c>
      <c r="AC228" s="9">
        <v>0</v>
      </c>
      <c r="AD228" s="9">
        <v>2</v>
      </c>
      <c r="AE228" s="9" t="s">
        <v>67</v>
      </c>
      <c r="AF228" s="9" t="s">
        <v>1959</v>
      </c>
      <c r="AG228" s="9" t="s">
        <v>1960</v>
      </c>
      <c r="AH228" s="9">
        <v>6.2257470000000001</v>
      </c>
      <c r="AI228" s="9">
        <v>-75.599410000000006</v>
      </c>
      <c r="AJ228" s="9" t="s">
        <v>1961</v>
      </c>
      <c r="AK228" s="9">
        <v>6.2559570000000004</v>
      </c>
      <c r="AL228" s="9">
        <v>-75.616417999999996</v>
      </c>
      <c r="AM228" s="26">
        <f t="shared" si="3"/>
        <v>1.306712962962963E-2</v>
      </c>
      <c r="AN228" s="9"/>
    </row>
    <row r="229" spans="1:40" ht="15" x14ac:dyDescent="0.25">
      <c r="A229" s="9" t="s">
        <v>1962</v>
      </c>
      <c r="B229" s="9" t="s">
        <v>1963</v>
      </c>
      <c r="C229" s="9" t="s">
        <v>1964</v>
      </c>
      <c r="D229" s="9" t="s">
        <v>1948</v>
      </c>
      <c r="E229" s="9" t="s">
        <v>36</v>
      </c>
      <c r="F229" s="9" t="s">
        <v>169</v>
      </c>
      <c r="G229" s="9" t="s">
        <v>113</v>
      </c>
      <c r="H229" s="9" t="s">
        <v>114</v>
      </c>
      <c r="I229" s="9" t="s">
        <v>40</v>
      </c>
      <c r="J229" s="9">
        <v>2244</v>
      </c>
      <c r="K229" s="9" t="s">
        <v>1965</v>
      </c>
      <c r="L229" s="9" t="s">
        <v>42</v>
      </c>
      <c r="M229" s="10">
        <v>1.518518518518519E-2</v>
      </c>
      <c r="N229" s="9" t="s">
        <v>43</v>
      </c>
      <c r="O229" s="9" t="s">
        <v>1966</v>
      </c>
      <c r="P229" s="9" t="s">
        <v>45</v>
      </c>
      <c r="Q229" s="10">
        <v>8.0092592592592594E-3</v>
      </c>
      <c r="R229" s="9" t="s">
        <v>46</v>
      </c>
      <c r="S229" s="10">
        <v>0.3261574074074074</v>
      </c>
      <c r="T229" s="9">
        <v>27.957000000000001</v>
      </c>
      <c r="U229" s="9">
        <v>5.12</v>
      </c>
      <c r="V229" s="10">
        <v>0.22765046296296301</v>
      </c>
      <c r="W229" s="10">
        <v>0.17216435185185189</v>
      </c>
      <c r="X229" s="10">
        <v>0</v>
      </c>
      <c r="Y229" s="9">
        <v>0</v>
      </c>
      <c r="Z229" s="9">
        <v>0</v>
      </c>
      <c r="AA229" s="9">
        <v>0</v>
      </c>
      <c r="AB229" s="9">
        <v>0</v>
      </c>
      <c r="AC229" s="9">
        <v>0</v>
      </c>
      <c r="AD229" s="9">
        <v>3</v>
      </c>
      <c r="AE229" s="9" t="s">
        <v>47</v>
      </c>
      <c r="AF229" s="9" t="s">
        <v>1967</v>
      </c>
      <c r="AG229" s="9" t="s">
        <v>1968</v>
      </c>
      <c r="AH229" s="9">
        <v>6.2329119999999998</v>
      </c>
      <c r="AI229" s="9">
        <v>-75.602197000000004</v>
      </c>
      <c r="AJ229" s="9" t="s">
        <v>1969</v>
      </c>
      <c r="AK229" s="9">
        <v>6.2508840000000001</v>
      </c>
      <c r="AL229" s="9">
        <v>-75.621311000000006</v>
      </c>
      <c r="AM229" s="26">
        <f t="shared" si="3"/>
        <v>1.518518518518519E-2</v>
      </c>
      <c r="AN229" s="9"/>
    </row>
    <row r="230" spans="1:40" ht="15" x14ac:dyDescent="0.25">
      <c r="A230" s="9" t="s">
        <v>1970</v>
      </c>
      <c r="B230" s="9" t="s">
        <v>1971</v>
      </c>
      <c r="C230" s="9" t="s">
        <v>1972</v>
      </c>
      <c r="D230" s="9" t="s">
        <v>1948</v>
      </c>
      <c r="E230" s="9" t="s">
        <v>36</v>
      </c>
      <c r="F230" s="9" t="s">
        <v>169</v>
      </c>
      <c r="G230" s="9" t="s">
        <v>62</v>
      </c>
      <c r="H230" s="9" t="s">
        <v>63</v>
      </c>
      <c r="I230" s="9" t="s">
        <v>40</v>
      </c>
      <c r="J230" s="9">
        <v>4411</v>
      </c>
      <c r="K230" s="9" t="s">
        <v>1973</v>
      </c>
      <c r="L230" s="9" t="s">
        <v>42</v>
      </c>
      <c r="M230" s="10">
        <v>6.9444444444444441E-3</v>
      </c>
      <c r="N230" s="9" t="s">
        <v>65</v>
      </c>
      <c r="O230" s="9" t="s">
        <v>1974</v>
      </c>
      <c r="P230" s="9" t="s">
        <v>45</v>
      </c>
      <c r="Q230" s="10">
        <v>9.178240740740741E-2</v>
      </c>
      <c r="R230" s="9" t="s">
        <v>56</v>
      </c>
      <c r="S230" s="10">
        <v>0.24849537037037039</v>
      </c>
      <c r="T230" s="9">
        <v>57.37</v>
      </c>
      <c r="U230" s="9">
        <v>13.72</v>
      </c>
      <c r="V230" s="10">
        <v>0.17427083333333329</v>
      </c>
      <c r="W230" s="10">
        <v>6.6747685185185188E-2</v>
      </c>
      <c r="X230" s="10">
        <v>0</v>
      </c>
      <c r="Y230" s="9">
        <v>0</v>
      </c>
      <c r="Z230" s="9">
        <v>0</v>
      </c>
      <c r="AA230" s="9">
        <v>0</v>
      </c>
      <c r="AB230" s="9">
        <v>0</v>
      </c>
      <c r="AC230" s="9">
        <v>0</v>
      </c>
      <c r="AD230" s="9">
        <v>0</v>
      </c>
      <c r="AE230" s="9" t="s">
        <v>67</v>
      </c>
      <c r="AF230" s="9" t="s">
        <v>1975</v>
      </c>
      <c r="AG230" s="9" t="s">
        <v>1976</v>
      </c>
      <c r="AH230" s="9">
        <v>6.2256619999999998</v>
      </c>
      <c r="AI230" s="9">
        <v>-75.599078000000006</v>
      </c>
      <c r="AJ230" s="9" t="s">
        <v>1977</v>
      </c>
      <c r="AK230" s="9">
        <v>6.271636</v>
      </c>
      <c r="AL230" s="9">
        <v>-75.597142000000005</v>
      </c>
      <c r="AM230" s="26">
        <f t="shared" si="3"/>
        <v>9.178240740740741E-2</v>
      </c>
      <c r="AN230" s="9"/>
    </row>
    <row r="231" spans="1:40" ht="15" x14ac:dyDescent="0.25">
      <c r="A231" s="9" t="s">
        <v>1989</v>
      </c>
      <c r="B231" s="9" t="s">
        <v>1990</v>
      </c>
      <c r="C231" s="9" t="s">
        <v>1991</v>
      </c>
      <c r="D231" s="9" t="s">
        <v>1948</v>
      </c>
      <c r="E231" s="9" t="s">
        <v>36</v>
      </c>
      <c r="F231" s="9" t="s">
        <v>169</v>
      </c>
      <c r="G231" s="9" t="s">
        <v>80</v>
      </c>
      <c r="H231" s="9" t="s">
        <v>81</v>
      </c>
      <c r="I231" s="9" t="s">
        <v>40</v>
      </c>
      <c r="J231" s="9">
        <v>5246</v>
      </c>
      <c r="K231" s="9" t="s">
        <v>1992</v>
      </c>
      <c r="L231" s="9" t="s">
        <v>42</v>
      </c>
      <c r="M231" s="10">
        <v>1.0986909722222221E-2</v>
      </c>
      <c r="N231" s="9" t="s">
        <v>43</v>
      </c>
      <c r="O231" s="9" t="s">
        <v>1993</v>
      </c>
      <c r="P231" s="9" t="s">
        <v>45</v>
      </c>
      <c r="Q231" s="10">
        <v>1.054550925925926E-2</v>
      </c>
      <c r="R231" s="9" t="s">
        <v>129</v>
      </c>
      <c r="S231" s="10">
        <v>0.33289193287037039</v>
      </c>
      <c r="T231" s="9">
        <v>27.216000000000001</v>
      </c>
      <c r="U231" s="9">
        <v>33.270000000000003</v>
      </c>
      <c r="V231" s="10">
        <v>3.4082523148148157E-2</v>
      </c>
      <c r="W231" s="10">
        <v>1.6476238425925931E-2</v>
      </c>
      <c r="X231" s="10">
        <v>0</v>
      </c>
      <c r="Y231" s="9">
        <v>0</v>
      </c>
      <c r="Z231" s="9">
        <v>0</v>
      </c>
      <c r="AA231" s="9">
        <v>0</v>
      </c>
      <c r="AB231" s="9">
        <v>0</v>
      </c>
      <c r="AC231" s="9">
        <v>0</v>
      </c>
      <c r="AD231" s="9">
        <v>10</v>
      </c>
      <c r="AE231" s="9" t="s">
        <v>130</v>
      </c>
      <c r="AF231" s="9" t="s">
        <v>1994</v>
      </c>
      <c r="AG231" s="9" t="s">
        <v>1995</v>
      </c>
      <c r="AH231" s="9">
        <v>6.225619</v>
      </c>
      <c r="AI231" s="9">
        <v>-75.599349000000004</v>
      </c>
      <c r="AJ231" s="9" t="s">
        <v>1996</v>
      </c>
      <c r="AK231" s="9">
        <v>6.2460630000000004</v>
      </c>
      <c r="AL231" s="9">
        <v>-75.561329999999998</v>
      </c>
      <c r="AM231" s="26">
        <f t="shared" si="3"/>
        <v>1.0986909722222221E-2</v>
      </c>
      <c r="AN231" s="9"/>
    </row>
    <row r="232" spans="1:40" ht="15" x14ac:dyDescent="0.25">
      <c r="A232" s="9" t="s">
        <v>1997</v>
      </c>
      <c r="B232" s="9" t="s">
        <v>1998</v>
      </c>
      <c r="C232" s="9" t="s">
        <v>1999</v>
      </c>
      <c r="D232" s="9" t="s">
        <v>1948</v>
      </c>
      <c r="E232" s="9" t="s">
        <v>36</v>
      </c>
      <c r="F232" s="9" t="s">
        <v>169</v>
      </c>
      <c r="G232" s="9" t="s">
        <v>89</v>
      </c>
      <c r="H232" s="9" t="s">
        <v>90</v>
      </c>
      <c r="I232" s="9" t="s">
        <v>40</v>
      </c>
      <c r="J232" s="9">
        <v>5580</v>
      </c>
      <c r="K232" s="9" t="s">
        <v>2000</v>
      </c>
      <c r="L232" s="9" t="s">
        <v>42</v>
      </c>
      <c r="M232" s="10">
        <v>1.773148148148148E-2</v>
      </c>
      <c r="N232" s="9" t="s">
        <v>127</v>
      </c>
      <c r="O232" s="9" t="s">
        <v>2001</v>
      </c>
      <c r="P232" s="9" t="s">
        <v>45</v>
      </c>
      <c r="Q232" s="10">
        <v>3.1944444444444451E-3</v>
      </c>
      <c r="R232" s="9" t="s">
        <v>46</v>
      </c>
      <c r="S232" s="10">
        <v>0.35425925925925927</v>
      </c>
      <c r="T232" s="9">
        <v>75.423000000000002</v>
      </c>
      <c r="U232" s="9">
        <v>10.25</v>
      </c>
      <c r="V232" s="10">
        <v>0.30664351851851851</v>
      </c>
      <c r="W232" s="10">
        <v>0.1716435185185185</v>
      </c>
      <c r="X232" s="10">
        <v>0</v>
      </c>
      <c r="Y232" s="9">
        <v>0</v>
      </c>
      <c r="Z232" s="9">
        <v>0</v>
      </c>
      <c r="AA232" s="9">
        <v>0</v>
      </c>
      <c r="AB232" s="9">
        <v>0</v>
      </c>
      <c r="AC232" s="9">
        <v>0</v>
      </c>
      <c r="AD232" s="9">
        <v>3</v>
      </c>
      <c r="AE232" s="9" t="s">
        <v>139</v>
      </c>
      <c r="AF232" s="9" t="s">
        <v>2002</v>
      </c>
      <c r="AG232" s="9" t="s">
        <v>2003</v>
      </c>
      <c r="AH232" s="9">
        <v>6.2265730000000001</v>
      </c>
      <c r="AI232" s="9">
        <v>-75.599305000000001</v>
      </c>
      <c r="AJ232" s="9" t="s">
        <v>2004</v>
      </c>
      <c r="AK232" s="9">
        <v>6.2794549999999996</v>
      </c>
      <c r="AL232" s="9">
        <v>-75.570395000000005</v>
      </c>
      <c r="AM232" s="26">
        <f t="shared" si="3"/>
        <v>0</v>
      </c>
      <c r="AN232" s="9"/>
    </row>
    <row r="233" spans="1:40" ht="15" x14ac:dyDescent="0.25">
      <c r="A233" s="9" t="s">
        <v>2005</v>
      </c>
      <c r="B233" s="9" t="s">
        <v>2006</v>
      </c>
      <c r="C233" s="9" t="s">
        <v>2007</v>
      </c>
      <c r="D233" s="9" t="s">
        <v>1948</v>
      </c>
      <c r="E233" s="9" t="s">
        <v>36</v>
      </c>
      <c r="F233" s="9" t="s">
        <v>169</v>
      </c>
      <c r="G233" s="9" t="s">
        <v>97</v>
      </c>
      <c r="H233" s="9" t="s">
        <v>98</v>
      </c>
      <c r="I233" s="9" t="s">
        <v>40</v>
      </c>
      <c r="J233" s="9">
        <v>2385</v>
      </c>
      <c r="K233" s="9" t="s">
        <v>2008</v>
      </c>
      <c r="L233" s="9" t="s">
        <v>42</v>
      </c>
      <c r="M233" s="10">
        <v>6.2962962962962964E-3</v>
      </c>
      <c r="N233" s="9" t="s">
        <v>65</v>
      </c>
      <c r="O233" s="9" t="s">
        <v>2009</v>
      </c>
      <c r="P233" s="9" t="s">
        <v>45</v>
      </c>
      <c r="Q233" s="10">
        <v>1.755787037037037E-2</v>
      </c>
      <c r="R233" s="9" t="s">
        <v>56</v>
      </c>
      <c r="S233" s="10">
        <v>0.30947916666666669</v>
      </c>
      <c r="T233" s="9">
        <v>30.879000000000001</v>
      </c>
      <c r="U233" s="9">
        <v>7.36</v>
      </c>
      <c r="V233" s="10">
        <v>0.17486111111111111</v>
      </c>
      <c r="W233" s="10">
        <v>0.12642361111111111</v>
      </c>
      <c r="X233" s="10">
        <v>0</v>
      </c>
      <c r="Y233" s="9">
        <v>0</v>
      </c>
      <c r="Z233" s="9">
        <v>0</v>
      </c>
      <c r="AA233" s="9">
        <v>0</v>
      </c>
      <c r="AB233" s="9">
        <v>0</v>
      </c>
      <c r="AC233" s="9">
        <v>0</v>
      </c>
      <c r="AD233" s="9">
        <v>1</v>
      </c>
      <c r="AE233" s="9" t="s">
        <v>67</v>
      </c>
      <c r="AF233" s="9" t="s">
        <v>2010</v>
      </c>
      <c r="AG233" s="9" t="s">
        <v>2011</v>
      </c>
      <c r="AH233" s="9">
        <v>6.2256629999999999</v>
      </c>
      <c r="AI233" s="9">
        <v>-75.599389000000002</v>
      </c>
      <c r="AJ233" s="9" t="s">
        <v>2012</v>
      </c>
      <c r="AK233" s="9">
        <v>6.3079999999999998</v>
      </c>
      <c r="AL233" s="9">
        <v>-75.581952000000001</v>
      </c>
      <c r="AM233" s="26">
        <f t="shared" si="3"/>
        <v>1.755787037037037E-2</v>
      </c>
      <c r="AN233" s="9"/>
    </row>
    <row r="234" spans="1:40" ht="15" x14ac:dyDescent="0.25">
      <c r="A234" s="9" t="s">
        <v>2013</v>
      </c>
      <c r="B234" s="9" t="s">
        <v>2014</v>
      </c>
      <c r="C234" s="9" t="s">
        <v>2015</v>
      </c>
      <c r="D234" s="9" t="s">
        <v>1948</v>
      </c>
      <c r="E234" s="9" t="s">
        <v>36</v>
      </c>
      <c r="F234" s="9" t="s">
        <v>169</v>
      </c>
      <c r="G234" s="9" t="s">
        <v>105</v>
      </c>
      <c r="H234" s="9" t="s">
        <v>106</v>
      </c>
      <c r="I234" s="9" t="s">
        <v>40</v>
      </c>
      <c r="J234" s="9">
        <v>4294</v>
      </c>
      <c r="K234" s="9" t="s">
        <v>2016</v>
      </c>
      <c r="L234" s="9" t="s">
        <v>42</v>
      </c>
      <c r="M234" s="10">
        <v>1.34375E-2</v>
      </c>
      <c r="N234" s="9" t="s">
        <v>43</v>
      </c>
      <c r="O234" s="9" t="s">
        <v>2017</v>
      </c>
      <c r="P234" s="9" t="s">
        <v>45</v>
      </c>
      <c r="Q234" s="10">
        <v>1.041666666666667E-2</v>
      </c>
      <c r="R234" s="9" t="s">
        <v>46</v>
      </c>
      <c r="S234" s="10">
        <v>0.33031250000000001</v>
      </c>
      <c r="T234" s="9">
        <v>57.81</v>
      </c>
      <c r="U234" s="9">
        <v>13.04</v>
      </c>
      <c r="V234" s="10">
        <v>0.18466435185185179</v>
      </c>
      <c r="W234" s="10">
        <v>0.1046643518518519</v>
      </c>
      <c r="X234" s="10">
        <v>0</v>
      </c>
      <c r="Y234" s="9">
        <v>0</v>
      </c>
      <c r="Z234" s="9">
        <v>0</v>
      </c>
      <c r="AA234" s="9">
        <v>0</v>
      </c>
      <c r="AB234" s="9">
        <v>0</v>
      </c>
      <c r="AC234" s="9">
        <v>0</v>
      </c>
      <c r="AD234" s="9">
        <v>0</v>
      </c>
      <c r="AE234" s="9" t="s">
        <v>47</v>
      </c>
      <c r="AF234" s="9" t="s">
        <v>2018</v>
      </c>
      <c r="AG234" s="9" t="s">
        <v>2019</v>
      </c>
      <c r="AH234" s="9">
        <v>6.2255799999999999</v>
      </c>
      <c r="AI234" s="9">
        <v>-75.599298000000005</v>
      </c>
      <c r="AJ234" s="9" t="s">
        <v>2020</v>
      </c>
      <c r="AK234" s="9">
        <v>6.258559</v>
      </c>
      <c r="AL234" s="9">
        <v>-75.616271999999995</v>
      </c>
      <c r="AM234" s="26">
        <f t="shared" si="3"/>
        <v>1.34375E-2</v>
      </c>
      <c r="AN234" s="9"/>
    </row>
    <row r="235" spans="1:40" ht="15" x14ac:dyDescent="0.25">
      <c r="A235" s="9" t="s">
        <v>1984</v>
      </c>
      <c r="B235" s="9" t="s">
        <v>1979</v>
      </c>
      <c r="C235" s="9" t="s">
        <v>1986</v>
      </c>
      <c r="D235" s="9" t="s">
        <v>1948</v>
      </c>
      <c r="E235" s="9" t="s">
        <v>36</v>
      </c>
      <c r="F235" s="9" t="s">
        <v>169</v>
      </c>
      <c r="G235" s="9" t="s">
        <v>72</v>
      </c>
      <c r="H235" s="9" t="s">
        <v>73</v>
      </c>
      <c r="I235" s="9" t="s">
        <v>40</v>
      </c>
      <c r="J235" s="9">
        <v>1382</v>
      </c>
      <c r="K235" s="9" t="s">
        <v>1987</v>
      </c>
      <c r="L235" s="9" t="s">
        <v>42</v>
      </c>
      <c r="M235" s="10">
        <v>1.4548611111111109E-2</v>
      </c>
      <c r="N235" s="9" t="s">
        <v>43</v>
      </c>
      <c r="O235" s="9" t="s">
        <v>1988</v>
      </c>
      <c r="P235" s="9" t="s">
        <v>45</v>
      </c>
      <c r="Q235" s="9"/>
      <c r="R235" s="9" t="s">
        <v>1983</v>
      </c>
      <c r="S235" s="10">
        <v>0.36158564814814809</v>
      </c>
      <c r="T235" s="9">
        <v>17.55</v>
      </c>
      <c r="U235" s="9">
        <v>7.15</v>
      </c>
      <c r="V235" s="10">
        <v>0.10223379629629629</v>
      </c>
      <c r="W235" s="10">
        <v>7.1469907407407413E-2</v>
      </c>
      <c r="X235" s="10">
        <v>0</v>
      </c>
      <c r="Y235" s="9">
        <v>0</v>
      </c>
      <c r="Z235" s="9">
        <v>0</v>
      </c>
      <c r="AA235" s="9">
        <v>0</v>
      </c>
      <c r="AB235" s="9">
        <v>0</v>
      </c>
      <c r="AC235" s="9">
        <v>0</v>
      </c>
      <c r="AD235" s="9">
        <v>0</v>
      </c>
      <c r="AE235" s="9" t="s">
        <v>1983</v>
      </c>
      <c r="AF235" s="9" t="s">
        <v>2021</v>
      </c>
      <c r="AG235" s="9" t="s">
        <v>2022</v>
      </c>
      <c r="AH235" s="9">
        <v>6.2257340000000001</v>
      </c>
      <c r="AI235" s="9">
        <v>-75.599446999999998</v>
      </c>
      <c r="AJ235" s="9" t="s">
        <v>2023</v>
      </c>
      <c r="AK235" s="9">
        <v>6.2358130000000003</v>
      </c>
      <c r="AL235" s="9">
        <v>-75.555079000000006</v>
      </c>
      <c r="AM235" s="26">
        <f t="shared" si="3"/>
        <v>1.4548611111111109E-2</v>
      </c>
      <c r="AN235" s="9"/>
    </row>
    <row r="236" spans="1:40" ht="15" x14ac:dyDescent="0.25">
      <c r="A236" s="9" t="s">
        <v>1978</v>
      </c>
      <c r="B236" s="9" t="s">
        <v>1985</v>
      </c>
      <c r="C236" s="9" t="s">
        <v>1980</v>
      </c>
      <c r="D236" s="9" t="s">
        <v>1948</v>
      </c>
      <c r="E236" s="9" t="s">
        <v>36</v>
      </c>
      <c r="F236" s="9" t="s">
        <v>169</v>
      </c>
      <c r="G236" s="9" t="s">
        <v>72</v>
      </c>
      <c r="H236" s="9" t="s">
        <v>73</v>
      </c>
      <c r="I236" s="9" t="s">
        <v>40</v>
      </c>
      <c r="J236" s="9">
        <v>336</v>
      </c>
      <c r="K236" s="9" t="s">
        <v>1981</v>
      </c>
      <c r="L236" s="9" t="s">
        <v>42</v>
      </c>
      <c r="N236" s="9" t="s">
        <v>1983</v>
      </c>
      <c r="O236" s="9" t="s">
        <v>1982</v>
      </c>
      <c r="P236" s="9" t="s">
        <v>45</v>
      </c>
      <c r="Q236" s="10">
        <v>4.2800925925925923E-2</v>
      </c>
      <c r="R236" s="9" t="s">
        <v>129</v>
      </c>
      <c r="S236" s="10">
        <v>0.36158564814814809</v>
      </c>
      <c r="T236" s="9">
        <v>3.5720000000000001</v>
      </c>
      <c r="U236" s="9">
        <v>3.31</v>
      </c>
      <c r="V236" s="10">
        <v>4.4965277777777778E-2</v>
      </c>
      <c r="W236" s="10">
        <v>3.7164351851851851E-2</v>
      </c>
      <c r="X236" s="10">
        <v>0</v>
      </c>
      <c r="Y236" s="9">
        <v>0</v>
      </c>
      <c r="Z236" s="9">
        <v>0</v>
      </c>
      <c r="AA236" s="9">
        <v>0</v>
      </c>
      <c r="AB236" s="9">
        <v>0</v>
      </c>
      <c r="AC236" s="9">
        <v>0</v>
      </c>
      <c r="AD236" s="9">
        <v>0</v>
      </c>
      <c r="AE236" s="9" t="s">
        <v>1983</v>
      </c>
      <c r="AF236" s="9" t="s">
        <v>2024</v>
      </c>
      <c r="AG236" s="9" t="s">
        <v>2025</v>
      </c>
      <c r="AH236" s="9">
        <v>6.236402</v>
      </c>
      <c r="AI236" s="9">
        <v>-75.560053999999994</v>
      </c>
      <c r="AJ236" s="9" t="s">
        <v>2026</v>
      </c>
      <c r="AK236" s="9">
        <v>6.2370260000000002</v>
      </c>
      <c r="AL236" s="9">
        <v>-75.558757</v>
      </c>
      <c r="AM236" s="26">
        <f t="shared" si="3"/>
        <v>0</v>
      </c>
      <c r="AN236" s="9"/>
    </row>
    <row r="237" spans="1:40" ht="15" x14ac:dyDescent="0.25">
      <c r="A237" s="9" t="s">
        <v>2027</v>
      </c>
      <c r="B237" s="9" t="s">
        <v>2028</v>
      </c>
      <c r="C237" s="9" t="s">
        <v>2029</v>
      </c>
      <c r="D237" s="9" t="s">
        <v>1948</v>
      </c>
      <c r="E237" s="9" t="s">
        <v>36</v>
      </c>
      <c r="F237" s="9" t="s">
        <v>169</v>
      </c>
      <c r="G237" s="9" t="s">
        <v>124</v>
      </c>
      <c r="H237" s="9" t="s">
        <v>125</v>
      </c>
      <c r="I237" s="9" t="s">
        <v>115</v>
      </c>
      <c r="J237" s="9">
        <v>5086</v>
      </c>
      <c r="K237" s="9" t="s">
        <v>2030</v>
      </c>
      <c r="L237" s="9" t="s">
        <v>117</v>
      </c>
      <c r="M237" s="10">
        <v>6.3888888888888893E-3</v>
      </c>
      <c r="N237" s="9" t="s">
        <v>65</v>
      </c>
      <c r="O237" s="9" t="s">
        <v>2031</v>
      </c>
      <c r="P237" s="9" t="s">
        <v>119</v>
      </c>
      <c r="Q237" s="10">
        <v>1.6273148148148151E-2</v>
      </c>
      <c r="R237" s="9" t="s">
        <v>129</v>
      </c>
      <c r="S237" s="10">
        <v>0.27266203703703712</v>
      </c>
      <c r="T237" s="9">
        <v>64.069000000000003</v>
      </c>
      <c r="U237" s="9">
        <v>13.78</v>
      </c>
      <c r="V237" s="10">
        <v>0.19375000000000001</v>
      </c>
      <c r="W237" s="10">
        <v>4.5520833333333337E-2</v>
      </c>
      <c r="X237" s="10">
        <v>0</v>
      </c>
      <c r="Y237" s="9">
        <v>0</v>
      </c>
      <c r="Z237" s="9">
        <v>0</v>
      </c>
      <c r="AA237" s="9">
        <v>0</v>
      </c>
      <c r="AB237" s="9">
        <v>0</v>
      </c>
      <c r="AC237" s="9">
        <v>0</v>
      </c>
      <c r="AD237" s="9">
        <v>0</v>
      </c>
      <c r="AE237" s="9" t="s">
        <v>130</v>
      </c>
      <c r="AF237" s="9" t="s">
        <v>2032</v>
      </c>
      <c r="AG237" s="9" t="s">
        <v>2033</v>
      </c>
      <c r="AH237" s="9">
        <v>6.2267890000000001</v>
      </c>
      <c r="AI237" s="9">
        <v>-75.599344000000002</v>
      </c>
      <c r="AJ237" s="9" t="s">
        <v>2034</v>
      </c>
      <c r="AK237" s="9">
        <v>6.2726839999999999</v>
      </c>
      <c r="AL237" s="9">
        <v>-75.602047999999996</v>
      </c>
      <c r="AM237" s="26">
        <f t="shared" si="3"/>
        <v>0</v>
      </c>
      <c r="AN237" s="9"/>
    </row>
    <row r="238" spans="1:40" ht="15" x14ac:dyDescent="0.25">
      <c r="A238" s="9" t="s">
        <v>2035</v>
      </c>
      <c r="B238" s="9" t="s">
        <v>2036</v>
      </c>
      <c r="C238" s="9" t="s">
        <v>2037</v>
      </c>
      <c r="D238" s="9" t="s">
        <v>1948</v>
      </c>
      <c r="E238" s="9" t="s">
        <v>36</v>
      </c>
      <c r="F238" s="9" t="s">
        <v>169</v>
      </c>
      <c r="G238" s="9" t="s">
        <v>135</v>
      </c>
      <c r="H238" s="9" t="s">
        <v>136</v>
      </c>
      <c r="I238" s="9" t="s">
        <v>115</v>
      </c>
      <c r="J238" s="9">
        <v>2052</v>
      </c>
      <c r="K238" s="9" t="s">
        <v>2038</v>
      </c>
      <c r="L238" s="9" t="s">
        <v>117</v>
      </c>
      <c r="M238" s="10">
        <v>1.712962962962963E-2</v>
      </c>
      <c r="N238" s="9" t="s">
        <v>127</v>
      </c>
      <c r="O238" s="9" t="s">
        <v>2039</v>
      </c>
      <c r="P238" s="9" t="s">
        <v>119</v>
      </c>
      <c r="Q238" s="10">
        <v>1.5277777777777781E-3</v>
      </c>
      <c r="R238" s="9" t="s">
        <v>46</v>
      </c>
      <c r="S238" s="10">
        <v>0.26560185185185192</v>
      </c>
      <c r="T238" s="9">
        <v>35.808999999999997</v>
      </c>
      <c r="U238" s="9">
        <v>14.06</v>
      </c>
      <c r="V238" s="10">
        <v>0.1061458333333333</v>
      </c>
      <c r="W238" s="10">
        <v>6.5925925925925929E-2</v>
      </c>
      <c r="X238" s="10">
        <v>0</v>
      </c>
      <c r="Y238" s="9">
        <v>0</v>
      </c>
      <c r="Z238" s="9">
        <v>0</v>
      </c>
      <c r="AA238" s="9">
        <v>0</v>
      </c>
      <c r="AB238" s="9">
        <v>0</v>
      </c>
      <c r="AC238" s="9">
        <v>0</v>
      </c>
      <c r="AD238" s="9">
        <v>6</v>
      </c>
      <c r="AE238" s="9" t="s">
        <v>139</v>
      </c>
      <c r="AF238" s="9" t="s">
        <v>2040</v>
      </c>
      <c r="AG238" s="9" t="s">
        <v>2041</v>
      </c>
      <c r="AH238" s="9">
        <v>6.2139949999999997</v>
      </c>
      <c r="AI238" s="9">
        <v>-75.596642000000003</v>
      </c>
      <c r="AJ238" s="9" t="s">
        <v>2042</v>
      </c>
      <c r="AK238" s="9">
        <v>6.2709320000000002</v>
      </c>
      <c r="AL238" s="9">
        <v>-75.554243</v>
      </c>
      <c r="AM238" s="26">
        <f t="shared" si="3"/>
        <v>0</v>
      </c>
      <c r="AN238" s="9"/>
    </row>
    <row r="239" spans="1:40" ht="15" x14ac:dyDescent="0.25">
      <c r="A239" s="9" t="s">
        <v>2043</v>
      </c>
      <c r="B239" s="9" t="s">
        <v>2044</v>
      </c>
      <c r="C239" s="9" t="s">
        <v>2045</v>
      </c>
      <c r="D239" s="9" t="s">
        <v>1948</v>
      </c>
      <c r="E239" s="9" t="s">
        <v>36</v>
      </c>
      <c r="F239" s="9" t="s">
        <v>169</v>
      </c>
      <c r="G239" s="9" t="s">
        <v>152</v>
      </c>
      <c r="H239" s="9" t="s">
        <v>153</v>
      </c>
      <c r="I239" s="9" t="s">
        <v>115</v>
      </c>
      <c r="J239" s="9">
        <v>3372</v>
      </c>
      <c r="K239" s="9" t="s">
        <v>2046</v>
      </c>
      <c r="L239" s="9" t="s">
        <v>117</v>
      </c>
      <c r="M239" s="10">
        <v>2.0358796296296292E-2</v>
      </c>
      <c r="N239" s="9" t="s">
        <v>127</v>
      </c>
      <c r="O239" s="9" t="s">
        <v>2047</v>
      </c>
      <c r="P239" s="9" t="s">
        <v>119</v>
      </c>
      <c r="Q239" s="10">
        <v>9.6481481481481488E-2</v>
      </c>
      <c r="R239" s="9" t="s">
        <v>56</v>
      </c>
      <c r="S239" s="10">
        <v>0.1738773148148148</v>
      </c>
      <c r="T239" s="9">
        <v>46.061</v>
      </c>
      <c r="U239" s="9">
        <v>13.42</v>
      </c>
      <c r="V239" s="10">
        <v>0.14305555555555549</v>
      </c>
      <c r="W239" s="10">
        <v>7.694444444444444E-2</v>
      </c>
      <c r="X239" s="10">
        <v>0</v>
      </c>
      <c r="Y239" s="9">
        <v>0</v>
      </c>
      <c r="Z239" s="9">
        <v>0</v>
      </c>
      <c r="AA239" s="9">
        <v>0</v>
      </c>
      <c r="AB239" s="9">
        <v>0</v>
      </c>
      <c r="AC239" s="9">
        <v>0</v>
      </c>
      <c r="AD239" s="9">
        <v>0</v>
      </c>
      <c r="AE239" s="9" t="s">
        <v>139</v>
      </c>
      <c r="AF239" s="9" t="s">
        <v>2048</v>
      </c>
      <c r="AG239" s="9" t="s">
        <v>2049</v>
      </c>
      <c r="AH239" s="9">
        <v>6.2269769999999998</v>
      </c>
      <c r="AI239" s="9">
        <v>-75.599621999999997</v>
      </c>
      <c r="AJ239" s="9" t="s">
        <v>2050</v>
      </c>
      <c r="AK239" s="9">
        <v>6.2518320000000003</v>
      </c>
      <c r="AL239" s="9">
        <v>-75.551834999999997</v>
      </c>
      <c r="AM239" s="26">
        <f t="shared" si="3"/>
        <v>9.6481481481481488E-2</v>
      </c>
      <c r="AN239" s="9"/>
    </row>
    <row r="240" spans="1:40" ht="15" x14ac:dyDescent="0.25">
      <c r="A240" s="9" t="s">
        <v>2051</v>
      </c>
      <c r="B240" s="9" t="s">
        <v>2052</v>
      </c>
      <c r="C240" s="9" t="s">
        <v>2053</v>
      </c>
      <c r="D240" s="9" t="s">
        <v>1948</v>
      </c>
      <c r="E240" s="9" t="s">
        <v>36</v>
      </c>
      <c r="F240" s="9" t="s">
        <v>169</v>
      </c>
      <c r="G240" s="9" t="s">
        <v>160</v>
      </c>
      <c r="H240" s="9" t="s">
        <v>161</v>
      </c>
      <c r="I240" s="9" t="s">
        <v>115</v>
      </c>
      <c r="J240" s="9">
        <v>7287</v>
      </c>
      <c r="K240" s="9" t="s">
        <v>2054</v>
      </c>
      <c r="L240" s="9" t="s">
        <v>117</v>
      </c>
      <c r="M240" s="10">
        <v>1.295013888888889E-2</v>
      </c>
      <c r="N240" s="9" t="s">
        <v>127</v>
      </c>
      <c r="O240" s="9" t="s">
        <v>2055</v>
      </c>
      <c r="P240" s="9" t="s">
        <v>119</v>
      </c>
      <c r="Q240" s="10">
        <v>5.4758101851851851E-3</v>
      </c>
      <c r="R240" s="9" t="s">
        <v>46</v>
      </c>
      <c r="S240" s="10">
        <v>0.26842594907407408</v>
      </c>
      <c r="T240" s="9">
        <v>45.036999999999999</v>
      </c>
      <c r="U240" s="9">
        <v>10.41</v>
      </c>
      <c r="V240" s="10">
        <v>0.18027780092592591</v>
      </c>
      <c r="W240" s="10">
        <v>0.1340850810185184</v>
      </c>
      <c r="X240" s="10">
        <v>0</v>
      </c>
      <c r="Y240" s="9">
        <v>0</v>
      </c>
      <c r="Z240" s="9">
        <v>0</v>
      </c>
      <c r="AA240" s="9">
        <v>0</v>
      </c>
      <c r="AB240" s="9">
        <v>0</v>
      </c>
      <c r="AC240" s="9">
        <v>0</v>
      </c>
      <c r="AD240" s="9">
        <v>2</v>
      </c>
      <c r="AE240" s="9" t="s">
        <v>139</v>
      </c>
      <c r="AF240" s="9" t="s">
        <v>2056</v>
      </c>
      <c r="AG240" s="9" t="s">
        <v>2057</v>
      </c>
      <c r="AH240" s="9">
        <v>6.2267679999999999</v>
      </c>
      <c r="AI240" s="9">
        <v>-75.599311999999998</v>
      </c>
      <c r="AJ240" s="9" t="s">
        <v>2058</v>
      </c>
      <c r="AK240" s="9">
        <v>6.2685969999999998</v>
      </c>
      <c r="AL240" s="9">
        <v>-75.599288000000001</v>
      </c>
      <c r="AM240" s="26">
        <f t="shared" si="3"/>
        <v>0</v>
      </c>
      <c r="AN240" s="9"/>
    </row>
    <row r="241" spans="1:40" ht="15" x14ac:dyDescent="0.25">
      <c r="A241" s="32" t="s">
        <v>2059</v>
      </c>
      <c r="B241" s="32" t="s">
        <v>2060</v>
      </c>
      <c r="C241" s="32" t="s">
        <v>2061</v>
      </c>
      <c r="D241" s="32" t="s">
        <v>2062</v>
      </c>
      <c r="E241" s="32" t="s">
        <v>36</v>
      </c>
      <c r="F241" s="32" t="s">
        <v>315</v>
      </c>
      <c r="G241" s="32" t="s">
        <v>38</v>
      </c>
      <c r="H241" s="32" t="s">
        <v>39</v>
      </c>
      <c r="I241" s="32" t="s">
        <v>40</v>
      </c>
      <c r="J241" s="32">
        <v>3430</v>
      </c>
      <c r="K241" s="32" t="s">
        <v>2063</v>
      </c>
      <c r="L241" s="32" t="s">
        <v>42</v>
      </c>
      <c r="M241" s="33">
        <v>2.8965428240740741E-2</v>
      </c>
      <c r="N241" s="32" t="s">
        <v>43</v>
      </c>
      <c r="O241" s="32" t="s">
        <v>2064</v>
      </c>
      <c r="P241" s="32" t="s">
        <v>45</v>
      </c>
      <c r="Q241" s="33">
        <v>3.7219456018518518E-2</v>
      </c>
      <c r="R241" s="32" t="s">
        <v>56</v>
      </c>
      <c r="S241" s="33">
        <v>0.26714844907407409</v>
      </c>
      <c r="T241" s="32">
        <v>19.553999999999998</v>
      </c>
      <c r="U241" s="32">
        <v>18.96</v>
      </c>
      <c r="V241" s="33">
        <v>4.2980486111111098E-2</v>
      </c>
      <c r="W241" s="33">
        <v>2.4208506944444451E-2</v>
      </c>
      <c r="X241" s="33">
        <v>0</v>
      </c>
      <c r="Y241" s="32">
        <v>0</v>
      </c>
      <c r="Z241" s="32">
        <v>0</v>
      </c>
      <c r="AA241" s="32">
        <v>0</v>
      </c>
      <c r="AB241" s="32">
        <v>0</v>
      </c>
      <c r="AC241" s="32">
        <v>0</v>
      </c>
      <c r="AD241" s="32">
        <v>4</v>
      </c>
      <c r="AE241" s="32" t="s">
        <v>57</v>
      </c>
      <c r="AF241" s="32" t="s">
        <v>2065</v>
      </c>
      <c r="AG241" s="32" t="s">
        <v>2066</v>
      </c>
      <c r="AH241" s="32">
        <v>6.2161540000000004</v>
      </c>
      <c r="AI241" s="32">
        <v>-75.597554000000002</v>
      </c>
      <c r="AJ241" s="32" t="s">
        <v>2067</v>
      </c>
      <c r="AK241" s="32">
        <v>6.2220230000000001</v>
      </c>
      <c r="AL241" s="32">
        <v>-75.593338000000003</v>
      </c>
      <c r="AM241" s="26">
        <f t="shared" si="3"/>
        <v>6.6184884259259252E-2</v>
      </c>
      <c r="AN241" s="9"/>
    </row>
    <row r="242" spans="1:40" ht="15" x14ac:dyDescent="0.25">
      <c r="A242" s="32" t="s">
        <v>2068</v>
      </c>
      <c r="B242" s="32" t="s">
        <v>2069</v>
      </c>
      <c r="C242" s="32" t="s">
        <v>2070</v>
      </c>
      <c r="D242" s="32" t="s">
        <v>2062</v>
      </c>
      <c r="E242" s="32" t="s">
        <v>36</v>
      </c>
      <c r="F242" s="32" t="s">
        <v>315</v>
      </c>
      <c r="G242" s="32" t="s">
        <v>52</v>
      </c>
      <c r="H242" s="32" t="s">
        <v>53</v>
      </c>
      <c r="I242" s="32" t="s">
        <v>40</v>
      </c>
      <c r="J242" s="32">
        <v>1795</v>
      </c>
      <c r="K242" s="32" t="s">
        <v>2071</v>
      </c>
      <c r="L242" s="32" t="s">
        <v>42</v>
      </c>
      <c r="M242" s="33">
        <v>1.087962962962963E-2</v>
      </c>
      <c r="N242" s="32" t="s">
        <v>127</v>
      </c>
      <c r="O242" s="32" t="s">
        <v>2072</v>
      </c>
      <c r="P242" s="32" t="s">
        <v>45</v>
      </c>
      <c r="Q242" s="33">
        <v>1.423611111111111E-3</v>
      </c>
      <c r="R242" s="32" t="s">
        <v>46</v>
      </c>
      <c r="S242" s="33">
        <v>0.34563657407407411</v>
      </c>
      <c r="T242" s="32">
        <v>29.731000000000002</v>
      </c>
      <c r="U242" s="32">
        <v>4.18</v>
      </c>
      <c r="V242" s="33">
        <v>0.29662037037037042</v>
      </c>
      <c r="W242" s="33">
        <v>0.2630439814814815</v>
      </c>
      <c r="X242" s="33">
        <v>0</v>
      </c>
      <c r="Y242" s="32">
        <v>0</v>
      </c>
      <c r="Z242" s="32">
        <v>0</v>
      </c>
      <c r="AA242" s="32">
        <v>0</v>
      </c>
      <c r="AB242" s="32">
        <v>0</v>
      </c>
      <c r="AC242" s="32">
        <v>0</v>
      </c>
      <c r="AD242" s="32">
        <v>4</v>
      </c>
      <c r="AE242" s="32" t="s">
        <v>139</v>
      </c>
      <c r="AF242" s="32" t="s">
        <v>2073</v>
      </c>
      <c r="AG242" s="32" t="s">
        <v>2074</v>
      </c>
      <c r="AH242" s="32">
        <v>6.2257819999999997</v>
      </c>
      <c r="AI242" s="32">
        <v>-75.599367999999998</v>
      </c>
      <c r="AJ242" s="32" t="s">
        <v>2075</v>
      </c>
      <c r="AK242" s="32">
        <v>6.247414</v>
      </c>
      <c r="AL242" s="32">
        <v>-75.615004999999996</v>
      </c>
      <c r="AM242" s="26">
        <f t="shared" si="3"/>
        <v>0</v>
      </c>
      <c r="AN242" s="9"/>
    </row>
    <row r="243" spans="1:40" ht="15" x14ac:dyDescent="0.25">
      <c r="A243" s="32" t="s">
        <v>2076</v>
      </c>
      <c r="B243" s="32" t="s">
        <v>2077</v>
      </c>
      <c r="C243" s="32" t="s">
        <v>2078</v>
      </c>
      <c r="D243" s="32" t="s">
        <v>2062</v>
      </c>
      <c r="E243" s="32" t="s">
        <v>36</v>
      </c>
      <c r="F243" s="32" t="s">
        <v>315</v>
      </c>
      <c r="G243" s="32" t="s">
        <v>113</v>
      </c>
      <c r="H243" s="32" t="s">
        <v>114</v>
      </c>
      <c r="I243" s="32" t="s">
        <v>40</v>
      </c>
      <c r="J243" s="32">
        <v>2721</v>
      </c>
      <c r="K243" s="32" t="s">
        <v>2079</v>
      </c>
      <c r="L243" s="32" t="s">
        <v>42</v>
      </c>
      <c r="M243" s="33">
        <v>1.8749999999999999E-3</v>
      </c>
      <c r="N243" s="32" t="s">
        <v>65</v>
      </c>
      <c r="O243" s="32" t="s">
        <v>2080</v>
      </c>
      <c r="P243" s="32" t="s">
        <v>45</v>
      </c>
      <c r="Q243" s="33">
        <v>2.690972222222222E-2</v>
      </c>
      <c r="R243" s="32" t="s">
        <v>56</v>
      </c>
      <c r="S243" s="33">
        <v>0.30829861111111112</v>
      </c>
      <c r="T243" s="32">
        <v>35.728999999999999</v>
      </c>
      <c r="U243" s="32">
        <v>5.9</v>
      </c>
      <c r="V243" s="33">
        <v>0.2522800925925926</v>
      </c>
      <c r="W243" s="33">
        <v>0.1942939814814815</v>
      </c>
      <c r="X243" s="33">
        <v>0</v>
      </c>
      <c r="Y243" s="32">
        <v>0</v>
      </c>
      <c r="Z243" s="32">
        <v>0</v>
      </c>
      <c r="AA243" s="32">
        <v>0</v>
      </c>
      <c r="AB243" s="32">
        <v>0</v>
      </c>
      <c r="AC243" s="32">
        <v>0</v>
      </c>
      <c r="AD243" s="32">
        <v>2</v>
      </c>
      <c r="AE243" s="32" t="s">
        <v>67</v>
      </c>
      <c r="AF243" s="32" t="s">
        <v>2081</v>
      </c>
      <c r="AG243" s="32" t="s">
        <v>2082</v>
      </c>
      <c r="AH243" s="32">
        <v>6.238194</v>
      </c>
      <c r="AI243" s="32">
        <v>-75.603009999999998</v>
      </c>
      <c r="AJ243" s="32" t="s">
        <v>2083</v>
      </c>
      <c r="AK243" s="32">
        <v>6.2481739999999997</v>
      </c>
      <c r="AL243" s="32">
        <v>-75.605001999999999</v>
      </c>
      <c r="AM243" s="26">
        <f t="shared" si="3"/>
        <v>2.690972222222222E-2</v>
      </c>
      <c r="AN243" s="9"/>
    </row>
    <row r="244" spans="1:40" ht="15" x14ac:dyDescent="0.25">
      <c r="A244" s="32" t="s">
        <v>2084</v>
      </c>
      <c r="B244" s="32" t="s">
        <v>2085</v>
      </c>
      <c r="C244" s="32" t="s">
        <v>2086</v>
      </c>
      <c r="D244" s="32" t="s">
        <v>2062</v>
      </c>
      <c r="E244" s="32" t="s">
        <v>36</v>
      </c>
      <c r="F244" s="32" t="s">
        <v>315</v>
      </c>
      <c r="G244" s="32" t="s">
        <v>62</v>
      </c>
      <c r="H244" s="32" t="s">
        <v>63</v>
      </c>
      <c r="I244" s="32" t="s">
        <v>40</v>
      </c>
      <c r="J244" s="32">
        <v>2783</v>
      </c>
      <c r="K244" s="32" t="s">
        <v>2087</v>
      </c>
      <c r="L244" s="32" t="s">
        <v>42</v>
      </c>
      <c r="M244" s="33">
        <v>3.2523148148148148E-2</v>
      </c>
      <c r="N244" s="32" t="s">
        <v>43</v>
      </c>
      <c r="O244" s="32" t="s">
        <v>2088</v>
      </c>
      <c r="P244" s="32" t="s">
        <v>45</v>
      </c>
      <c r="Q244" s="33">
        <v>0.12174768518518519</v>
      </c>
      <c r="R244" s="32" t="s">
        <v>56</v>
      </c>
      <c r="S244" s="33">
        <v>0.17906250000000001</v>
      </c>
      <c r="T244" s="32">
        <v>36.811</v>
      </c>
      <c r="U244" s="32">
        <v>11.08</v>
      </c>
      <c r="V244" s="33">
        <v>0.13844907407407411</v>
      </c>
      <c r="W244" s="33">
        <v>7.7569444444444441E-2</v>
      </c>
      <c r="X244" s="33">
        <v>0</v>
      </c>
      <c r="Y244" s="32">
        <v>0</v>
      </c>
      <c r="Z244" s="32">
        <v>0</v>
      </c>
      <c r="AA244" s="32">
        <v>0</v>
      </c>
      <c r="AB244" s="32">
        <v>0</v>
      </c>
      <c r="AC244" s="32">
        <v>0</v>
      </c>
      <c r="AD244" s="32">
        <v>1</v>
      </c>
      <c r="AE244" s="32" t="s">
        <v>57</v>
      </c>
      <c r="AF244" s="32" t="s">
        <v>2089</v>
      </c>
      <c r="AG244" s="32" t="s">
        <v>2090</v>
      </c>
      <c r="AH244" s="32">
        <v>6.2256629999999999</v>
      </c>
      <c r="AI244" s="32">
        <v>-75.599553</v>
      </c>
      <c r="AJ244" s="32" t="s">
        <v>2091</v>
      </c>
      <c r="AK244" s="32">
        <v>6.2614349999999996</v>
      </c>
      <c r="AL244" s="32">
        <v>-75.603897000000003</v>
      </c>
      <c r="AM244" s="26">
        <f t="shared" si="3"/>
        <v>0.15427083333333336</v>
      </c>
      <c r="AN244" s="9"/>
    </row>
    <row r="245" spans="1:40" ht="15" x14ac:dyDescent="0.25">
      <c r="A245" s="32" t="s">
        <v>2092</v>
      </c>
      <c r="B245" s="32" t="s">
        <v>2093</v>
      </c>
      <c r="C245" s="32" t="s">
        <v>2094</v>
      </c>
      <c r="D245" s="32" t="s">
        <v>2062</v>
      </c>
      <c r="E245" s="32" t="s">
        <v>36</v>
      </c>
      <c r="F245" s="32" t="s">
        <v>315</v>
      </c>
      <c r="G245" s="32" t="s">
        <v>72</v>
      </c>
      <c r="H245" s="32" t="s">
        <v>73</v>
      </c>
      <c r="I245" s="32" t="s">
        <v>40</v>
      </c>
      <c r="J245" s="32">
        <v>1079</v>
      </c>
      <c r="K245" s="32" t="s">
        <v>2095</v>
      </c>
      <c r="L245" s="32" t="s">
        <v>42</v>
      </c>
      <c r="M245" s="33">
        <v>1.556712962962963E-2</v>
      </c>
      <c r="N245" s="32" t="s">
        <v>43</v>
      </c>
      <c r="O245" s="32" t="s">
        <v>2096</v>
      </c>
      <c r="P245" s="32" t="s">
        <v>45</v>
      </c>
      <c r="Q245" s="33">
        <v>0.1615509259259259</v>
      </c>
      <c r="R245" s="32" t="s">
        <v>56</v>
      </c>
      <c r="S245" s="33">
        <v>0.1562152777777778</v>
      </c>
      <c r="T245" s="32">
        <v>14.132</v>
      </c>
      <c r="U245" s="32">
        <v>5.49</v>
      </c>
      <c r="V245" s="33">
        <v>0.1071990740740741</v>
      </c>
      <c r="W245" s="33">
        <v>8.802083333333334E-2</v>
      </c>
      <c r="X245" s="33">
        <v>0</v>
      </c>
      <c r="Y245" s="32">
        <v>0</v>
      </c>
      <c r="Z245" s="32">
        <v>0</v>
      </c>
      <c r="AA245" s="32">
        <v>0</v>
      </c>
      <c r="AB245" s="32">
        <v>0</v>
      </c>
      <c r="AC245" s="32">
        <v>0</v>
      </c>
      <c r="AD245" s="32">
        <v>0</v>
      </c>
      <c r="AE245" s="32" t="s">
        <v>57</v>
      </c>
      <c r="AF245" s="32" t="s">
        <v>2097</v>
      </c>
      <c r="AG245" s="32" t="s">
        <v>2098</v>
      </c>
      <c r="AH245" s="32">
        <v>6.2255140000000004</v>
      </c>
      <c r="AI245" s="32">
        <v>-75.599446999999998</v>
      </c>
      <c r="AJ245" s="32" t="s">
        <v>2099</v>
      </c>
      <c r="AK245" s="32">
        <v>6.2369919999999999</v>
      </c>
      <c r="AL245" s="32">
        <v>-75.558876999999995</v>
      </c>
      <c r="AM245" s="26">
        <f t="shared" si="3"/>
        <v>0.17711805555555554</v>
      </c>
      <c r="AN245" s="9"/>
    </row>
    <row r="246" spans="1:40" ht="15" x14ac:dyDescent="0.25">
      <c r="A246" s="32" t="s">
        <v>2100</v>
      </c>
      <c r="B246" s="32" t="s">
        <v>2101</v>
      </c>
      <c r="C246" s="32" t="s">
        <v>2102</v>
      </c>
      <c r="D246" s="32" t="s">
        <v>2062</v>
      </c>
      <c r="E246" s="32" t="s">
        <v>36</v>
      </c>
      <c r="F246" s="32" t="s">
        <v>315</v>
      </c>
      <c r="G246" s="32" t="s">
        <v>80</v>
      </c>
      <c r="H246" s="32" t="s">
        <v>81</v>
      </c>
      <c r="I246" s="32" t="s">
        <v>40</v>
      </c>
      <c r="J246" s="32">
        <v>4391</v>
      </c>
      <c r="K246" s="32" t="s">
        <v>2103</v>
      </c>
      <c r="L246" s="32" t="s">
        <v>42</v>
      </c>
      <c r="M246" s="33">
        <v>1.6657268518518519E-2</v>
      </c>
      <c r="N246" s="32" t="s">
        <v>43</v>
      </c>
      <c r="O246" s="32" t="s">
        <v>2104</v>
      </c>
      <c r="P246" s="32" t="s">
        <v>45</v>
      </c>
      <c r="Q246" s="33">
        <v>3.900231481481482E-3</v>
      </c>
      <c r="R246" s="32" t="s">
        <v>46</v>
      </c>
      <c r="S246" s="33">
        <v>0.31277583333333331</v>
      </c>
      <c r="T246" s="32">
        <v>28.091000000000001</v>
      </c>
      <c r="U246" s="32">
        <v>8.52</v>
      </c>
      <c r="V246" s="33">
        <v>0.13743112268518529</v>
      </c>
      <c r="W246" s="33">
        <v>0.1038293287037037</v>
      </c>
      <c r="X246" s="33">
        <v>0</v>
      </c>
      <c r="Y246" s="32">
        <v>0</v>
      </c>
      <c r="Z246" s="32">
        <v>0</v>
      </c>
      <c r="AA246" s="32">
        <v>0</v>
      </c>
      <c r="AB246" s="32">
        <v>0</v>
      </c>
      <c r="AC246" s="32">
        <v>0</v>
      </c>
      <c r="AD246" s="32">
        <v>14</v>
      </c>
      <c r="AE246" s="32" t="s">
        <v>47</v>
      </c>
      <c r="AF246" s="32" t="s">
        <v>2105</v>
      </c>
      <c r="AG246" s="32" t="s">
        <v>2106</v>
      </c>
      <c r="AH246" s="32">
        <v>6.2256130000000001</v>
      </c>
      <c r="AI246" s="32">
        <v>-75.599412000000001</v>
      </c>
      <c r="AJ246" s="32" t="s">
        <v>2107</v>
      </c>
      <c r="AK246" s="32">
        <v>6.2464389999999996</v>
      </c>
      <c r="AL246" s="32">
        <v>-75.552708999999993</v>
      </c>
      <c r="AM246" s="26">
        <f t="shared" si="3"/>
        <v>1.6657268518518519E-2</v>
      </c>
      <c r="AN246" s="9"/>
    </row>
    <row r="247" spans="1:40" ht="15" x14ac:dyDescent="0.25">
      <c r="A247" s="32" t="s">
        <v>2108</v>
      </c>
      <c r="B247" s="32" t="s">
        <v>2109</v>
      </c>
      <c r="C247" s="32" t="s">
        <v>2110</v>
      </c>
      <c r="D247" s="32" t="s">
        <v>2062</v>
      </c>
      <c r="E247" s="32" t="s">
        <v>36</v>
      </c>
      <c r="F247" s="32" t="s">
        <v>315</v>
      </c>
      <c r="G247" s="32" t="s">
        <v>89</v>
      </c>
      <c r="H247" s="32" t="s">
        <v>90</v>
      </c>
      <c r="I247" s="32" t="s">
        <v>40</v>
      </c>
      <c r="J247" s="32">
        <v>4312</v>
      </c>
      <c r="K247" s="32" t="s">
        <v>2111</v>
      </c>
      <c r="L247" s="32" t="s">
        <v>42</v>
      </c>
      <c r="M247" s="33">
        <v>2.604166666666667E-3</v>
      </c>
      <c r="N247" s="32" t="s">
        <v>65</v>
      </c>
      <c r="O247" s="32" t="s">
        <v>2112</v>
      </c>
      <c r="P247" s="32" t="s">
        <v>45</v>
      </c>
      <c r="Q247" s="33">
        <v>7.4768518518518517E-3</v>
      </c>
      <c r="R247" s="32" t="s">
        <v>46</v>
      </c>
      <c r="S247" s="33">
        <v>0.3382060185185185</v>
      </c>
      <c r="T247" s="32">
        <v>53.088999999999999</v>
      </c>
      <c r="U247" s="32">
        <v>9</v>
      </c>
      <c r="V247" s="33">
        <v>0.24577546296296299</v>
      </c>
      <c r="W247" s="33">
        <v>0.1365625</v>
      </c>
      <c r="X247" s="33">
        <v>0</v>
      </c>
      <c r="Y247" s="32">
        <v>0</v>
      </c>
      <c r="Z247" s="32">
        <v>0</v>
      </c>
      <c r="AA247" s="32">
        <v>0</v>
      </c>
      <c r="AB247" s="32">
        <v>0</v>
      </c>
      <c r="AC247" s="32">
        <v>0</v>
      </c>
      <c r="AD247" s="32">
        <v>1</v>
      </c>
      <c r="AE247" s="32" t="s">
        <v>84</v>
      </c>
      <c r="AF247" s="32" t="s">
        <v>324</v>
      </c>
      <c r="AG247" s="32" t="s">
        <v>2113</v>
      </c>
      <c r="AH247" s="32">
        <v>6.2266630000000003</v>
      </c>
      <c r="AI247" s="32">
        <v>-75.599202000000005</v>
      </c>
      <c r="AJ247" s="32" t="s">
        <v>2114</v>
      </c>
      <c r="AK247" s="32">
        <v>6.2791309999999996</v>
      </c>
      <c r="AL247" s="32">
        <v>-75.569136999999998</v>
      </c>
      <c r="AM247" s="26">
        <f t="shared" si="3"/>
        <v>0</v>
      </c>
      <c r="AN247" s="9"/>
    </row>
    <row r="248" spans="1:40" ht="15" x14ac:dyDescent="0.25">
      <c r="A248" s="32" t="s">
        <v>2115</v>
      </c>
      <c r="B248" s="32" t="s">
        <v>2116</v>
      </c>
      <c r="C248" s="32" t="s">
        <v>2117</v>
      </c>
      <c r="D248" s="32" t="s">
        <v>2062</v>
      </c>
      <c r="E248" s="32" t="s">
        <v>36</v>
      </c>
      <c r="F248" s="32" t="s">
        <v>315</v>
      </c>
      <c r="G248" s="32" t="s">
        <v>97</v>
      </c>
      <c r="H248" s="32" t="s">
        <v>98</v>
      </c>
      <c r="I248" s="32" t="s">
        <v>40</v>
      </c>
      <c r="J248" s="32">
        <v>3465</v>
      </c>
      <c r="K248" s="32" t="s">
        <v>2118</v>
      </c>
      <c r="L248" s="32" t="s">
        <v>42</v>
      </c>
      <c r="M248" s="33">
        <v>1.6631944444444449E-2</v>
      </c>
      <c r="N248" s="32" t="s">
        <v>43</v>
      </c>
      <c r="O248" s="32" t="s">
        <v>2119</v>
      </c>
      <c r="P248" s="32" t="s">
        <v>45</v>
      </c>
      <c r="Q248" s="33">
        <v>2.6238425925925929E-2</v>
      </c>
      <c r="R248" s="32" t="s">
        <v>56</v>
      </c>
      <c r="S248" s="33">
        <v>0.29046296296296298</v>
      </c>
      <c r="T248" s="32">
        <v>45.395000000000003</v>
      </c>
      <c r="U248" s="32">
        <v>10.93</v>
      </c>
      <c r="V248" s="33">
        <v>0.17298611111111109</v>
      </c>
      <c r="W248" s="33">
        <v>0.1090856481481482</v>
      </c>
      <c r="X248" s="33">
        <v>0</v>
      </c>
      <c r="Y248" s="32">
        <v>0</v>
      </c>
      <c r="Z248" s="32">
        <v>0</v>
      </c>
      <c r="AA248" s="32">
        <v>0</v>
      </c>
      <c r="AB248" s="32">
        <v>0</v>
      </c>
      <c r="AC248" s="32">
        <v>0</v>
      </c>
      <c r="AD248" s="32">
        <v>1</v>
      </c>
      <c r="AE248" s="32" t="s">
        <v>57</v>
      </c>
      <c r="AF248" s="32" t="s">
        <v>2120</v>
      </c>
      <c r="AG248" s="32" t="s">
        <v>2121</v>
      </c>
      <c r="AH248" s="32">
        <v>6.2255609999999999</v>
      </c>
      <c r="AI248" s="32">
        <v>-75.599341999999993</v>
      </c>
      <c r="AJ248" s="32" t="s">
        <v>2122</v>
      </c>
      <c r="AK248" s="32">
        <v>6.3114299999999997</v>
      </c>
      <c r="AL248" s="32">
        <v>-75.558457000000004</v>
      </c>
      <c r="AM248" s="26">
        <f t="shared" si="3"/>
        <v>4.2870370370370378E-2</v>
      </c>
      <c r="AN248" s="9"/>
    </row>
    <row r="249" spans="1:40" ht="15" x14ac:dyDescent="0.25">
      <c r="A249" s="32" t="s">
        <v>2123</v>
      </c>
      <c r="B249" s="32" t="s">
        <v>2124</v>
      </c>
      <c r="C249" s="32" t="s">
        <v>2125</v>
      </c>
      <c r="D249" s="32" t="s">
        <v>2062</v>
      </c>
      <c r="E249" s="32" t="s">
        <v>36</v>
      </c>
      <c r="F249" s="32" t="s">
        <v>315</v>
      </c>
      <c r="G249" s="32" t="s">
        <v>105</v>
      </c>
      <c r="H249" s="32" t="s">
        <v>106</v>
      </c>
      <c r="I249" s="32" t="s">
        <v>40</v>
      </c>
      <c r="J249" s="32">
        <v>679</v>
      </c>
      <c r="K249" s="32" t="s">
        <v>2126</v>
      </c>
      <c r="L249" s="32" t="s">
        <v>42</v>
      </c>
      <c r="M249" s="33">
        <v>4.7453703703703698E-4</v>
      </c>
      <c r="N249" s="32" t="s">
        <v>65</v>
      </c>
      <c r="O249" s="32" t="s">
        <v>2127</v>
      </c>
      <c r="P249" s="32" t="s">
        <v>45</v>
      </c>
      <c r="Q249" s="33">
        <v>3.9351851851851848E-3</v>
      </c>
      <c r="R249" s="32" t="s">
        <v>46</v>
      </c>
      <c r="S249" s="33">
        <v>0.33774305555555562</v>
      </c>
      <c r="T249" s="32">
        <v>13.8</v>
      </c>
      <c r="U249" s="32">
        <v>1.9</v>
      </c>
      <c r="V249" s="33">
        <v>0.3027199074074074</v>
      </c>
      <c r="W249" s="33">
        <v>0.29311342592592587</v>
      </c>
      <c r="X249" s="33">
        <v>0</v>
      </c>
      <c r="Y249" s="32">
        <v>0</v>
      </c>
      <c r="Z249" s="32">
        <v>0</v>
      </c>
      <c r="AA249" s="32">
        <v>0</v>
      </c>
      <c r="AB249" s="32">
        <v>0</v>
      </c>
      <c r="AC249" s="32">
        <v>0</v>
      </c>
      <c r="AD249" s="32">
        <v>1</v>
      </c>
      <c r="AE249" s="32" t="s">
        <v>84</v>
      </c>
      <c r="AF249" s="32" t="s">
        <v>324</v>
      </c>
      <c r="AG249" s="32" t="s">
        <v>2128</v>
      </c>
      <c r="AH249" s="32">
        <v>6.2255859999999998</v>
      </c>
      <c r="AI249" s="32">
        <v>-75.599144999999993</v>
      </c>
      <c r="AJ249" s="32" t="s">
        <v>2129</v>
      </c>
      <c r="AK249" s="32">
        <v>6.2585319999999998</v>
      </c>
      <c r="AL249" s="32">
        <v>-75.615983999999997</v>
      </c>
      <c r="AM249" s="26">
        <f t="shared" si="3"/>
        <v>0</v>
      </c>
      <c r="AN249" s="9"/>
    </row>
    <row r="250" spans="1:40" ht="15" x14ac:dyDescent="0.25">
      <c r="A250" s="9" t="s">
        <v>2130</v>
      </c>
      <c r="B250" s="9" t="s">
        <v>2131</v>
      </c>
      <c r="C250" s="9" t="s">
        <v>2132</v>
      </c>
      <c r="D250" s="9" t="s">
        <v>2062</v>
      </c>
      <c r="E250" s="9" t="s">
        <v>36</v>
      </c>
      <c r="F250" s="9" t="s">
        <v>315</v>
      </c>
      <c r="G250" s="9" t="s">
        <v>124</v>
      </c>
      <c r="H250" s="9" t="s">
        <v>125</v>
      </c>
      <c r="I250" s="9" t="s">
        <v>115</v>
      </c>
      <c r="J250" s="9">
        <v>3161</v>
      </c>
      <c r="K250" s="9" t="s">
        <v>2133</v>
      </c>
      <c r="L250" s="9" t="s">
        <v>117</v>
      </c>
      <c r="M250" s="10">
        <v>1.0347222222222219E-2</v>
      </c>
      <c r="N250" s="9" t="s">
        <v>65</v>
      </c>
      <c r="O250" s="9" t="s">
        <v>2134</v>
      </c>
      <c r="P250" s="9" t="s">
        <v>119</v>
      </c>
      <c r="Q250" s="10">
        <v>1.413194444444445E-2</v>
      </c>
      <c r="R250" s="9" t="s">
        <v>129</v>
      </c>
      <c r="S250" s="10">
        <v>0.27447916666666672</v>
      </c>
      <c r="T250" s="9">
        <v>63.529000000000003</v>
      </c>
      <c r="U250" s="9">
        <v>14.36</v>
      </c>
      <c r="V250" s="10">
        <v>0.18431712962962959</v>
      </c>
      <c r="W250" s="10">
        <v>7.6909722222222227E-2</v>
      </c>
      <c r="X250" s="10">
        <v>0</v>
      </c>
      <c r="Y250" s="9">
        <v>0</v>
      </c>
      <c r="Z250" s="9">
        <v>0</v>
      </c>
      <c r="AA250" s="9">
        <v>0</v>
      </c>
      <c r="AB250" s="9">
        <v>0</v>
      </c>
      <c r="AC250" s="9">
        <v>0</v>
      </c>
      <c r="AD250" s="9">
        <v>0</v>
      </c>
      <c r="AE250" s="9" t="s">
        <v>130</v>
      </c>
      <c r="AF250" s="9" t="s">
        <v>2135</v>
      </c>
      <c r="AG250" s="9" t="s">
        <v>2136</v>
      </c>
      <c r="AH250" s="9">
        <v>6.2267749999999999</v>
      </c>
      <c r="AI250" s="9">
        <v>-75.599356999999998</v>
      </c>
      <c r="AJ250" s="9" t="s">
        <v>2137</v>
      </c>
      <c r="AK250" s="9">
        <v>6.2726800000000003</v>
      </c>
      <c r="AL250" s="9">
        <v>-75.601973000000001</v>
      </c>
      <c r="AM250" s="26">
        <f t="shared" si="3"/>
        <v>0</v>
      </c>
      <c r="AN250" s="9"/>
    </row>
    <row r="251" spans="1:40" ht="15" x14ac:dyDescent="0.25">
      <c r="A251" s="9" t="s">
        <v>2138</v>
      </c>
      <c r="B251" s="9" t="s">
        <v>2139</v>
      </c>
      <c r="C251" s="9" t="s">
        <v>2140</v>
      </c>
      <c r="D251" s="9" t="s">
        <v>2062</v>
      </c>
      <c r="E251" s="9" t="s">
        <v>36</v>
      </c>
      <c r="F251" s="9" t="s">
        <v>315</v>
      </c>
      <c r="G251" s="9" t="s">
        <v>135</v>
      </c>
      <c r="H251" s="9" t="s">
        <v>136</v>
      </c>
      <c r="I251" s="9" t="s">
        <v>115</v>
      </c>
      <c r="J251" s="9">
        <v>1719</v>
      </c>
      <c r="K251" s="9" t="s">
        <v>2141</v>
      </c>
      <c r="L251" s="9" t="s">
        <v>117</v>
      </c>
      <c r="M251" s="10">
        <v>5.2465277777777777E-2</v>
      </c>
      <c r="N251" s="9" t="s">
        <v>127</v>
      </c>
      <c r="O251" s="9" t="s">
        <v>2142</v>
      </c>
      <c r="P251" s="9" t="s">
        <v>119</v>
      </c>
      <c r="Q251" s="10">
        <v>4.1898148148148146E-3</v>
      </c>
      <c r="R251" s="9" t="s">
        <v>46</v>
      </c>
      <c r="S251" s="10">
        <v>0.29827546296296298</v>
      </c>
      <c r="T251" s="9">
        <v>29.850999999999999</v>
      </c>
      <c r="U251" s="9">
        <v>10.64</v>
      </c>
      <c r="V251" s="10">
        <v>0.1168634259259259</v>
      </c>
      <c r="W251" s="10">
        <v>7.8483796296296301E-2</v>
      </c>
      <c r="X251" s="10">
        <v>0</v>
      </c>
      <c r="Y251" s="9">
        <v>0</v>
      </c>
      <c r="Z251" s="9">
        <v>0</v>
      </c>
      <c r="AA251" s="9">
        <v>0</v>
      </c>
      <c r="AB251" s="9">
        <v>0</v>
      </c>
      <c r="AC251" s="9">
        <v>0</v>
      </c>
      <c r="AD251" s="9">
        <v>2</v>
      </c>
      <c r="AE251" s="9" t="s">
        <v>139</v>
      </c>
      <c r="AF251" s="9" t="s">
        <v>2143</v>
      </c>
      <c r="AG251" s="9" t="s">
        <v>2144</v>
      </c>
      <c r="AH251" s="9">
        <v>6.2288670000000002</v>
      </c>
      <c r="AI251" s="9">
        <v>-75.596225000000004</v>
      </c>
      <c r="AJ251" s="9" t="s">
        <v>2145</v>
      </c>
      <c r="AK251" s="9">
        <v>6.2948950000000004</v>
      </c>
      <c r="AL251" s="9">
        <v>-75.543943999999996</v>
      </c>
      <c r="AM251" s="26">
        <f t="shared" si="3"/>
        <v>0</v>
      </c>
      <c r="AN251" s="9"/>
    </row>
    <row r="252" spans="1:40" ht="15" x14ac:dyDescent="0.25">
      <c r="A252" s="9" t="s">
        <v>2146</v>
      </c>
      <c r="B252" s="9" t="s">
        <v>2147</v>
      </c>
      <c r="C252" s="9" t="s">
        <v>2148</v>
      </c>
      <c r="D252" s="9" t="s">
        <v>2062</v>
      </c>
      <c r="E252" s="9" t="s">
        <v>36</v>
      </c>
      <c r="F252" s="9" t="s">
        <v>315</v>
      </c>
      <c r="G252" s="9" t="s">
        <v>152</v>
      </c>
      <c r="H252" s="9" t="s">
        <v>153</v>
      </c>
      <c r="I252" s="9" t="s">
        <v>115</v>
      </c>
      <c r="J252" s="9">
        <v>2463</v>
      </c>
      <c r="K252" s="9" t="s">
        <v>2149</v>
      </c>
      <c r="L252" s="9" t="s">
        <v>117</v>
      </c>
      <c r="M252" s="10">
        <v>1.113425925925926E-2</v>
      </c>
      <c r="N252" s="9" t="s">
        <v>127</v>
      </c>
      <c r="O252" s="9" t="s">
        <v>2150</v>
      </c>
      <c r="P252" s="9" t="s">
        <v>119</v>
      </c>
      <c r="Q252" s="10">
        <v>4.7546296296296288E-2</v>
      </c>
      <c r="R252" s="9" t="s">
        <v>56</v>
      </c>
      <c r="S252" s="10">
        <v>0.21358796296296301</v>
      </c>
      <c r="T252" s="9">
        <v>32.11</v>
      </c>
      <c r="U252" s="9">
        <v>9.9</v>
      </c>
      <c r="V252" s="10">
        <v>0.135162037037037</v>
      </c>
      <c r="W252" s="10">
        <v>8.1377314814814819E-2</v>
      </c>
      <c r="X252" s="10">
        <v>0</v>
      </c>
      <c r="Y252" s="9">
        <v>0</v>
      </c>
      <c r="Z252" s="9">
        <v>0</v>
      </c>
      <c r="AA252" s="9">
        <v>0</v>
      </c>
      <c r="AB252" s="9">
        <v>0</v>
      </c>
      <c r="AC252" s="9">
        <v>0</v>
      </c>
      <c r="AD252" s="9">
        <v>0</v>
      </c>
      <c r="AE252" s="9" t="s">
        <v>139</v>
      </c>
      <c r="AF252" s="9" t="s">
        <v>2151</v>
      </c>
      <c r="AG252" s="9" t="s">
        <v>2152</v>
      </c>
      <c r="AH252" s="9">
        <v>6.2268879999999998</v>
      </c>
      <c r="AI252" s="9">
        <v>-75.599710000000002</v>
      </c>
      <c r="AJ252" s="9" t="s">
        <v>2153</v>
      </c>
      <c r="AK252" s="9">
        <v>6.2517250000000004</v>
      </c>
      <c r="AL252" s="9">
        <v>-75.551782000000003</v>
      </c>
      <c r="AM252" s="26">
        <f t="shared" si="3"/>
        <v>4.7546296296296288E-2</v>
      </c>
      <c r="AN252" s="9"/>
    </row>
    <row r="253" spans="1:40" ht="15" x14ac:dyDescent="0.25">
      <c r="A253" s="9" t="s">
        <v>2154</v>
      </c>
      <c r="B253" s="9" t="s">
        <v>2155</v>
      </c>
      <c r="C253" s="9" t="s">
        <v>2156</v>
      </c>
      <c r="D253" s="9" t="s">
        <v>2062</v>
      </c>
      <c r="E253" s="9" t="s">
        <v>36</v>
      </c>
      <c r="F253" s="9" t="s">
        <v>315</v>
      </c>
      <c r="G253" s="9" t="s">
        <v>160</v>
      </c>
      <c r="H253" s="9" t="s">
        <v>161</v>
      </c>
      <c r="I253" s="9" t="s">
        <v>115</v>
      </c>
      <c r="J253" s="9">
        <v>4867</v>
      </c>
      <c r="K253" s="9" t="s">
        <v>2157</v>
      </c>
      <c r="L253" s="9" t="s">
        <v>117</v>
      </c>
      <c r="M253" s="10">
        <v>2.298483796296296E-2</v>
      </c>
      <c r="N253" s="9" t="s">
        <v>127</v>
      </c>
      <c r="O253" s="9" t="s">
        <v>2158</v>
      </c>
      <c r="P253" s="9" t="s">
        <v>119</v>
      </c>
      <c r="Q253" s="10">
        <v>3.6007870370370369E-3</v>
      </c>
      <c r="R253" s="9" t="s">
        <v>46</v>
      </c>
      <c r="S253" s="10">
        <v>0.276585625</v>
      </c>
      <c r="T253" s="9">
        <v>32.299999999999997</v>
      </c>
      <c r="U253" s="9">
        <v>6.81</v>
      </c>
      <c r="V253" s="10">
        <v>0.1976852662037038</v>
      </c>
      <c r="W253" s="10">
        <v>0.16368065972222229</v>
      </c>
      <c r="X253" s="10">
        <v>0</v>
      </c>
      <c r="Y253" s="9">
        <v>0</v>
      </c>
      <c r="Z253" s="9">
        <v>0</v>
      </c>
      <c r="AA253" s="9">
        <v>0</v>
      </c>
      <c r="AB253" s="9">
        <v>0</v>
      </c>
      <c r="AC253" s="9">
        <v>0</v>
      </c>
      <c r="AD253" s="9">
        <v>3</v>
      </c>
      <c r="AE253" s="9" t="s">
        <v>139</v>
      </c>
      <c r="AF253" s="9" t="s">
        <v>2159</v>
      </c>
      <c r="AG253" s="9" t="s">
        <v>2160</v>
      </c>
      <c r="AH253" s="9">
        <v>6.2267729999999997</v>
      </c>
      <c r="AI253" s="9">
        <v>-75.599312999999995</v>
      </c>
      <c r="AJ253" s="9" t="s">
        <v>2161</v>
      </c>
      <c r="AK253" s="9">
        <v>6.2635449999999997</v>
      </c>
      <c r="AL253" s="9">
        <v>-75.596571999999995</v>
      </c>
      <c r="AM253" s="26">
        <f t="shared" si="3"/>
        <v>0</v>
      </c>
      <c r="AN253" s="9"/>
    </row>
    <row r="254" spans="1:40" ht="15" x14ac:dyDescent="0.25">
      <c r="A254" s="9" t="s">
        <v>2162</v>
      </c>
      <c r="B254" s="9" t="s">
        <v>2163</v>
      </c>
      <c r="C254" s="9" t="s">
        <v>2164</v>
      </c>
      <c r="D254" s="9" t="s">
        <v>2165</v>
      </c>
      <c r="E254" s="9" t="s">
        <v>36</v>
      </c>
      <c r="F254" s="9" t="s">
        <v>406</v>
      </c>
      <c r="G254" s="9" t="s">
        <v>38</v>
      </c>
      <c r="H254" s="9" t="s">
        <v>39</v>
      </c>
      <c r="I254" s="9" t="s">
        <v>40</v>
      </c>
      <c r="J254" s="9">
        <v>4768</v>
      </c>
      <c r="K254" s="9" t="s">
        <v>2166</v>
      </c>
      <c r="L254" s="9" t="s">
        <v>42</v>
      </c>
      <c r="M254" s="10">
        <v>3.3004652777777782E-2</v>
      </c>
      <c r="N254" s="9" t="s">
        <v>43</v>
      </c>
      <c r="O254" s="9" t="s">
        <v>2167</v>
      </c>
      <c r="P254" s="9" t="s">
        <v>413</v>
      </c>
      <c r="Q254" s="10">
        <v>1.039768518518518E-3</v>
      </c>
      <c r="R254" s="9" t="s">
        <v>46</v>
      </c>
      <c r="S254" s="10">
        <v>0.28053511574074069</v>
      </c>
      <c r="T254" s="9">
        <v>36.932000000000002</v>
      </c>
      <c r="U254" s="9">
        <v>16.53</v>
      </c>
      <c r="V254" s="10">
        <v>9.308089120370365E-2</v>
      </c>
      <c r="W254" s="10">
        <v>5.1801597222222218E-2</v>
      </c>
      <c r="X254" s="10">
        <v>0</v>
      </c>
      <c r="Y254" s="9">
        <v>0</v>
      </c>
      <c r="Z254" s="9">
        <v>0</v>
      </c>
      <c r="AA254" s="9">
        <v>0</v>
      </c>
      <c r="AB254" s="9">
        <v>0</v>
      </c>
      <c r="AC254" s="9">
        <v>0</v>
      </c>
      <c r="AD254" s="9">
        <v>5</v>
      </c>
      <c r="AE254" s="9" t="s">
        <v>47</v>
      </c>
      <c r="AF254" s="9" t="s">
        <v>2168</v>
      </c>
      <c r="AG254" s="9" t="s">
        <v>2169</v>
      </c>
      <c r="AH254" s="9">
        <v>6.2206780000000004</v>
      </c>
      <c r="AI254" s="9">
        <v>-75.593289999999996</v>
      </c>
      <c r="AJ254" s="9" t="s">
        <v>2170</v>
      </c>
      <c r="AK254" s="9">
        <v>6.2218359999999997</v>
      </c>
      <c r="AL254" s="9">
        <v>-75.593830999999994</v>
      </c>
      <c r="AM254" s="26">
        <f t="shared" si="3"/>
        <v>3.3004652777777782E-2</v>
      </c>
      <c r="AN254" s="9"/>
    </row>
    <row r="255" spans="1:40" ht="15" x14ac:dyDescent="0.25">
      <c r="A255" s="9" t="s">
        <v>2171</v>
      </c>
      <c r="B255" s="9" t="s">
        <v>2172</v>
      </c>
      <c r="C255" s="9" t="s">
        <v>2173</v>
      </c>
      <c r="D255" s="9" t="s">
        <v>2165</v>
      </c>
      <c r="E255" s="9" t="s">
        <v>36</v>
      </c>
      <c r="F255" s="9" t="s">
        <v>406</v>
      </c>
      <c r="G255" s="9" t="s">
        <v>52</v>
      </c>
      <c r="H255" s="9" t="s">
        <v>53</v>
      </c>
      <c r="I255" s="9" t="s">
        <v>40</v>
      </c>
      <c r="J255" s="9">
        <v>6506</v>
      </c>
      <c r="K255" s="9" t="s">
        <v>2174</v>
      </c>
      <c r="L255" s="9" t="s">
        <v>42</v>
      </c>
      <c r="M255" s="10">
        <v>8.726851851851852E-3</v>
      </c>
      <c r="N255" s="9" t="s">
        <v>65</v>
      </c>
      <c r="O255" s="9" t="s">
        <v>2175</v>
      </c>
      <c r="P255" s="9" t="s">
        <v>413</v>
      </c>
      <c r="Q255" s="10">
        <v>2.5231481481481481E-3</v>
      </c>
      <c r="R255" s="9" t="s">
        <v>46</v>
      </c>
      <c r="S255" s="10">
        <v>0.32374999999999998</v>
      </c>
      <c r="T255" s="9">
        <v>89.007999999999996</v>
      </c>
      <c r="U255" s="9">
        <v>13.16</v>
      </c>
      <c r="V255" s="10">
        <v>0.28173611111111108</v>
      </c>
      <c r="W255" s="10">
        <v>0.1552199074074074</v>
      </c>
      <c r="X255" s="10">
        <v>0</v>
      </c>
      <c r="Y255" s="9">
        <v>0</v>
      </c>
      <c r="Z255" s="9">
        <v>0</v>
      </c>
      <c r="AA255" s="9">
        <v>0</v>
      </c>
      <c r="AB255" s="9">
        <v>0</v>
      </c>
      <c r="AC255" s="9">
        <v>0</v>
      </c>
      <c r="AD255" s="9">
        <v>2</v>
      </c>
      <c r="AE255" s="9" t="s">
        <v>84</v>
      </c>
      <c r="AF255" s="9" t="s">
        <v>1384</v>
      </c>
      <c r="AG255" s="9" t="s">
        <v>2176</v>
      </c>
      <c r="AH255" s="9">
        <v>6.2255929999999999</v>
      </c>
      <c r="AI255" s="9">
        <v>-75.599537999999995</v>
      </c>
      <c r="AJ255" s="9" t="s">
        <v>2177</v>
      </c>
      <c r="AK255" s="9">
        <v>6.2477</v>
      </c>
      <c r="AL255" s="9">
        <v>-75.615106999999995</v>
      </c>
      <c r="AM255" s="26">
        <f t="shared" si="3"/>
        <v>0</v>
      </c>
      <c r="AN255" s="9"/>
    </row>
    <row r="256" spans="1:40" ht="15" x14ac:dyDescent="0.25">
      <c r="A256" s="9" t="s">
        <v>2178</v>
      </c>
      <c r="B256" s="9" t="s">
        <v>2179</v>
      </c>
      <c r="C256" s="9" t="s">
        <v>2180</v>
      </c>
      <c r="D256" s="9" t="s">
        <v>2165</v>
      </c>
      <c r="E256" s="9" t="s">
        <v>36</v>
      </c>
      <c r="F256" s="9" t="s">
        <v>406</v>
      </c>
      <c r="G256" s="9" t="s">
        <v>113</v>
      </c>
      <c r="H256" s="9" t="s">
        <v>114</v>
      </c>
      <c r="I256" s="9" t="s">
        <v>40</v>
      </c>
      <c r="J256" s="9">
        <v>2565</v>
      </c>
      <c r="K256" s="9" t="s">
        <v>2181</v>
      </c>
      <c r="L256" s="9" t="s">
        <v>42</v>
      </c>
      <c r="M256" s="10">
        <v>7.5115740740740742E-3</v>
      </c>
      <c r="N256" s="9" t="s">
        <v>65</v>
      </c>
      <c r="O256" s="9" t="s">
        <v>2182</v>
      </c>
      <c r="P256" s="9" t="s">
        <v>413</v>
      </c>
      <c r="Q256" s="10">
        <v>8.44212962962963E-2</v>
      </c>
      <c r="R256" s="9" t="s">
        <v>56</v>
      </c>
      <c r="S256" s="10">
        <v>0.2205671296296296</v>
      </c>
      <c r="T256" s="9">
        <v>34.225000000000001</v>
      </c>
      <c r="U256" s="9">
        <v>11.53</v>
      </c>
      <c r="V256" s="10">
        <v>0.1237152777777778</v>
      </c>
      <c r="W256" s="10">
        <v>6.6736111111111107E-2</v>
      </c>
      <c r="X256" s="10">
        <v>0</v>
      </c>
      <c r="Y256" s="9">
        <v>0</v>
      </c>
      <c r="Z256" s="9">
        <v>0</v>
      </c>
      <c r="AA256" s="9">
        <v>0</v>
      </c>
      <c r="AB256" s="9">
        <v>0</v>
      </c>
      <c r="AC256" s="9">
        <v>0</v>
      </c>
      <c r="AD256" s="9">
        <v>1</v>
      </c>
      <c r="AE256" s="9" t="s">
        <v>67</v>
      </c>
      <c r="AF256" s="9" t="s">
        <v>2183</v>
      </c>
      <c r="AG256" s="9" t="s">
        <v>2184</v>
      </c>
      <c r="AH256" s="9">
        <v>6.2380380000000004</v>
      </c>
      <c r="AI256" s="9">
        <v>-75.602919</v>
      </c>
      <c r="AJ256" s="9" t="s">
        <v>2185</v>
      </c>
      <c r="AK256" s="9">
        <v>6.2506779999999997</v>
      </c>
      <c r="AL256" s="9">
        <v>-75.602010000000007</v>
      </c>
      <c r="AM256" s="26">
        <f t="shared" si="3"/>
        <v>8.44212962962963E-2</v>
      </c>
      <c r="AN256" s="9"/>
    </row>
    <row r="257" spans="1:40" ht="15" x14ac:dyDescent="0.25">
      <c r="A257" s="9" t="s">
        <v>2186</v>
      </c>
      <c r="B257" s="9" t="s">
        <v>2187</v>
      </c>
      <c r="C257" s="9" t="s">
        <v>2188</v>
      </c>
      <c r="D257" s="9" t="s">
        <v>2165</v>
      </c>
      <c r="E257" s="9" t="s">
        <v>36</v>
      </c>
      <c r="F257" s="9" t="s">
        <v>406</v>
      </c>
      <c r="G257" s="9" t="s">
        <v>62</v>
      </c>
      <c r="H257" s="9" t="s">
        <v>63</v>
      </c>
      <c r="I257" s="9" t="s">
        <v>40</v>
      </c>
      <c r="J257" s="9">
        <v>2599</v>
      </c>
      <c r="K257" s="9" t="s">
        <v>2189</v>
      </c>
      <c r="L257" s="9" t="s">
        <v>42</v>
      </c>
      <c r="M257" s="10">
        <v>1.6203703703703701E-4</v>
      </c>
      <c r="N257" s="9" t="s">
        <v>65</v>
      </c>
      <c r="O257" s="9" t="s">
        <v>2190</v>
      </c>
      <c r="P257" s="9" t="s">
        <v>413</v>
      </c>
      <c r="Q257" s="10">
        <v>6.2905092592592596E-2</v>
      </c>
      <c r="R257" s="9" t="s">
        <v>56</v>
      </c>
      <c r="S257" s="10">
        <v>0.24975694444444441</v>
      </c>
      <c r="T257" s="9">
        <v>33.68</v>
      </c>
      <c r="U257" s="9">
        <v>9.6</v>
      </c>
      <c r="V257" s="10">
        <v>0.1461226851851852</v>
      </c>
      <c r="W257" s="10">
        <v>9.3807870370370375E-2</v>
      </c>
      <c r="X257" s="10">
        <v>0</v>
      </c>
      <c r="Y257" s="9">
        <v>0</v>
      </c>
      <c r="Z257" s="9">
        <v>0</v>
      </c>
      <c r="AA257" s="9">
        <v>0</v>
      </c>
      <c r="AB257" s="9">
        <v>0</v>
      </c>
      <c r="AC257" s="9">
        <v>0</v>
      </c>
      <c r="AD257" s="9">
        <v>0</v>
      </c>
      <c r="AE257" s="9" t="s">
        <v>67</v>
      </c>
      <c r="AF257" s="9" t="s">
        <v>2191</v>
      </c>
      <c r="AG257" s="9" t="s">
        <v>2192</v>
      </c>
      <c r="AH257" s="9">
        <v>6.2258060000000004</v>
      </c>
      <c r="AI257" s="9">
        <v>-75.599374999999995</v>
      </c>
      <c r="AJ257" s="9" t="s">
        <v>2193</v>
      </c>
      <c r="AK257" s="9">
        <v>6.2969799999999996</v>
      </c>
      <c r="AL257" s="9">
        <v>-75.582723999999999</v>
      </c>
      <c r="AM257" s="26">
        <f t="shared" si="3"/>
        <v>6.2905092592592596E-2</v>
      </c>
      <c r="AN257" s="9"/>
    </row>
    <row r="258" spans="1:40" ht="15" x14ac:dyDescent="0.25">
      <c r="A258" s="9" t="s">
        <v>2194</v>
      </c>
      <c r="B258" s="9" t="s">
        <v>2195</v>
      </c>
      <c r="C258" s="9" t="s">
        <v>2196</v>
      </c>
      <c r="D258" s="9" t="s">
        <v>2165</v>
      </c>
      <c r="E258" s="9" t="s">
        <v>36</v>
      </c>
      <c r="F258" s="9" t="s">
        <v>406</v>
      </c>
      <c r="G258" s="9" t="s">
        <v>72</v>
      </c>
      <c r="H258" s="9" t="s">
        <v>73</v>
      </c>
      <c r="I258" s="9" t="s">
        <v>40</v>
      </c>
      <c r="J258" s="9">
        <v>1190</v>
      </c>
      <c r="K258" s="9" t="s">
        <v>2197</v>
      </c>
      <c r="L258" s="9" t="s">
        <v>42</v>
      </c>
      <c r="M258" s="10">
        <v>4.6296296296296298E-4</v>
      </c>
      <c r="N258" s="9" t="s">
        <v>65</v>
      </c>
      <c r="O258" s="9" t="s">
        <v>2198</v>
      </c>
      <c r="P258" s="9" t="s">
        <v>413</v>
      </c>
      <c r="Q258" s="10">
        <v>0.1284953703703704</v>
      </c>
      <c r="R258" s="9" t="s">
        <v>56</v>
      </c>
      <c r="S258" s="10">
        <v>0.1844675925925926</v>
      </c>
      <c r="T258" s="9">
        <v>16.114999999999998</v>
      </c>
      <c r="U258" s="9">
        <v>3.78</v>
      </c>
      <c r="V258" s="10">
        <v>0.17746527777777779</v>
      </c>
      <c r="W258" s="10">
        <v>0.15209490740740739</v>
      </c>
      <c r="X258" s="10">
        <v>0</v>
      </c>
      <c r="Y258" s="9">
        <v>0</v>
      </c>
      <c r="Z258" s="9">
        <v>0</v>
      </c>
      <c r="AA258" s="9">
        <v>0</v>
      </c>
      <c r="AB258" s="9">
        <v>0</v>
      </c>
      <c r="AC258" s="9">
        <v>0</v>
      </c>
      <c r="AD258" s="9">
        <v>2</v>
      </c>
      <c r="AE258" s="9" t="s">
        <v>67</v>
      </c>
      <c r="AF258" s="9" t="s">
        <v>2199</v>
      </c>
      <c r="AG258" s="9" t="s">
        <v>2200</v>
      </c>
      <c r="AH258" s="9">
        <v>6.2256450000000001</v>
      </c>
      <c r="AI258" s="9">
        <v>-75.599041999999997</v>
      </c>
      <c r="AJ258" s="9" t="s">
        <v>2201</v>
      </c>
      <c r="AK258" s="9">
        <v>6.2370270000000003</v>
      </c>
      <c r="AL258" s="9">
        <v>-75.558895000000007</v>
      </c>
      <c r="AM258" s="26">
        <f t="shared" si="3"/>
        <v>0.1284953703703704</v>
      </c>
      <c r="AN258" s="9"/>
    </row>
    <row r="259" spans="1:40" ht="15" x14ac:dyDescent="0.25">
      <c r="A259" s="9" t="s">
        <v>2202</v>
      </c>
      <c r="B259" s="9" t="s">
        <v>2203</v>
      </c>
      <c r="C259" s="9" t="s">
        <v>2204</v>
      </c>
      <c r="D259" s="9" t="s">
        <v>2165</v>
      </c>
      <c r="E259" s="9" t="s">
        <v>36</v>
      </c>
      <c r="F259" s="9" t="s">
        <v>406</v>
      </c>
      <c r="G259" s="9" t="s">
        <v>80</v>
      </c>
      <c r="H259" s="9" t="s">
        <v>81</v>
      </c>
      <c r="I259" s="9" t="s">
        <v>40</v>
      </c>
      <c r="J259" s="9">
        <v>3651</v>
      </c>
      <c r="K259" s="9" t="s">
        <v>2205</v>
      </c>
      <c r="L259" s="9" t="s">
        <v>42</v>
      </c>
      <c r="M259" s="10">
        <v>6.847222222222222E-4</v>
      </c>
      <c r="N259" s="9" t="s">
        <v>65</v>
      </c>
      <c r="O259" s="9" t="s">
        <v>2206</v>
      </c>
      <c r="P259" s="9" t="s">
        <v>413</v>
      </c>
      <c r="Q259" s="10">
        <v>3.1829861111111108E-3</v>
      </c>
      <c r="R259" s="9" t="s">
        <v>46</v>
      </c>
      <c r="S259" s="10">
        <v>0.31499826388888891</v>
      </c>
      <c r="T259" s="9">
        <v>30.792999999999999</v>
      </c>
      <c r="U259" s="9">
        <v>17.37</v>
      </c>
      <c r="V259" s="10">
        <v>7.3866342592592449E-2</v>
      </c>
      <c r="W259" s="10">
        <v>3.9033229166666669E-2</v>
      </c>
      <c r="X259" s="10">
        <v>0</v>
      </c>
      <c r="Y259" s="9">
        <v>0</v>
      </c>
      <c r="Z259" s="9">
        <v>0</v>
      </c>
      <c r="AA259" s="9">
        <v>0</v>
      </c>
      <c r="AB259" s="9">
        <v>0</v>
      </c>
      <c r="AC259" s="9">
        <v>0</v>
      </c>
      <c r="AD259" s="9">
        <v>11</v>
      </c>
      <c r="AE259" s="9" t="s">
        <v>84</v>
      </c>
      <c r="AF259" s="9" t="s">
        <v>190</v>
      </c>
      <c r="AG259" s="9" t="s">
        <v>2207</v>
      </c>
      <c r="AH259" s="9">
        <v>6.2258399999999998</v>
      </c>
      <c r="AI259" s="9">
        <v>-75.599376000000007</v>
      </c>
      <c r="AJ259" s="9" t="s">
        <v>2208</v>
      </c>
      <c r="AK259" s="9">
        <v>6.2593139999999998</v>
      </c>
      <c r="AL259" s="9">
        <v>-75.620379999999997</v>
      </c>
      <c r="AM259" s="26">
        <f t="shared" ref="AM259:AM322" si="4">IF(N259="INICIO TARDÍO",M259,0)+IF(R259="TERMINÓ ANTES",Q259,0)</f>
        <v>0</v>
      </c>
      <c r="AN259" s="9"/>
    </row>
    <row r="260" spans="1:40" ht="15" x14ac:dyDescent="0.25">
      <c r="A260" s="9" t="s">
        <v>2209</v>
      </c>
      <c r="B260" s="9" t="s">
        <v>2210</v>
      </c>
      <c r="C260" s="9" t="s">
        <v>2211</v>
      </c>
      <c r="D260" s="9" t="s">
        <v>2165</v>
      </c>
      <c r="E260" s="9" t="s">
        <v>36</v>
      </c>
      <c r="F260" s="9" t="s">
        <v>406</v>
      </c>
      <c r="G260" s="9" t="s">
        <v>89</v>
      </c>
      <c r="H260" s="9" t="s">
        <v>90</v>
      </c>
      <c r="I260" s="9" t="s">
        <v>40</v>
      </c>
      <c r="J260" s="9">
        <v>3573</v>
      </c>
      <c r="K260" s="9" t="s">
        <v>2212</v>
      </c>
      <c r="L260" s="9" t="s">
        <v>42</v>
      </c>
      <c r="M260" s="10">
        <v>1.125E-2</v>
      </c>
      <c r="N260" s="9" t="s">
        <v>127</v>
      </c>
      <c r="O260" s="9" t="s">
        <v>2213</v>
      </c>
      <c r="P260" s="9" t="s">
        <v>413</v>
      </c>
      <c r="Q260" s="10">
        <v>5.6122685185185192E-2</v>
      </c>
      <c r="R260" s="9" t="s">
        <v>56</v>
      </c>
      <c r="S260" s="10">
        <v>0.26762731481481478</v>
      </c>
      <c r="T260" s="9">
        <v>46.692</v>
      </c>
      <c r="U260" s="9">
        <v>13.09</v>
      </c>
      <c r="V260" s="10">
        <v>0.14858796296296289</v>
      </c>
      <c r="W260" s="10">
        <v>5.0393518518518518E-2</v>
      </c>
      <c r="X260" s="10">
        <v>0</v>
      </c>
      <c r="Y260" s="9">
        <v>0</v>
      </c>
      <c r="Z260" s="9">
        <v>0</v>
      </c>
      <c r="AA260" s="9">
        <v>0</v>
      </c>
      <c r="AB260" s="9">
        <v>0</v>
      </c>
      <c r="AC260" s="9">
        <v>0</v>
      </c>
      <c r="AD260" s="9">
        <v>0</v>
      </c>
      <c r="AE260" s="9" t="s">
        <v>139</v>
      </c>
      <c r="AF260" s="9" t="s">
        <v>2214</v>
      </c>
      <c r="AG260" s="9" t="s">
        <v>2215</v>
      </c>
      <c r="AH260" s="9">
        <v>6.2266320000000004</v>
      </c>
      <c r="AI260" s="9">
        <v>-75.599344000000002</v>
      </c>
      <c r="AJ260" s="9" t="s">
        <v>2216</v>
      </c>
      <c r="AK260" s="9">
        <v>6.2800669999999998</v>
      </c>
      <c r="AL260" s="9">
        <v>-75.635467000000006</v>
      </c>
      <c r="AM260" s="26">
        <f t="shared" si="4"/>
        <v>5.6122685185185192E-2</v>
      </c>
      <c r="AN260" s="9"/>
    </row>
    <row r="261" spans="1:40" ht="15" x14ac:dyDescent="0.25">
      <c r="A261" s="9" t="s">
        <v>2217</v>
      </c>
      <c r="B261" s="9" t="s">
        <v>2218</v>
      </c>
      <c r="C261" s="9" t="s">
        <v>2219</v>
      </c>
      <c r="D261" s="9" t="s">
        <v>2165</v>
      </c>
      <c r="E261" s="9" t="s">
        <v>36</v>
      </c>
      <c r="F261" s="9" t="s">
        <v>406</v>
      </c>
      <c r="G261" s="9" t="s">
        <v>97</v>
      </c>
      <c r="H261" s="9" t="s">
        <v>98</v>
      </c>
      <c r="I261" s="9" t="s">
        <v>40</v>
      </c>
      <c r="J261" s="9">
        <v>2794</v>
      </c>
      <c r="K261" s="9" t="s">
        <v>2220</v>
      </c>
      <c r="L261" s="9" t="s">
        <v>42</v>
      </c>
      <c r="M261" s="10">
        <v>2.743055555555555E-3</v>
      </c>
      <c r="N261" s="9" t="s">
        <v>65</v>
      </c>
      <c r="O261" s="9" t="s">
        <v>2221</v>
      </c>
      <c r="P261" s="9" t="s">
        <v>413</v>
      </c>
      <c r="Q261" s="10">
        <v>2.2361111111111109E-2</v>
      </c>
      <c r="R261" s="9" t="s">
        <v>56</v>
      </c>
      <c r="S261" s="10">
        <v>0.28739583333333341</v>
      </c>
      <c r="T261" s="9">
        <v>36.914999999999999</v>
      </c>
      <c r="U261" s="9">
        <v>9.5299999999999994</v>
      </c>
      <c r="V261" s="10">
        <v>0.16145833333333329</v>
      </c>
      <c r="W261" s="10">
        <v>0.1044907407407407</v>
      </c>
      <c r="X261" s="10">
        <v>0</v>
      </c>
      <c r="Y261" s="9">
        <v>0</v>
      </c>
      <c r="Z261" s="9">
        <v>0</v>
      </c>
      <c r="AA261" s="9">
        <v>0</v>
      </c>
      <c r="AB261" s="9">
        <v>0</v>
      </c>
      <c r="AC261" s="9">
        <v>0</v>
      </c>
      <c r="AD261" s="9">
        <v>0</v>
      </c>
      <c r="AE261" s="9" t="s">
        <v>67</v>
      </c>
      <c r="AF261" s="9" t="s">
        <v>2222</v>
      </c>
      <c r="AG261" s="9" t="s">
        <v>2223</v>
      </c>
      <c r="AH261" s="9">
        <v>6.2256200000000002</v>
      </c>
      <c r="AI261" s="9">
        <v>-75.599405000000004</v>
      </c>
      <c r="AJ261" s="9" t="s">
        <v>2224</v>
      </c>
      <c r="AK261" s="9">
        <v>6.3050350000000002</v>
      </c>
      <c r="AL261" s="9">
        <v>-75.577577000000005</v>
      </c>
      <c r="AM261" s="26">
        <f t="shared" si="4"/>
        <v>2.2361111111111109E-2</v>
      </c>
      <c r="AN261" s="9"/>
    </row>
    <row r="262" spans="1:40" ht="15" x14ac:dyDescent="0.25">
      <c r="A262" s="9" t="s">
        <v>2225</v>
      </c>
      <c r="B262" s="9" t="s">
        <v>2226</v>
      </c>
      <c r="C262" s="9" t="s">
        <v>2227</v>
      </c>
      <c r="D262" s="9" t="s">
        <v>2165</v>
      </c>
      <c r="E262" s="9" t="s">
        <v>36</v>
      </c>
      <c r="F262" s="9" t="s">
        <v>406</v>
      </c>
      <c r="G262" s="9" t="s">
        <v>105</v>
      </c>
      <c r="H262" s="9" t="s">
        <v>106</v>
      </c>
      <c r="I262" s="9" t="s">
        <v>40</v>
      </c>
      <c r="J262" s="9">
        <v>1429</v>
      </c>
      <c r="K262" s="9" t="s">
        <v>2228</v>
      </c>
      <c r="L262" s="9" t="s">
        <v>42</v>
      </c>
      <c r="M262" s="10">
        <v>3.636574074074074E-2</v>
      </c>
      <c r="N262" s="9" t="s">
        <v>43</v>
      </c>
      <c r="O262" s="9" t="s">
        <v>2229</v>
      </c>
      <c r="P262" s="9" t="s">
        <v>413</v>
      </c>
      <c r="Q262" s="10">
        <v>5.324074074074074E-3</v>
      </c>
      <c r="R262" s="9" t="s">
        <v>46</v>
      </c>
      <c r="S262" s="10">
        <v>0.28145833333333331</v>
      </c>
      <c r="T262" s="9">
        <v>18.013000000000002</v>
      </c>
      <c r="U262" s="9">
        <v>4.96</v>
      </c>
      <c r="V262" s="10">
        <v>0.1512037037037037</v>
      </c>
      <c r="W262" s="10">
        <v>0.1146064814814815</v>
      </c>
      <c r="X262" s="10">
        <v>0</v>
      </c>
      <c r="Y262" s="9">
        <v>0</v>
      </c>
      <c r="Z262" s="9">
        <v>0</v>
      </c>
      <c r="AA262" s="9">
        <v>0</v>
      </c>
      <c r="AB262" s="9">
        <v>0</v>
      </c>
      <c r="AC262" s="9">
        <v>0</v>
      </c>
      <c r="AD262" s="9">
        <v>1</v>
      </c>
      <c r="AE262" s="9" t="s">
        <v>47</v>
      </c>
      <c r="AF262" s="9" t="s">
        <v>2230</v>
      </c>
      <c r="AG262" s="9" t="s">
        <v>2231</v>
      </c>
      <c r="AH262" s="9">
        <v>6.2589810000000003</v>
      </c>
      <c r="AI262" s="9">
        <v>-75.620634999999993</v>
      </c>
      <c r="AJ262" s="9" t="s">
        <v>2232</v>
      </c>
      <c r="AK262" s="9">
        <v>6.258362</v>
      </c>
      <c r="AL262" s="9">
        <v>-75.616012999999995</v>
      </c>
      <c r="AM262" s="26">
        <f t="shared" si="4"/>
        <v>3.636574074074074E-2</v>
      </c>
      <c r="AN262" s="9"/>
    </row>
    <row r="263" spans="1:40" ht="15" x14ac:dyDescent="0.25">
      <c r="A263" s="9" t="s">
        <v>2233</v>
      </c>
      <c r="B263" s="9" t="s">
        <v>2234</v>
      </c>
      <c r="C263" s="9" t="s">
        <v>2235</v>
      </c>
      <c r="D263" s="9" t="s">
        <v>2236</v>
      </c>
      <c r="E263" s="9" t="s">
        <v>36</v>
      </c>
      <c r="F263" s="9" t="s">
        <v>455</v>
      </c>
      <c r="G263" s="9" t="s">
        <v>113</v>
      </c>
      <c r="H263" s="9" t="s">
        <v>114</v>
      </c>
      <c r="I263" s="9" t="s">
        <v>40</v>
      </c>
      <c r="J263" s="9">
        <v>3409</v>
      </c>
      <c r="K263" s="9" t="s">
        <v>2237</v>
      </c>
      <c r="L263" s="9" t="s">
        <v>42</v>
      </c>
      <c r="M263" s="10">
        <v>3.4942129629629629E-2</v>
      </c>
      <c r="N263" s="9" t="s">
        <v>43</v>
      </c>
      <c r="O263" s="9" t="s">
        <v>2238</v>
      </c>
      <c r="P263" s="9" t="s">
        <v>413</v>
      </c>
      <c r="Q263" s="10">
        <v>1.8819444444444441E-2</v>
      </c>
      <c r="R263" s="9" t="s">
        <v>129</v>
      </c>
      <c r="S263" s="10">
        <v>0.29637731481481477</v>
      </c>
      <c r="T263" s="9">
        <v>44.567</v>
      </c>
      <c r="U263" s="9">
        <v>10.47</v>
      </c>
      <c r="V263" s="10">
        <v>0.17732638888888891</v>
      </c>
      <c r="W263" s="10">
        <v>0.1012384259259259</v>
      </c>
      <c r="X263" s="10">
        <v>0</v>
      </c>
      <c r="Y263" s="9">
        <v>0</v>
      </c>
      <c r="Z263" s="9">
        <v>0</v>
      </c>
      <c r="AA263" s="9">
        <v>0</v>
      </c>
      <c r="AB263" s="9">
        <v>0</v>
      </c>
      <c r="AC263" s="9">
        <v>0</v>
      </c>
      <c r="AD263" s="9">
        <v>1</v>
      </c>
      <c r="AE263" s="9" t="s">
        <v>130</v>
      </c>
      <c r="AF263" s="9" t="s">
        <v>2239</v>
      </c>
      <c r="AG263" s="9" t="s">
        <v>2240</v>
      </c>
      <c r="AH263" s="9">
        <v>6.2477929999999997</v>
      </c>
      <c r="AI263" s="9">
        <v>-75.615009999999998</v>
      </c>
      <c r="AJ263" s="9" t="s">
        <v>2241</v>
      </c>
      <c r="AK263" s="9">
        <v>6.1984029999999999</v>
      </c>
      <c r="AL263" s="9">
        <v>-75.593670000000003</v>
      </c>
      <c r="AM263" s="26">
        <f t="shared" si="4"/>
        <v>3.4942129629629629E-2</v>
      </c>
      <c r="AN263" s="9"/>
    </row>
    <row r="264" spans="1:40" ht="15" x14ac:dyDescent="0.25">
      <c r="A264" s="9" t="s">
        <v>2242</v>
      </c>
      <c r="B264" s="9" t="s">
        <v>2243</v>
      </c>
      <c r="C264" s="9" t="s">
        <v>2244</v>
      </c>
      <c r="D264" s="9" t="s">
        <v>2165</v>
      </c>
      <c r="E264" s="9" t="s">
        <v>36</v>
      </c>
      <c r="F264" s="9" t="s">
        <v>406</v>
      </c>
      <c r="G264" s="9" t="s">
        <v>124</v>
      </c>
      <c r="H264" s="9" t="s">
        <v>125</v>
      </c>
      <c r="I264" s="9" t="s">
        <v>115</v>
      </c>
      <c r="J264" s="9">
        <v>4868</v>
      </c>
      <c r="K264" s="9" t="s">
        <v>2245</v>
      </c>
      <c r="L264" s="9" t="s">
        <v>117</v>
      </c>
      <c r="M264" s="10">
        <v>1.0937499999999999E-2</v>
      </c>
      <c r="N264" s="9" t="s">
        <v>127</v>
      </c>
      <c r="O264" s="9" t="s">
        <v>2246</v>
      </c>
      <c r="P264" s="9" t="s">
        <v>119</v>
      </c>
      <c r="Q264" s="10">
        <v>7.789351851851852E-3</v>
      </c>
      <c r="R264" s="9" t="s">
        <v>46</v>
      </c>
      <c r="S264" s="10">
        <v>0.26872685185185191</v>
      </c>
      <c r="T264" s="9">
        <v>64.605999999999995</v>
      </c>
      <c r="U264" s="9">
        <v>13.1</v>
      </c>
      <c r="V264" s="10">
        <v>0.20548611111111109</v>
      </c>
      <c r="W264" s="10">
        <v>7.5277777777777777E-2</v>
      </c>
      <c r="X264" s="10">
        <v>0</v>
      </c>
      <c r="Y264" s="9">
        <v>0</v>
      </c>
      <c r="Z264" s="9">
        <v>0</v>
      </c>
      <c r="AA264" s="9">
        <v>0</v>
      </c>
      <c r="AB264" s="9">
        <v>0</v>
      </c>
      <c r="AC264" s="9">
        <v>0</v>
      </c>
      <c r="AD264" s="9">
        <v>0</v>
      </c>
      <c r="AE264" s="9" t="s">
        <v>139</v>
      </c>
      <c r="AF264" s="9" t="s">
        <v>2247</v>
      </c>
      <c r="AG264" s="9" t="s">
        <v>2248</v>
      </c>
      <c r="AH264" s="9">
        <v>6.2703319999999998</v>
      </c>
      <c r="AI264" s="9">
        <v>-75.601577000000006</v>
      </c>
      <c r="AJ264" s="9" t="s">
        <v>2249</v>
      </c>
      <c r="AK264" s="9">
        <v>6.2725460000000002</v>
      </c>
      <c r="AL264" s="9">
        <v>-75.602210999999997</v>
      </c>
      <c r="AM264" s="26">
        <f t="shared" si="4"/>
        <v>0</v>
      </c>
      <c r="AN264" s="9"/>
    </row>
    <row r="265" spans="1:40" ht="15" x14ac:dyDescent="0.25">
      <c r="A265" s="9" t="s">
        <v>2250</v>
      </c>
      <c r="B265" s="9" t="s">
        <v>2251</v>
      </c>
      <c r="C265" s="9" t="s">
        <v>2252</v>
      </c>
      <c r="D265" s="9" t="s">
        <v>2165</v>
      </c>
      <c r="E265" s="9" t="s">
        <v>36</v>
      </c>
      <c r="F265" s="9" t="s">
        <v>406</v>
      </c>
      <c r="G265" s="9" t="s">
        <v>135</v>
      </c>
      <c r="H265" s="9" t="s">
        <v>136</v>
      </c>
      <c r="I265" s="9" t="s">
        <v>115</v>
      </c>
      <c r="J265" s="9">
        <v>3211</v>
      </c>
      <c r="K265" s="9" t="s">
        <v>2253</v>
      </c>
      <c r="L265" s="9" t="s">
        <v>117</v>
      </c>
      <c r="M265" s="10">
        <v>4.2245370370370371E-3</v>
      </c>
      <c r="N265" s="9" t="s">
        <v>65</v>
      </c>
      <c r="O265" s="9" t="s">
        <v>2254</v>
      </c>
      <c r="P265" s="9" t="s">
        <v>119</v>
      </c>
      <c r="Q265" s="10">
        <v>2.2569444444444438E-3</v>
      </c>
      <c r="R265" s="9" t="s">
        <v>46</v>
      </c>
      <c r="S265" s="10">
        <v>0.2435185185185185</v>
      </c>
      <c r="T265" s="9">
        <v>49.045000000000002</v>
      </c>
      <c r="U265" s="9">
        <v>17.739999999999998</v>
      </c>
      <c r="V265" s="10">
        <v>0.1152083333333333</v>
      </c>
      <c r="W265" s="10">
        <v>5.6284722222222222E-2</v>
      </c>
      <c r="X265" s="10">
        <v>0</v>
      </c>
      <c r="Y265" s="9">
        <v>0</v>
      </c>
      <c r="Z265" s="9">
        <v>0</v>
      </c>
      <c r="AA265" s="9">
        <v>0</v>
      </c>
      <c r="AB265" s="9">
        <v>0</v>
      </c>
      <c r="AC265" s="9">
        <v>0</v>
      </c>
      <c r="AD265" s="9">
        <v>3</v>
      </c>
      <c r="AE265" s="9" t="s">
        <v>84</v>
      </c>
      <c r="AF265" s="9" t="s">
        <v>292</v>
      </c>
      <c r="AG265" s="9" t="s">
        <v>2145</v>
      </c>
      <c r="AH265" s="9">
        <v>6.2948950000000004</v>
      </c>
      <c r="AI265" s="9">
        <v>-75.543943999999996</v>
      </c>
      <c r="AJ265" s="9" t="s">
        <v>2255</v>
      </c>
      <c r="AK265" s="9">
        <v>6.276154</v>
      </c>
      <c r="AL265" s="9">
        <v>-75.547662000000003</v>
      </c>
      <c r="AM265" s="26">
        <f t="shared" si="4"/>
        <v>0</v>
      </c>
      <c r="AN265" s="9"/>
    </row>
    <row r="266" spans="1:40" ht="15" x14ac:dyDescent="0.25">
      <c r="A266" s="9" t="s">
        <v>2256</v>
      </c>
      <c r="B266" s="9" t="s">
        <v>2257</v>
      </c>
      <c r="C266" s="9" t="s">
        <v>2258</v>
      </c>
      <c r="D266" s="9" t="s">
        <v>2165</v>
      </c>
      <c r="E266" s="9" t="s">
        <v>36</v>
      </c>
      <c r="F266" s="9" t="s">
        <v>406</v>
      </c>
      <c r="G266" s="9" t="s">
        <v>144</v>
      </c>
      <c r="H266" s="9" t="s">
        <v>145</v>
      </c>
      <c r="I266" s="9" t="s">
        <v>115</v>
      </c>
      <c r="J266" s="9">
        <v>5671</v>
      </c>
      <c r="K266" s="9" t="s">
        <v>2259</v>
      </c>
      <c r="L266" s="9" t="s">
        <v>117</v>
      </c>
      <c r="M266" s="10">
        <v>2.0995370370370369E-2</v>
      </c>
      <c r="N266" s="9" t="s">
        <v>127</v>
      </c>
      <c r="O266" s="9" t="s">
        <v>2260</v>
      </c>
      <c r="P266" s="9" t="s">
        <v>119</v>
      </c>
      <c r="Q266" s="10">
        <v>1.655092592592593E-3</v>
      </c>
      <c r="R266" s="9" t="s">
        <v>46</v>
      </c>
      <c r="S266" s="10">
        <v>0.2693402777777778</v>
      </c>
      <c r="T266" s="9">
        <v>76.572000000000003</v>
      </c>
      <c r="U266" s="9">
        <v>15.06</v>
      </c>
      <c r="V266" s="10">
        <v>0.2119212962962963</v>
      </c>
      <c r="W266" s="10">
        <v>7.5462962962962968E-2</v>
      </c>
      <c r="X266" s="10">
        <v>0</v>
      </c>
      <c r="Y266" s="9">
        <v>0</v>
      </c>
      <c r="Z266" s="9">
        <v>0</v>
      </c>
      <c r="AA266" s="9">
        <v>0</v>
      </c>
      <c r="AB266" s="9">
        <v>0</v>
      </c>
      <c r="AC266" s="9">
        <v>0</v>
      </c>
      <c r="AD266" s="9">
        <v>0</v>
      </c>
      <c r="AE266" s="9" t="s">
        <v>139</v>
      </c>
      <c r="AF266" s="9" t="s">
        <v>2261</v>
      </c>
      <c r="AG266" s="9" t="s">
        <v>2262</v>
      </c>
      <c r="AH266" s="9">
        <v>6.2903560000000001</v>
      </c>
      <c r="AI266" s="9">
        <v>-75.546459999999996</v>
      </c>
      <c r="AJ266" s="9" t="s">
        <v>2263</v>
      </c>
      <c r="AK266" s="9">
        <v>6.2905749999999996</v>
      </c>
      <c r="AL266" s="9">
        <v>-75.546401000000003</v>
      </c>
      <c r="AM266" s="26">
        <f t="shared" si="4"/>
        <v>0</v>
      </c>
      <c r="AN266" s="9"/>
    </row>
    <row r="267" spans="1:40" ht="15" x14ac:dyDescent="0.25">
      <c r="A267" s="9" t="s">
        <v>2264</v>
      </c>
      <c r="B267" s="9" t="s">
        <v>2265</v>
      </c>
      <c r="C267" s="9" t="s">
        <v>2266</v>
      </c>
      <c r="D267" s="9" t="s">
        <v>2165</v>
      </c>
      <c r="E267" s="9" t="s">
        <v>36</v>
      </c>
      <c r="F267" s="9" t="s">
        <v>406</v>
      </c>
      <c r="G267" s="9" t="s">
        <v>152</v>
      </c>
      <c r="H267" s="9" t="s">
        <v>153</v>
      </c>
      <c r="I267" s="9" t="s">
        <v>115</v>
      </c>
      <c r="J267" s="9">
        <v>1541</v>
      </c>
      <c r="K267" s="9" t="s">
        <v>2267</v>
      </c>
      <c r="L267" s="9" t="s">
        <v>117</v>
      </c>
      <c r="M267" s="10">
        <v>6.3657407407407413E-4</v>
      </c>
      <c r="N267" s="9" t="s">
        <v>65</v>
      </c>
      <c r="O267" s="9" t="s">
        <v>2268</v>
      </c>
      <c r="P267" s="9" t="s">
        <v>119</v>
      </c>
      <c r="Q267" s="10">
        <v>9.060185185185185E-2</v>
      </c>
      <c r="R267" s="9" t="s">
        <v>56</v>
      </c>
      <c r="S267" s="10">
        <v>0.1600347222222222</v>
      </c>
      <c r="T267" s="9">
        <v>20.175000000000001</v>
      </c>
      <c r="U267" s="9">
        <v>7.77</v>
      </c>
      <c r="V267" s="10">
        <v>0.1082175925925926</v>
      </c>
      <c r="W267" s="10">
        <v>7.5081018518518519E-2</v>
      </c>
      <c r="X267" s="10">
        <v>0</v>
      </c>
      <c r="Y267" s="9">
        <v>0</v>
      </c>
      <c r="Z267" s="9">
        <v>0</v>
      </c>
      <c r="AA267" s="9">
        <v>0</v>
      </c>
      <c r="AB267" s="9">
        <v>0</v>
      </c>
      <c r="AC267" s="9">
        <v>0</v>
      </c>
      <c r="AD267" s="9">
        <v>0</v>
      </c>
      <c r="AE267" s="9" t="s">
        <v>67</v>
      </c>
      <c r="AF267" s="9" t="s">
        <v>2269</v>
      </c>
      <c r="AG267" s="9" t="s">
        <v>2270</v>
      </c>
      <c r="AH267" s="9">
        <v>6.2504369999999998</v>
      </c>
      <c r="AI267" s="9">
        <v>-75.552269999999993</v>
      </c>
      <c r="AJ267" s="9" t="s">
        <v>2271</v>
      </c>
      <c r="AK267" s="9">
        <v>6.2517620000000003</v>
      </c>
      <c r="AL267" s="9">
        <v>-75.551820000000006</v>
      </c>
      <c r="AM267" s="26">
        <f t="shared" si="4"/>
        <v>9.060185185185185E-2</v>
      </c>
      <c r="AN267" s="9"/>
    </row>
    <row r="268" spans="1:40" ht="15" x14ac:dyDescent="0.25">
      <c r="A268" s="9" t="s">
        <v>2272</v>
      </c>
      <c r="B268" s="9" t="s">
        <v>2273</v>
      </c>
      <c r="C268" s="9" t="s">
        <v>2274</v>
      </c>
      <c r="D268" s="9" t="s">
        <v>2165</v>
      </c>
      <c r="E268" s="9" t="s">
        <v>36</v>
      </c>
      <c r="F268" s="9" t="s">
        <v>406</v>
      </c>
      <c r="G268" s="9" t="s">
        <v>160</v>
      </c>
      <c r="H268" s="9" t="s">
        <v>161</v>
      </c>
      <c r="I268" s="9" t="s">
        <v>115</v>
      </c>
      <c r="J268" s="9">
        <v>4430</v>
      </c>
      <c r="K268" s="9" t="s">
        <v>2275</v>
      </c>
      <c r="L268" s="9" t="s">
        <v>117</v>
      </c>
      <c r="M268" s="10">
        <v>4.7679513888888893E-3</v>
      </c>
      <c r="N268" s="9" t="s">
        <v>65</v>
      </c>
      <c r="O268" s="9" t="s">
        <v>2276</v>
      </c>
      <c r="P268" s="9" t="s">
        <v>119</v>
      </c>
      <c r="Q268" s="10">
        <v>6.0885532407407416E-3</v>
      </c>
      <c r="R268" s="9" t="s">
        <v>46</v>
      </c>
      <c r="S268" s="10">
        <v>0.26085650462962962</v>
      </c>
      <c r="T268" s="9">
        <v>33.304000000000002</v>
      </c>
      <c r="U268" s="9">
        <v>6.69</v>
      </c>
      <c r="V268" s="10">
        <v>0.20740732638888901</v>
      </c>
      <c r="W268" s="10">
        <v>0.1747453587962963</v>
      </c>
      <c r="X268" s="10">
        <v>0</v>
      </c>
      <c r="Y268" s="9">
        <v>0</v>
      </c>
      <c r="Z268" s="9">
        <v>0</v>
      </c>
      <c r="AA268" s="9">
        <v>0</v>
      </c>
      <c r="AB268" s="9">
        <v>0</v>
      </c>
      <c r="AC268" s="9">
        <v>0</v>
      </c>
      <c r="AD268" s="9">
        <v>1</v>
      </c>
      <c r="AE268" s="9" t="s">
        <v>84</v>
      </c>
      <c r="AF268" s="9" t="s">
        <v>324</v>
      </c>
      <c r="AG268" s="9" t="s">
        <v>2277</v>
      </c>
      <c r="AH268" s="9">
        <v>6.2294980000000004</v>
      </c>
      <c r="AI268" s="9">
        <v>-75.573103000000003</v>
      </c>
      <c r="AJ268" s="9" t="s">
        <v>2278</v>
      </c>
      <c r="AK268" s="9">
        <v>6.2684470000000001</v>
      </c>
      <c r="AL268" s="9">
        <v>-75.599478000000005</v>
      </c>
      <c r="AM268" s="26">
        <f t="shared" si="4"/>
        <v>0</v>
      </c>
      <c r="AN268" s="9"/>
    </row>
    <row r="269" spans="1:40" ht="15" x14ac:dyDescent="0.25">
      <c r="A269" s="9" t="s">
        <v>2279</v>
      </c>
      <c r="B269" s="9" t="s">
        <v>2280</v>
      </c>
      <c r="C269" s="9" t="s">
        <v>2281</v>
      </c>
      <c r="D269" s="9" t="s">
        <v>2236</v>
      </c>
      <c r="E269" s="9" t="s">
        <v>36</v>
      </c>
      <c r="F269" s="9" t="s">
        <v>455</v>
      </c>
      <c r="G269" s="9" t="s">
        <v>97</v>
      </c>
      <c r="H269" s="9" t="s">
        <v>98</v>
      </c>
      <c r="I269" s="9" t="s">
        <v>115</v>
      </c>
      <c r="J269" s="9">
        <v>1667</v>
      </c>
      <c r="K269" s="9" t="s">
        <v>2282</v>
      </c>
      <c r="L269" s="9" t="s">
        <v>117</v>
      </c>
      <c r="M269" s="10">
        <v>4.9768518518518521E-3</v>
      </c>
      <c r="N269" s="9" t="s">
        <v>65</v>
      </c>
      <c r="O269" s="9" t="s">
        <v>2283</v>
      </c>
      <c r="P269" s="9" t="s">
        <v>119</v>
      </c>
      <c r="Q269" s="10">
        <v>9.3749999999999997E-4</v>
      </c>
      <c r="R269" s="9" t="s">
        <v>46</v>
      </c>
      <c r="S269" s="10">
        <v>0.24596064814814811</v>
      </c>
      <c r="T269" s="9">
        <v>20.145</v>
      </c>
      <c r="U269" s="9">
        <v>5.66</v>
      </c>
      <c r="V269" s="10">
        <v>0.1482523148148148</v>
      </c>
      <c r="W269" s="10">
        <v>0.10447916666666671</v>
      </c>
      <c r="X269" s="10">
        <v>0</v>
      </c>
      <c r="Y269" s="9">
        <v>0</v>
      </c>
      <c r="Z269" s="9">
        <v>0</v>
      </c>
      <c r="AA269" s="9">
        <v>0</v>
      </c>
      <c r="AB269" s="9">
        <v>0</v>
      </c>
      <c r="AC269" s="9">
        <v>0</v>
      </c>
      <c r="AD269" s="9">
        <v>0</v>
      </c>
      <c r="AE269" s="9" t="s">
        <v>84</v>
      </c>
      <c r="AF269" s="9" t="s">
        <v>2284</v>
      </c>
      <c r="AG269" s="9" t="s">
        <v>2285</v>
      </c>
      <c r="AH269" s="9">
        <v>6.3081019999999999</v>
      </c>
      <c r="AI269" s="9">
        <v>-75.582305000000005</v>
      </c>
      <c r="AJ269" s="9" t="s">
        <v>2286</v>
      </c>
      <c r="AK269" s="9">
        <v>6.3105060000000002</v>
      </c>
      <c r="AL269" s="9">
        <v>-75.578899000000007</v>
      </c>
      <c r="AM269" s="26">
        <f t="shared" si="4"/>
        <v>0</v>
      </c>
      <c r="AN269" s="9"/>
    </row>
    <row r="270" spans="1:40" ht="15" x14ac:dyDescent="0.25">
      <c r="A270" s="9" t="s">
        <v>2287</v>
      </c>
      <c r="B270" s="9" t="s">
        <v>2288</v>
      </c>
      <c r="C270" s="9" t="s">
        <v>2289</v>
      </c>
      <c r="D270" s="9" t="s">
        <v>2290</v>
      </c>
      <c r="E270" s="9" t="s">
        <v>36</v>
      </c>
      <c r="F270" s="9" t="s">
        <v>508</v>
      </c>
      <c r="G270" s="9" t="s">
        <v>38</v>
      </c>
      <c r="H270" s="9" t="s">
        <v>39</v>
      </c>
      <c r="I270" s="9" t="s">
        <v>40</v>
      </c>
      <c r="J270" s="9">
        <v>7087</v>
      </c>
      <c r="K270" s="9" t="s">
        <v>2291</v>
      </c>
      <c r="L270" s="9" t="s">
        <v>42</v>
      </c>
      <c r="M270" s="10">
        <v>4.5371481481481478E-2</v>
      </c>
      <c r="N270" s="9" t="s">
        <v>43</v>
      </c>
      <c r="O270" s="9" t="s">
        <v>2292</v>
      </c>
      <c r="P270" s="9" t="s">
        <v>45</v>
      </c>
      <c r="Q270" s="10">
        <v>1.73037037037037E-3</v>
      </c>
      <c r="R270" s="9" t="s">
        <v>46</v>
      </c>
      <c r="S270" s="10">
        <v>0.28969222222222218</v>
      </c>
      <c r="T270" s="9">
        <v>44.883000000000003</v>
      </c>
      <c r="U270" s="9">
        <v>23.7</v>
      </c>
      <c r="V270" s="10">
        <v>7.8912175925925948E-2</v>
      </c>
      <c r="W270" s="10">
        <v>3.4039629629629628E-2</v>
      </c>
      <c r="X270" s="10">
        <v>0</v>
      </c>
      <c r="Y270" s="9">
        <v>0</v>
      </c>
      <c r="Z270" s="9">
        <v>0</v>
      </c>
      <c r="AA270" s="9">
        <v>0</v>
      </c>
      <c r="AB270" s="9">
        <v>0</v>
      </c>
      <c r="AC270" s="9">
        <v>0</v>
      </c>
      <c r="AD270" s="9">
        <v>6</v>
      </c>
      <c r="AE270" s="9" t="s">
        <v>47</v>
      </c>
      <c r="AF270" s="9" t="s">
        <v>2293</v>
      </c>
      <c r="AG270" s="9" t="s">
        <v>2294</v>
      </c>
      <c r="AH270" s="9">
        <v>6.2253509999999999</v>
      </c>
      <c r="AI270" s="9">
        <v>-75.599309000000005</v>
      </c>
      <c r="AJ270" s="9" t="s">
        <v>2295</v>
      </c>
      <c r="AK270" s="9">
        <v>6.2233780000000003</v>
      </c>
      <c r="AL270" s="9">
        <v>-75.595094000000003</v>
      </c>
      <c r="AM270" s="26">
        <f t="shared" si="4"/>
        <v>4.5371481481481478E-2</v>
      </c>
      <c r="AN270" s="9" t="s">
        <v>2391</v>
      </c>
    </row>
    <row r="271" spans="1:40" ht="15" x14ac:dyDescent="0.25">
      <c r="A271" s="9" t="s">
        <v>2296</v>
      </c>
      <c r="B271" s="9" t="s">
        <v>2297</v>
      </c>
      <c r="C271" s="9" t="s">
        <v>2298</v>
      </c>
      <c r="D271" s="9" t="s">
        <v>2290</v>
      </c>
      <c r="E271" s="9" t="s">
        <v>36</v>
      </c>
      <c r="F271" s="9" t="s">
        <v>508</v>
      </c>
      <c r="G271" s="9" t="s">
        <v>52</v>
      </c>
      <c r="H271" s="9" t="s">
        <v>53</v>
      </c>
      <c r="I271" s="9" t="s">
        <v>40</v>
      </c>
      <c r="J271" s="9">
        <v>1490</v>
      </c>
      <c r="K271" s="9" t="s">
        <v>2299</v>
      </c>
      <c r="L271" s="9" t="s">
        <v>42</v>
      </c>
      <c r="M271" s="10">
        <v>1.30787037037037E-2</v>
      </c>
      <c r="N271" s="9" t="s">
        <v>43</v>
      </c>
      <c r="O271" s="9" t="s">
        <v>2300</v>
      </c>
      <c r="P271" s="9" t="s">
        <v>45</v>
      </c>
      <c r="Q271" s="10">
        <v>2.1180555555555562E-3</v>
      </c>
      <c r="R271" s="9" t="s">
        <v>46</v>
      </c>
      <c r="S271" s="10">
        <v>0.32237268518518519</v>
      </c>
      <c r="T271" s="9">
        <v>18.555</v>
      </c>
      <c r="U271" s="9">
        <v>3.4</v>
      </c>
      <c r="V271" s="10">
        <v>0.22714120370370369</v>
      </c>
      <c r="W271" s="10">
        <v>0.1910648148148148</v>
      </c>
      <c r="X271" s="10">
        <v>0</v>
      </c>
      <c r="Y271" s="9">
        <v>0</v>
      </c>
      <c r="Z271" s="9">
        <v>0</v>
      </c>
      <c r="AA271" s="9">
        <v>0</v>
      </c>
      <c r="AB271" s="9">
        <v>0</v>
      </c>
      <c r="AC271" s="9">
        <v>0</v>
      </c>
      <c r="AD271" s="9">
        <v>4</v>
      </c>
      <c r="AE271" s="9" t="s">
        <v>47</v>
      </c>
      <c r="AF271" s="9" t="s">
        <v>2301</v>
      </c>
      <c r="AG271" s="9" t="s">
        <v>2302</v>
      </c>
      <c r="AH271" s="9">
        <v>6.2256169999999997</v>
      </c>
      <c r="AI271" s="9">
        <v>-75.599421000000007</v>
      </c>
      <c r="AJ271" s="9" t="s">
        <v>2303</v>
      </c>
      <c r="AK271" s="9">
        <v>6.247649</v>
      </c>
      <c r="AL271" s="9">
        <v>-75.614937999999995</v>
      </c>
      <c r="AM271" s="26">
        <f t="shared" si="4"/>
        <v>1.30787037037037E-2</v>
      </c>
      <c r="AN271" s="9"/>
    </row>
    <row r="272" spans="1:40" ht="15" x14ac:dyDescent="0.25">
      <c r="A272" s="9" t="s">
        <v>2304</v>
      </c>
      <c r="B272" s="9" t="s">
        <v>2305</v>
      </c>
      <c r="C272" s="9" t="s">
        <v>2306</v>
      </c>
      <c r="D272" s="9" t="s">
        <v>2290</v>
      </c>
      <c r="E272" s="9" t="s">
        <v>36</v>
      </c>
      <c r="F272" s="9" t="s">
        <v>508</v>
      </c>
      <c r="G272" s="9" t="s">
        <v>62</v>
      </c>
      <c r="H272" s="9" t="s">
        <v>63</v>
      </c>
      <c r="I272" s="9" t="s">
        <v>40</v>
      </c>
      <c r="J272" s="9">
        <v>2468</v>
      </c>
      <c r="K272" s="9" t="s">
        <v>2307</v>
      </c>
      <c r="L272" s="9" t="s">
        <v>42</v>
      </c>
      <c r="M272" s="10">
        <v>1.9189814814814819E-2</v>
      </c>
      <c r="N272" s="9" t="s">
        <v>43</v>
      </c>
      <c r="O272" s="9" t="s">
        <v>2308</v>
      </c>
      <c r="P272" s="9" t="s">
        <v>45</v>
      </c>
      <c r="Q272" s="10">
        <v>5.8819444444444452E-2</v>
      </c>
      <c r="R272" s="9" t="s">
        <v>56</v>
      </c>
      <c r="S272" s="10">
        <v>0.25532407407407409</v>
      </c>
      <c r="T272" s="9">
        <v>33.131999999999998</v>
      </c>
      <c r="U272" s="9">
        <v>9.4499999999999993</v>
      </c>
      <c r="V272" s="10">
        <v>0.146087962962963</v>
      </c>
      <c r="W272" s="10">
        <v>9.3599537037037037E-2</v>
      </c>
      <c r="X272" s="10">
        <v>0</v>
      </c>
      <c r="Y272" s="9">
        <v>0</v>
      </c>
      <c r="Z272" s="9">
        <v>0</v>
      </c>
      <c r="AA272" s="9">
        <v>0</v>
      </c>
      <c r="AB272" s="9">
        <v>0</v>
      </c>
      <c r="AC272" s="9">
        <v>0</v>
      </c>
      <c r="AD272" s="9">
        <v>0</v>
      </c>
      <c r="AE272" s="9" t="s">
        <v>57</v>
      </c>
      <c r="AF272" s="9" t="s">
        <v>2309</v>
      </c>
      <c r="AG272" s="9" t="s">
        <v>2310</v>
      </c>
      <c r="AH272" s="9">
        <v>6.2256559999999999</v>
      </c>
      <c r="AI272" s="9">
        <v>-75.599446</v>
      </c>
      <c r="AJ272" s="9" t="s">
        <v>2311</v>
      </c>
      <c r="AK272" s="9">
        <v>6.2858210000000003</v>
      </c>
      <c r="AL272" s="9">
        <v>-75.584147999999999</v>
      </c>
      <c r="AM272" s="26">
        <f t="shared" si="4"/>
        <v>7.8009259259259278E-2</v>
      </c>
      <c r="AN272" s="9"/>
    </row>
    <row r="273" spans="1:40" ht="15" x14ac:dyDescent="0.25">
      <c r="A273" s="9" t="s">
        <v>2312</v>
      </c>
      <c r="B273" s="9" t="s">
        <v>2313</v>
      </c>
      <c r="C273" s="9" t="s">
        <v>2314</v>
      </c>
      <c r="D273" s="9" t="s">
        <v>2290</v>
      </c>
      <c r="E273" s="9" t="s">
        <v>36</v>
      </c>
      <c r="F273" s="9" t="s">
        <v>508</v>
      </c>
      <c r="G273" s="9" t="s">
        <v>72</v>
      </c>
      <c r="H273" s="9" t="s">
        <v>73</v>
      </c>
      <c r="I273" s="9" t="s">
        <v>40</v>
      </c>
      <c r="J273" s="9">
        <v>4221</v>
      </c>
      <c r="K273" s="9" t="s">
        <v>2315</v>
      </c>
      <c r="L273" s="9" t="s">
        <v>42</v>
      </c>
      <c r="M273" s="10">
        <v>2.1180555555555562E-3</v>
      </c>
      <c r="N273" s="9" t="s">
        <v>65</v>
      </c>
      <c r="O273" s="9" t="s">
        <v>2316</v>
      </c>
      <c r="P273" s="9" t="s">
        <v>45</v>
      </c>
      <c r="Q273" s="10">
        <v>3.4548611111111113E-2</v>
      </c>
      <c r="R273" s="9" t="s">
        <v>56</v>
      </c>
      <c r="S273" s="10">
        <v>0.29666666666666669</v>
      </c>
      <c r="T273" s="9">
        <v>59.094999999999999</v>
      </c>
      <c r="U273" s="9">
        <v>9.26</v>
      </c>
      <c r="V273" s="10">
        <v>0.2658564814814815</v>
      </c>
      <c r="W273" s="10">
        <v>0.19457175925925929</v>
      </c>
      <c r="X273" s="10">
        <v>0</v>
      </c>
      <c r="Y273" s="9">
        <v>0</v>
      </c>
      <c r="Z273" s="9">
        <v>0</v>
      </c>
      <c r="AA273" s="9">
        <v>0</v>
      </c>
      <c r="AB273" s="9">
        <v>0</v>
      </c>
      <c r="AC273" s="9">
        <v>0</v>
      </c>
      <c r="AD273" s="9">
        <v>3</v>
      </c>
      <c r="AE273" s="9" t="s">
        <v>67</v>
      </c>
      <c r="AF273" s="9" t="s">
        <v>2317</v>
      </c>
      <c r="AG273" s="9" t="s">
        <v>2318</v>
      </c>
      <c r="AH273" s="9">
        <v>6.2257790000000002</v>
      </c>
      <c r="AI273" s="9">
        <v>-75.599106000000006</v>
      </c>
      <c r="AJ273" s="9" t="s">
        <v>2319</v>
      </c>
      <c r="AK273" s="9">
        <v>6.2453799999999999</v>
      </c>
      <c r="AL273" s="9">
        <v>-75.571899000000002</v>
      </c>
      <c r="AM273" s="26">
        <f t="shared" si="4"/>
        <v>3.4548611111111113E-2</v>
      </c>
      <c r="AN273" s="9"/>
    </row>
    <row r="274" spans="1:40" ht="15" x14ac:dyDescent="0.25">
      <c r="A274" s="9" t="s">
        <v>2320</v>
      </c>
      <c r="B274" s="9" t="s">
        <v>2321</v>
      </c>
      <c r="C274" s="9" t="s">
        <v>2322</v>
      </c>
      <c r="D274" s="9" t="s">
        <v>2290</v>
      </c>
      <c r="E274" s="9" t="s">
        <v>36</v>
      </c>
      <c r="F274" s="9" t="s">
        <v>508</v>
      </c>
      <c r="G274" s="9" t="s">
        <v>80</v>
      </c>
      <c r="H274" s="9" t="s">
        <v>81</v>
      </c>
      <c r="I274" s="9" t="s">
        <v>40</v>
      </c>
      <c r="J274" s="9">
        <v>4687</v>
      </c>
      <c r="K274" s="9" t="s">
        <v>2323</v>
      </c>
      <c r="L274" s="9" t="s">
        <v>42</v>
      </c>
      <c r="M274" s="10">
        <v>3.3910428240740739E-2</v>
      </c>
      <c r="N274" s="9" t="s">
        <v>43</v>
      </c>
      <c r="O274" s="9" t="s">
        <v>2324</v>
      </c>
      <c r="P274" s="9" t="s">
        <v>45</v>
      </c>
      <c r="Q274" s="10">
        <v>2.775601851851852E-3</v>
      </c>
      <c r="R274" s="9" t="s">
        <v>46</v>
      </c>
      <c r="S274" s="10">
        <v>0.29664730324074068</v>
      </c>
      <c r="T274" s="9">
        <v>25.309000000000001</v>
      </c>
      <c r="U274" s="9">
        <v>18.96</v>
      </c>
      <c r="V274" s="10">
        <v>5.561807870370359E-2</v>
      </c>
      <c r="W274" s="10">
        <v>3.7625763888888893E-2</v>
      </c>
      <c r="X274" s="10">
        <v>0</v>
      </c>
      <c r="Y274" s="9">
        <v>0</v>
      </c>
      <c r="Z274" s="9">
        <v>0</v>
      </c>
      <c r="AA274" s="9">
        <v>0</v>
      </c>
      <c r="AB274" s="9">
        <v>0</v>
      </c>
      <c r="AC274" s="9">
        <v>0</v>
      </c>
      <c r="AD274" s="9">
        <v>8</v>
      </c>
      <c r="AE274" s="9" t="s">
        <v>47</v>
      </c>
      <c r="AF274" s="9" t="s">
        <v>2325</v>
      </c>
      <c r="AG274" s="9" t="s">
        <v>2326</v>
      </c>
      <c r="AH274" s="9">
        <v>6.2254610000000001</v>
      </c>
      <c r="AI274" s="9">
        <v>-75.599211999999994</v>
      </c>
      <c r="AJ274" s="9" t="s">
        <v>2327</v>
      </c>
      <c r="AK274" s="9">
        <v>6.2592540000000003</v>
      </c>
      <c r="AL274" s="9">
        <v>-75.620909999999995</v>
      </c>
      <c r="AM274" s="26">
        <f t="shared" si="4"/>
        <v>3.3910428240740739E-2</v>
      </c>
      <c r="AN274" s="9"/>
    </row>
    <row r="275" spans="1:40" ht="15" x14ac:dyDescent="0.25">
      <c r="A275" s="9" t="s">
        <v>2328</v>
      </c>
      <c r="B275" s="9" t="s">
        <v>2329</v>
      </c>
      <c r="C275" s="9" t="s">
        <v>2330</v>
      </c>
      <c r="D275" s="9" t="s">
        <v>2290</v>
      </c>
      <c r="E275" s="9" t="s">
        <v>36</v>
      </c>
      <c r="F275" s="9" t="s">
        <v>508</v>
      </c>
      <c r="G275" s="9" t="s">
        <v>89</v>
      </c>
      <c r="H275" s="9" t="s">
        <v>90</v>
      </c>
      <c r="I275" s="9" t="s">
        <v>40</v>
      </c>
      <c r="J275" s="9">
        <v>5151</v>
      </c>
      <c r="K275" s="9" t="s">
        <v>2331</v>
      </c>
      <c r="L275" s="9" t="s">
        <v>42</v>
      </c>
      <c r="M275" s="10">
        <v>5.9375000000000001E-3</v>
      </c>
      <c r="N275" s="9" t="s">
        <v>65</v>
      </c>
      <c r="O275" s="9" t="s">
        <v>2332</v>
      </c>
      <c r="P275" s="9" t="s">
        <v>45</v>
      </c>
      <c r="Q275" s="10">
        <v>5.1504629629629626E-3</v>
      </c>
      <c r="R275" s="9" t="s">
        <v>46</v>
      </c>
      <c r="S275" s="10">
        <v>0.34442129629629631</v>
      </c>
      <c r="T275" s="9">
        <v>75.736000000000004</v>
      </c>
      <c r="U275" s="9">
        <v>11.16</v>
      </c>
      <c r="V275" s="10">
        <v>0.28280092592592587</v>
      </c>
      <c r="W275" s="10">
        <v>0.16743055555555561</v>
      </c>
      <c r="X275" s="10">
        <v>0</v>
      </c>
      <c r="Y275" s="9">
        <v>0</v>
      </c>
      <c r="Z275" s="9">
        <v>0</v>
      </c>
      <c r="AA275" s="9">
        <v>0</v>
      </c>
      <c r="AB275" s="9">
        <v>0</v>
      </c>
      <c r="AC275" s="9">
        <v>0</v>
      </c>
      <c r="AD275" s="9">
        <v>2</v>
      </c>
      <c r="AE275" s="9" t="s">
        <v>84</v>
      </c>
      <c r="AF275" s="9" t="s">
        <v>1384</v>
      </c>
      <c r="AG275" s="9" t="s">
        <v>2333</v>
      </c>
      <c r="AH275" s="9">
        <v>6.2267219999999996</v>
      </c>
      <c r="AI275" s="9">
        <v>-75.599288999999999</v>
      </c>
      <c r="AJ275" s="9" t="s">
        <v>2334</v>
      </c>
      <c r="AK275" s="9">
        <v>6.2788469999999998</v>
      </c>
      <c r="AL275" s="9">
        <v>-75.569132999999994</v>
      </c>
      <c r="AM275" s="26">
        <f t="shared" si="4"/>
        <v>0</v>
      </c>
      <c r="AN275" s="9"/>
    </row>
    <row r="276" spans="1:40" ht="15" x14ac:dyDescent="0.25">
      <c r="A276" s="9" t="s">
        <v>2335</v>
      </c>
      <c r="B276" s="9" t="s">
        <v>2336</v>
      </c>
      <c r="C276" s="9" t="s">
        <v>2337</v>
      </c>
      <c r="D276" s="9" t="s">
        <v>2290</v>
      </c>
      <c r="E276" s="9" t="s">
        <v>36</v>
      </c>
      <c r="F276" s="9" t="s">
        <v>508</v>
      </c>
      <c r="G276" s="9" t="s">
        <v>105</v>
      </c>
      <c r="H276" s="9" t="s">
        <v>106</v>
      </c>
      <c r="I276" s="9" t="s">
        <v>40</v>
      </c>
      <c r="J276" s="9">
        <v>413</v>
      </c>
      <c r="K276" s="9" t="s">
        <v>2338</v>
      </c>
      <c r="L276" s="9" t="s">
        <v>42</v>
      </c>
      <c r="M276" s="10">
        <v>0.2099189814814815</v>
      </c>
      <c r="N276" s="9" t="s">
        <v>43</v>
      </c>
      <c r="O276" s="9" t="s">
        <v>2339</v>
      </c>
      <c r="P276" s="9" t="s">
        <v>45</v>
      </c>
      <c r="Q276" s="10">
        <v>3.9375E-2</v>
      </c>
      <c r="R276" s="9" t="s">
        <v>129</v>
      </c>
      <c r="S276" s="10">
        <v>0.16278935185185189</v>
      </c>
      <c r="T276" s="9">
        <v>4.6319999999999997</v>
      </c>
      <c r="U276" s="9">
        <v>6.81</v>
      </c>
      <c r="V276" s="10">
        <v>2.8344907407407409E-2</v>
      </c>
      <c r="W276" s="10">
        <v>1.9201388888888889E-2</v>
      </c>
      <c r="X276" s="10">
        <v>0</v>
      </c>
      <c r="Y276" s="9">
        <v>0</v>
      </c>
      <c r="Z276" s="9">
        <v>0</v>
      </c>
      <c r="AA276" s="9">
        <v>0</v>
      </c>
      <c r="AB276" s="9">
        <v>0</v>
      </c>
      <c r="AC276" s="9">
        <v>0</v>
      </c>
      <c r="AD276" s="9">
        <v>0</v>
      </c>
      <c r="AE276" s="9" t="s">
        <v>130</v>
      </c>
      <c r="AF276" s="9" t="s">
        <v>2340</v>
      </c>
      <c r="AG276" s="9" t="s">
        <v>2341</v>
      </c>
      <c r="AH276" s="9">
        <v>6.2594450000000004</v>
      </c>
      <c r="AI276" s="9">
        <v>-75.599485999999999</v>
      </c>
      <c r="AJ276" s="9" t="s">
        <v>2342</v>
      </c>
      <c r="AK276" s="9">
        <v>6.2586639999999996</v>
      </c>
      <c r="AL276" s="9">
        <v>-75.616157000000001</v>
      </c>
      <c r="AM276" s="26">
        <f t="shared" si="4"/>
        <v>0.2099189814814815</v>
      </c>
      <c r="AN276" s="9"/>
    </row>
    <row r="277" spans="1:40" ht="15" x14ac:dyDescent="0.25">
      <c r="A277" s="9" t="s">
        <v>2343</v>
      </c>
      <c r="B277" s="9" t="s">
        <v>2344</v>
      </c>
      <c r="C277" s="9" t="s">
        <v>2345</v>
      </c>
      <c r="D277" s="9" t="s">
        <v>2290</v>
      </c>
      <c r="E277" s="9" t="s">
        <v>36</v>
      </c>
      <c r="F277" s="9" t="s">
        <v>508</v>
      </c>
      <c r="G277" s="9" t="s">
        <v>113</v>
      </c>
      <c r="H277" s="9" t="s">
        <v>114</v>
      </c>
      <c r="I277" s="9" t="s">
        <v>40</v>
      </c>
      <c r="J277" s="9">
        <v>3416</v>
      </c>
      <c r="K277" s="9" t="s">
        <v>2346</v>
      </c>
      <c r="L277" s="9" t="s">
        <v>42</v>
      </c>
      <c r="M277" s="10">
        <v>3.063657407407407E-2</v>
      </c>
      <c r="N277" s="9" t="s">
        <v>43</v>
      </c>
      <c r="O277" s="9" t="s">
        <v>2347</v>
      </c>
      <c r="P277" s="9" t="s">
        <v>45</v>
      </c>
      <c r="Q277" s="10">
        <v>8.5879629629629622E-3</v>
      </c>
      <c r="R277" s="9" t="s">
        <v>46</v>
      </c>
      <c r="S277" s="10">
        <v>0.29410879629629633</v>
      </c>
      <c r="T277" s="9">
        <v>43.97</v>
      </c>
      <c r="U277" s="9">
        <v>7.07</v>
      </c>
      <c r="V277" s="10">
        <v>0.2590972222222222</v>
      </c>
      <c r="W277" s="10">
        <v>0.18869212962962961</v>
      </c>
      <c r="X277" s="10">
        <v>0</v>
      </c>
      <c r="Y277" s="9">
        <v>0</v>
      </c>
      <c r="Z277" s="9">
        <v>0</v>
      </c>
      <c r="AA277" s="9">
        <v>0</v>
      </c>
      <c r="AB277" s="9">
        <v>0</v>
      </c>
      <c r="AC277" s="9">
        <v>0</v>
      </c>
      <c r="AD277" s="9">
        <v>2</v>
      </c>
      <c r="AE277" s="9" t="s">
        <v>47</v>
      </c>
      <c r="AF277" s="9" t="s">
        <v>2348</v>
      </c>
      <c r="AG277" s="9" t="s">
        <v>2349</v>
      </c>
      <c r="AH277" s="9">
        <v>6.2301279999999997</v>
      </c>
      <c r="AI277" s="9">
        <v>-75.602007999999998</v>
      </c>
      <c r="AJ277" s="9" t="s">
        <v>2350</v>
      </c>
      <c r="AK277" s="9">
        <v>6.2123840000000001</v>
      </c>
      <c r="AL277" s="9">
        <v>-75.585819999999998</v>
      </c>
      <c r="AM277" s="26">
        <f t="shared" si="4"/>
        <v>3.063657407407407E-2</v>
      </c>
      <c r="AN277" s="9"/>
    </row>
    <row r="278" spans="1:40" ht="15" x14ac:dyDescent="0.25">
      <c r="A278" s="9" t="s">
        <v>2351</v>
      </c>
      <c r="B278" s="9" t="s">
        <v>2352</v>
      </c>
      <c r="C278" s="9" t="s">
        <v>2353</v>
      </c>
      <c r="D278" s="9" t="s">
        <v>2290</v>
      </c>
      <c r="E278" s="9" t="s">
        <v>36</v>
      </c>
      <c r="F278" s="9" t="s">
        <v>508</v>
      </c>
      <c r="G278" s="9" t="s">
        <v>124</v>
      </c>
      <c r="H278" s="9" t="s">
        <v>125</v>
      </c>
      <c r="I278" s="9" t="s">
        <v>115</v>
      </c>
      <c r="J278" s="9">
        <v>6925</v>
      </c>
      <c r="K278" s="9" t="s">
        <v>2354</v>
      </c>
      <c r="L278" s="9" t="s">
        <v>117</v>
      </c>
      <c r="M278" s="10">
        <v>1.6180555555555559E-2</v>
      </c>
      <c r="N278" s="9" t="s">
        <v>127</v>
      </c>
      <c r="O278" s="9" t="s">
        <v>2355</v>
      </c>
      <c r="P278" s="9" t="s">
        <v>119</v>
      </c>
      <c r="Q278" s="10">
        <v>7.6157407407407406E-3</v>
      </c>
      <c r="R278" s="9" t="s">
        <v>46</v>
      </c>
      <c r="S278" s="10">
        <v>0.27379629629629632</v>
      </c>
      <c r="T278" s="9">
        <v>96.064999999999998</v>
      </c>
      <c r="U278" s="9">
        <v>18.920000000000002</v>
      </c>
      <c r="V278" s="10">
        <v>0.21157407407407411</v>
      </c>
      <c r="W278" s="10">
        <v>5.8495370370370371E-2</v>
      </c>
      <c r="X278" s="10">
        <v>0</v>
      </c>
      <c r="Y278" s="9">
        <v>0</v>
      </c>
      <c r="Z278" s="9">
        <v>0</v>
      </c>
      <c r="AA278" s="9">
        <v>0</v>
      </c>
      <c r="AB278" s="9">
        <v>0</v>
      </c>
      <c r="AC278" s="9">
        <v>0</v>
      </c>
      <c r="AD278" s="9">
        <v>0</v>
      </c>
      <c r="AE278" s="9" t="s">
        <v>139</v>
      </c>
      <c r="AF278" s="9" t="s">
        <v>2356</v>
      </c>
      <c r="AG278" s="9" t="s">
        <v>2357</v>
      </c>
      <c r="AH278" s="9">
        <v>6.2276020000000001</v>
      </c>
      <c r="AI278" s="9">
        <v>-75.599125999999998</v>
      </c>
      <c r="AJ278" s="9" t="s">
        <v>2358</v>
      </c>
      <c r="AK278" s="9">
        <v>6.2726920000000002</v>
      </c>
      <c r="AL278" s="9">
        <v>-75.601997999999995</v>
      </c>
      <c r="AM278" s="26">
        <f t="shared" si="4"/>
        <v>0</v>
      </c>
      <c r="AN278" s="9"/>
    </row>
    <row r="279" spans="1:40" ht="15" x14ac:dyDescent="0.25">
      <c r="A279" s="9" t="s">
        <v>2359</v>
      </c>
      <c r="B279" s="9" t="s">
        <v>2360</v>
      </c>
      <c r="C279" s="9" t="s">
        <v>2361</v>
      </c>
      <c r="D279" s="9" t="s">
        <v>2290</v>
      </c>
      <c r="E279" s="9" t="s">
        <v>36</v>
      </c>
      <c r="F279" s="9" t="s">
        <v>508</v>
      </c>
      <c r="G279" s="9" t="s">
        <v>135</v>
      </c>
      <c r="H279" s="9" t="s">
        <v>136</v>
      </c>
      <c r="I279" s="9" t="s">
        <v>115</v>
      </c>
      <c r="J279" s="9">
        <v>2289</v>
      </c>
      <c r="K279" s="9" t="s">
        <v>2362</v>
      </c>
      <c r="L279" s="9" t="s">
        <v>117</v>
      </c>
      <c r="M279" s="10">
        <v>4.3043981481481482E-2</v>
      </c>
      <c r="N279" s="9" t="s">
        <v>127</v>
      </c>
      <c r="O279" s="9" t="s">
        <v>2363</v>
      </c>
      <c r="P279" s="9" t="s">
        <v>119</v>
      </c>
      <c r="Q279" s="10">
        <v>3.530092592592592E-3</v>
      </c>
      <c r="R279" s="9" t="s">
        <v>46</v>
      </c>
      <c r="S279" s="10">
        <v>0.2895138888888889</v>
      </c>
      <c r="T279" s="9">
        <v>48.36</v>
      </c>
      <c r="U279" s="9">
        <v>18.8</v>
      </c>
      <c r="V279" s="10">
        <v>0.10715277777777781</v>
      </c>
      <c r="W279" s="10">
        <v>5.2037037037037027E-2</v>
      </c>
      <c r="X279" s="10">
        <v>0</v>
      </c>
      <c r="Y279" s="9">
        <v>0</v>
      </c>
      <c r="Z279" s="9">
        <v>0</v>
      </c>
      <c r="AA279" s="9">
        <v>0</v>
      </c>
      <c r="AB279" s="9">
        <v>0</v>
      </c>
      <c r="AC279" s="9">
        <v>0</v>
      </c>
      <c r="AD279" s="9">
        <v>3</v>
      </c>
      <c r="AE279" s="9" t="s">
        <v>139</v>
      </c>
      <c r="AF279" s="9" t="s">
        <v>2364</v>
      </c>
      <c r="AG279" s="9" t="s">
        <v>2365</v>
      </c>
      <c r="AH279" s="9">
        <v>6.2254319999999996</v>
      </c>
      <c r="AI279" s="9">
        <v>-75.598766999999995</v>
      </c>
      <c r="AJ279" s="9" t="s">
        <v>2366</v>
      </c>
      <c r="AK279" s="9">
        <v>6.2622429999999998</v>
      </c>
      <c r="AL279" s="9">
        <v>-75.563856000000001</v>
      </c>
      <c r="AM279" s="26">
        <f t="shared" si="4"/>
        <v>0</v>
      </c>
      <c r="AN279" s="9"/>
    </row>
    <row r="280" spans="1:40" ht="15" x14ac:dyDescent="0.25">
      <c r="A280" s="9" t="s">
        <v>2367</v>
      </c>
      <c r="B280" s="9" t="s">
        <v>2368</v>
      </c>
      <c r="C280" s="9" t="s">
        <v>2369</v>
      </c>
      <c r="D280" s="9" t="s">
        <v>2290</v>
      </c>
      <c r="E280" s="9" t="s">
        <v>36</v>
      </c>
      <c r="F280" s="9" t="s">
        <v>508</v>
      </c>
      <c r="G280" s="9" t="s">
        <v>144</v>
      </c>
      <c r="H280" s="9" t="s">
        <v>145</v>
      </c>
      <c r="I280" s="9" t="s">
        <v>115</v>
      </c>
      <c r="J280" s="9">
        <v>6098</v>
      </c>
      <c r="K280" s="9" t="s">
        <v>2370</v>
      </c>
      <c r="L280" s="9" t="s">
        <v>117</v>
      </c>
      <c r="M280" s="10">
        <v>3.7546296296296293E-2</v>
      </c>
      <c r="N280" s="9" t="s">
        <v>127</v>
      </c>
      <c r="O280" s="9" t="s">
        <v>2371</v>
      </c>
      <c r="P280" s="9" t="s">
        <v>119</v>
      </c>
      <c r="Q280" s="10">
        <v>3.0555555555555561E-3</v>
      </c>
      <c r="R280" s="9" t="s">
        <v>46</v>
      </c>
      <c r="S280" s="10">
        <v>0.29060185185185178</v>
      </c>
      <c r="T280" s="9">
        <v>81.367000000000004</v>
      </c>
      <c r="U280" s="9">
        <v>14.72</v>
      </c>
      <c r="V280" s="10">
        <v>0.2303819444444444</v>
      </c>
      <c r="W280" s="10">
        <v>8.7349537037037031E-2</v>
      </c>
      <c r="X280" s="10">
        <v>0</v>
      </c>
      <c r="Y280" s="9">
        <v>0</v>
      </c>
      <c r="Z280" s="9">
        <v>0</v>
      </c>
      <c r="AA280" s="9">
        <v>0</v>
      </c>
      <c r="AB280" s="9">
        <v>0</v>
      </c>
      <c r="AC280" s="9">
        <v>0</v>
      </c>
      <c r="AD280" s="9">
        <v>0</v>
      </c>
      <c r="AE280" s="9" t="s">
        <v>139</v>
      </c>
      <c r="AF280" s="9" t="s">
        <v>2372</v>
      </c>
      <c r="AG280" s="9" t="s">
        <v>2373</v>
      </c>
      <c r="AH280" s="9">
        <v>6.2256609999999997</v>
      </c>
      <c r="AI280" s="9">
        <v>-75.598487000000006</v>
      </c>
      <c r="AJ280" s="9" t="s">
        <v>2374</v>
      </c>
      <c r="AK280" s="9">
        <v>6.2903830000000003</v>
      </c>
      <c r="AL280" s="9">
        <v>-75.546594999999996</v>
      </c>
      <c r="AM280" s="26">
        <f t="shared" si="4"/>
        <v>0</v>
      </c>
      <c r="AN280" s="9"/>
    </row>
    <row r="281" spans="1:40" ht="15" x14ac:dyDescent="0.25">
      <c r="A281" s="9" t="s">
        <v>2375</v>
      </c>
      <c r="B281" s="9" t="s">
        <v>2376</v>
      </c>
      <c r="C281" s="9" t="s">
        <v>2377</v>
      </c>
      <c r="D281" s="9" t="s">
        <v>2290</v>
      </c>
      <c r="E281" s="9" t="s">
        <v>36</v>
      </c>
      <c r="F281" s="9" t="s">
        <v>508</v>
      </c>
      <c r="G281" s="9" t="s">
        <v>152</v>
      </c>
      <c r="H281" s="9" t="s">
        <v>153</v>
      </c>
      <c r="I281" s="9" t="s">
        <v>115</v>
      </c>
      <c r="J281" s="9">
        <v>4145</v>
      </c>
      <c r="K281" s="9" t="s">
        <v>2378</v>
      </c>
      <c r="L281" s="9" t="s">
        <v>117</v>
      </c>
      <c r="M281" s="10">
        <v>2.8344907407407409E-2</v>
      </c>
      <c r="N281" s="9" t="s">
        <v>127</v>
      </c>
      <c r="O281" s="9" t="s">
        <v>2379</v>
      </c>
      <c r="P281" s="9" t="s">
        <v>119</v>
      </c>
      <c r="Q281" s="10">
        <v>6.4479166666666671E-2</v>
      </c>
      <c r="R281" s="9" t="s">
        <v>56</v>
      </c>
      <c r="S281" s="10">
        <v>0.21386574074074069</v>
      </c>
      <c r="T281" s="9">
        <v>54.81</v>
      </c>
      <c r="U281" s="9">
        <v>14.22</v>
      </c>
      <c r="V281" s="10">
        <v>0.16062499999999999</v>
      </c>
      <c r="W281" s="10">
        <v>8.0902777777777782E-2</v>
      </c>
      <c r="X281" s="10">
        <v>0</v>
      </c>
      <c r="Y281" s="9">
        <v>0</v>
      </c>
      <c r="Z281" s="9">
        <v>0</v>
      </c>
      <c r="AA281" s="9">
        <v>0</v>
      </c>
      <c r="AB281" s="9">
        <v>0</v>
      </c>
      <c r="AC281" s="9">
        <v>0</v>
      </c>
      <c r="AD281" s="9">
        <v>0</v>
      </c>
      <c r="AE281" s="9" t="s">
        <v>139</v>
      </c>
      <c r="AF281" s="9" t="s">
        <v>2380</v>
      </c>
      <c r="AG281" s="9" t="s">
        <v>2381</v>
      </c>
      <c r="AH281" s="9">
        <v>6.2256580000000001</v>
      </c>
      <c r="AI281" s="9">
        <v>-75.599367999999998</v>
      </c>
      <c r="AJ281" s="9" t="s">
        <v>2382</v>
      </c>
      <c r="AK281" s="9">
        <v>6.2518330000000004</v>
      </c>
      <c r="AL281" s="9">
        <v>-75.551855000000003</v>
      </c>
      <c r="AM281" s="26">
        <f t="shared" si="4"/>
        <v>6.4479166666666671E-2</v>
      </c>
      <c r="AN281" s="9"/>
    </row>
    <row r="282" spans="1:40" ht="15" x14ac:dyDescent="0.25">
      <c r="A282" s="9" t="s">
        <v>2383</v>
      </c>
      <c r="B282" s="9" t="s">
        <v>2384</v>
      </c>
      <c r="C282" s="9" t="s">
        <v>2385</v>
      </c>
      <c r="D282" s="9" t="s">
        <v>2290</v>
      </c>
      <c r="E282" s="9" t="s">
        <v>36</v>
      </c>
      <c r="F282" s="9" t="s">
        <v>508</v>
      </c>
      <c r="G282" s="9" t="s">
        <v>160</v>
      </c>
      <c r="H282" s="9" t="s">
        <v>161</v>
      </c>
      <c r="I282" s="9" t="s">
        <v>115</v>
      </c>
      <c r="J282" s="9">
        <v>6454</v>
      </c>
      <c r="K282" s="9" t="s">
        <v>2386</v>
      </c>
      <c r="L282" s="9" t="s">
        <v>117</v>
      </c>
      <c r="M282" s="10">
        <v>2.240930555555555E-2</v>
      </c>
      <c r="N282" s="9" t="s">
        <v>127</v>
      </c>
      <c r="O282" s="9" t="s">
        <v>2387</v>
      </c>
      <c r="P282" s="9" t="s">
        <v>119</v>
      </c>
      <c r="Q282" s="10">
        <v>6.815231481481482E-3</v>
      </c>
      <c r="R282" s="9" t="s">
        <v>46</v>
      </c>
      <c r="S282" s="10">
        <v>0.27922453703703698</v>
      </c>
      <c r="T282" s="9">
        <v>43.430999999999997</v>
      </c>
      <c r="U282" s="9">
        <v>8.59</v>
      </c>
      <c r="V282" s="10">
        <v>0.21077543981481489</v>
      </c>
      <c r="W282" s="10">
        <v>0.16869194444444449</v>
      </c>
      <c r="X282" s="10">
        <v>0</v>
      </c>
      <c r="Y282" s="9">
        <v>0</v>
      </c>
      <c r="Z282" s="9">
        <v>0</v>
      </c>
      <c r="AA282" s="9">
        <v>0</v>
      </c>
      <c r="AB282" s="9">
        <v>0</v>
      </c>
      <c r="AC282" s="9">
        <v>0</v>
      </c>
      <c r="AD282" s="9">
        <v>1</v>
      </c>
      <c r="AE282" s="9" t="s">
        <v>139</v>
      </c>
      <c r="AF282" s="9" t="s">
        <v>2388</v>
      </c>
      <c r="AG282" s="9" t="s">
        <v>2389</v>
      </c>
      <c r="AH282" s="9">
        <v>6.2267520000000003</v>
      </c>
      <c r="AI282" s="9">
        <v>-75.599197000000004</v>
      </c>
      <c r="AJ282" s="9" t="s">
        <v>2390</v>
      </c>
      <c r="AK282" s="9">
        <v>6.2685149999999998</v>
      </c>
      <c r="AL282" s="9">
        <v>-75.599338000000003</v>
      </c>
      <c r="AM282" s="26">
        <f t="shared" si="4"/>
        <v>0</v>
      </c>
      <c r="AN282" s="9"/>
    </row>
    <row r="283" spans="1:40" ht="15" x14ac:dyDescent="0.25">
      <c r="A283" s="9" t="s">
        <v>2393</v>
      </c>
      <c r="B283" s="9" t="s">
        <v>2394</v>
      </c>
      <c r="C283" s="9" t="s">
        <v>2395</v>
      </c>
      <c r="D283" s="9" t="s">
        <v>2396</v>
      </c>
      <c r="E283" s="9" t="s">
        <v>36</v>
      </c>
      <c r="F283" s="9" t="s">
        <v>37</v>
      </c>
      <c r="G283" s="9" t="s">
        <v>38</v>
      </c>
      <c r="H283" s="9" t="s">
        <v>39</v>
      </c>
      <c r="I283" s="9" t="s">
        <v>40</v>
      </c>
      <c r="J283" s="9">
        <v>4161</v>
      </c>
      <c r="K283" s="9" t="s">
        <v>2397</v>
      </c>
      <c r="L283" s="9" t="s">
        <v>42</v>
      </c>
      <c r="M283" s="10">
        <v>5.4496655092592598E-2</v>
      </c>
      <c r="N283" s="9" t="s">
        <v>43</v>
      </c>
      <c r="O283" s="9" t="s">
        <v>2398</v>
      </c>
      <c r="P283" s="9" t="s">
        <v>45</v>
      </c>
      <c r="Q283" s="10">
        <v>2.1406736111111109E-2</v>
      </c>
      <c r="R283" s="9" t="s">
        <v>56</v>
      </c>
      <c r="S283" s="10">
        <v>0.25742994212962961</v>
      </c>
      <c r="T283" s="9">
        <v>31.876999999999999</v>
      </c>
      <c r="U283" s="9">
        <v>9.56</v>
      </c>
      <c r="V283" s="10">
        <v>0.1388731828703704</v>
      </c>
      <c r="W283" s="10">
        <v>9.7388356481481475E-2</v>
      </c>
      <c r="X283" s="10">
        <v>0</v>
      </c>
      <c r="Y283" s="9">
        <v>0</v>
      </c>
      <c r="Z283" s="9">
        <v>0</v>
      </c>
      <c r="AA283" s="9">
        <v>0</v>
      </c>
      <c r="AB283" s="9">
        <v>0</v>
      </c>
      <c r="AC283" s="9">
        <v>0</v>
      </c>
      <c r="AD283" s="9">
        <v>4</v>
      </c>
      <c r="AE283" s="9" t="s">
        <v>57</v>
      </c>
      <c r="AF283" s="9" t="s">
        <v>2399</v>
      </c>
      <c r="AG283" s="9" t="s">
        <v>2400</v>
      </c>
      <c r="AH283" s="9">
        <v>6.255719</v>
      </c>
      <c r="AI283" s="9">
        <v>-75.613168000000002</v>
      </c>
      <c r="AJ283" s="9" t="s">
        <v>2401</v>
      </c>
      <c r="AK283" s="9">
        <v>6.2314629999999998</v>
      </c>
      <c r="AL283" s="9">
        <v>-75.596321000000003</v>
      </c>
      <c r="AM283" s="26">
        <f t="shared" si="4"/>
        <v>7.5903391203703707E-2</v>
      </c>
      <c r="AN283" s="9" t="s">
        <v>2465</v>
      </c>
    </row>
    <row r="284" spans="1:40" ht="15" x14ac:dyDescent="0.25">
      <c r="A284" s="9" t="s">
        <v>2402</v>
      </c>
      <c r="B284" s="9" t="s">
        <v>2403</v>
      </c>
      <c r="C284" s="9" t="s">
        <v>2404</v>
      </c>
      <c r="D284" s="9" t="s">
        <v>2396</v>
      </c>
      <c r="E284" s="9" t="s">
        <v>36</v>
      </c>
      <c r="F284" s="9" t="s">
        <v>37</v>
      </c>
      <c r="G284" s="9" t="s">
        <v>52</v>
      </c>
      <c r="H284" s="9" t="s">
        <v>53</v>
      </c>
      <c r="I284" s="9" t="s">
        <v>40</v>
      </c>
      <c r="J284" s="9">
        <v>3063</v>
      </c>
      <c r="K284" s="9" t="s">
        <v>2405</v>
      </c>
      <c r="L284" s="9" t="s">
        <v>42</v>
      </c>
      <c r="M284" s="10">
        <v>1.1064814814814821E-2</v>
      </c>
      <c r="N284" s="9" t="s">
        <v>127</v>
      </c>
      <c r="O284" s="9" t="s">
        <v>2406</v>
      </c>
      <c r="P284" s="9" t="s">
        <v>45</v>
      </c>
      <c r="Q284" s="10">
        <v>7.0601851851851847E-4</v>
      </c>
      <c r="R284" s="9" t="s">
        <v>46</v>
      </c>
      <c r="S284" s="10">
        <v>0.34510416666666671</v>
      </c>
      <c r="T284" s="9">
        <v>37.972999999999999</v>
      </c>
      <c r="U284" s="9">
        <v>7.66</v>
      </c>
      <c r="V284" s="10">
        <v>0.2064583333333333</v>
      </c>
      <c r="W284" s="10">
        <v>0.1340625</v>
      </c>
      <c r="X284" s="10">
        <v>0</v>
      </c>
      <c r="Y284" s="9">
        <v>0</v>
      </c>
      <c r="Z284" s="9">
        <v>0</v>
      </c>
      <c r="AA284" s="9">
        <v>0</v>
      </c>
      <c r="AB284" s="9">
        <v>0</v>
      </c>
      <c r="AC284" s="9">
        <v>0</v>
      </c>
      <c r="AD284" s="9">
        <v>1</v>
      </c>
      <c r="AE284" s="9" t="s">
        <v>139</v>
      </c>
      <c r="AF284" s="9" t="s">
        <v>2407</v>
      </c>
      <c r="AG284" s="9" t="s">
        <v>2408</v>
      </c>
      <c r="AH284" s="9">
        <v>6.2257550000000004</v>
      </c>
      <c r="AI284" s="9">
        <v>-75.599535000000003</v>
      </c>
      <c r="AJ284" s="9" t="s">
        <v>2409</v>
      </c>
      <c r="AK284" s="9">
        <v>6.247738</v>
      </c>
      <c r="AL284" s="9">
        <v>-75.614966999999993</v>
      </c>
      <c r="AM284" s="26">
        <f t="shared" si="4"/>
        <v>0</v>
      </c>
      <c r="AN284" s="9"/>
    </row>
    <row r="285" spans="1:40" ht="15" x14ac:dyDescent="0.25">
      <c r="A285" s="9" t="s">
        <v>2410</v>
      </c>
      <c r="B285" s="9" t="s">
        <v>2411</v>
      </c>
      <c r="C285" s="9" t="s">
        <v>2412</v>
      </c>
      <c r="D285" s="9" t="s">
        <v>2396</v>
      </c>
      <c r="E285" s="9" t="s">
        <v>36</v>
      </c>
      <c r="F285" s="9" t="s">
        <v>37</v>
      </c>
      <c r="G285" s="9" t="s">
        <v>113</v>
      </c>
      <c r="H285" s="9" t="s">
        <v>114</v>
      </c>
      <c r="I285" s="9" t="s">
        <v>40</v>
      </c>
      <c r="J285" s="9">
        <v>2948</v>
      </c>
      <c r="K285" s="9" t="s">
        <v>2413</v>
      </c>
      <c r="L285" s="9" t="s">
        <v>42</v>
      </c>
      <c r="M285" s="10">
        <v>6.9212962962962961E-3</v>
      </c>
      <c r="N285" s="9" t="s">
        <v>65</v>
      </c>
      <c r="O285" s="9" t="s">
        <v>2414</v>
      </c>
      <c r="P285" s="9" t="s">
        <v>45</v>
      </c>
      <c r="Q285" s="10">
        <v>2.840277777777778E-2</v>
      </c>
      <c r="R285" s="9" t="s">
        <v>56</v>
      </c>
      <c r="S285" s="10">
        <v>0.29800925925925931</v>
      </c>
      <c r="T285" s="9">
        <v>39.036999999999999</v>
      </c>
      <c r="U285" s="9">
        <v>5.84</v>
      </c>
      <c r="V285" s="10">
        <v>0.27840277777777778</v>
      </c>
      <c r="W285" s="10">
        <v>0.2053703703703704</v>
      </c>
      <c r="X285" s="10">
        <v>0</v>
      </c>
      <c r="Y285" s="9">
        <v>0</v>
      </c>
      <c r="Z285" s="9">
        <v>0</v>
      </c>
      <c r="AA285" s="9">
        <v>0</v>
      </c>
      <c r="AB285" s="9">
        <v>0</v>
      </c>
      <c r="AC285" s="9">
        <v>0</v>
      </c>
      <c r="AD285" s="9">
        <v>3</v>
      </c>
      <c r="AE285" s="9" t="s">
        <v>67</v>
      </c>
      <c r="AF285" s="9" t="s">
        <v>2415</v>
      </c>
      <c r="AG285" s="9" t="s">
        <v>2416</v>
      </c>
      <c r="AH285" s="9">
        <v>6.2382249999999999</v>
      </c>
      <c r="AI285" s="9">
        <v>-75.603070000000002</v>
      </c>
      <c r="AJ285" s="9" t="s">
        <v>2417</v>
      </c>
      <c r="AK285" s="9">
        <v>6.2387769999999998</v>
      </c>
      <c r="AL285" s="9">
        <v>-75.603745000000004</v>
      </c>
      <c r="AM285" s="26">
        <f t="shared" si="4"/>
        <v>2.840277777777778E-2</v>
      </c>
      <c r="AN285" s="9"/>
    </row>
    <row r="286" spans="1:40" ht="15" x14ac:dyDescent="0.25">
      <c r="A286" s="9" t="s">
        <v>2418</v>
      </c>
      <c r="B286" s="9" t="s">
        <v>2419</v>
      </c>
      <c r="C286" s="9" t="s">
        <v>2420</v>
      </c>
      <c r="D286" s="9" t="s">
        <v>2396</v>
      </c>
      <c r="E286" s="9" t="s">
        <v>36</v>
      </c>
      <c r="F286" s="9" t="s">
        <v>37</v>
      </c>
      <c r="G286" s="9" t="s">
        <v>62</v>
      </c>
      <c r="H286" s="9" t="s">
        <v>63</v>
      </c>
      <c r="I286" s="9" t="s">
        <v>40</v>
      </c>
      <c r="J286" s="9">
        <v>2091</v>
      </c>
      <c r="K286" s="9" t="s">
        <v>2421</v>
      </c>
      <c r="L286" s="9" t="s">
        <v>42</v>
      </c>
      <c r="M286" s="10">
        <v>3.2523148148148151E-3</v>
      </c>
      <c r="N286" s="9" t="s">
        <v>65</v>
      </c>
      <c r="O286" s="9" t="s">
        <v>2422</v>
      </c>
      <c r="P286" s="9" t="s">
        <v>45</v>
      </c>
      <c r="Q286" s="10">
        <v>0.1107638888888889</v>
      </c>
      <c r="R286" s="9" t="s">
        <v>56</v>
      </c>
      <c r="S286" s="10">
        <v>0.2193171296296296</v>
      </c>
      <c r="T286" s="9">
        <v>26.798999999999999</v>
      </c>
      <c r="U286" s="9">
        <v>10.14</v>
      </c>
      <c r="V286" s="10">
        <v>0.1100694444444444</v>
      </c>
      <c r="W286" s="10">
        <v>6.7951388888888895E-2</v>
      </c>
      <c r="X286" s="10">
        <v>0</v>
      </c>
      <c r="Y286" s="9">
        <v>0</v>
      </c>
      <c r="Z286" s="9">
        <v>0</v>
      </c>
      <c r="AA286" s="9">
        <v>0</v>
      </c>
      <c r="AB286" s="9">
        <v>0</v>
      </c>
      <c r="AC286" s="9">
        <v>0</v>
      </c>
      <c r="AD286" s="9">
        <v>0</v>
      </c>
      <c r="AE286" s="9" t="s">
        <v>67</v>
      </c>
      <c r="AF286" s="9" t="s">
        <v>2423</v>
      </c>
      <c r="AG286" s="9" t="s">
        <v>2424</v>
      </c>
      <c r="AH286" s="9">
        <v>6.2259209999999996</v>
      </c>
      <c r="AI286" s="9">
        <v>-75.599410000000006</v>
      </c>
      <c r="AJ286" s="9" t="s">
        <v>2425</v>
      </c>
      <c r="AK286" s="9">
        <v>6.308389</v>
      </c>
      <c r="AL286" s="9">
        <v>-75.571085999999994</v>
      </c>
      <c r="AM286" s="26">
        <f t="shared" si="4"/>
        <v>0.1107638888888889</v>
      </c>
      <c r="AN286" s="9"/>
    </row>
    <row r="287" spans="1:40" ht="15" x14ac:dyDescent="0.25">
      <c r="A287" s="9" t="s">
        <v>2426</v>
      </c>
      <c r="B287" s="9" t="s">
        <v>2427</v>
      </c>
      <c r="C287" s="9" t="s">
        <v>2428</v>
      </c>
      <c r="D287" s="9" t="s">
        <v>2396</v>
      </c>
      <c r="E287" s="9" t="s">
        <v>36</v>
      </c>
      <c r="F287" s="9" t="s">
        <v>37</v>
      </c>
      <c r="G287" s="9" t="s">
        <v>72</v>
      </c>
      <c r="H287" s="9" t="s">
        <v>73</v>
      </c>
      <c r="I287" s="9" t="s">
        <v>40</v>
      </c>
      <c r="J287" s="9">
        <v>1780</v>
      </c>
      <c r="K287" s="9" t="s">
        <v>2429</v>
      </c>
      <c r="L287" s="9" t="s">
        <v>42</v>
      </c>
      <c r="M287" s="10">
        <v>9.3287037037037036E-3</v>
      </c>
      <c r="N287" s="9" t="s">
        <v>65</v>
      </c>
      <c r="O287" s="9" t="s">
        <v>2430</v>
      </c>
      <c r="P287" s="9" t="s">
        <v>45</v>
      </c>
      <c r="Q287" s="10">
        <v>0.13415509259259259</v>
      </c>
      <c r="R287" s="9" t="s">
        <v>56</v>
      </c>
      <c r="S287" s="10">
        <v>0.189849537037037</v>
      </c>
      <c r="T287" s="9">
        <v>23.821999999999999</v>
      </c>
      <c r="U287" s="9">
        <v>8.61</v>
      </c>
      <c r="V287" s="10">
        <v>0.1153356481481481</v>
      </c>
      <c r="W287" s="10">
        <v>7.7442129629629625E-2</v>
      </c>
      <c r="X287" s="10">
        <v>0</v>
      </c>
      <c r="Y287" s="9">
        <v>0</v>
      </c>
      <c r="Z287" s="9">
        <v>0</v>
      </c>
      <c r="AA287" s="9">
        <v>0</v>
      </c>
      <c r="AB287" s="9">
        <v>0</v>
      </c>
      <c r="AC287" s="9">
        <v>0</v>
      </c>
      <c r="AD287" s="9">
        <v>1</v>
      </c>
      <c r="AE287" s="9" t="s">
        <v>67</v>
      </c>
      <c r="AF287" s="9" t="s">
        <v>2431</v>
      </c>
      <c r="AG287" s="9" t="s">
        <v>2432</v>
      </c>
      <c r="AH287" s="9">
        <v>6.225841</v>
      </c>
      <c r="AI287" s="9">
        <v>-75.599694</v>
      </c>
      <c r="AJ287" s="9" t="s">
        <v>2433</v>
      </c>
      <c r="AK287" s="9">
        <v>6.2370450000000002</v>
      </c>
      <c r="AL287" s="9">
        <v>-75.558818000000002</v>
      </c>
      <c r="AM287" s="26">
        <f t="shared" si="4"/>
        <v>0.13415509259259259</v>
      </c>
      <c r="AN287" s="9"/>
    </row>
    <row r="288" spans="1:40" ht="15" x14ac:dyDescent="0.25">
      <c r="A288" s="9" t="s">
        <v>2434</v>
      </c>
      <c r="B288" s="9" t="s">
        <v>2435</v>
      </c>
      <c r="C288" s="9" t="s">
        <v>2436</v>
      </c>
      <c r="D288" s="9" t="s">
        <v>2396</v>
      </c>
      <c r="E288" s="9" t="s">
        <v>36</v>
      </c>
      <c r="F288" s="9" t="s">
        <v>37</v>
      </c>
      <c r="G288" s="9" t="s">
        <v>80</v>
      </c>
      <c r="H288" s="9" t="s">
        <v>81</v>
      </c>
      <c r="I288" s="9" t="s">
        <v>40</v>
      </c>
      <c r="J288" s="9">
        <v>4160</v>
      </c>
      <c r="K288" s="9" t="s">
        <v>2437</v>
      </c>
      <c r="L288" s="9" t="s">
        <v>42</v>
      </c>
      <c r="M288" s="10">
        <v>3.8117581018518518E-2</v>
      </c>
      <c r="N288" s="9" t="s">
        <v>43</v>
      </c>
      <c r="O288" s="9" t="s">
        <v>2438</v>
      </c>
      <c r="P288" s="9" t="s">
        <v>45</v>
      </c>
      <c r="Q288" s="10">
        <v>1.1005474537037039E-2</v>
      </c>
      <c r="R288" s="9" t="s">
        <v>56</v>
      </c>
      <c r="S288" s="10">
        <v>0.2842102777777778</v>
      </c>
      <c r="T288" s="9">
        <v>24.449000000000002</v>
      </c>
      <c r="U288" s="9">
        <v>18.23</v>
      </c>
      <c r="V288" s="10">
        <v>5.587763888888881E-2</v>
      </c>
      <c r="W288" s="10">
        <v>3.2076886574074058E-2</v>
      </c>
      <c r="X288" s="10">
        <v>0</v>
      </c>
      <c r="Y288" s="9">
        <v>0</v>
      </c>
      <c r="Z288" s="9">
        <v>0</v>
      </c>
      <c r="AA288" s="9">
        <v>0</v>
      </c>
      <c r="AB288" s="9">
        <v>0</v>
      </c>
      <c r="AC288" s="9">
        <v>0</v>
      </c>
      <c r="AD288" s="9">
        <v>9</v>
      </c>
      <c r="AE288" s="9" t="s">
        <v>57</v>
      </c>
      <c r="AF288" s="9" t="s">
        <v>2439</v>
      </c>
      <c r="AG288" s="9" t="s">
        <v>2440</v>
      </c>
      <c r="AH288" s="9">
        <v>6.2256619999999998</v>
      </c>
      <c r="AI288" s="9">
        <v>-75.599446</v>
      </c>
      <c r="AJ288" s="9" t="s">
        <v>2441</v>
      </c>
      <c r="AK288" s="9">
        <v>6.2469029999999997</v>
      </c>
      <c r="AL288" s="9">
        <v>-75.554122000000007</v>
      </c>
      <c r="AM288" s="26">
        <f t="shared" si="4"/>
        <v>4.9123055555555559E-2</v>
      </c>
      <c r="AN288" s="9"/>
    </row>
    <row r="289" spans="1:40" ht="15" x14ac:dyDescent="0.25">
      <c r="A289" s="9" t="s">
        <v>2442</v>
      </c>
      <c r="B289" s="9" t="s">
        <v>2443</v>
      </c>
      <c r="C289" s="9" t="s">
        <v>2444</v>
      </c>
      <c r="D289" s="9" t="s">
        <v>2396</v>
      </c>
      <c r="E289" s="9" t="s">
        <v>36</v>
      </c>
      <c r="F289" s="9" t="s">
        <v>37</v>
      </c>
      <c r="G289" s="9" t="s">
        <v>89</v>
      </c>
      <c r="H289" s="9" t="s">
        <v>90</v>
      </c>
      <c r="I289" s="9" t="s">
        <v>40</v>
      </c>
      <c r="J289" s="9">
        <v>3459</v>
      </c>
      <c r="K289" s="9" t="s">
        <v>2445</v>
      </c>
      <c r="L289" s="9" t="s">
        <v>42</v>
      </c>
      <c r="M289" s="10">
        <v>1.3194444444444441E-3</v>
      </c>
      <c r="N289" s="9" t="s">
        <v>65</v>
      </c>
      <c r="O289" s="9" t="s">
        <v>2446</v>
      </c>
      <c r="P289" s="9" t="s">
        <v>45</v>
      </c>
      <c r="Q289" s="10">
        <v>3.3217592592592591E-3</v>
      </c>
      <c r="R289" s="9" t="s">
        <v>46</v>
      </c>
      <c r="S289" s="10">
        <v>0.33797453703703711</v>
      </c>
      <c r="T289" s="9">
        <v>46.457000000000001</v>
      </c>
      <c r="U289" s="9">
        <v>6.24</v>
      </c>
      <c r="V289" s="10">
        <v>0.30996527777777783</v>
      </c>
      <c r="W289" s="10">
        <v>0.22189814814814809</v>
      </c>
      <c r="X289" s="10">
        <v>0</v>
      </c>
      <c r="Y289" s="9">
        <v>0</v>
      </c>
      <c r="Z289" s="9">
        <v>0</v>
      </c>
      <c r="AA289" s="9">
        <v>0</v>
      </c>
      <c r="AB289" s="9">
        <v>0</v>
      </c>
      <c r="AC289" s="9">
        <v>0</v>
      </c>
      <c r="AD289" s="9">
        <v>4</v>
      </c>
      <c r="AE289" s="9" t="s">
        <v>84</v>
      </c>
      <c r="AF289" s="9" t="s">
        <v>1602</v>
      </c>
      <c r="AG289" s="9" t="s">
        <v>2447</v>
      </c>
      <c r="AH289" s="9">
        <v>6.2266269999999997</v>
      </c>
      <c r="AI289" s="9">
        <v>-75.599292000000005</v>
      </c>
      <c r="AJ289" s="9" t="s">
        <v>2448</v>
      </c>
      <c r="AK289" s="9">
        <v>6.2788810000000002</v>
      </c>
      <c r="AL289" s="9">
        <v>-75.569232</v>
      </c>
      <c r="AM289" s="26">
        <f t="shared" si="4"/>
        <v>0</v>
      </c>
      <c r="AN289" s="9"/>
    </row>
    <row r="290" spans="1:40" ht="15" x14ac:dyDescent="0.25">
      <c r="A290" s="9" t="s">
        <v>2449</v>
      </c>
      <c r="B290" s="9" t="s">
        <v>2450</v>
      </c>
      <c r="C290" s="9" t="s">
        <v>2451</v>
      </c>
      <c r="D290" s="9" t="s">
        <v>2396</v>
      </c>
      <c r="E290" s="9" t="s">
        <v>36</v>
      </c>
      <c r="F290" s="9" t="s">
        <v>37</v>
      </c>
      <c r="G290" s="9" t="s">
        <v>97</v>
      </c>
      <c r="H290" s="9" t="s">
        <v>98</v>
      </c>
      <c r="I290" s="9" t="s">
        <v>40</v>
      </c>
      <c r="J290" s="9">
        <v>2458</v>
      </c>
      <c r="K290" s="9" t="s">
        <v>2452</v>
      </c>
      <c r="L290" s="9" t="s">
        <v>42</v>
      </c>
      <c r="M290" s="10">
        <v>6.7476851851851864E-3</v>
      </c>
      <c r="N290" s="9" t="s">
        <v>65</v>
      </c>
      <c r="O290" s="9" t="s">
        <v>2453</v>
      </c>
      <c r="P290" s="9" t="s">
        <v>45</v>
      </c>
      <c r="Q290" s="10">
        <v>2.1076388888888891E-2</v>
      </c>
      <c r="R290" s="9" t="s">
        <v>56</v>
      </c>
      <c r="S290" s="10">
        <v>0.30550925925925931</v>
      </c>
      <c r="T290" s="9">
        <v>31.143000000000001</v>
      </c>
      <c r="U290" s="9">
        <v>9.49</v>
      </c>
      <c r="V290" s="10">
        <v>0.13670138888888889</v>
      </c>
      <c r="W290" s="10">
        <v>8.1828703703703709E-2</v>
      </c>
      <c r="X290" s="10">
        <v>5.5439814814814813E-3</v>
      </c>
      <c r="Y290" s="9">
        <v>0</v>
      </c>
      <c r="Z290" s="9">
        <v>0</v>
      </c>
      <c r="AA290" s="9">
        <v>0</v>
      </c>
      <c r="AB290" s="9">
        <v>0</v>
      </c>
      <c r="AC290" s="9">
        <v>0</v>
      </c>
      <c r="AD290" s="9">
        <v>0</v>
      </c>
      <c r="AE290" s="9" t="s">
        <v>67</v>
      </c>
      <c r="AF290" s="9" t="s">
        <v>2454</v>
      </c>
      <c r="AG290" s="9" t="s">
        <v>2455</v>
      </c>
      <c r="AH290" s="9">
        <v>6.2258290000000001</v>
      </c>
      <c r="AI290" s="9">
        <v>-75.599388000000005</v>
      </c>
      <c r="AJ290" s="9" t="s">
        <v>2456</v>
      </c>
      <c r="AK290" s="9">
        <v>6.30783</v>
      </c>
      <c r="AL290" s="9">
        <v>-75.577472</v>
      </c>
      <c r="AM290" s="26">
        <f t="shared" si="4"/>
        <v>2.1076388888888891E-2</v>
      </c>
      <c r="AN290" s="9"/>
    </row>
    <row r="291" spans="1:40" ht="15" x14ac:dyDescent="0.25">
      <c r="A291" s="9" t="s">
        <v>2457</v>
      </c>
      <c r="B291" s="9" t="s">
        <v>2458</v>
      </c>
      <c r="C291" s="9" t="s">
        <v>2459</v>
      </c>
      <c r="D291" s="9" t="s">
        <v>2396</v>
      </c>
      <c r="E291" s="9" t="s">
        <v>36</v>
      </c>
      <c r="F291" s="9" t="s">
        <v>37</v>
      </c>
      <c r="G291" s="9" t="s">
        <v>105</v>
      </c>
      <c r="H291" s="9" t="s">
        <v>106</v>
      </c>
      <c r="I291" s="9" t="s">
        <v>40</v>
      </c>
      <c r="J291" s="9">
        <v>5114</v>
      </c>
      <c r="K291" s="9" t="s">
        <v>2460</v>
      </c>
      <c r="L291" s="9" t="s">
        <v>42</v>
      </c>
      <c r="M291" s="10">
        <v>1.133101851851852E-2</v>
      </c>
      <c r="N291" s="9" t="s">
        <v>43</v>
      </c>
      <c r="O291" s="9" t="s">
        <v>2461</v>
      </c>
      <c r="P291" s="9" t="s">
        <v>45</v>
      </c>
      <c r="Q291" s="10">
        <v>5.0671296296296298E-2</v>
      </c>
      <c r="R291" s="9" t="s">
        <v>56</v>
      </c>
      <c r="S291" s="10">
        <v>0.27133101851851849</v>
      </c>
      <c r="T291" s="9">
        <v>67.613</v>
      </c>
      <c r="U291" s="9">
        <v>16.8</v>
      </c>
      <c r="V291" s="10">
        <v>0.16769675925925931</v>
      </c>
      <c r="W291" s="10">
        <v>5.5925925925925928E-2</v>
      </c>
      <c r="X291" s="10">
        <v>0</v>
      </c>
      <c r="Y291" s="9">
        <v>0</v>
      </c>
      <c r="Z291" s="9">
        <v>0</v>
      </c>
      <c r="AA291" s="9">
        <v>0</v>
      </c>
      <c r="AB291" s="9">
        <v>0</v>
      </c>
      <c r="AC291" s="9">
        <v>0</v>
      </c>
      <c r="AD291" s="9">
        <v>0</v>
      </c>
      <c r="AE291" s="9" t="s">
        <v>57</v>
      </c>
      <c r="AF291" s="9" t="s">
        <v>2462</v>
      </c>
      <c r="AG291" s="9" t="s">
        <v>2463</v>
      </c>
      <c r="AH291" s="9">
        <v>6.2257850000000001</v>
      </c>
      <c r="AI291" s="9">
        <v>-75.598634000000004</v>
      </c>
      <c r="AJ291" s="9" t="s">
        <v>2464</v>
      </c>
      <c r="AK291" s="9">
        <v>6.2600230000000003</v>
      </c>
      <c r="AL291" s="9">
        <v>-75.621120000000005</v>
      </c>
      <c r="AM291" s="26">
        <f t="shared" si="4"/>
        <v>6.2002314814814816E-2</v>
      </c>
      <c r="AN291" s="9"/>
    </row>
    <row r="292" spans="1:40" ht="15" x14ac:dyDescent="0.25">
      <c r="A292" s="9" t="s">
        <v>2466</v>
      </c>
      <c r="B292" s="9" t="s">
        <v>2467</v>
      </c>
      <c r="C292" s="9" t="s">
        <v>2468</v>
      </c>
      <c r="D292" s="9" t="s">
        <v>2396</v>
      </c>
      <c r="E292" s="9" t="s">
        <v>36</v>
      </c>
      <c r="F292" s="9" t="s">
        <v>37</v>
      </c>
      <c r="G292" s="9" t="s">
        <v>124</v>
      </c>
      <c r="H292" s="9" t="s">
        <v>125</v>
      </c>
      <c r="I292" s="9" t="s">
        <v>115</v>
      </c>
      <c r="J292" s="9">
        <v>3670</v>
      </c>
      <c r="K292" s="9" t="s">
        <v>2469</v>
      </c>
      <c r="L292" s="9" t="s">
        <v>117</v>
      </c>
      <c r="M292" s="10">
        <v>1.6168981481481479E-2</v>
      </c>
      <c r="N292" s="9" t="s">
        <v>127</v>
      </c>
      <c r="O292" s="9" t="s">
        <v>2470</v>
      </c>
      <c r="P292" s="9" t="s">
        <v>119</v>
      </c>
      <c r="Q292" s="10">
        <v>1.402777777777778E-2</v>
      </c>
      <c r="R292" s="9" t="s">
        <v>129</v>
      </c>
      <c r="S292" s="10">
        <v>0.28019675925925919</v>
      </c>
      <c r="T292" s="9">
        <v>47.732999999999997</v>
      </c>
      <c r="U292" s="9">
        <v>9.25</v>
      </c>
      <c r="V292" s="10">
        <v>0.21511574074074069</v>
      </c>
      <c r="W292" s="10">
        <v>0.14226851851851849</v>
      </c>
      <c r="X292" s="10">
        <v>1.1539351851851849E-2</v>
      </c>
      <c r="Y292" s="9">
        <v>1</v>
      </c>
      <c r="Z292" s="9">
        <v>1</v>
      </c>
      <c r="AA292" s="9">
        <v>0</v>
      </c>
      <c r="AB292" s="9">
        <v>0</v>
      </c>
      <c r="AC292" s="9">
        <v>0</v>
      </c>
      <c r="AD292" s="9">
        <v>1</v>
      </c>
      <c r="AE292" s="9" t="s">
        <v>130</v>
      </c>
      <c r="AF292" s="9" t="s">
        <v>2471</v>
      </c>
      <c r="AG292" s="9" t="s">
        <v>2472</v>
      </c>
      <c r="AH292" s="9">
        <v>6.2266050000000002</v>
      </c>
      <c r="AI292" s="9">
        <v>-75.599282000000002</v>
      </c>
      <c r="AJ292" s="9" t="s">
        <v>2473</v>
      </c>
      <c r="AK292" s="9">
        <v>6.2726499999999996</v>
      </c>
      <c r="AL292" s="9">
        <v>-75.601763000000005</v>
      </c>
      <c r="AM292" s="26">
        <f t="shared" si="4"/>
        <v>0</v>
      </c>
      <c r="AN292" s="9"/>
    </row>
    <row r="293" spans="1:40" ht="15" x14ac:dyDescent="0.25">
      <c r="A293" s="9" t="s">
        <v>2474</v>
      </c>
      <c r="B293" s="9" t="s">
        <v>2475</v>
      </c>
      <c r="C293" s="9" t="s">
        <v>2476</v>
      </c>
      <c r="D293" s="9" t="s">
        <v>2396</v>
      </c>
      <c r="E293" s="9" t="s">
        <v>36</v>
      </c>
      <c r="F293" s="9" t="s">
        <v>37</v>
      </c>
      <c r="G293" s="9" t="s">
        <v>135</v>
      </c>
      <c r="H293" s="9" t="s">
        <v>136</v>
      </c>
      <c r="I293" s="9" t="s">
        <v>115</v>
      </c>
      <c r="J293" s="9">
        <v>1820</v>
      </c>
      <c r="K293" s="9" t="s">
        <v>2477</v>
      </c>
      <c r="L293" s="9" t="s">
        <v>117</v>
      </c>
      <c r="M293" s="10">
        <v>4.9212962962962972E-2</v>
      </c>
      <c r="N293" s="9" t="s">
        <v>127</v>
      </c>
      <c r="O293" s="9" t="s">
        <v>2478</v>
      </c>
      <c r="P293" s="9" t="s">
        <v>119</v>
      </c>
      <c r="Q293" s="10">
        <v>5.6944444444444447E-3</v>
      </c>
      <c r="R293" s="9" t="s">
        <v>46</v>
      </c>
      <c r="S293" s="10">
        <v>0.29351851851851851</v>
      </c>
      <c r="T293" s="9">
        <v>29.579000000000001</v>
      </c>
      <c r="U293" s="9">
        <v>13.31</v>
      </c>
      <c r="V293" s="10">
        <v>9.256944444444444E-2</v>
      </c>
      <c r="W293" s="10">
        <v>5.451388888888889E-2</v>
      </c>
      <c r="X293" s="10">
        <v>0</v>
      </c>
      <c r="Y293" s="9">
        <v>0</v>
      </c>
      <c r="Z293" s="9">
        <v>0</v>
      </c>
      <c r="AA293" s="9">
        <v>0</v>
      </c>
      <c r="AB293" s="9">
        <v>0</v>
      </c>
      <c r="AC293" s="9">
        <v>0</v>
      </c>
      <c r="AD293" s="9">
        <v>7</v>
      </c>
      <c r="AE293" s="9" t="s">
        <v>139</v>
      </c>
      <c r="AF293" s="9" t="s">
        <v>2479</v>
      </c>
      <c r="AG293" s="9" t="s">
        <v>2480</v>
      </c>
      <c r="AH293" s="9">
        <v>6.2255729999999998</v>
      </c>
      <c r="AI293" s="9">
        <v>-75.599451999999999</v>
      </c>
      <c r="AJ293" s="9" t="s">
        <v>2481</v>
      </c>
      <c r="AK293" s="9">
        <v>6.2761139999999997</v>
      </c>
      <c r="AL293" s="9">
        <v>-75.572663000000006</v>
      </c>
      <c r="AM293" s="26">
        <f t="shared" si="4"/>
        <v>0</v>
      </c>
      <c r="AN293" s="9"/>
    </row>
    <row r="294" spans="1:40" ht="15" x14ac:dyDescent="0.25">
      <c r="A294" s="9" t="s">
        <v>2482</v>
      </c>
      <c r="B294" s="9" t="s">
        <v>2483</v>
      </c>
      <c r="C294" s="9" t="s">
        <v>2484</v>
      </c>
      <c r="D294" s="9" t="s">
        <v>2396</v>
      </c>
      <c r="E294" s="9" t="s">
        <v>36</v>
      </c>
      <c r="F294" s="9" t="s">
        <v>37</v>
      </c>
      <c r="G294" s="9" t="s">
        <v>144</v>
      </c>
      <c r="H294" s="9" t="s">
        <v>145</v>
      </c>
      <c r="I294" s="9" t="s">
        <v>115</v>
      </c>
      <c r="J294" s="9">
        <v>3767</v>
      </c>
      <c r="K294" s="9" t="s">
        <v>2485</v>
      </c>
      <c r="L294" s="9" t="s">
        <v>117</v>
      </c>
      <c r="M294" s="10">
        <v>1.9143518518518522E-2</v>
      </c>
      <c r="N294" s="9" t="s">
        <v>127</v>
      </c>
      <c r="O294" s="9" t="s">
        <v>2486</v>
      </c>
      <c r="P294" s="9" t="s">
        <v>119</v>
      </c>
      <c r="Q294" s="10">
        <v>2.2337962962962958E-3</v>
      </c>
      <c r="R294" s="9" t="s">
        <v>46</v>
      </c>
      <c r="S294" s="10">
        <v>0.2669097222222222</v>
      </c>
      <c r="T294" s="9">
        <v>50.171999999999997</v>
      </c>
      <c r="U294" s="9">
        <v>12.08</v>
      </c>
      <c r="V294" s="10">
        <v>0.17307870370370371</v>
      </c>
      <c r="W294" s="10">
        <v>8.9861111111111114E-2</v>
      </c>
      <c r="X294" s="10">
        <v>8.6458333333333335E-3</v>
      </c>
      <c r="Y294" s="9">
        <v>1</v>
      </c>
      <c r="Z294" s="9">
        <v>0</v>
      </c>
      <c r="AA294" s="9">
        <v>0</v>
      </c>
      <c r="AB294" s="9">
        <v>0</v>
      </c>
      <c r="AC294" s="9">
        <v>0</v>
      </c>
      <c r="AD294" s="9">
        <v>0</v>
      </c>
      <c r="AE294" s="9" t="s">
        <v>139</v>
      </c>
      <c r="AF294" s="9" t="s">
        <v>2487</v>
      </c>
      <c r="AG294" s="9" t="s">
        <v>2488</v>
      </c>
      <c r="AH294" s="9">
        <v>6.22682</v>
      </c>
      <c r="AI294" s="9">
        <v>-75.599361000000002</v>
      </c>
      <c r="AJ294" s="9" t="s">
        <v>2489</v>
      </c>
      <c r="AK294" s="9">
        <v>6.2903929999999999</v>
      </c>
      <c r="AL294" s="9">
        <v>-75.546638000000002</v>
      </c>
      <c r="AM294" s="26">
        <f t="shared" si="4"/>
        <v>0</v>
      </c>
      <c r="AN294" s="9"/>
    </row>
    <row r="295" spans="1:40" ht="15" x14ac:dyDescent="0.25">
      <c r="A295" s="9" t="s">
        <v>2490</v>
      </c>
      <c r="B295" s="9" t="s">
        <v>2491</v>
      </c>
      <c r="C295" s="9" t="s">
        <v>2492</v>
      </c>
      <c r="D295" s="9" t="s">
        <v>2396</v>
      </c>
      <c r="E295" s="9" t="s">
        <v>36</v>
      </c>
      <c r="F295" s="9" t="s">
        <v>37</v>
      </c>
      <c r="G295" s="9" t="s">
        <v>152</v>
      </c>
      <c r="H295" s="9" t="s">
        <v>153</v>
      </c>
      <c r="I295" s="9" t="s">
        <v>115</v>
      </c>
      <c r="J295" s="9">
        <v>3530</v>
      </c>
      <c r="K295" s="9" t="s">
        <v>2493</v>
      </c>
      <c r="L295" s="9" t="s">
        <v>117</v>
      </c>
      <c r="M295" s="10">
        <v>4.6203703703703712E-2</v>
      </c>
      <c r="N295" s="9" t="s">
        <v>127</v>
      </c>
      <c r="O295" s="9" t="s">
        <v>2494</v>
      </c>
      <c r="P295" s="9" t="s">
        <v>119</v>
      </c>
      <c r="Q295" s="10">
        <v>0.1083564814814815</v>
      </c>
      <c r="R295" s="9" t="s">
        <v>56</v>
      </c>
      <c r="S295" s="10">
        <v>0.18784722222222219</v>
      </c>
      <c r="T295" s="9">
        <v>46.927</v>
      </c>
      <c r="U295" s="9">
        <v>11.72</v>
      </c>
      <c r="V295" s="10">
        <v>0.1668402777777778</v>
      </c>
      <c r="W295" s="10">
        <v>8.4050925925925932E-2</v>
      </c>
      <c r="X295" s="10">
        <v>0</v>
      </c>
      <c r="Y295" s="9">
        <v>0</v>
      </c>
      <c r="Z295" s="9">
        <v>0</v>
      </c>
      <c r="AA295" s="9">
        <v>0</v>
      </c>
      <c r="AB295" s="9">
        <v>0</v>
      </c>
      <c r="AC295" s="9">
        <v>0</v>
      </c>
      <c r="AD295" s="9">
        <v>1</v>
      </c>
      <c r="AE295" s="9" t="s">
        <v>139</v>
      </c>
      <c r="AF295" s="9" t="s">
        <v>2495</v>
      </c>
      <c r="AG295" s="9" t="s">
        <v>2496</v>
      </c>
      <c r="AH295" s="9">
        <v>6.225657</v>
      </c>
      <c r="AI295" s="9">
        <v>-75.599422000000004</v>
      </c>
      <c r="AJ295" s="9" t="s">
        <v>2497</v>
      </c>
      <c r="AK295" s="9">
        <v>6.2518250000000002</v>
      </c>
      <c r="AL295" s="9">
        <v>-75.551900000000003</v>
      </c>
      <c r="AM295" s="26">
        <f t="shared" si="4"/>
        <v>0.1083564814814815</v>
      </c>
      <c r="AN295" s="9"/>
    </row>
    <row r="296" spans="1:40" ht="15" x14ac:dyDescent="0.25">
      <c r="A296" s="9" t="s">
        <v>2498</v>
      </c>
      <c r="B296" s="9" t="s">
        <v>2499</v>
      </c>
      <c r="C296" s="9" t="s">
        <v>2500</v>
      </c>
      <c r="D296" s="9" t="s">
        <v>2396</v>
      </c>
      <c r="E296" s="9" t="s">
        <v>36</v>
      </c>
      <c r="F296" s="9" t="s">
        <v>37</v>
      </c>
      <c r="G296" s="9" t="s">
        <v>160</v>
      </c>
      <c r="H296" s="9" t="s">
        <v>161</v>
      </c>
      <c r="I296" s="9" t="s">
        <v>115</v>
      </c>
      <c r="J296" s="9">
        <v>6725</v>
      </c>
      <c r="K296" s="9" t="s">
        <v>2501</v>
      </c>
      <c r="L296" s="9" t="s">
        <v>117</v>
      </c>
      <c r="M296" s="10">
        <v>1.545329861111111E-2</v>
      </c>
      <c r="N296" s="9" t="s">
        <v>127</v>
      </c>
      <c r="O296" s="9" t="s">
        <v>2502</v>
      </c>
      <c r="P296" s="9" t="s">
        <v>119</v>
      </c>
      <c r="Q296" s="10">
        <v>3.748078703703704E-3</v>
      </c>
      <c r="R296" s="9" t="s">
        <v>46</v>
      </c>
      <c r="S296" s="10">
        <v>0.2692013773148148</v>
      </c>
      <c r="T296" s="9">
        <v>38.064</v>
      </c>
      <c r="U296" s="9">
        <v>8.99</v>
      </c>
      <c r="V296" s="10">
        <v>0.17641278935185181</v>
      </c>
      <c r="W296" s="10">
        <v>0.1398386458333333</v>
      </c>
      <c r="X296" s="10">
        <v>0</v>
      </c>
      <c r="Y296" s="9">
        <v>0</v>
      </c>
      <c r="Z296" s="9">
        <v>0</v>
      </c>
      <c r="AA296" s="9">
        <v>0</v>
      </c>
      <c r="AB296" s="9">
        <v>0</v>
      </c>
      <c r="AC296" s="9">
        <v>0</v>
      </c>
      <c r="AD296" s="9">
        <v>5</v>
      </c>
      <c r="AE296" s="9" t="s">
        <v>139</v>
      </c>
      <c r="AF296" s="9" t="s">
        <v>2503</v>
      </c>
      <c r="AG296" s="9" t="s">
        <v>2504</v>
      </c>
      <c r="AH296" s="9">
        <v>6.2273050000000003</v>
      </c>
      <c r="AI296" s="9">
        <v>-75.599289999999996</v>
      </c>
      <c r="AJ296" s="9" t="s">
        <v>2505</v>
      </c>
      <c r="AK296" s="9">
        <v>6.26851</v>
      </c>
      <c r="AL296" s="9">
        <v>-75.599528000000007</v>
      </c>
      <c r="AM296" s="26">
        <f t="shared" si="4"/>
        <v>0</v>
      </c>
      <c r="AN296" s="9"/>
    </row>
    <row r="297" spans="1:40" ht="15" x14ac:dyDescent="0.25">
      <c r="A297" s="9" t="s">
        <v>2506</v>
      </c>
      <c r="B297" s="9" t="s">
        <v>2507</v>
      </c>
      <c r="C297" s="9" t="s">
        <v>2508</v>
      </c>
      <c r="D297" s="9" t="s">
        <v>2509</v>
      </c>
      <c r="E297" s="9" t="s">
        <v>36</v>
      </c>
      <c r="F297" s="9" t="s">
        <v>169</v>
      </c>
      <c r="G297" s="9" t="s">
        <v>38</v>
      </c>
      <c r="H297" s="9" t="s">
        <v>39</v>
      </c>
      <c r="I297" s="9" t="s">
        <v>40</v>
      </c>
      <c r="J297" s="9">
        <v>5005</v>
      </c>
      <c r="K297" s="9" t="s">
        <v>2510</v>
      </c>
      <c r="L297" s="9" t="s">
        <v>42</v>
      </c>
      <c r="M297" s="10">
        <v>5.1577337962962967E-2</v>
      </c>
      <c r="N297" s="9" t="s">
        <v>43</v>
      </c>
      <c r="O297" s="9" t="s">
        <v>2511</v>
      </c>
      <c r="P297" s="9" t="s">
        <v>45</v>
      </c>
      <c r="Q297" s="10">
        <v>1.3672569444444439E-3</v>
      </c>
      <c r="R297" s="9" t="s">
        <v>46</v>
      </c>
      <c r="S297" s="10">
        <v>0.28312325231481478</v>
      </c>
      <c r="T297" s="9">
        <v>39.552999999999997</v>
      </c>
      <c r="U297" s="9">
        <v>34.33</v>
      </c>
      <c r="V297" s="10">
        <v>4.8002847222222277E-2</v>
      </c>
      <c r="W297" s="10">
        <v>8.6759837962962945E-3</v>
      </c>
      <c r="X297" s="10">
        <v>0</v>
      </c>
      <c r="Y297" s="9">
        <v>0</v>
      </c>
      <c r="Z297" s="9">
        <v>0</v>
      </c>
      <c r="AA297" s="9">
        <v>0</v>
      </c>
      <c r="AB297" s="9">
        <v>0</v>
      </c>
      <c r="AC297" s="9">
        <v>0</v>
      </c>
      <c r="AD297" s="9">
        <v>4</v>
      </c>
      <c r="AE297" s="9" t="s">
        <v>47</v>
      </c>
      <c r="AF297" s="9" t="s">
        <v>2512</v>
      </c>
      <c r="AG297" s="9" t="s">
        <v>2513</v>
      </c>
      <c r="AH297" s="9">
        <v>6.2217380000000002</v>
      </c>
      <c r="AI297" s="9">
        <v>-75.593903999999995</v>
      </c>
      <c r="AJ297" s="9" t="s">
        <v>2514</v>
      </c>
      <c r="AK297" s="9">
        <v>6.2455569999999998</v>
      </c>
      <c r="AL297" s="9">
        <v>-75.583618999999999</v>
      </c>
      <c r="AM297" s="26">
        <f t="shared" si="4"/>
        <v>5.1577337962962967E-2</v>
      </c>
      <c r="AN297" s="9"/>
    </row>
    <row r="298" spans="1:40" ht="15" x14ac:dyDescent="0.25">
      <c r="A298" s="9" t="s">
        <v>2515</v>
      </c>
      <c r="B298" s="9" t="s">
        <v>2516</v>
      </c>
      <c r="C298" s="9" t="s">
        <v>2517</v>
      </c>
      <c r="D298" s="9" t="s">
        <v>2509</v>
      </c>
      <c r="E298" s="9" t="s">
        <v>36</v>
      </c>
      <c r="F298" s="9" t="s">
        <v>169</v>
      </c>
      <c r="G298" s="9" t="s">
        <v>52</v>
      </c>
      <c r="H298" s="9" t="s">
        <v>53</v>
      </c>
      <c r="I298" s="9" t="s">
        <v>40</v>
      </c>
      <c r="J298" s="9">
        <v>2590</v>
      </c>
      <c r="K298" s="9" t="s">
        <v>2518</v>
      </c>
      <c r="L298" s="9" t="s">
        <v>42</v>
      </c>
      <c r="M298" s="10">
        <v>9.3518518518518525E-3</v>
      </c>
      <c r="N298" s="9" t="s">
        <v>65</v>
      </c>
      <c r="O298" s="9" t="s">
        <v>2519</v>
      </c>
      <c r="P298" s="9" t="s">
        <v>45</v>
      </c>
      <c r="Q298" s="10">
        <v>6.3171296296296295E-2</v>
      </c>
      <c r="R298" s="9" t="s">
        <v>129</v>
      </c>
      <c r="S298" s="10">
        <v>0.40585648148148151</v>
      </c>
      <c r="T298" s="9">
        <v>33.085000000000001</v>
      </c>
      <c r="U298" s="9">
        <v>3.92</v>
      </c>
      <c r="V298" s="10">
        <v>0.35123842592592591</v>
      </c>
      <c r="W298" s="10">
        <v>0.27349537037037042</v>
      </c>
      <c r="X298" s="10">
        <v>0</v>
      </c>
      <c r="Y298" s="9">
        <v>0</v>
      </c>
      <c r="Z298" s="9">
        <v>0</v>
      </c>
      <c r="AA298" s="9">
        <v>0</v>
      </c>
      <c r="AB298" s="9">
        <v>0</v>
      </c>
      <c r="AC298" s="9">
        <v>0</v>
      </c>
      <c r="AD298" s="9">
        <v>5</v>
      </c>
      <c r="AE298" s="9" t="s">
        <v>130</v>
      </c>
      <c r="AF298" s="9" t="s">
        <v>2520</v>
      </c>
      <c r="AG298" s="9" t="s">
        <v>2521</v>
      </c>
      <c r="AH298" s="9">
        <v>6.2256660000000004</v>
      </c>
      <c r="AI298" s="9">
        <v>-75.599402999999995</v>
      </c>
      <c r="AJ298" s="9" t="s">
        <v>2522</v>
      </c>
      <c r="AK298" s="9">
        <v>6.2477580000000001</v>
      </c>
      <c r="AL298" s="9">
        <v>-75.614985000000004</v>
      </c>
      <c r="AM298" s="26">
        <f t="shared" si="4"/>
        <v>0</v>
      </c>
      <c r="AN298" s="9"/>
    </row>
    <row r="299" spans="1:40" ht="15" x14ac:dyDescent="0.25">
      <c r="A299" s="9" t="s">
        <v>2523</v>
      </c>
      <c r="B299" s="9" t="s">
        <v>2524</v>
      </c>
      <c r="C299" s="9" t="s">
        <v>2525</v>
      </c>
      <c r="D299" s="9" t="s">
        <v>2509</v>
      </c>
      <c r="E299" s="9" t="s">
        <v>36</v>
      </c>
      <c r="F299" s="9" t="s">
        <v>169</v>
      </c>
      <c r="G299" s="9" t="s">
        <v>113</v>
      </c>
      <c r="H299" s="9" t="s">
        <v>114</v>
      </c>
      <c r="I299" s="9" t="s">
        <v>40</v>
      </c>
      <c r="J299" s="9">
        <v>4689</v>
      </c>
      <c r="K299" s="9" t="s">
        <v>2526</v>
      </c>
      <c r="L299" s="9" t="s">
        <v>42</v>
      </c>
      <c r="M299" s="10">
        <v>6.5856481481481478E-3</v>
      </c>
      <c r="N299" s="9" t="s">
        <v>65</v>
      </c>
      <c r="O299" s="9" t="s">
        <v>2527</v>
      </c>
      <c r="P299" s="9" t="s">
        <v>45</v>
      </c>
      <c r="Q299" s="10">
        <v>1.3310185185185181E-3</v>
      </c>
      <c r="R299" s="9" t="s">
        <v>46</v>
      </c>
      <c r="S299" s="10">
        <v>0.32807870370370368</v>
      </c>
      <c r="T299" s="9">
        <v>63.694000000000003</v>
      </c>
      <c r="U299" s="9">
        <v>8.93</v>
      </c>
      <c r="V299" s="10">
        <v>0.29726851851851849</v>
      </c>
      <c r="W299" s="10">
        <v>0.1940277777777778</v>
      </c>
      <c r="X299" s="10">
        <v>0</v>
      </c>
      <c r="Y299" s="9">
        <v>0</v>
      </c>
      <c r="Z299" s="9">
        <v>0</v>
      </c>
      <c r="AA299" s="9">
        <v>0</v>
      </c>
      <c r="AB299" s="9">
        <v>0</v>
      </c>
      <c r="AC299" s="9">
        <v>0</v>
      </c>
      <c r="AD299" s="9">
        <v>2</v>
      </c>
      <c r="AE299" s="9" t="s">
        <v>84</v>
      </c>
      <c r="AF299" s="9" t="s">
        <v>1384</v>
      </c>
      <c r="AG299" s="9" t="s">
        <v>2528</v>
      </c>
      <c r="AH299" s="9">
        <v>6.2255500000000001</v>
      </c>
      <c r="AI299" s="9">
        <v>-75.599417000000003</v>
      </c>
      <c r="AJ299" s="9" t="s">
        <v>2529</v>
      </c>
      <c r="AK299" s="9">
        <v>6.2379579999999999</v>
      </c>
      <c r="AL299" s="9">
        <v>-75.577248999999995</v>
      </c>
      <c r="AM299" s="26">
        <f t="shared" si="4"/>
        <v>0</v>
      </c>
      <c r="AN299" s="9"/>
    </row>
    <row r="300" spans="1:40" ht="15" x14ac:dyDescent="0.25">
      <c r="A300" s="9" t="s">
        <v>2530</v>
      </c>
      <c r="B300" s="9" t="s">
        <v>2531</v>
      </c>
      <c r="C300" s="9" t="s">
        <v>2532</v>
      </c>
      <c r="D300" s="9" t="s">
        <v>2509</v>
      </c>
      <c r="E300" s="9" t="s">
        <v>36</v>
      </c>
      <c r="F300" s="9" t="s">
        <v>169</v>
      </c>
      <c r="G300" s="9" t="s">
        <v>62</v>
      </c>
      <c r="H300" s="9" t="s">
        <v>63</v>
      </c>
      <c r="I300" s="9" t="s">
        <v>40</v>
      </c>
      <c r="J300" s="9">
        <v>1705</v>
      </c>
      <c r="K300" s="9" t="s">
        <v>2533</v>
      </c>
      <c r="L300" s="9" t="s">
        <v>42</v>
      </c>
      <c r="M300" s="10">
        <v>1.216435185185185E-2</v>
      </c>
      <c r="N300" s="9" t="s">
        <v>43</v>
      </c>
      <c r="O300" s="9" t="s">
        <v>2534</v>
      </c>
      <c r="P300" s="9" t="s">
        <v>45</v>
      </c>
      <c r="Q300" s="10">
        <v>9.6585648148148143E-2</v>
      </c>
      <c r="R300" s="9" t="s">
        <v>56</v>
      </c>
      <c r="S300" s="10">
        <v>0.2245833333333333</v>
      </c>
      <c r="T300" s="9">
        <v>21.669</v>
      </c>
      <c r="U300" s="9">
        <v>10.51</v>
      </c>
      <c r="V300" s="10">
        <v>8.5925925925925919E-2</v>
      </c>
      <c r="W300" s="10">
        <v>5.033564814814815E-2</v>
      </c>
      <c r="X300" s="10">
        <v>1.981481481481482E-2</v>
      </c>
      <c r="Y300" s="9">
        <v>1</v>
      </c>
      <c r="Z300" s="9">
        <v>1</v>
      </c>
      <c r="AA300" s="9">
        <v>0</v>
      </c>
      <c r="AB300" s="9">
        <v>0</v>
      </c>
      <c r="AC300" s="9">
        <v>0</v>
      </c>
      <c r="AD300" s="9">
        <v>0</v>
      </c>
      <c r="AE300" s="9" t="s">
        <v>57</v>
      </c>
      <c r="AF300" s="9" t="s">
        <v>2535</v>
      </c>
      <c r="AG300" s="9" t="s">
        <v>2536</v>
      </c>
      <c r="AH300" s="9">
        <v>6.225625</v>
      </c>
      <c r="AI300" s="9">
        <v>-75.599011000000004</v>
      </c>
      <c r="AJ300" s="9" t="s">
        <v>2537</v>
      </c>
      <c r="AK300" s="9">
        <v>6.2977610000000004</v>
      </c>
      <c r="AL300" s="9">
        <v>-75.572980000000001</v>
      </c>
      <c r="AM300" s="26">
        <f t="shared" si="4"/>
        <v>0.10874999999999999</v>
      </c>
      <c r="AN300" s="9"/>
    </row>
    <row r="301" spans="1:40" ht="15" x14ac:dyDescent="0.25">
      <c r="A301" s="9" t="s">
        <v>2538</v>
      </c>
      <c r="B301" s="9" t="s">
        <v>2539</v>
      </c>
      <c r="C301" s="9" t="s">
        <v>2540</v>
      </c>
      <c r="D301" s="9" t="s">
        <v>2509</v>
      </c>
      <c r="E301" s="9" t="s">
        <v>36</v>
      </c>
      <c r="F301" s="9" t="s">
        <v>169</v>
      </c>
      <c r="G301" s="9" t="s">
        <v>72</v>
      </c>
      <c r="H301" s="9" t="s">
        <v>73</v>
      </c>
      <c r="I301" s="9" t="s">
        <v>40</v>
      </c>
      <c r="J301" s="9">
        <v>1555</v>
      </c>
      <c r="K301" s="9" t="s">
        <v>2541</v>
      </c>
      <c r="L301" s="9" t="s">
        <v>42</v>
      </c>
      <c r="M301" s="10">
        <v>3.1712962962962962E-3</v>
      </c>
      <c r="N301" s="9" t="s">
        <v>65</v>
      </c>
      <c r="O301" s="9" t="s">
        <v>2542</v>
      </c>
      <c r="P301" s="9" t="s">
        <v>45</v>
      </c>
      <c r="Q301" s="10">
        <v>0.18982638888888889</v>
      </c>
      <c r="R301" s="9" t="s">
        <v>56</v>
      </c>
      <c r="S301" s="10">
        <v>0.14033564814814811</v>
      </c>
      <c r="T301" s="9">
        <v>21.213000000000001</v>
      </c>
      <c r="U301" s="9">
        <v>6.77</v>
      </c>
      <c r="V301" s="10">
        <v>0.1305324074074074</v>
      </c>
      <c r="W301" s="10">
        <v>0.1002314814814815</v>
      </c>
      <c r="X301" s="10">
        <v>5.9837962962962961E-3</v>
      </c>
      <c r="Y301" s="9">
        <v>0</v>
      </c>
      <c r="Z301" s="9">
        <v>0</v>
      </c>
      <c r="AA301" s="9">
        <v>0</v>
      </c>
      <c r="AB301" s="9">
        <v>0</v>
      </c>
      <c r="AC301" s="9">
        <v>0</v>
      </c>
      <c r="AD301" s="9">
        <v>1</v>
      </c>
      <c r="AE301" s="9" t="s">
        <v>67</v>
      </c>
      <c r="AF301" s="9" t="s">
        <v>2543</v>
      </c>
      <c r="AG301" s="9" t="s">
        <v>2544</v>
      </c>
      <c r="AH301" s="9">
        <v>6.2240200000000003</v>
      </c>
      <c r="AI301" s="9">
        <v>-75.601588000000007</v>
      </c>
      <c r="AJ301" s="9" t="s">
        <v>2545</v>
      </c>
      <c r="AK301" s="9">
        <v>6.241441</v>
      </c>
      <c r="AL301" s="9">
        <v>-75.559989999999999</v>
      </c>
      <c r="AM301" s="26">
        <f t="shared" si="4"/>
        <v>0.18982638888888889</v>
      </c>
      <c r="AN301" s="9"/>
    </row>
    <row r="302" spans="1:40" ht="15" x14ac:dyDescent="0.25">
      <c r="A302" s="9" t="s">
        <v>2546</v>
      </c>
      <c r="B302" s="9" t="s">
        <v>2547</v>
      </c>
      <c r="C302" s="9" t="s">
        <v>2548</v>
      </c>
      <c r="D302" s="9" t="s">
        <v>2509</v>
      </c>
      <c r="E302" s="9" t="s">
        <v>36</v>
      </c>
      <c r="F302" s="9" t="s">
        <v>169</v>
      </c>
      <c r="G302" s="9" t="s">
        <v>80</v>
      </c>
      <c r="H302" s="9" t="s">
        <v>81</v>
      </c>
      <c r="I302" s="9" t="s">
        <v>40</v>
      </c>
      <c r="J302" s="9">
        <v>4265</v>
      </c>
      <c r="K302" s="9" t="s">
        <v>2549</v>
      </c>
      <c r="L302" s="9" t="s">
        <v>42</v>
      </c>
      <c r="M302" s="10">
        <v>4.5843865740740741E-3</v>
      </c>
      <c r="N302" s="9" t="s">
        <v>65</v>
      </c>
      <c r="O302" s="9" t="s">
        <v>2550</v>
      </c>
      <c r="P302" s="9" t="s">
        <v>45</v>
      </c>
      <c r="Q302" s="10">
        <v>7.6608796296296299E-4</v>
      </c>
      <c r="R302" s="9" t="s">
        <v>46</v>
      </c>
      <c r="S302" s="10">
        <v>0.32798285879629629</v>
      </c>
      <c r="T302" s="9">
        <v>33.555</v>
      </c>
      <c r="U302" s="9">
        <v>21.06</v>
      </c>
      <c r="V302" s="10">
        <v>6.6391805555555614E-2</v>
      </c>
      <c r="W302" s="10">
        <v>2.978425925925926E-2</v>
      </c>
      <c r="X302" s="10">
        <v>0</v>
      </c>
      <c r="Y302" s="9">
        <v>0</v>
      </c>
      <c r="Z302" s="9">
        <v>0</v>
      </c>
      <c r="AA302" s="9">
        <v>0</v>
      </c>
      <c r="AB302" s="9">
        <v>0</v>
      </c>
      <c r="AC302" s="9">
        <v>0</v>
      </c>
      <c r="AD302" s="9">
        <v>14</v>
      </c>
      <c r="AE302" s="9" t="s">
        <v>84</v>
      </c>
      <c r="AF302" s="9" t="s">
        <v>1881</v>
      </c>
      <c r="AG302" s="9" t="s">
        <v>2551</v>
      </c>
      <c r="AH302" s="9">
        <v>6.2256619999999998</v>
      </c>
      <c r="AI302" s="9">
        <v>-75.599354000000005</v>
      </c>
      <c r="AJ302" s="9" t="s">
        <v>2552</v>
      </c>
      <c r="AK302" s="9">
        <v>6.2592290000000004</v>
      </c>
      <c r="AL302" s="9">
        <v>-75.62097</v>
      </c>
      <c r="AM302" s="26">
        <f t="shared" si="4"/>
        <v>0</v>
      </c>
      <c r="AN302" s="9"/>
    </row>
    <row r="303" spans="1:40" ht="15" x14ac:dyDescent="0.25">
      <c r="A303" s="9" t="s">
        <v>2553</v>
      </c>
      <c r="B303" s="9" t="s">
        <v>2554</v>
      </c>
      <c r="C303" s="9" t="s">
        <v>2555</v>
      </c>
      <c r="D303" s="9" t="s">
        <v>2509</v>
      </c>
      <c r="E303" s="9" t="s">
        <v>36</v>
      </c>
      <c r="F303" s="9" t="s">
        <v>169</v>
      </c>
      <c r="G303" s="9" t="s">
        <v>97</v>
      </c>
      <c r="H303" s="9" t="s">
        <v>98</v>
      </c>
      <c r="I303" s="9" t="s">
        <v>40</v>
      </c>
      <c r="J303" s="9">
        <v>3586</v>
      </c>
      <c r="K303" s="9" t="s">
        <v>2556</v>
      </c>
      <c r="L303" s="9" t="s">
        <v>42</v>
      </c>
      <c r="M303" s="10">
        <v>3.0902777777777782E-3</v>
      </c>
      <c r="N303" s="9" t="s">
        <v>65</v>
      </c>
      <c r="O303" s="9" t="s">
        <v>2557</v>
      </c>
      <c r="P303" s="9" t="s">
        <v>45</v>
      </c>
      <c r="Q303" s="10">
        <v>3.9583333333333337E-3</v>
      </c>
      <c r="R303" s="9" t="s">
        <v>46</v>
      </c>
      <c r="S303" s="10">
        <v>0.32628472222222221</v>
      </c>
      <c r="T303" s="9">
        <v>47.747999999999998</v>
      </c>
      <c r="U303" s="9">
        <v>11.04</v>
      </c>
      <c r="V303" s="10">
        <v>0.18016203703703701</v>
      </c>
      <c r="W303" s="10">
        <v>0.1007986111111111</v>
      </c>
      <c r="X303" s="10">
        <v>0</v>
      </c>
      <c r="Y303" s="9">
        <v>0</v>
      </c>
      <c r="Z303" s="9">
        <v>0</v>
      </c>
      <c r="AA303" s="9">
        <v>0</v>
      </c>
      <c r="AB303" s="9">
        <v>0</v>
      </c>
      <c r="AC303" s="9">
        <v>0</v>
      </c>
      <c r="AD303" s="9">
        <v>0</v>
      </c>
      <c r="AE303" s="9" t="s">
        <v>84</v>
      </c>
      <c r="AF303" s="9" t="s">
        <v>352</v>
      </c>
      <c r="AG303" s="9" t="s">
        <v>2558</v>
      </c>
      <c r="AH303" s="9">
        <v>6.2255750000000001</v>
      </c>
      <c r="AI303" s="9">
        <v>-75.599417000000003</v>
      </c>
      <c r="AJ303" s="9" t="s">
        <v>2559</v>
      </c>
      <c r="AK303" s="9">
        <v>6.3052210000000004</v>
      </c>
      <c r="AL303" s="9">
        <v>-75.581879000000001</v>
      </c>
      <c r="AM303" s="26">
        <f t="shared" si="4"/>
        <v>0</v>
      </c>
      <c r="AN303" s="9"/>
    </row>
    <row r="304" spans="1:40" ht="15" x14ac:dyDescent="0.25">
      <c r="A304" s="9" t="s">
        <v>2560</v>
      </c>
      <c r="B304" s="9" t="s">
        <v>2561</v>
      </c>
      <c r="C304" s="9" t="s">
        <v>2562</v>
      </c>
      <c r="D304" s="9" t="s">
        <v>2509</v>
      </c>
      <c r="E304" s="9" t="s">
        <v>36</v>
      </c>
      <c r="F304" s="9" t="s">
        <v>169</v>
      </c>
      <c r="G304" s="9" t="s">
        <v>105</v>
      </c>
      <c r="H304" s="9" t="s">
        <v>106</v>
      </c>
      <c r="I304" s="9" t="s">
        <v>40</v>
      </c>
      <c r="J304" s="9">
        <v>1566</v>
      </c>
      <c r="K304" s="9" t="s">
        <v>2563</v>
      </c>
      <c r="L304" s="9" t="s">
        <v>42</v>
      </c>
      <c r="M304" s="10">
        <v>7.3611111111111108E-3</v>
      </c>
      <c r="N304" s="9" t="s">
        <v>65</v>
      </c>
      <c r="O304" s="9" t="s">
        <v>2564</v>
      </c>
      <c r="P304" s="9" t="s">
        <v>45</v>
      </c>
      <c r="Q304" s="10">
        <v>1.7326388888888891E-2</v>
      </c>
      <c r="R304" s="9" t="s">
        <v>56</v>
      </c>
      <c r="S304" s="10">
        <v>0.30864583333333329</v>
      </c>
      <c r="T304" s="9">
        <v>21.155999999999999</v>
      </c>
      <c r="U304" s="9">
        <v>3.59</v>
      </c>
      <c r="V304" s="10">
        <v>0.24562500000000001</v>
      </c>
      <c r="W304" s="10">
        <v>0.21510416666666671</v>
      </c>
      <c r="X304" s="10">
        <v>0</v>
      </c>
      <c r="Y304" s="9">
        <v>0</v>
      </c>
      <c r="Z304" s="9">
        <v>0</v>
      </c>
      <c r="AA304" s="9">
        <v>0</v>
      </c>
      <c r="AB304" s="9">
        <v>0</v>
      </c>
      <c r="AC304" s="9">
        <v>0</v>
      </c>
      <c r="AD304" s="9">
        <v>5</v>
      </c>
      <c r="AE304" s="9" t="s">
        <v>67</v>
      </c>
      <c r="AF304" s="9" t="s">
        <v>2565</v>
      </c>
      <c r="AG304" s="9" t="s">
        <v>2566</v>
      </c>
      <c r="AH304" s="9">
        <v>6.2254779999999998</v>
      </c>
      <c r="AI304" s="9">
        <v>-75.598913999999994</v>
      </c>
      <c r="AJ304" s="9" t="s">
        <v>2567</v>
      </c>
      <c r="AK304" s="9">
        <v>6.2586899999999996</v>
      </c>
      <c r="AL304" s="9">
        <v>-75.616228000000007</v>
      </c>
      <c r="AM304" s="26">
        <f t="shared" si="4"/>
        <v>1.7326388888888891E-2</v>
      </c>
      <c r="AN304" s="9"/>
    </row>
    <row r="305" spans="1:40" ht="15" x14ac:dyDescent="0.2">
      <c r="A305" s="36" t="s">
        <v>2568</v>
      </c>
      <c r="B305" s="36" t="s">
        <v>2574</v>
      </c>
      <c r="C305" s="36" t="s">
        <v>2569</v>
      </c>
      <c r="D305" s="36" t="s">
        <v>2509</v>
      </c>
      <c r="E305" s="36" t="s">
        <v>36</v>
      </c>
      <c r="F305" s="36" t="s">
        <v>169</v>
      </c>
      <c r="G305" s="36" t="s">
        <v>89</v>
      </c>
      <c r="H305" s="36" t="s">
        <v>90</v>
      </c>
      <c r="I305" s="36" t="s">
        <v>40</v>
      </c>
      <c r="J305" s="36">
        <v>3416</v>
      </c>
      <c r="K305" s="36" t="s">
        <v>2570</v>
      </c>
      <c r="L305" s="36" t="s">
        <v>42</v>
      </c>
      <c r="M305" s="37">
        <v>8.5532407407407415E-3</v>
      </c>
      <c r="N305" s="36" t="s">
        <v>65</v>
      </c>
      <c r="O305" s="36" t="s">
        <v>2571</v>
      </c>
      <c r="P305" s="36" t="s">
        <v>45</v>
      </c>
      <c r="Q305" s="37">
        <v>4.8842592592592592E-3</v>
      </c>
      <c r="R305" s="36" t="s">
        <v>46</v>
      </c>
      <c r="S305" s="37">
        <v>0.32966435185185178</v>
      </c>
      <c r="T305" s="36">
        <v>43.552</v>
      </c>
      <c r="U305" s="36">
        <v>8.18</v>
      </c>
      <c r="V305" s="37">
        <v>0.22182870370370369</v>
      </c>
      <c r="W305" s="37">
        <v>0.14332175925925919</v>
      </c>
      <c r="X305" s="37">
        <v>0</v>
      </c>
      <c r="Y305" s="36">
        <v>0</v>
      </c>
      <c r="Z305" s="36">
        <v>0</v>
      </c>
      <c r="AA305" s="36">
        <v>0</v>
      </c>
      <c r="AB305" s="36">
        <v>0</v>
      </c>
      <c r="AC305" s="36">
        <v>0</v>
      </c>
      <c r="AD305" s="36">
        <v>0</v>
      </c>
      <c r="AE305" s="36" t="s">
        <v>84</v>
      </c>
      <c r="AF305" s="36" t="s">
        <v>352</v>
      </c>
      <c r="AG305" s="36" t="s">
        <v>2572</v>
      </c>
      <c r="AH305" s="36">
        <v>6.2303540000000002</v>
      </c>
      <c r="AI305" s="36">
        <v>-75.596052</v>
      </c>
      <c r="AJ305" s="36" t="s">
        <v>2573</v>
      </c>
      <c r="AK305" s="36">
        <v>6.2790949999999999</v>
      </c>
      <c r="AL305" s="36">
        <v>-75.569125999999997</v>
      </c>
      <c r="AM305" s="26">
        <f t="shared" si="4"/>
        <v>0</v>
      </c>
      <c r="AN305" s="9"/>
    </row>
    <row r="306" spans="1:40" ht="15" x14ac:dyDescent="0.25">
      <c r="A306" s="9" t="s">
        <v>2575</v>
      </c>
      <c r="B306" s="9" t="s">
        <v>2576</v>
      </c>
      <c r="C306" s="9" t="s">
        <v>2577</v>
      </c>
      <c r="D306" s="9" t="s">
        <v>2509</v>
      </c>
      <c r="E306" s="9" t="s">
        <v>36</v>
      </c>
      <c r="F306" s="9" t="s">
        <v>169</v>
      </c>
      <c r="G306" s="9" t="s">
        <v>124</v>
      </c>
      <c r="H306" s="9" t="s">
        <v>125</v>
      </c>
      <c r="I306" s="9" t="s">
        <v>115</v>
      </c>
      <c r="J306" s="9">
        <v>5364</v>
      </c>
      <c r="K306" s="9" t="s">
        <v>2578</v>
      </c>
      <c r="L306" s="9" t="s">
        <v>117</v>
      </c>
      <c r="M306" s="10">
        <v>8.4953703703703701E-3</v>
      </c>
      <c r="N306" s="9" t="s">
        <v>65</v>
      </c>
      <c r="O306" s="9" t="s">
        <v>2579</v>
      </c>
      <c r="P306" s="9" t="s">
        <v>119</v>
      </c>
      <c r="Q306" s="10">
        <v>2.388888888888889E-2</v>
      </c>
      <c r="R306" s="9" t="s">
        <v>129</v>
      </c>
      <c r="S306" s="10">
        <v>0.28238425925925931</v>
      </c>
      <c r="T306" s="9">
        <v>75.686000000000007</v>
      </c>
      <c r="U306" s="9">
        <v>18.39</v>
      </c>
      <c r="V306" s="10">
        <v>0.17146990740740739</v>
      </c>
      <c r="W306" s="10">
        <v>4.9664351851851848E-2</v>
      </c>
      <c r="X306" s="10">
        <v>2.311342592592593E-2</v>
      </c>
      <c r="Y306" s="9">
        <v>1</v>
      </c>
      <c r="Z306" s="9">
        <v>1</v>
      </c>
      <c r="AA306" s="9">
        <v>1</v>
      </c>
      <c r="AB306" s="9">
        <v>0</v>
      </c>
      <c r="AC306" s="9">
        <v>0</v>
      </c>
      <c r="AD306" s="9">
        <v>0</v>
      </c>
      <c r="AE306" s="9" t="s">
        <v>130</v>
      </c>
      <c r="AF306" s="9" t="s">
        <v>2580</v>
      </c>
      <c r="AG306" s="9" t="s">
        <v>2581</v>
      </c>
      <c r="AH306" s="9">
        <v>6.2288119999999996</v>
      </c>
      <c r="AI306" s="9">
        <v>-75.597750000000005</v>
      </c>
      <c r="AJ306" s="9" t="s">
        <v>2582</v>
      </c>
      <c r="AK306" s="9">
        <v>6.2726949999999997</v>
      </c>
      <c r="AL306" s="9">
        <v>-75.602035999999998</v>
      </c>
      <c r="AM306" s="26">
        <f t="shared" si="4"/>
        <v>0</v>
      </c>
      <c r="AN306" s="9"/>
    </row>
    <row r="307" spans="1:40" ht="15" x14ac:dyDescent="0.25">
      <c r="A307" s="9" t="s">
        <v>2583</v>
      </c>
      <c r="B307" s="9" t="s">
        <v>2584</v>
      </c>
      <c r="C307" s="9" t="s">
        <v>2585</v>
      </c>
      <c r="D307" s="9" t="s">
        <v>2509</v>
      </c>
      <c r="E307" s="9" t="s">
        <v>36</v>
      </c>
      <c r="F307" s="9" t="s">
        <v>169</v>
      </c>
      <c r="G307" s="9" t="s">
        <v>135</v>
      </c>
      <c r="H307" s="9" t="s">
        <v>136</v>
      </c>
      <c r="I307" s="9" t="s">
        <v>115</v>
      </c>
      <c r="J307" s="9">
        <v>1269</v>
      </c>
      <c r="K307" s="9" t="s">
        <v>2586</v>
      </c>
      <c r="L307" s="9" t="s">
        <v>117</v>
      </c>
      <c r="M307" s="10">
        <v>4.9583333333333333E-2</v>
      </c>
      <c r="N307" s="9" t="s">
        <v>127</v>
      </c>
      <c r="O307" s="9" t="s">
        <v>2587</v>
      </c>
      <c r="P307" s="9" t="s">
        <v>119</v>
      </c>
      <c r="Q307" s="10">
        <v>3.2638888888888891E-3</v>
      </c>
      <c r="R307" s="9" t="s">
        <v>46</v>
      </c>
      <c r="S307" s="10">
        <v>0.29631944444444452</v>
      </c>
      <c r="T307" s="9">
        <v>22.690999999999999</v>
      </c>
      <c r="U307" s="9">
        <v>11.47</v>
      </c>
      <c r="V307" s="10">
        <v>8.2395833333333335E-2</v>
      </c>
      <c r="W307" s="10">
        <v>5.2974537037037042E-2</v>
      </c>
      <c r="X307" s="10">
        <v>0</v>
      </c>
      <c r="Y307" s="9">
        <v>0</v>
      </c>
      <c r="Z307" s="9">
        <v>0</v>
      </c>
      <c r="AA307" s="9">
        <v>0</v>
      </c>
      <c r="AB307" s="9">
        <v>0</v>
      </c>
      <c r="AC307" s="9">
        <v>0</v>
      </c>
      <c r="AD307" s="9">
        <v>5</v>
      </c>
      <c r="AE307" s="9" t="s">
        <v>139</v>
      </c>
      <c r="AF307" s="9" t="s">
        <v>2588</v>
      </c>
      <c r="AG307" s="9" t="s">
        <v>2589</v>
      </c>
      <c r="AH307" s="9">
        <v>6.2255700000000003</v>
      </c>
      <c r="AI307" s="9">
        <v>-75.599332000000004</v>
      </c>
      <c r="AJ307" s="9" t="s">
        <v>2590</v>
      </c>
      <c r="AK307" s="9">
        <v>6.2941710000000004</v>
      </c>
      <c r="AL307" s="9">
        <v>-75.582819999999998</v>
      </c>
      <c r="AM307" s="26">
        <f t="shared" si="4"/>
        <v>0</v>
      </c>
      <c r="AN307" s="9"/>
    </row>
    <row r="308" spans="1:40" ht="15" x14ac:dyDescent="0.25">
      <c r="A308" s="9" t="s">
        <v>2591</v>
      </c>
      <c r="B308" s="9" t="s">
        <v>2592</v>
      </c>
      <c r="C308" s="9" t="s">
        <v>2593</v>
      </c>
      <c r="D308" s="9" t="s">
        <v>2509</v>
      </c>
      <c r="E308" s="9" t="s">
        <v>36</v>
      </c>
      <c r="F308" s="9" t="s">
        <v>169</v>
      </c>
      <c r="G308" s="9" t="s">
        <v>144</v>
      </c>
      <c r="H308" s="9" t="s">
        <v>145</v>
      </c>
      <c r="I308" s="9" t="s">
        <v>115</v>
      </c>
      <c r="J308" s="9">
        <v>5331</v>
      </c>
      <c r="K308" s="9" t="s">
        <v>2594</v>
      </c>
      <c r="L308" s="9" t="s">
        <v>117</v>
      </c>
      <c r="M308" s="10">
        <v>3.650462962962963E-2</v>
      </c>
      <c r="N308" s="9" t="s">
        <v>127</v>
      </c>
      <c r="O308" s="9" t="s">
        <v>2595</v>
      </c>
      <c r="P308" s="9" t="s">
        <v>119</v>
      </c>
      <c r="Q308" s="10">
        <v>1.2048611111111111E-2</v>
      </c>
      <c r="R308" s="9" t="s">
        <v>129</v>
      </c>
      <c r="S308" s="10">
        <v>0.29855324074074069</v>
      </c>
      <c r="T308" s="9">
        <v>72.417000000000002</v>
      </c>
      <c r="U308" s="9">
        <v>15.48</v>
      </c>
      <c r="V308" s="10">
        <v>0.19491898148148151</v>
      </c>
      <c r="W308" s="10">
        <v>8.2314814814814813E-2</v>
      </c>
      <c r="X308" s="10">
        <v>0</v>
      </c>
      <c r="Y308" s="9">
        <v>0</v>
      </c>
      <c r="Z308" s="9">
        <v>0</v>
      </c>
      <c r="AA308" s="9">
        <v>0</v>
      </c>
      <c r="AB308" s="9">
        <v>0</v>
      </c>
      <c r="AC308" s="9">
        <v>0</v>
      </c>
      <c r="AD308" s="9">
        <v>0</v>
      </c>
      <c r="AE308" s="9" t="s">
        <v>130</v>
      </c>
      <c r="AF308" s="9" t="s">
        <v>2596</v>
      </c>
      <c r="AG308" s="9" t="s">
        <v>2597</v>
      </c>
      <c r="AH308" s="9">
        <v>6.2268239999999997</v>
      </c>
      <c r="AI308" s="9">
        <v>-75.599194999999995</v>
      </c>
      <c r="AJ308" s="9" t="s">
        <v>2598</v>
      </c>
      <c r="AK308" s="9">
        <v>6.2904270000000002</v>
      </c>
      <c r="AL308" s="9">
        <v>-75.546575000000004</v>
      </c>
      <c r="AM308" s="26">
        <f t="shared" si="4"/>
        <v>0</v>
      </c>
      <c r="AN308" s="9"/>
    </row>
    <row r="309" spans="1:40" ht="15" x14ac:dyDescent="0.25">
      <c r="A309" s="9" t="s">
        <v>2599</v>
      </c>
      <c r="B309" s="9" t="s">
        <v>2600</v>
      </c>
      <c r="C309" s="9" t="s">
        <v>2601</v>
      </c>
      <c r="D309" s="9" t="s">
        <v>2509</v>
      </c>
      <c r="E309" s="9" t="s">
        <v>36</v>
      </c>
      <c r="F309" s="9" t="s">
        <v>169</v>
      </c>
      <c r="G309" s="9" t="s">
        <v>152</v>
      </c>
      <c r="H309" s="9" t="s">
        <v>153</v>
      </c>
      <c r="I309" s="9" t="s">
        <v>115</v>
      </c>
      <c r="J309" s="9">
        <v>1487</v>
      </c>
      <c r="K309" s="9" t="s">
        <v>2602</v>
      </c>
      <c r="L309" s="9" t="s">
        <v>117</v>
      </c>
      <c r="M309" s="10">
        <v>2.7893518518518519E-2</v>
      </c>
      <c r="N309" s="9" t="s">
        <v>127</v>
      </c>
      <c r="O309" s="9" t="s">
        <v>2603</v>
      </c>
      <c r="P309" s="9" t="s">
        <v>119</v>
      </c>
      <c r="Q309" s="10">
        <v>0.1075231481481481</v>
      </c>
      <c r="R309" s="9" t="s">
        <v>56</v>
      </c>
      <c r="S309" s="10">
        <v>0.17037037037037039</v>
      </c>
      <c r="T309" s="9">
        <v>19.724</v>
      </c>
      <c r="U309" s="9">
        <v>9.84</v>
      </c>
      <c r="V309" s="10">
        <v>8.3530092592592586E-2</v>
      </c>
      <c r="W309" s="10">
        <v>5.9131944444444452E-2</v>
      </c>
      <c r="X309" s="10">
        <v>0</v>
      </c>
      <c r="Y309" s="9">
        <v>0</v>
      </c>
      <c r="Z309" s="9">
        <v>0</v>
      </c>
      <c r="AA309" s="9">
        <v>0</v>
      </c>
      <c r="AB309" s="9">
        <v>0</v>
      </c>
      <c r="AC309" s="9">
        <v>0</v>
      </c>
      <c r="AD309" s="9">
        <v>0</v>
      </c>
      <c r="AE309" s="9" t="s">
        <v>139</v>
      </c>
      <c r="AF309" s="9" t="s">
        <v>2604</v>
      </c>
      <c r="AG309" s="9" t="s">
        <v>2605</v>
      </c>
      <c r="AH309" s="9">
        <v>6.2280550000000003</v>
      </c>
      <c r="AI309" s="9">
        <v>-75.599642000000003</v>
      </c>
      <c r="AJ309" s="9" t="s">
        <v>2606</v>
      </c>
      <c r="AK309" s="9">
        <v>6.2517969999999998</v>
      </c>
      <c r="AL309" s="9">
        <v>-75.551833000000002</v>
      </c>
      <c r="AM309" s="26">
        <f t="shared" si="4"/>
        <v>0.1075231481481481</v>
      </c>
      <c r="AN309" s="9"/>
    </row>
    <row r="310" spans="1:40" ht="15" x14ac:dyDescent="0.25">
      <c r="A310" s="9" t="s">
        <v>2607</v>
      </c>
      <c r="B310" s="9" t="s">
        <v>2608</v>
      </c>
      <c r="C310" s="9" t="s">
        <v>2609</v>
      </c>
      <c r="D310" s="9" t="s">
        <v>2509</v>
      </c>
      <c r="E310" s="9" t="s">
        <v>36</v>
      </c>
      <c r="F310" s="9" t="s">
        <v>169</v>
      </c>
      <c r="G310" s="9" t="s">
        <v>160</v>
      </c>
      <c r="H310" s="9" t="s">
        <v>161</v>
      </c>
      <c r="I310" s="9" t="s">
        <v>115</v>
      </c>
      <c r="J310" s="9">
        <v>5449</v>
      </c>
      <c r="K310" s="9" t="s">
        <v>2610</v>
      </c>
      <c r="L310" s="9" t="s">
        <v>117</v>
      </c>
      <c r="M310" s="10">
        <v>1.460140046296296E-2</v>
      </c>
      <c r="N310" s="9" t="s">
        <v>127</v>
      </c>
      <c r="O310" s="9" t="s">
        <v>2611</v>
      </c>
      <c r="P310" s="9" t="s">
        <v>119</v>
      </c>
      <c r="Q310" s="10">
        <v>1.2538194444444451E-4</v>
      </c>
      <c r="R310" s="9" t="s">
        <v>46</v>
      </c>
      <c r="S310" s="10">
        <v>0.26472678240740738</v>
      </c>
      <c r="T310" s="9">
        <v>37.631</v>
      </c>
      <c r="U310" s="9">
        <v>9.4700000000000006</v>
      </c>
      <c r="V310" s="10">
        <v>0.16553550925925911</v>
      </c>
      <c r="W310" s="10">
        <v>0.12789334490740731</v>
      </c>
      <c r="X310" s="10">
        <v>0</v>
      </c>
      <c r="Y310" s="9">
        <v>0</v>
      </c>
      <c r="Z310" s="9">
        <v>0</v>
      </c>
      <c r="AA310" s="9">
        <v>0</v>
      </c>
      <c r="AB310" s="9">
        <v>0</v>
      </c>
      <c r="AC310" s="9">
        <v>0</v>
      </c>
      <c r="AD310" s="9">
        <v>3</v>
      </c>
      <c r="AE310" s="9" t="s">
        <v>139</v>
      </c>
      <c r="AF310" s="9" t="s">
        <v>2612</v>
      </c>
      <c r="AG310" s="9" t="s">
        <v>2613</v>
      </c>
      <c r="AH310" s="9">
        <v>6.2267869999999998</v>
      </c>
      <c r="AI310" s="9">
        <v>-75.599261999999996</v>
      </c>
      <c r="AJ310" s="9" t="s">
        <v>2614</v>
      </c>
      <c r="AK310" s="9">
        <v>6.2601699999999996</v>
      </c>
      <c r="AL310" s="9">
        <v>-75.590198000000001</v>
      </c>
      <c r="AM310" s="26">
        <f t="shared" si="4"/>
        <v>0</v>
      </c>
      <c r="AN310" s="9"/>
    </row>
    <row r="311" spans="1:40" ht="15" x14ac:dyDescent="0.25">
      <c r="A311" s="9" t="s">
        <v>2615</v>
      </c>
      <c r="B311" s="9" t="s">
        <v>2616</v>
      </c>
      <c r="C311" s="9" t="s">
        <v>2617</v>
      </c>
      <c r="D311" s="9" t="s">
        <v>2618</v>
      </c>
      <c r="E311" s="9" t="s">
        <v>2619</v>
      </c>
      <c r="F311" s="9" t="s">
        <v>315</v>
      </c>
      <c r="G311" s="9" t="s">
        <v>38</v>
      </c>
      <c r="H311" s="9" t="s">
        <v>39</v>
      </c>
      <c r="I311" s="9" t="s">
        <v>40</v>
      </c>
      <c r="J311" s="9">
        <v>7442</v>
      </c>
      <c r="K311" s="9" t="s">
        <v>2620</v>
      </c>
      <c r="L311" s="9" t="s">
        <v>42</v>
      </c>
      <c r="M311" s="10">
        <v>4.4482939814814812E-2</v>
      </c>
      <c r="N311" s="9" t="s">
        <v>43</v>
      </c>
      <c r="O311" s="9" t="s">
        <v>2621</v>
      </c>
      <c r="P311" s="9" t="s">
        <v>45</v>
      </c>
      <c r="Q311" s="10">
        <v>2.3925057870370369E-2</v>
      </c>
      <c r="R311" s="9" t="s">
        <v>129</v>
      </c>
      <c r="S311" s="10">
        <v>0.3127754513888889</v>
      </c>
      <c r="T311" s="9">
        <v>39.548000000000002</v>
      </c>
      <c r="U311" s="9">
        <v>20.02</v>
      </c>
      <c r="V311" s="10">
        <v>8.2330046296296311E-2</v>
      </c>
      <c r="W311" s="10">
        <v>3.7823252314814808E-2</v>
      </c>
      <c r="X311" s="10">
        <v>2.7823807870370369E-2</v>
      </c>
      <c r="Y311" s="9">
        <v>1</v>
      </c>
      <c r="Z311" s="9">
        <v>1</v>
      </c>
      <c r="AA311" s="9">
        <v>1</v>
      </c>
      <c r="AB311" s="9">
        <v>1</v>
      </c>
      <c r="AC311" s="9">
        <v>0</v>
      </c>
      <c r="AD311" s="9">
        <v>4</v>
      </c>
      <c r="AE311" s="9" t="s">
        <v>130</v>
      </c>
      <c r="AF311" s="9" t="s">
        <v>2622</v>
      </c>
      <c r="AG311" s="9" t="s">
        <v>2623</v>
      </c>
      <c r="AH311" s="9">
        <v>6.2032970000000001</v>
      </c>
      <c r="AI311" s="9">
        <v>-75.600990999999993</v>
      </c>
      <c r="AJ311" s="9" t="s">
        <v>2624</v>
      </c>
      <c r="AK311" s="9">
        <v>6.2255520000000004</v>
      </c>
      <c r="AL311" s="9">
        <v>-75.599130000000002</v>
      </c>
      <c r="AM311" s="26">
        <f t="shared" si="4"/>
        <v>4.4482939814814812E-2</v>
      </c>
      <c r="AN311" s="9" t="s">
        <v>2689</v>
      </c>
    </row>
    <row r="312" spans="1:40" ht="15" x14ac:dyDescent="0.25">
      <c r="A312" s="9" t="s">
        <v>2625</v>
      </c>
      <c r="B312" s="9" t="s">
        <v>2626</v>
      </c>
      <c r="C312" s="9" t="s">
        <v>2627</v>
      </c>
      <c r="D312" s="9" t="s">
        <v>2618</v>
      </c>
      <c r="E312" s="9" t="s">
        <v>2619</v>
      </c>
      <c r="F312" s="9" t="s">
        <v>315</v>
      </c>
      <c r="G312" s="9" t="s">
        <v>52</v>
      </c>
      <c r="H312" s="9" t="s">
        <v>53</v>
      </c>
      <c r="I312" s="9" t="s">
        <v>40</v>
      </c>
      <c r="J312" s="9">
        <v>3776</v>
      </c>
      <c r="K312" s="9" t="s">
        <v>2628</v>
      </c>
      <c r="L312" s="9" t="s">
        <v>42</v>
      </c>
      <c r="M312" s="10">
        <v>2.4143518518518519E-2</v>
      </c>
      <c r="N312" s="9" t="s">
        <v>43</v>
      </c>
      <c r="O312" s="9" t="s">
        <v>2629</v>
      </c>
      <c r="P312" s="9" t="s">
        <v>45</v>
      </c>
      <c r="Q312" s="10">
        <v>8.86574074074074E-3</v>
      </c>
      <c r="R312" s="9" t="s">
        <v>46</v>
      </c>
      <c r="S312" s="10">
        <v>0.30032407407407408</v>
      </c>
      <c r="T312" s="9">
        <v>50.17</v>
      </c>
      <c r="U312" s="9">
        <v>9.19</v>
      </c>
      <c r="V312" s="10">
        <v>0.22748842592592591</v>
      </c>
      <c r="W312" s="10">
        <v>0.13734953703703701</v>
      </c>
      <c r="X312" s="10">
        <v>0</v>
      </c>
      <c r="Y312" s="9">
        <v>0</v>
      </c>
      <c r="Z312" s="9">
        <v>0</v>
      </c>
      <c r="AA312" s="9">
        <v>0</v>
      </c>
      <c r="AB312" s="9">
        <v>0</v>
      </c>
      <c r="AC312" s="9">
        <v>0</v>
      </c>
      <c r="AD312" s="9">
        <v>2</v>
      </c>
      <c r="AE312" s="9" t="s">
        <v>47</v>
      </c>
      <c r="AF312" s="9" t="s">
        <v>2630</v>
      </c>
      <c r="AG312" s="9" t="s">
        <v>2631</v>
      </c>
      <c r="AH312" s="9">
        <v>6.2256309999999999</v>
      </c>
      <c r="AI312" s="9">
        <v>-75.599384999999998</v>
      </c>
      <c r="AJ312" s="9" t="s">
        <v>2632</v>
      </c>
      <c r="AK312" s="9">
        <v>6.2477470000000004</v>
      </c>
      <c r="AL312" s="9">
        <v>-75.615037000000001</v>
      </c>
      <c r="AM312" s="26">
        <f t="shared" si="4"/>
        <v>2.4143518518518519E-2</v>
      </c>
      <c r="AN312" s="9" t="s">
        <v>2689</v>
      </c>
    </row>
    <row r="313" spans="1:40" ht="15" x14ac:dyDescent="0.25">
      <c r="A313" s="9" t="s">
        <v>2633</v>
      </c>
      <c r="B313" s="9" t="s">
        <v>2634</v>
      </c>
      <c r="C313" s="9" t="s">
        <v>2635</v>
      </c>
      <c r="D313" s="9" t="s">
        <v>2618</v>
      </c>
      <c r="E313" s="9" t="s">
        <v>2619</v>
      </c>
      <c r="F313" s="9" t="s">
        <v>315</v>
      </c>
      <c r="G313" s="9" t="s">
        <v>113</v>
      </c>
      <c r="H313" s="9" t="s">
        <v>114</v>
      </c>
      <c r="I313" s="9" t="s">
        <v>40</v>
      </c>
      <c r="J313" s="9">
        <v>2659</v>
      </c>
      <c r="K313" s="9" t="s">
        <v>2636</v>
      </c>
      <c r="L313" s="9" t="s">
        <v>42</v>
      </c>
      <c r="M313" s="10">
        <v>4.071759259259259E-2</v>
      </c>
      <c r="N313" s="9" t="s">
        <v>43</v>
      </c>
      <c r="O313" s="9" t="s">
        <v>2637</v>
      </c>
      <c r="P313" s="9" t="s">
        <v>45</v>
      </c>
      <c r="Q313" s="10">
        <v>4.1666666666666669E-4</v>
      </c>
      <c r="R313" s="9" t="s">
        <v>46</v>
      </c>
      <c r="S313" s="10">
        <v>0.29219907407407408</v>
      </c>
      <c r="T313" s="9">
        <v>34.234000000000002</v>
      </c>
      <c r="U313" s="9">
        <v>6.26</v>
      </c>
      <c r="V313" s="10">
        <v>0.2277777777777778</v>
      </c>
      <c r="W313" s="10">
        <v>0.16596064814814809</v>
      </c>
      <c r="X313" s="10">
        <v>0</v>
      </c>
      <c r="Y313" s="9">
        <v>0</v>
      </c>
      <c r="Z313" s="9">
        <v>0</v>
      </c>
      <c r="AA313" s="9">
        <v>0</v>
      </c>
      <c r="AB313" s="9">
        <v>0</v>
      </c>
      <c r="AC313" s="9">
        <v>0</v>
      </c>
      <c r="AD313" s="9">
        <v>2</v>
      </c>
      <c r="AE313" s="9" t="s">
        <v>47</v>
      </c>
      <c r="AF313" s="9" t="s">
        <v>2638</v>
      </c>
      <c r="AG313" s="9" t="s">
        <v>2639</v>
      </c>
      <c r="AH313" s="9">
        <v>6.2269769999999998</v>
      </c>
      <c r="AI313" s="9">
        <v>-75.601635000000002</v>
      </c>
      <c r="AJ313" s="9" t="s">
        <v>2640</v>
      </c>
      <c r="AK313" s="9">
        <v>6.2636779999999996</v>
      </c>
      <c r="AL313" s="9">
        <v>-75.597012000000007</v>
      </c>
      <c r="AM313" s="26">
        <f t="shared" si="4"/>
        <v>4.071759259259259E-2</v>
      </c>
      <c r="AN313" s="9" t="s">
        <v>2689</v>
      </c>
    </row>
    <row r="314" spans="1:40" ht="15" x14ac:dyDescent="0.25">
      <c r="A314" s="9" t="s">
        <v>2641</v>
      </c>
      <c r="B314" s="9" t="s">
        <v>2642</v>
      </c>
      <c r="C314" s="9" t="s">
        <v>2643</v>
      </c>
      <c r="D314" s="9" t="s">
        <v>2618</v>
      </c>
      <c r="E314" s="9" t="s">
        <v>2619</v>
      </c>
      <c r="F314" s="9" t="s">
        <v>315</v>
      </c>
      <c r="G314" s="9" t="s">
        <v>62</v>
      </c>
      <c r="H314" s="9" t="s">
        <v>63</v>
      </c>
      <c r="I314" s="9" t="s">
        <v>40</v>
      </c>
      <c r="J314" s="9">
        <v>3570</v>
      </c>
      <c r="K314" s="9" t="s">
        <v>2644</v>
      </c>
      <c r="L314" s="9" t="s">
        <v>42</v>
      </c>
      <c r="M314" s="10">
        <v>3.1342592592592602E-2</v>
      </c>
      <c r="N314" s="9" t="s">
        <v>43</v>
      </c>
      <c r="O314" s="9" t="s">
        <v>2645</v>
      </c>
      <c r="P314" s="9" t="s">
        <v>45</v>
      </c>
      <c r="Q314" s="10">
        <v>8.2511574074074071E-2</v>
      </c>
      <c r="R314" s="9" t="s">
        <v>56</v>
      </c>
      <c r="S314" s="10">
        <v>0.2194791666666667</v>
      </c>
      <c r="T314" s="9">
        <v>47.231000000000002</v>
      </c>
      <c r="U314" s="9">
        <v>16.149999999999999</v>
      </c>
      <c r="V314" s="10">
        <v>0.12185185185185191</v>
      </c>
      <c r="W314" s="10">
        <v>3.3229166666666657E-2</v>
      </c>
      <c r="X314" s="10">
        <v>0</v>
      </c>
      <c r="Y314" s="9">
        <v>0</v>
      </c>
      <c r="Z314" s="9">
        <v>0</v>
      </c>
      <c r="AA314" s="9">
        <v>0</v>
      </c>
      <c r="AB314" s="9">
        <v>0</v>
      </c>
      <c r="AC314" s="9">
        <v>0</v>
      </c>
      <c r="AD314" s="9">
        <v>0</v>
      </c>
      <c r="AE314" s="9" t="s">
        <v>57</v>
      </c>
      <c r="AF314" s="9" t="s">
        <v>2646</v>
      </c>
      <c r="AG314" s="9" t="s">
        <v>2647</v>
      </c>
      <c r="AH314" s="9">
        <v>6.2258899999999997</v>
      </c>
      <c r="AI314" s="9">
        <v>-75.599390999999997</v>
      </c>
      <c r="AJ314" s="9" t="s">
        <v>2648</v>
      </c>
      <c r="AK314" s="9">
        <v>6.3046550000000003</v>
      </c>
      <c r="AL314" s="9">
        <v>-75.569092999999995</v>
      </c>
      <c r="AM314" s="26">
        <f t="shared" si="4"/>
        <v>0.11385416666666667</v>
      </c>
      <c r="AN314" s="9" t="s">
        <v>2689</v>
      </c>
    </row>
    <row r="315" spans="1:40" ht="15" x14ac:dyDescent="0.25">
      <c r="A315" s="9" t="s">
        <v>2649</v>
      </c>
      <c r="B315" s="9" t="s">
        <v>2650</v>
      </c>
      <c r="C315" s="9" t="s">
        <v>2651</v>
      </c>
      <c r="D315" s="9" t="s">
        <v>2618</v>
      </c>
      <c r="E315" s="9" t="s">
        <v>2619</v>
      </c>
      <c r="F315" s="9" t="s">
        <v>315</v>
      </c>
      <c r="G315" s="9" t="s">
        <v>72</v>
      </c>
      <c r="H315" s="9" t="s">
        <v>73</v>
      </c>
      <c r="I315" s="9" t="s">
        <v>40</v>
      </c>
      <c r="J315" s="9">
        <v>3095</v>
      </c>
      <c r="K315" s="9" t="s">
        <v>2652</v>
      </c>
      <c r="L315" s="9" t="s">
        <v>42</v>
      </c>
      <c r="M315" s="10">
        <v>2.2743055555555551E-2</v>
      </c>
      <c r="N315" s="9" t="s">
        <v>43</v>
      </c>
      <c r="O315" s="9" t="s">
        <v>2653</v>
      </c>
      <c r="P315" s="9" t="s">
        <v>45</v>
      </c>
      <c r="Q315" s="10">
        <v>0.1496875</v>
      </c>
      <c r="R315" s="9" t="s">
        <v>56</v>
      </c>
      <c r="S315" s="10">
        <v>0.16090277777777781</v>
      </c>
      <c r="T315" s="9">
        <v>41.935000000000002</v>
      </c>
      <c r="U315" s="9">
        <v>13.15</v>
      </c>
      <c r="V315" s="10">
        <v>0.13289351851851849</v>
      </c>
      <c r="W315" s="10">
        <v>6.913194444444444E-2</v>
      </c>
      <c r="X315" s="10">
        <v>0</v>
      </c>
      <c r="Y315" s="9">
        <v>0</v>
      </c>
      <c r="Z315" s="9">
        <v>0</v>
      </c>
      <c r="AA315" s="9">
        <v>0</v>
      </c>
      <c r="AB315" s="9">
        <v>0</v>
      </c>
      <c r="AC315" s="9">
        <v>0</v>
      </c>
      <c r="AD315" s="9">
        <v>0</v>
      </c>
      <c r="AE315" s="9" t="s">
        <v>57</v>
      </c>
      <c r="AF315" s="9" t="s">
        <v>2654</v>
      </c>
      <c r="AG315" s="9" t="s">
        <v>2655</v>
      </c>
      <c r="AH315" s="9">
        <v>6.2255039999999999</v>
      </c>
      <c r="AI315" s="9">
        <v>-75.599469999999997</v>
      </c>
      <c r="AJ315" s="9" t="s">
        <v>2656</v>
      </c>
      <c r="AK315" s="9">
        <v>6.2366400000000004</v>
      </c>
      <c r="AL315" s="9">
        <v>-75.559618</v>
      </c>
      <c r="AM315" s="26">
        <f t="shared" si="4"/>
        <v>0.17243055555555556</v>
      </c>
      <c r="AN315" s="9" t="s">
        <v>2689</v>
      </c>
    </row>
    <row r="316" spans="1:40" ht="15" x14ac:dyDescent="0.25">
      <c r="A316" s="9" t="s">
        <v>2657</v>
      </c>
      <c r="B316" s="9" t="s">
        <v>2658</v>
      </c>
      <c r="C316" s="9" t="s">
        <v>2659</v>
      </c>
      <c r="D316" s="9" t="s">
        <v>2618</v>
      </c>
      <c r="E316" s="9" t="s">
        <v>2619</v>
      </c>
      <c r="F316" s="9" t="s">
        <v>315</v>
      </c>
      <c r="G316" s="9" t="s">
        <v>80</v>
      </c>
      <c r="H316" s="9" t="s">
        <v>81</v>
      </c>
      <c r="I316" s="9" t="s">
        <v>40</v>
      </c>
      <c r="J316" s="9">
        <v>5113</v>
      </c>
      <c r="K316" s="9" t="s">
        <v>2660</v>
      </c>
      <c r="L316" s="9" t="s">
        <v>42</v>
      </c>
      <c r="M316" s="10">
        <v>3.0107025462962959E-2</v>
      </c>
      <c r="N316" s="9" t="s">
        <v>43</v>
      </c>
      <c r="O316" s="9" t="s">
        <v>2661</v>
      </c>
      <c r="P316" s="9" t="s">
        <v>45</v>
      </c>
      <c r="Q316" s="10">
        <v>7.2680555555555552E-4</v>
      </c>
      <c r="R316" s="9" t="s">
        <v>46</v>
      </c>
      <c r="S316" s="10">
        <v>0.3039531134259259</v>
      </c>
      <c r="T316" s="9">
        <v>37.741</v>
      </c>
      <c r="U316" s="9">
        <v>32.47</v>
      </c>
      <c r="V316" s="10">
        <v>4.8433564814814811E-2</v>
      </c>
      <c r="W316" s="10">
        <v>5.2889120370370364E-3</v>
      </c>
      <c r="X316" s="10">
        <v>5.5164699074074074E-3</v>
      </c>
      <c r="Y316" s="9">
        <v>0</v>
      </c>
      <c r="Z316" s="9">
        <v>0</v>
      </c>
      <c r="AA316" s="9">
        <v>0</v>
      </c>
      <c r="AB316" s="9">
        <v>0</v>
      </c>
      <c r="AC316" s="9">
        <v>0</v>
      </c>
      <c r="AD316" s="9">
        <v>12</v>
      </c>
      <c r="AE316" s="9" t="s">
        <v>47</v>
      </c>
      <c r="AF316" s="9" t="s">
        <v>2662</v>
      </c>
      <c r="AG316" s="9" t="s">
        <v>2663</v>
      </c>
      <c r="AH316" s="9">
        <v>6.2255770000000004</v>
      </c>
      <c r="AI316" s="9">
        <v>-75.599402999999995</v>
      </c>
      <c r="AJ316" s="9" t="s">
        <v>2664</v>
      </c>
      <c r="AK316" s="9">
        <v>6.2577879999999997</v>
      </c>
      <c r="AL316" s="9">
        <v>-75.614191000000005</v>
      </c>
      <c r="AM316" s="26">
        <f t="shared" si="4"/>
        <v>3.0107025462962959E-2</v>
      </c>
      <c r="AN316" s="9" t="s">
        <v>2689</v>
      </c>
    </row>
    <row r="317" spans="1:40" ht="15" x14ac:dyDescent="0.25">
      <c r="A317" s="9" t="s">
        <v>2665</v>
      </c>
      <c r="B317" s="9" t="s">
        <v>2666</v>
      </c>
      <c r="C317" s="9" t="s">
        <v>2667</v>
      </c>
      <c r="D317" s="9" t="s">
        <v>2618</v>
      </c>
      <c r="E317" s="9" t="s">
        <v>2619</v>
      </c>
      <c r="F317" s="9" t="s">
        <v>315</v>
      </c>
      <c r="G317" s="9" t="s">
        <v>89</v>
      </c>
      <c r="H317" s="9" t="s">
        <v>90</v>
      </c>
      <c r="I317" s="9" t="s">
        <v>40</v>
      </c>
      <c r="J317" s="9">
        <v>3328</v>
      </c>
      <c r="K317" s="9" t="s">
        <v>2668</v>
      </c>
      <c r="L317" s="9" t="s">
        <v>42</v>
      </c>
      <c r="M317" s="10">
        <v>3.2997685185185192E-2</v>
      </c>
      <c r="N317" s="9" t="s">
        <v>43</v>
      </c>
      <c r="O317" s="9" t="s">
        <v>2669</v>
      </c>
      <c r="P317" s="9" t="s">
        <v>45</v>
      </c>
      <c r="Q317" s="10">
        <v>5.0231481481481481E-3</v>
      </c>
      <c r="R317" s="9" t="s">
        <v>46</v>
      </c>
      <c r="S317" s="10">
        <v>0.30535879629629631</v>
      </c>
      <c r="T317" s="9">
        <v>40.808999999999997</v>
      </c>
      <c r="U317" s="9">
        <v>7.4</v>
      </c>
      <c r="V317" s="10">
        <v>0.22973379629629631</v>
      </c>
      <c r="W317" s="10">
        <v>0.1222569444444444</v>
      </c>
      <c r="X317" s="10">
        <v>0</v>
      </c>
      <c r="Y317" s="9">
        <v>0</v>
      </c>
      <c r="Z317" s="9">
        <v>0</v>
      </c>
      <c r="AA317" s="9">
        <v>0</v>
      </c>
      <c r="AB317" s="9">
        <v>0</v>
      </c>
      <c r="AC317" s="9">
        <v>0</v>
      </c>
      <c r="AD317" s="9">
        <v>0</v>
      </c>
      <c r="AE317" s="9" t="s">
        <v>47</v>
      </c>
      <c r="AF317" s="9" t="s">
        <v>2670</v>
      </c>
      <c r="AG317" s="9" t="s">
        <v>2671</v>
      </c>
      <c r="AH317" s="9">
        <v>6.2265670000000002</v>
      </c>
      <c r="AI317" s="9">
        <v>-75.599172999999993</v>
      </c>
      <c r="AJ317" s="9" t="s">
        <v>2672</v>
      </c>
      <c r="AK317" s="9">
        <v>6.2801179999999999</v>
      </c>
      <c r="AL317" s="9">
        <v>-75.572308000000007</v>
      </c>
      <c r="AM317" s="26">
        <f t="shared" si="4"/>
        <v>3.2997685185185192E-2</v>
      </c>
      <c r="AN317" s="9" t="s">
        <v>2689</v>
      </c>
    </row>
    <row r="318" spans="1:40" ht="15" x14ac:dyDescent="0.25">
      <c r="A318" s="9" t="s">
        <v>2673</v>
      </c>
      <c r="B318" s="9" t="s">
        <v>2674</v>
      </c>
      <c r="C318" s="9" t="s">
        <v>2675</v>
      </c>
      <c r="D318" s="9" t="s">
        <v>2618</v>
      </c>
      <c r="E318" s="9" t="s">
        <v>2619</v>
      </c>
      <c r="F318" s="9" t="s">
        <v>315</v>
      </c>
      <c r="G318" s="9" t="s">
        <v>97</v>
      </c>
      <c r="H318" s="9" t="s">
        <v>98</v>
      </c>
      <c r="I318" s="9" t="s">
        <v>40</v>
      </c>
      <c r="J318" s="9">
        <v>4910</v>
      </c>
      <c r="K318" s="9" t="s">
        <v>2676</v>
      </c>
      <c r="L318" s="9" t="s">
        <v>42</v>
      </c>
      <c r="M318" s="10">
        <v>2.072916666666667E-2</v>
      </c>
      <c r="N318" s="9" t="s">
        <v>43</v>
      </c>
      <c r="O318" s="9" t="s">
        <v>2677</v>
      </c>
      <c r="P318" s="9" t="s">
        <v>45</v>
      </c>
      <c r="Q318" s="10">
        <v>1.1342592592592589E-3</v>
      </c>
      <c r="R318" s="9" t="s">
        <v>46</v>
      </c>
      <c r="S318" s="10">
        <v>0.31146990740740738</v>
      </c>
      <c r="T318" s="9">
        <v>68.269000000000005</v>
      </c>
      <c r="U318" s="9">
        <v>15.51</v>
      </c>
      <c r="V318" s="10">
        <v>0.1834375</v>
      </c>
      <c r="W318" s="10">
        <v>8.4004629629629624E-2</v>
      </c>
      <c r="X318" s="10">
        <v>0</v>
      </c>
      <c r="Y318" s="9">
        <v>0</v>
      </c>
      <c r="Z318" s="9">
        <v>0</v>
      </c>
      <c r="AA318" s="9">
        <v>0</v>
      </c>
      <c r="AB318" s="9">
        <v>0</v>
      </c>
      <c r="AC318" s="9">
        <v>0</v>
      </c>
      <c r="AD318" s="9">
        <v>0</v>
      </c>
      <c r="AE318" s="9" t="s">
        <v>47</v>
      </c>
      <c r="AF318" s="9" t="s">
        <v>2678</v>
      </c>
      <c r="AG318" s="9" t="s">
        <v>2679</v>
      </c>
      <c r="AH318" s="9">
        <v>6.2256739999999997</v>
      </c>
      <c r="AI318" s="9">
        <v>-75.599473000000003</v>
      </c>
      <c r="AJ318" s="9" t="s">
        <v>2680</v>
      </c>
      <c r="AK318" s="9">
        <v>6.3041270000000003</v>
      </c>
      <c r="AL318" s="9">
        <v>-75.581996000000004</v>
      </c>
      <c r="AM318" s="26">
        <f t="shared" si="4"/>
        <v>2.072916666666667E-2</v>
      </c>
      <c r="AN318" s="9" t="s">
        <v>2689</v>
      </c>
    </row>
    <row r="319" spans="1:40" ht="15" x14ac:dyDescent="0.25">
      <c r="A319" s="9" t="s">
        <v>2681</v>
      </c>
      <c r="B319" s="9" t="s">
        <v>2682</v>
      </c>
      <c r="C319" s="9" t="s">
        <v>2683</v>
      </c>
      <c r="D319" s="9" t="s">
        <v>2618</v>
      </c>
      <c r="E319" s="9" t="s">
        <v>2619</v>
      </c>
      <c r="F319" s="9" t="s">
        <v>315</v>
      </c>
      <c r="G319" s="9" t="s">
        <v>105</v>
      </c>
      <c r="H319" s="9" t="s">
        <v>106</v>
      </c>
      <c r="I319" s="9" t="s">
        <v>40</v>
      </c>
      <c r="J319" s="9">
        <v>982</v>
      </c>
      <c r="K319" s="9" t="s">
        <v>2684</v>
      </c>
      <c r="L319" s="9" t="s">
        <v>42</v>
      </c>
      <c r="M319" s="10">
        <v>1.46412037037037E-2</v>
      </c>
      <c r="N319" s="9" t="s">
        <v>43</v>
      </c>
      <c r="O319" s="9" t="s">
        <v>2685</v>
      </c>
      <c r="P319" s="9" t="s">
        <v>45</v>
      </c>
      <c r="Q319" s="10">
        <v>1.9756944444444448E-2</v>
      </c>
      <c r="R319" s="9" t="s">
        <v>56</v>
      </c>
      <c r="S319" s="10">
        <v>0.29893518518518519</v>
      </c>
      <c r="T319" s="9">
        <v>22.599</v>
      </c>
      <c r="U319" s="9">
        <v>3.21</v>
      </c>
      <c r="V319" s="10">
        <v>0.29296296296296298</v>
      </c>
      <c r="W319" s="10">
        <v>0.27302083333333332</v>
      </c>
      <c r="X319" s="10">
        <v>0</v>
      </c>
      <c r="Y319" s="9">
        <v>0</v>
      </c>
      <c r="Z319" s="9">
        <v>0</v>
      </c>
      <c r="AA319" s="9">
        <v>0</v>
      </c>
      <c r="AB319" s="9">
        <v>0</v>
      </c>
      <c r="AC319" s="9">
        <v>0</v>
      </c>
      <c r="AD319" s="9">
        <v>1</v>
      </c>
      <c r="AE319" s="9" t="s">
        <v>57</v>
      </c>
      <c r="AF319" s="9" t="s">
        <v>2686</v>
      </c>
      <c r="AG319" s="9" t="s">
        <v>2687</v>
      </c>
      <c r="AH319" s="9">
        <v>6.2255260000000003</v>
      </c>
      <c r="AI319" s="9">
        <v>-75.599444000000005</v>
      </c>
      <c r="AJ319" s="9" t="s">
        <v>2688</v>
      </c>
      <c r="AK319" s="9">
        <v>6.2581959999999999</v>
      </c>
      <c r="AL319" s="9">
        <v>-75.615995999999996</v>
      </c>
      <c r="AM319" s="26">
        <f t="shared" si="4"/>
        <v>3.439814814814815E-2</v>
      </c>
      <c r="AN319" s="9" t="s">
        <v>2689</v>
      </c>
    </row>
    <row r="320" spans="1:40" ht="15" x14ac:dyDescent="0.25">
      <c r="A320" s="9" t="s">
        <v>2690</v>
      </c>
      <c r="B320" s="9" t="s">
        <v>2691</v>
      </c>
      <c r="C320" s="9" t="s">
        <v>2692</v>
      </c>
      <c r="D320" s="9" t="s">
        <v>2618</v>
      </c>
      <c r="E320" s="9" t="s">
        <v>2619</v>
      </c>
      <c r="F320" s="9" t="s">
        <v>315</v>
      </c>
      <c r="G320" s="9" t="s">
        <v>124</v>
      </c>
      <c r="H320" s="9" t="s">
        <v>125</v>
      </c>
      <c r="I320" s="9" t="s">
        <v>115</v>
      </c>
      <c r="J320" s="9">
        <v>4038</v>
      </c>
      <c r="K320" s="9" t="s">
        <v>2693</v>
      </c>
      <c r="L320" s="9" t="s">
        <v>117</v>
      </c>
      <c r="M320" s="10">
        <v>5.0486111111111107E-2</v>
      </c>
      <c r="N320" s="9" t="s">
        <v>127</v>
      </c>
      <c r="O320" s="9" t="s">
        <v>2694</v>
      </c>
      <c r="P320" s="9" t="s">
        <v>119</v>
      </c>
      <c r="Q320" s="10">
        <v>1.263888888888889E-2</v>
      </c>
      <c r="R320" s="9" t="s">
        <v>129</v>
      </c>
      <c r="S320" s="10">
        <v>0.31312499999999999</v>
      </c>
      <c r="T320" s="9">
        <v>49.478000000000002</v>
      </c>
      <c r="U320" s="9">
        <v>8.48</v>
      </c>
      <c r="V320" s="10">
        <v>0.24300925925925931</v>
      </c>
      <c r="W320" s="10">
        <v>0.1121412037037037</v>
      </c>
      <c r="X320" s="10">
        <v>9.571759259259259E-3</v>
      </c>
      <c r="Y320" s="9">
        <v>1</v>
      </c>
      <c r="Z320" s="9">
        <v>0</v>
      </c>
      <c r="AA320" s="9">
        <v>0</v>
      </c>
      <c r="AB320" s="9">
        <v>0</v>
      </c>
      <c r="AC320" s="9">
        <v>0</v>
      </c>
      <c r="AD320" s="9">
        <v>0</v>
      </c>
      <c r="AE320" s="9" t="s">
        <v>130</v>
      </c>
      <c r="AF320" s="9" t="s">
        <v>2695</v>
      </c>
      <c r="AG320" s="9" t="s">
        <v>2696</v>
      </c>
      <c r="AH320" s="9">
        <v>6.2259589999999996</v>
      </c>
      <c r="AI320" s="9">
        <v>-75.599346999999995</v>
      </c>
      <c r="AJ320" s="9" t="s">
        <v>2697</v>
      </c>
      <c r="AK320" s="9">
        <v>6.2726090000000001</v>
      </c>
      <c r="AL320" s="9">
        <v>-75.602417000000003</v>
      </c>
      <c r="AM320" s="26">
        <f t="shared" si="4"/>
        <v>0</v>
      </c>
      <c r="AN320" s="9"/>
    </row>
    <row r="321" spans="1:40" ht="15" x14ac:dyDescent="0.25">
      <c r="A321" s="9" t="s">
        <v>2698</v>
      </c>
      <c r="B321" s="9" t="s">
        <v>2699</v>
      </c>
      <c r="C321" s="9" t="s">
        <v>2700</v>
      </c>
      <c r="D321" s="9" t="s">
        <v>2618</v>
      </c>
      <c r="E321" s="9" t="s">
        <v>2619</v>
      </c>
      <c r="F321" s="9" t="s">
        <v>315</v>
      </c>
      <c r="G321" s="9" t="s">
        <v>135</v>
      </c>
      <c r="H321" s="9" t="s">
        <v>136</v>
      </c>
      <c r="I321" s="9" t="s">
        <v>115</v>
      </c>
      <c r="J321" s="9">
        <v>1405</v>
      </c>
      <c r="K321" s="9" t="s">
        <v>2701</v>
      </c>
      <c r="L321" s="9" t="s">
        <v>117</v>
      </c>
      <c r="M321" s="10">
        <v>4.2002314814814812E-2</v>
      </c>
      <c r="N321" s="9" t="s">
        <v>127</v>
      </c>
      <c r="O321" s="9" t="s">
        <v>2702</v>
      </c>
      <c r="P321" s="9" t="s">
        <v>119</v>
      </c>
      <c r="Q321" s="10">
        <v>1.217592592592593E-2</v>
      </c>
      <c r="R321" s="9" t="s">
        <v>56</v>
      </c>
      <c r="S321" s="10">
        <v>0.27982638888888889</v>
      </c>
      <c r="T321" s="9">
        <v>20.927</v>
      </c>
      <c r="U321" s="9">
        <v>9.2899999999999991</v>
      </c>
      <c r="V321" s="10">
        <v>9.3865740740740736E-2</v>
      </c>
      <c r="W321" s="10">
        <v>5.6828703703703701E-2</v>
      </c>
      <c r="X321" s="10">
        <v>0</v>
      </c>
      <c r="Y321" s="9">
        <v>0</v>
      </c>
      <c r="Z321" s="9">
        <v>0</v>
      </c>
      <c r="AA321" s="9">
        <v>0</v>
      </c>
      <c r="AB321" s="9">
        <v>0</v>
      </c>
      <c r="AC321" s="9">
        <v>0</v>
      </c>
      <c r="AD321" s="9">
        <v>2</v>
      </c>
      <c r="AE321" s="9" t="s">
        <v>139</v>
      </c>
      <c r="AF321" s="9" t="s">
        <v>2703</v>
      </c>
      <c r="AG321" s="9" t="s">
        <v>2704</v>
      </c>
      <c r="AH321" s="9">
        <v>6.2257049999999996</v>
      </c>
      <c r="AI321" s="9">
        <v>-75.599189999999993</v>
      </c>
      <c r="AJ321" s="9" t="s">
        <v>2705</v>
      </c>
      <c r="AK321" s="9">
        <v>6.2951839999999999</v>
      </c>
      <c r="AL321" s="9">
        <v>-75.554969999999997</v>
      </c>
      <c r="AM321" s="26">
        <f t="shared" si="4"/>
        <v>1.217592592592593E-2</v>
      </c>
      <c r="AN321" s="9"/>
    </row>
    <row r="322" spans="1:40" ht="15" x14ac:dyDescent="0.25">
      <c r="A322" s="9" t="s">
        <v>2706</v>
      </c>
      <c r="B322" s="9" t="s">
        <v>2707</v>
      </c>
      <c r="C322" s="9" t="s">
        <v>2708</v>
      </c>
      <c r="D322" s="9" t="s">
        <v>2618</v>
      </c>
      <c r="E322" s="9" t="s">
        <v>2619</v>
      </c>
      <c r="F322" s="9" t="s">
        <v>315</v>
      </c>
      <c r="G322" s="9" t="s">
        <v>144</v>
      </c>
      <c r="H322" s="9" t="s">
        <v>145</v>
      </c>
      <c r="I322" s="9" t="s">
        <v>115</v>
      </c>
      <c r="J322" s="9">
        <v>6739</v>
      </c>
      <c r="K322" s="9" t="s">
        <v>2709</v>
      </c>
      <c r="L322" s="9" t="s">
        <v>117</v>
      </c>
      <c r="M322" s="10">
        <v>1.8576388888888889E-2</v>
      </c>
      <c r="N322" s="9" t="s">
        <v>127</v>
      </c>
      <c r="O322" s="9" t="s">
        <v>2710</v>
      </c>
      <c r="P322" s="9" t="s">
        <v>119</v>
      </c>
      <c r="Q322" s="10">
        <v>4.3541666666666673E-2</v>
      </c>
      <c r="R322" s="9" t="s">
        <v>129</v>
      </c>
      <c r="S322" s="10">
        <v>0.31211805555555561</v>
      </c>
      <c r="T322" s="9">
        <v>101.31100000000001</v>
      </c>
      <c r="U322" s="9">
        <v>19.34</v>
      </c>
      <c r="V322" s="10">
        <v>0.218287037037037</v>
      </c>
      <c r="W322" s="10">
        <v>6.0520833333333343E-2</v>
      </c>
      <c r="X322" s="10">
        <v>0</v>
      </c>
      <c r="Y322" s="9">
        <v>0</v>
      </c>
      <c r="Z322" s="9">
        <v>0</v>
      </c>
      <c r="AA322" s="9">
        <v>0</v>
      </c>
      <c r="AB322" s="9">
        <v>0</v>
      </c>
      <c r="AC322" s="9">
        <v>0</v>
      </c>
      <c r="AD322" s="9">
        <v>0</v>
      </c>
      <c r="AE322" s="9" t="s">
        <v>130</v>
      </c>
      <c r="AF322" s="9" t="s">
        <v>2711</v>
      </c>
      <c r="AG322" s="9" t="s">
        <v>2712</v>
      </c>
      <c r="AH322" s="9">
        <v>6.2268650000000001</v>
      </c>
      <c r="AI322" s="9">
        <v>-75.599376000000007</v>
      </c>
      <c r="AJ322" s="9" t="s">
        <v>2713</v>
      </c>
      <c r="AK322" s="9">
        <v>6.2904039999999997</v>
      </c>
      <c r="AL322" s="9">
        <v>-75.546580000000006</v>
      </c>
      <c r="AM322" s="26">
        <f t="shared" si="4"/>
        <v>0</v>
      </c>
      <c r="AN322" s="9"/>
    </row>
    <row r="323" spans="1:40" ht="15" x14ac:dyDescent="0.25">
      <c r="A323" s="9" t="s">
        <v>2714</v>
      </c>
      <c r="B323" s="9" t="s">
        <v>2715</v>
      </c>
      <c r="C323" s="9" t="s">
        <v>2716</v>
      </c>
      <c r="D323" s="9" t="s">
        <v>2618</v>
      </c>
      <c r="E323" s="9" t="s">
        <v>2619</v>
      </c>
      <c r="F323" s="9" t="s">
        <v>315</v>
      </c>
      <c r="G323" s="9" t="s">
        <v>152</v>
      </c>
      <c r="H323" s="9" t="s">
        <v>153</v>
      </c>
      <c r="I323" s="9" t="s">
        <v>115</v>
      </c>
      <c r="J323" s="9">
        <v>1420</v>
      </c>
      <c r="K323" s="9" t="s">
        <v>2717</v>
      </c>
      <c r="L323" s="9" t="s">
        <v>117</v>
      </c>
      <c r="M323" s="10">
        <v>3.1724537037037037E-2</v>
      </c>
      <c r="N323" s="9" t="s">
        <v>127</v>
      </c>
      <c r="O323" s="9" t="s">
        <v>2718</v>
      </c>
      <c r="P323" s="9" t="s">
        <v>119</v>
      </c>
      <c r="Q323" s="10">
        <v>0.1288194444444444</v>
      </c>
      <c r="R323" s="9" t="s">
        <v>56</v>
      </c>
      <c r="S323" s="10">
        <v>0.15290509259259261</v>
      </c>
      <c r="T323" s="9">
        <v>18.783999999999999</v>
      </c>
      <c r="U323" s="9">
        <v>7.74</v>
      </c>
      <c r="V323" s="10">
        <v>0.1010763888888889</v>
      </c>
      <c r="W323" s="10">
        <v>6.9780092592592588E-2</v>
      </c>
      <c r="X323" s="10">
        <v>0</v>
      </c>
      <c r="Y323" s="9">
        <v>0</v>
      </c>
      <c r="Z323" s="9">
        <v>0</v>
      </c>
      <c r="AA323" s="9">
        <v>0</v>
      </c>
      <c r="AB323" s="9">
        <v>0</v>
      </c>
      <c r="AC323" s="9">
        <v>0</v>
      </c>
      <c r="AD323" s="9">
        <v>1</v>
      </c>
      <c r="AE323" s="9" t="s">
        <v>139</v>
      </c>
      <c r="AF323" s="9" t="s">
        <v>2719</v>
      </c>
      <c r="AG323" s="9" t="s">
        <v>2720</v>
      </c>
      <c r="AH323" s="9">
        <v>6.2260249999999999</v>
      </c>
      <c r="AI323" s="9">
        <v>-75.599369999999993</v>
      </c>
      <c r="AJ323" s="9" t="s">
        <v>2721</v>
      </c>
      <c r="AK323" s="9">
        <v>6.2517670000000001</v>
      </c>
      <c r="AL323" s="9">
        <v>-75.551829999999995</v>
      </c>
      <c r="AM323" s="26">
        <f t="shared" ref="AM323:AM324" si="5">IF(N323="INICIO TARDÍO",M323,0)+IF(R323="TERMINÓ ANTES",Q323,0)</f>
        <v>0.1288194444444444</v>
      </c>
      <c r="AN323" s="9"/>
    </row>
    <row r="324" spans="1:40" ht="15" x14ac:dyDescent="0.25">
      <c r="A324" s="9" t="s">
        <v>2722</v>
      </c>
      <c r="B324" s="9" t="s">
        <v>2723</v>
      </c>
      <c r="C324" s="9" t="s">
        <v>2724</v>
      </c>
      <c r="D324" s="9" t="s">
        <v>2618</v>
      </c>
      <c r="E324" s="9" t="s">
        <v>2619</v>
      </c>
      <c r="F324" s="9" t="s">
        <v>315</v>
      </c>
      <c r="G324" s="9" t="s">
        <v>160</v>
      </c>
      <c r="H324" s="9" t="s">
        <v>161</v>
      </c>
      <c r="I324" s="9" t="s">
        <v>115</v>
      </c>
      <c r="J324" s="9">
        <v>9563</v>
      </c>
      <c r="K324" s="9" t="s">
        <v>2725</v>
      </c>
      <c r="L324" s="9" t="s">
        <v>117</v>
      </c>
      <c r="M324" s="10">
        <v>1.9616215277777779E-2</v>
      </c>
      <c r="N324" s="9" t="s">
        <v>127</v>
      </c>
      <c r="O324" s="9" t="s">
        <v>2726</v>
      </c>
      <c r="P324" s="9" t="s">
        <v>119</v>
      </c>
      <c r="Q324" s="10">
        <v>1.4685555555555559E-2</v>
      </c>
      <c r="R324" s="9" t="s">
        <v>129</v>
      </c>
      <c r="S324" s="10">
        <v>0.2843017708333333</v>
      </c>
      <c r="T324" s="9">
        <v>55.212000000000003</v>
      </c>
      <c r="U324" s="9">
        <v>13.09</v>
      </c>
      <c r="V324" s="10">
        <v>0.17577624999999991</v>
      </c>
      <c r="W324" s="10">
        <v>0.12171476851851851</v>
      </c>
      <c r="X324" s="10">
        <v>5.9606134259259256E-3</v>
      </c>
      <c r="Y324" s="9">
        <v>0</v>
      </c>
      <c r="Z324" s="9">
        <v>0</v>
      </c>
      <c r="AA324" s="9">
        <v>0</v>
      </c>
      <c r="AB324" s="9">
        <v>0</v>
      </c>
      <c r="AC324" s="9">
        <v>0</v>
      </c>
      <c r="AD324" s="9">
        <v>3</v>
      </c>
      <c r="AE324" s="9" t="s">
        <v>130</v>
      </c>
      <c r="AF324" s="9" t="s">
        <v>2727</v>
      </c>
      <c r="AG324" s="9" t="s">
        <v>2728</v>
      </c>
      <c r="AH324" s="9">
        <v>6.2264699999999999</v>
      </c>
      <c r="AI324" s="9">
        <v>-75.599547999999999</v>
      </c>
      <c r="AJ324" s="9" t="s">
        <v>2729</v>
      </c>
      <c r="AK324" s="9">
        <v>6.2684319999999998</v>
      </c>
      <c r="AL324" s="9">
        <v>-75.599476999999993</v>
      </c>
      <c r="AM324" s="26">
        <f t="shared" si="5"/>
        <v>0</v>
      </c>
      <c r="AN324" s="9"/>
    </row>
    <row r="325" spans="1:40" x14ac:dyDescent="0.25">
      <c r="AN325" s="9"/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68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2026-10-02T17:07:47Z</dcterms:modified>
</cp:coreProperties>
</file>