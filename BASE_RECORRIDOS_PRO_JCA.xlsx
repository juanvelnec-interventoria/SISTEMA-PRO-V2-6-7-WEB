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D2546E3C-3F47-4CEE-910E-0E130F451CDE}" xr6:coauthVersionLast="47" xr6:coauthVersionMax="47" xr10:uidLastSave="{00000000-0000-0000-0000-000000000000}"/>
  <bookViews>
    <workbookView xWindow="20370" yWindow="-120" windowWidth="29040" windowHeight="157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2" r:id="rId8"/>
    <pivotCache cacheId="3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97" i="2" l="1"/>
  <c r="AM398" i="2"/>
  <c r="AM399" i="2"/>
  <c r="AM400" i="2"/>
  <c r="AM401" i="2"/>
  <c r="AM402" i="2"/>
  <c r="AM403" i="2"/>
  <c r="AM404" i="2"/>
  <c r="AM392" i="2" l="1"/>
  <c r="AM393" i="2"/>
  <c r="AM394" i="2"/>
  <c r="AM395" i="2"/>
  <c r="AM396" i="2"/>
  <c r="AM391" i="2"/>
  <c r="AM382" i="2"/>
  <c r="AM383" i="2"/>
  <c r="AM384" i="2"/>
  <c r="AM385" i="2"/>
  <c r="AM386" i="2"/>
  <c r="AM387" i="2"/>
  <c r="AM388" i="2"/>
  <c r="AM389" i="2"/>
  <c r="AM390" i="2"/>
  <c r="AM377" i="2"/>
  <c r="AM378" i="2"/>
  <c r="AM379" i="2"/>
  <c r="AM380" i="2"/>
  <c r="AM381" i="2"/>
  <c r="AM369" i="2"/>
  <c r="AM370" i="2"/>
  <c r="AM371" i="2"/>
  <c r="AM372" i="2"/>
  <c r="AM373" i="2"/>
  <c r="AM374" i="2"/>
  <c r="AM375" i="2"/>
  <c r="AM376" i="2"/>
  <c r="AM364" i="2"/>
  <c r="AM365" i="2"/>
  <c r="AM366" i="2"/>
  <c r="AM367" i="2"/>
  <c r="AM368" i="2"/>
  <c r="AM363" i="2"/>
  <c r="AM355" i="2"/>
  <c r="AM356" i="2"/>
  <c r="AM357" i="2"/>
  <c r="AM358" i="2"/>
  <c r="AM359" i="2"/>
  <c r="AM360" i="2"/>
  <c r="AM361" i="2"/>
  <c r="AM362" i="2"/>
  <c r="AM354" i="2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<sst xmlns="http://schemas.openxmlformats.org/spreadsheetml/2006/main" count="8636" uniqueCount="3359">
  <si>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</si>
  <si>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</si>
  <si>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</si>
  <si>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</si>
  <si>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</si>
  <si>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</si>
  <si>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</si>
  <si>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</si>
  <si>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</si>
  <si>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</si>
  <si>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</si>
  <si>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</si>
  <si>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</si>
  <si>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</si>
  <si>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</si>
  <si>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</si>
  <si>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</si>
  <si>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</si>
  <si>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</si>
  <si>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</si>
  <si>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</si>
  <si>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</si>
  <si>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</si>
  <si>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</si>
  <si>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</si>
  <si>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</si>
  <si>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</si>
  <si>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</si>
  <si>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</si>
  <si>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</si>
  <si>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</si>
  <si>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</si>
  <si>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</si>
  <si>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</si>
  <si>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</si>
  <si>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</si>
  <si>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</si>
  <si>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</si>
  <si>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</si>
  <si>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</si>
  <si>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</si>
  <si>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</si>
  <si>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</si>
  <si>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</si>
  <si>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</si>
  <si>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</si>
  <si>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</si>
  <si>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</si>
  <si>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</si>
  <si>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</si>
  <si>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</si>
  <si>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</si>
  <si>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</si>
  <si>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</si>
  <si>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</si>
  <si>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</si>
  <si>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</si>
  <si>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</si>
  <si>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</si>
  <si>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</si>
  <si>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</si>
  <si>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</si>
  <si>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</si>
  <si>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</si>
  <si>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</si>
  <si>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</si>
  <si>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</si>
  <si>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</si>
  <si>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</si>
  <si>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</si>
  <si>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</si>
  <si>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</si>
  <si>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</si>
  <si>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</si>
  <si>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</si>
  <si>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</si>
  <si>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</si>
  <si>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</si>
  <si>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</si>
  <si>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</si>
  <si>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</si>
  <si>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</si>
  <si>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</si>
  <si>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</si>
  <si>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</si>
  <si>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</si>
  <si>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</si>
  <si>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</si>
  <si>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</si>
  <si>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</si>
  <si>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</si>
  <si>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</si>
  <si>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</si>
  <si>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</si>
  <si>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</si>
  <si>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</si>
  <si>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</si>
  <si>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</si>
  <si>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</si>
  <si>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</si>
  <si>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</si>
  <si>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</si>
  <si>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</si>
  <si>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</si>
  <si>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</si>
  <si>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</si>
  <si>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</si>
  <si>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</si>
  <si>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</si>
  <si>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</si>
  <si>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</si>
  <si>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</si>
  <si>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</si>
  <si>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</si>
  <si>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</si>
  <si>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</si>
  <si>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</si>
  <si>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</si>
  <si>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</si>
  <si>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</si>
  <si>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</si>
  <si>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</si>
  <si>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</si>
  <si>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</si>
  <si>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</si>
  <si>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</si>
  <si>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</si>
  <si>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</si>
  <si>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</si>
  <si>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</si>
  <si>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</si>
  <si>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</si>
  <si>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</si>
  <si>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</si>
  <si>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</si>
  <si>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</si>
  <si>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</si>
  <si>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</si>
  <si>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</si>
  <si>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</si>
  <si>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</si>
  <si>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</si>
  <si>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</si>
  <si>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</si>
  <si>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</si>
  <si>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</si>
  <si>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</si>
  <si>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</si>
  <si>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</si>
  <si>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</si>
  <si>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</si>
  <si>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</si>
  <si>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</si>
  <si>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</si>
  <si>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</si>
  <si>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</si>
  <si>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</si>
  <si>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</si>
  <si>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</si>
  <si>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</si>
  <si>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</si>
  <si>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</si>
  <si>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</si>
  <si>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</si>
  <si>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</si>
  <si>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</si>
  <si>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</si>
  <si>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</si>
  <si>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</si>
  <si>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</si>
  <si>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</si>
  <si>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</si>
  <si>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</si>
  <si>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</si>
  <si>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</si>
  <si>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</si>
  <si>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</si>
  <si>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</si>
  <si>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</si>
  <si>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</si>
  <si>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</si>
  <si>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</si>
  <si>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</si>
  <si>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</si>
  <si>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</si>
  <si>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</si>
  <si>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</si>
  <si>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</si>
  <si>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</si>
  <si>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</si>
  <si>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</si>
  <si>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</si>
  <si>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</si>
  <si>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</si>
  <si>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</si>
  <si>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</si>
  <si>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</si>
  <si>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</si>
  <si>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</si>
  <si>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</si>
  <si>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</si>
  <si>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</si>
  <si>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</si>
  <si>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</si>
  <si>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</si>
  <si>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</si>
  <si>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</si>
  <si>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</si>
  <si>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</si>
  <si>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</si>
  <si>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</si>
  <si>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</si>
  <si>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</si>
  <si>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</si>
  <si>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</si>
  <si>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</si>
  <si>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</si>
  <si>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</si>
  <si>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</si>
  <si>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</si>
  <si>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</si>
  <si>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</si>
  <si>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</si>
  <si>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</si>
  <si>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</si>
  <si>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</si>
  <si>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</si>
  <si>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</si>
  <si>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</si>
  <si>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</si>
  <si>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</si>
  <si>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</si>
  <si>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</si>
  <si>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</si>
  <si>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</si>
  <si>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</si>
  <si>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</si>
  <si>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</si>
  <si>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</si>
  <si>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</si>
  <si>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</si>
  <si>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</si>
  <si>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</si>
  <si>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</si>
  <si>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</si>
  <si>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</si>
  <si>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</si>
  <si>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</si>
  <si>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</si>
  <si>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</si>
  <si>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</si>
  <si>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</si>
  <si>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</si>
  <si>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</si>
  <si>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</si>
  <si>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</si>
  <si>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</si>
  <si>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</si>
  <si>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</si>
  <si>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</si>
  <si>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</si>
  <si>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</si>
  <si>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</si>
  <si>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</si>
  <si>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</si>
  <si>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</si>
  <si>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</si>
  <si>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</si>
  <si>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</si>
  <si>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</si>
  <si>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</si>
  <si>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</si>
  <si>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</si>
  <si>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</si>
  <si>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</si>
  <si>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</si>
  <si>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</si>
  <si>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</si>
  <si>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</si>
  <si>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</si>
  <si>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</si>
  <si>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</si>
  <si>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</si>
  <si>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</si>
  <si>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</si>
  <si>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</si>
  <si>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</si>
  <si>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</si>
  <si>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</si>
  <si>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</si>
  <si>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</si>
  <si>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</si>
  <si>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</si>
  <si>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</si>
  <si>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</si>
  <si>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</si>
  <si>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</si>
  <si>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</si>
  <si>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</si>
  <si>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</si>
  <si>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</si>
  <si>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</si>
  <si>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</si>
  <si>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</si>
  <si>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</si>
  <si>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</si>
  <si>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</si>
  <si>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</si>
  <si>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</si>
  <si>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</si>
  <si>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</si>
  <si>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</si>
  <si>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</si>
  <si>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</si>
  <si>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</si>
  <si>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</si>
  <si>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</si>
  <si>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</si>
  <si>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</si>
  <si>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</si>
  <si>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</si>
  <si>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</si>
  <si>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</si>
  <si>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</si>
  <si>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</si>
  <si>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</si>
  <si>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</si>
  <si>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</si>
  <si>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</si>
  <si>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</si>
  <si>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</si>
  <si>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</si>
  <si>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</si>
  <si>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</si>
  <si>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</si>
  <si>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</si>
  <si>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</si>
  <si>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</si>
  <si>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</si>
  <si>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</si>
  <si>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</si>
  <si>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</si>
  <si>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</si>
  <si>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</si>
  <si>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</si>
  <si>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</si>
  <si>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</si>
  <si>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</si>
  <si>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</si>
  <si>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</si>
  <si>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</si>
  <si>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</si>
  <si>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</si>
  <si>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</si>
  <si>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</si>
  <si>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</si>
  <si>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</si>
  <si>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</si>
  <si>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</si>
  <si>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</si>
  <si>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</si>
  <si>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</si>
  <si>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</si>
  <si>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</si>
  <si>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</si>
  <si>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</si>
  <si>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</si>
  <si>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</si>
  <si>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</si>
  <si>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</si>
  <si>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</si>
  <si>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</si>
  <si>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</si>
  <si>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</si>
  <si>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</si>
  <si>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</si>
  <si>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</si>
  <si>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</si>
  <si>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</si>
  <si>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</si>
  <si>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</si>
  <si>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</si>
  <si>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</si>
  <si>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</si>
  <si>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</si>
  <si>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</si>
  <si>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</si>
  <si>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</si>
  <si>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</si>
  <si>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</si>
  <si>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</si>
  <si>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</si>
  <si>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</si>
  <si>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</si>
  <si>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</si>
  <si>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</si>
  <si>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</si>
  <si>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</si>
  <si>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</si>
  <si>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</si>
  <si>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</si>
  <si>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</si>
  <si>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</si>
  <si>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</si>
  <si>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</si>
  <si>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</si>
  <si>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</si>
  <si>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</si>
  <si>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</si>
  <si>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</si>
  <si>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</si>
  <si>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</si>
  <si>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</si>
  <si>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</si>
  <si>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</si>
  <si>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</si>
  <si>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</si>
  <si>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</si>
  <si>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</si>
  <si>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</si>
  <si>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</si>
  <si>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</si>
  <si>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</si>
  <si>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</si>
  <si>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</si>
  <si>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</si>
  <si>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</si>
  <si>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</si>
  <si>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</si>
  <si>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</si>
  <si>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</si>
  <si>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</si>
  <si>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</si>
  <si>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</si>
  <si>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</si>
  <si>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</si>
  <si>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</si>
  <si>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</si>
  <si>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</si>
  <si>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</si>
  <si>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</si>
  <si>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</si>
  <si>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</si>
  <si>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</si>
  <si>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</si>
  <si>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</si>
  <si>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</si>
  <si>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</si>
  <si>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</si>
  <si>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</si>
  <si>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</si>
  <si>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</si>
  <si>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</si>
  <si>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</si>
  <si>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</si>
  <si>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</si>
  <si>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</si>
  <si>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</si>
  <si>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</si>
  <si>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</si>
  <si>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</si>
  <si>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</si>
  <si>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</si>
  <si>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</si>
  <si>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</si>
  <si>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</si>
  <si>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</si>
  <si>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</si>
  <si>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</si>
  <si>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</si>
  <si>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</si>
  <si>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</si>
  <si>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</si>
  <si>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</si>
  <si>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</si>
  <si>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</si>
  <si>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</si>
  <si>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</si>
  <si>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</si>
  <si>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</si>
  <si>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</si>
  <si>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</si>
  <si>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</si>
  <si>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</si>
  <si>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</si>
  <si>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</si>
  <si>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</si>
  <si>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</si>
  <si>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</si>
  <si>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</si>
  <si>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</si>
  <si>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</si>
  <si>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</si>
  <si>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</si>
  <si>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</si>
  <si>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</si>
  <si>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</si>
  <si>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</si>
  <si>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</si>
  <si>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</si>
  <si>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</si>
  <si>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</si>
  <si>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</si>
  <si>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</si>
  <si>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</si>
  <si>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</si>
  <si>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</si>
  <si>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</si>
  <si>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</si>
  <si>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</si>
  <si>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</si>
  <si>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</si>
  <si>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</si>
  <si>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</si>
  <si>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</si>
  <si>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</si>
  <si>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</si>
  <si>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</si>
  <si>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</si>
  <si>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</si>
  <si>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</si>
  <si>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</si>
  <si>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</si>
  <si>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</si>
  <si>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</si>
  <si>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</si>
  <si>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</si>
  <si>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</si>
  <si>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</si>
  <si>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</si>
  <si>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</si>
  <si>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</si>
  <si>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</si>
  <si>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</si>
  <si>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</si>
  <si>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</si>
  <si>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</si>
  <si>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</si>
  <si>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</si>
  <si>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</si>
  <si>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</si>
  <si>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</si>
  <si>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</si>
  <si>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</si>
  <si>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</si>
  <si>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</si>
  <si>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</si>
  <si>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</si>
  <si>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</si>
  <si>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</si>
  <si>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</si>
  <si>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</si>
  <si>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</si>
  <si>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</si>
  <si>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</si>
  <si>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</si>
  <si>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</si>
  <si>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</si>
  <si>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</si>
  <si>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</si>
  <si>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</si>
  <si>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</si>
  <si>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</si>
  <si>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</si>
  <si>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</si>
  <si>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</si>
  <si>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</si>
  <si>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</si>
  <si>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</si>
  <si>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</si>
  <si>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</si>
  <si>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</si>
  <si>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</si>
  <si>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</si>
  <si>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</si>
  <si>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</si>
  <si>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</si>
  <si>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</si>
  <si>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</si>
  <si>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</si>
  <si>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</si>
  <si>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</si>
  <si>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</si>
  <si>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</si>
  <si>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</si>
  <si>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</si>
  <si>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</si>
  <si>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</si>
  <si>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</si>
  <si>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</si>
  <si>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</si>
  <si>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</si>
  <si>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</si>
  <si>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</si>
  <si>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</si>
  <si>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</si>
  <si>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</si>
  <si>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</si>
  <si>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</si>
  <si>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</si>
  <si>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</si>
  <si>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</si>
  <si>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</si>
  <si>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</si>
  <si>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</si>
  <si>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</si>
  <si>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</si>
  <si>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</si>
  <si>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</si>
  <si>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</si>
  <si>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</si>
  <si>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</si>
  <si>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</si>
  <si>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</si>
  <si>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</si>
  <si>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</si>
  <si>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</si>
  <si>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</si>
  <si>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</si>
  <si>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</si>
  <si>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</si>
  <si>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</si>
  <si>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</si>
  <si>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</si>
  <si>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</si>
  <si>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</si>
  <si>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</si>
  <si>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</si>
  <si>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</si>
  <si>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</si>
  <si>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</si>
  <si>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</si>
  <si>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</si>
  <si>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</si>
  <si>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</si>
  <si>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</si>
  <si>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</si>
  <si>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</si>
  <si>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</si>
  <si>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</si>
  <si>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</si>
  <si>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</si>
  <si>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</si>
  <si>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</si>
  <si>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</si>
  <si>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</si>
  <si>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</si>
  <si>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</si>
  <si>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</si>
  <si>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</si>
  <si>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</si>
  <si>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</si>
  <si>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</si>
  <si>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</si>
  <si>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</si>
  <si>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</si>
  <si>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</si>
  <si>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</si>
  <si>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</si>
  <si>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</si>
  <si>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</si>
  <si>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</si>
  <si>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</si>
  <si>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</si>
  <si>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</si>
  <si>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</si>
  <si>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</si>
  <si>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</si>
  <si>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</si>
  <si>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</si>
  <si>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</si>
  <si>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</si>
  <si>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</si>
  <si>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</si>
  <si>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</si>
  <si>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</si>
  <si>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</si>
  <si>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</si>
  <si>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</si>
  <si>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</si>
  <si>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</si>
  <si>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</si>
  <si>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</si>
  <si>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</si>
  <si>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</si>
  <si>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</si>
  <si>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</si>
  <si>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</si>
  <si>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</si>
  <si>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</si>
  <si>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</si>
  <si>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</si>
  <si>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</si>
  <si>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</si>
  <si>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</si>
  <si>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</si>
  <si>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</si>
  <si>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</si>
  <si>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</si>
  <si>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</si>
  <si>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</si>
  <si>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</si>
  <si>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</si>
  <si>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</si>
  <si>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</si>
  <si>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</si>
  <si>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</si>
  <si>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</si>
  <si>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</si>
  <si>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</si>
  <si>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</si>
  <si>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</si>
  <si>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</si>
  <si>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</si>
  <si>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</si>
  <si>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</si>
  <si>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</si>
  <si>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</si>
  <si>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</si>
  <si>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</si>
  <si>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</si>
  <si>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</si>
  <si>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</si>
  <si>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</si>
  <si>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</si>
  <si>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</si>
  <si>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</si>
  <si>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</si>
  <si>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</si>
  <si>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</si>
  <si>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</si>
  <si>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</si>
  <si>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</si>
  <si>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</si>
  <si>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</si>
  <si>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</si>
  <si>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</si>
  <si>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</si>
  <si>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</si>
  <si>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</si>
  <si>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</si>
  <si>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</si>
  <si>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</si>
  <si>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</si>
  <si>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</si>
  <si>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</si>
  <si>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</si>
  <si>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</si>
  <si>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</si>
  <si>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</si>
  <si>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</si>
  <si>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</si>
  <si>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</si>
  <si>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</si>
  <si>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</si>
  <si>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</si>
  <si>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</si>
  <si>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</si>
  <si>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</si>
  <si>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</si>
  <si>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</si>
  <si>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</si>
  <si>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</si>
  <si>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</si>
  <si>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</si>
  <si>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</si>
  <si>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</si>
  <si>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</si>
  <si>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</si>
  <si>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</si>
  <si>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</si>
  <si>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</si>
  <si>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</si>
  <si>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</si>
  <si>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</si>
  <si>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</si>
  <si>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</si>
  <si>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</si>
  <si>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</si>
  <si>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</si>
  <si>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</si>
  <si>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</si>
  <si>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</si>
  <si>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</si>
  <si>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</si>
  <si>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</si>
  <si>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</si>
  <si>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</si>
  <si>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</si>
  <si>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</si>
  <si>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</si>
  <si>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</si>
  <si>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</si>
  <si>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</si>
  <si>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</si>
  <si>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</si>
  <si>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</si>
  <si>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</si>
  <si>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</si>
  <si>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</si>
  <si>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</si>
  <si>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</si>
  <si>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</si>
  <si>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</si>
  <si>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</si>
  <si>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</si>
  <si>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</si>
  <si>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</si>
  <si>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</si>
  <si>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</si>
  <si>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</si>
  <si>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</si>
  <si>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</si>
  <si>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</si>
  <si>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</si>
  <si>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</si>
  <si>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</si>
  <si>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</si>
  <si>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</si>
  <si>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</si>
  <si>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</si>
  <si>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</si>
  <si>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</si>
  <si>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</si>
  <si>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</si>
  <si>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</si>
  <si>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</si>
  <si>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</si>
  <si>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</si>
  <si>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</si>
  <si>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</si>
  <si>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</si>
  <si>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</si>
  <si>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</si>
  <si>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</si>
  <si>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</si>
  <si>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</si>
  <si>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</si>
  <si>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</si>
  <si>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</si>
  <si>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</si>
  <si>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</si>
  <si>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</si>
  <si>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</si>
  <si>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</si>
  <si>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</si>
  <si>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</si>
  <si>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</si>
  <si>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</si>
  <si>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</si>
  <si>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</si>
  <si>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</si>
  <si>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</si>
  <si>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</si>
  <si>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</si>
  <si>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</si>
  <si>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</si>
  <si>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</si>
  <si>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</si>
  <si>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</si>
  <si>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</si>
  <si>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</si>
  <si>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</si>
  <si>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</si>
  <si>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</si>
  <si>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</si>
  <si>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</si>
  <si>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</si>
  <si>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</si>
  <si>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</si>
  <si>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</si>
  <si>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</si>
  <si>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</si>
  <si>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</si>
  <si>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</si>
  <si>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</si>
  <si>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</si>
  <si>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</si>
  <si>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</si>
  <si>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</si>
  <si>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</si>
  <si>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</si>
  <si>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</si>
  <si>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</si>
  <si>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</si>
  <si>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</si>
  <si>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</si>
  <si>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</si>
  <si>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</si>
  <si>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</si>
  <si>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</si>
  <si>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</si>
  <si>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</si>
  <si>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</si>
  <si>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</si>
  <si>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</si>
  <si>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</si>
  <si>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</si>
  <si>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</si>
  <si>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</si>
  <si>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</si>
  <si>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</si>
  <si>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</si>
  <si>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</si>
  <si>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</si>
  <si>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</si>
  <si>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</si>
  <si>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</si>
  <si>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</si>
  <si>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</si>
  <si>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</si>
  <si>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</si>
  <si>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</si>
  <si>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</si>
  <si>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</si>
  <si>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</si>
  <si>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</si>
  <si>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</si>
  <si>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</si>
  <si>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</si>
  <si>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</si>
  <si>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</si>
  <si>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</si>
  <si>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</si>
  <si>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</si>
  <si>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</si>
  <si>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</si>
  <si>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</si>
  <si>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</si>
  <si>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</si>
  <si>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</si>
  <si>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</si>
  <si>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</si>
  <si>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</si>
  <si>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</si>
  <si>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</si>
  <si>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</si>
  <si>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</si>
  <si>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</si>
  <si>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</si>
  <si>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</si>
  <si>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</si>
  <si>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</si>
  <si>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</si>
  <si>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</si>
  <si>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</si>
  <si>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</si>
  <si>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</si>
  <si>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</si>
  <si>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</si>
  <si>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</si>
  <si>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</si>
  <si>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</si>
  <si>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</si>
  <si>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</si>
  <si>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</si>
  <si>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</si>
  <si>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</si>
  <si>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</si>
  <si>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</si>
  <si>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</si>
  <si>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</si>
  <si>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</si>
  <si>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</si>
  <si>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</si>
  <si>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</si>
  <si>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</si>
  <si>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</si>
  <si>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</si>
  <si>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</si>
  <si>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</si>
  <si>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</si>
  <si>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</si>
  <si>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</si>
  <si>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</si>
  <si>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</si>
  <si>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</si>
  <si>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</si>
  <si>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</si>
  <si>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</si>
  <si>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</si>
  <si>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</si>
  <si>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</si>
  <si>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</si>
  <si>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</si>
  <si>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</si>
  <si>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</si>
  <si>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</si>
  <si>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</si>
  <si>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</si>
  <si>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</si>
  <si>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</si>
  <si>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</si>
  <si>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</si>
  <si>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</si>
  <si>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</si>
  <si>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</si>
  <si>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</si>
  <si>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</si>
  <si>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</si>
  <si>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</si>
  <si>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</si>
  <si>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</si>
  <si>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</si>
  <si>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</si>
  <si>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</si>
  <si>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</si>
  <si>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</si>
  <si>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</si>
  <si>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</si>
  <si>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</si>
  <si>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</si>
  <si>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</si>
  <si>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</si>
  <si>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</si>
  <si>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</si>
  <si>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</si>
  <si>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</si>
  <si>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</si>
  <si>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</si>
  <si>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</si>
  <si>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</si>
  <si>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</si>
  <si>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</si>
  <si>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</si>
  <si>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</si>
  <si>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</si>
  <si>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</si>
  <si>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</si>
  <si>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</si>
  <si>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</si>
  <si>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</si>
  <si>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</si>
  <si>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</si>
  <si>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</si>
  <si>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</si>
  <si>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</si>
  <si>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</si>
  <si>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</si>
  <si>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</si>
  <si>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</si>
  <si>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</si>
  <si>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</si>
  <si>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</si>
  <si>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</si>
  <si>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</si>
  <si>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</si>
  <si>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</si>
  <si>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</si>
  <si>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</si>
  <si>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</si>
  <si>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</si>
  <si>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</si>
  <si>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</si>
  <si>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</si>
  <si>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</si>
  <si>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</si>
  <si>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</si>
  <si>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</si>
  <si>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</si>
  <si>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</si>
  <si>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</si>
  <si>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</si>
  <si>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</si>
  <si>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</si>
  <si>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</si>
  <si>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</si>
  <si>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</si>
  <si>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</si>
  <si>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</si>
  <si>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</si>
  <si>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</si>
  <si>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</si>
  <si>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</si>
  <si>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</si>
  <si>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</si>
  <si>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</si>
  <si>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</si>
  <si>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</si>
  <si>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</si>
  <si>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</si>
  <si>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</si>
  <si>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</si>
  <si>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</si>
  <si>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</si>
  <si>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</si>
  <si>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</si>
  <si>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</si>
  <si>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</si>
  <si>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</si>
  <si>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</si>
  <si>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</si>
  <si>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</si>
  <si>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</si>
  <si>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</si>
  <si>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</si>
  <si>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</si>
  <si>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</si>
  <si>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</si>
  <si>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</si>
  <si>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</si>
  <si>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</si>
  <si>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</si>
  <si>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</si>
  <si>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</si>
  <si>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</si>
  <si>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</si>
  <si>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</si>
  <si>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</si>
  <si>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</si>
  <si>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</si>
  <si>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</si>
  <si>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</si>
  <si>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</si>
  <si>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</si>
  <si>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</si>
  <si>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</si>
  <si>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</si>
  <si>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</si>
  <si>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</si>
  <si>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</si>
  <si>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</si>
  <si>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</si>
  <si>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</si>
  <si>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</si>
  <si>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</si>
  <si>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</si>
  <si>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</si>
  <si>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</si>
  <si>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</si>
  <si>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</si>
  <si>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</si>
  <si>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</si>
  <si>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</si>
  <si>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</si>
  <si>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</si>
  <si>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</si>
  <si>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</si>
  <si>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</si>
  <si>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</si>
  <si>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</si>
  <si>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</si>
  <si>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</si>
  <si>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</si>
  <si>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</si>
  <si>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</si>
  <si>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</si>
  <si>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</si>
  <si>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</si>
  <si>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</si>
  <si>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</si>
  <si>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</si>
  <si>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</si>
  <si>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</si>
  <si>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</si>
  <si>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</si>
  <si>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</si>
  <si>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</si>
  <si>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</si>
  <si>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</si>
  <si>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</si>
  <si>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</si>
  <si>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</si>
  <si>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</si>
  <si>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</si>
  <si>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</si>
  <si>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</si>
  <si>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</si>
  <si>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</si>
  <si>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</si>
  <si>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</si>
  <si>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</si>
  <si>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</si>
  <si>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</si>
  <si>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</si>
  <si>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</si>
  <si>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</si>
  <si>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</si>
  <si>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</si>
  <si>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</si>
  <si>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</si>
  <si>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</si>
  <si>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</si>
  <si>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</si>
  <si>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</si>
  <si>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</si>
  <si>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</si>
  <si>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</si>
  <si>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</si>
  <si>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</si>
  <si>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</si>
  <si>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</si>
  <si>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</si>
  <si>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</si>
  <si>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</si>
  <si>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</si>
  <si>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</si>
  <si>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</si>
  <si>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</si>
  <si>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</si>
  <si>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</si>
  <si>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</si>
  <si>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</si>
  <si>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</si>
  <si>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</si>
  <si>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</si>
  <si>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</si>
  <si>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</si>
  <si>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</si>
  <si>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</si>
  <si>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</si>
  <si>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</si>
  <si>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</si>
  <si>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</si>
  <si>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</si>
  <si>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</si>
  <si>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</si>
  <si>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</si>
  <si>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</si>
  <si>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</si>
  <si>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</si>
  <si>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</si>
  <si>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</si>
  <si>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</si>
  <si>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</si>
  <si>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</si>
  <si>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</si>
  <si>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</si>
  <si>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</si>
  <si>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</si>
  <si>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</si>
  <si>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</si>
  <si>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</si>
  <si>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</si>
  <si>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</si>
  <si>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</si>
  <si>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</si>
  <si>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</si>
  <si>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</si>
  <si>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</si>
  <si>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</si>
  <si>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</si>
  <si>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</si>
  <si>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</si>
  <si>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</si>
  <si>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</si>
  <si>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</si>
  <si>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</si>
  <si>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</si>
  <si>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</si>
  <si>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</si>
  <si>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</si>
  <si>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</si>
  <si>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</si>
  <si>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</si>
  <si>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</si>
  <si>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</si>
  <si>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</si>
  <si>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</si>
  <si>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</si>
  <si>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</si>
  <si>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</si>
  <si>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</si>
  <si>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</si>
  <si>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</si>
  <si>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</si>
  <si>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</si>
  <si>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</si>
  <si>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</si>
  <si>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</si>
  <si>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</si>
  <si>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</si>
  <si>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</si>
  <si>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</si>
  <si>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</si>
  <si>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</si>
  <si>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</si>
  <si>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</si>
  <si>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</si>
  <si>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</si>
  <si>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</si>
  <si>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</si>
  <si>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</si>
  <si>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</si>
  <si>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</si>
  <si>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</si>
  <si>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</si>
  <si>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</si>
  <si>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</si>
  <si>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</si>
  <si>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</si>
  <si>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</si>
  <si>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</si>
  <si>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</si>
  <si>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</si>
  <si>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</si>
  <si>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</si>
  <si>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</si>
  <si>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</si>
  <si>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</si>
  <si>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</si>
  <si>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</si>
  <si>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</si>
  <si>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</si>
  <si>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</si>
  <si>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</si>
  <si>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</si>
  <si>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</si>
  <si>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</si>
  <si>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</si>
  <si>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</si>
  <si>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</si>
  <si>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</si>
  <si>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</si>
  <si>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</si>
  <si>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</si>
  <si>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</si>
  <si>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</si>
  <si>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</si>
  <si>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</si>
  <si>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</si>
  <si>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</si>
  <si>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</si>
  <si>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</si>
  <si>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</si>
  <si>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</si>
  <si>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</si>
  <si>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</si>
  <si>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</si>
  <si>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</si>
  <si>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</si>
  <si>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</si>
  <si>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</si>
  <si>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</si>
  <si>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</si>
  <si>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</si>
  <si>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</si>
  <si>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</si>
  <si>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</si>
  <si>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</si>
  <si>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</si>
  <si>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</si>
  <si>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</si>
  <si>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</si>
  <si>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</si>
  <si>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</si>
  <si>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</si>
  <si>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</si>
  <si>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</si>
  <si>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</si>
  <si>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</si>
  <si>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</si>
  <si>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</si>
  <si>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</si>
  <si>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</si>
  <si>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</si>
  <si>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</si>
  <si>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</si>
  <si>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</si>
  <si>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</si>
  <si>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</si>
  <si>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</si>
  <si>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</si>
  <si>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</si>
  <si>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</si>
  <si>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</si>
  <si>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</si>
  <si>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</si>
  <si>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</si>
  <si>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</si>
  <si>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</si>
  <si>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</si>
  <si>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</si>
  <si>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</si>
  <si>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</si>
  <si>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</si>
  <si>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</si>
  <si>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</si>
  <si>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</si>
  <si>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</si>
  <si>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</si>
  <si>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</si>
  <si>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</si>
  <si>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</si>
  <si>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</si>
  <si>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</si>
  <si>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</si>
  <si>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</si>
  <si>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</si>
  <si>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</si>
  <si>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</si>
  <si>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</si>
  <si>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</si>
  <si>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</si>
  <si>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</si>
  <si>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</si>
  <si>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</si>
  <si>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</si>
  <si>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</si>
  <si>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</si>
  <si>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</si>
  <si>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</si>
  <si>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</si>
  <si>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</si>
  <si>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</si>
  <si>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</si>
  <si>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</si>
  <si>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</si>
  <si>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</si>
  <si>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</si>
  <si>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</si>
  <si>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</si>
  <si>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</si>
  <si>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</si>
  <si>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</si>
  <si>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</si>
  <si>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</si>
  <si>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</si>
  <si>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</si>
  <si>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</si>
  <si>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</si>
  <si>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</si>
  <si>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</si>
  <si>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</si>
  <si>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</si>
  <si>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</si>
  <si>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</si>
  <si>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</si>
  <si>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</si>
  <si>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</si>
  <si>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</si>
  <si>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</si>
  <si>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</si>
  <si>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</si>
  <si>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</si>
  <si>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</si>
  <si>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</si>
  <si>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</si>
  <si>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</si>
  <si>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</si>
  <si>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</si>
  <si>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</si>
  <si>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</si>
  <si>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</si>
  <si>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</si>
  <si>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</si>
  <si>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</si>
  <si>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</si>
  <si>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</si>
  <si>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</si>
  <si>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</si>
  <si>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</si>
  <si>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</si>
  <si>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</si>
  <si>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</si>
  <si>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</si>
  <si>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</si>
  <si>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</si>
  <si>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</si>
  <si>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</si>
  <si>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</si>
  <si>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</si>
  <si>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</si>
  <si>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</si>
  <si>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</si>
  <si>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</si>
  <si>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</si>
  <si>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</si>
  <si>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</si>
  <si>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</si>
  <si>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</si>
  <si>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</si>
  <si>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</si>
  <si>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</si>
  <si>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</si>
  <si>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</si>
  <si>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</si>
  <si>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</si>
  <si>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</si>
  <si>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</si>
  <si>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</si>
  <si>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</si>
  <si>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</si>
  <si>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</si>
  <si>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</si>
  <si>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</si>
  <si>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</si>
  <si>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</si>
  <si>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</si>
  <si>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</si>
  <si>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</si>
  <si>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</si>
  <si>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</si>
  <si>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</si>
  <si>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</si>
  <si>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</si>
  <si>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</si>
  <si>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</si>
  <si>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</si>
  <si>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</si>
  <si>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</si>
  <si>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</si>
  <si>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</si>
  <si>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</si>
  <si>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</si>
  <si>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</si>
  <si>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</si>
  <si>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</si>
  <si>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</si>
  <si>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</si>
  <si>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</si>
  <si>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</si>
  <si>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</si>
  <si>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</si>
  <si>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</si>
  <si>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</si>
  <si>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</si>
  <si>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</si>
  <si>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</si>
  <si>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</si>
  <si>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</si>
  <si>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</si>
  <si>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</si>
  <si>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</si>
  <si>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</si>
  <si>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</si>
  <si>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</si>
  <si>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</si>
  <si>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</si>
  <si>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</si>
  <si>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</si>
  <si>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</si>
  <si>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</si>
  <si>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</si>
  <si>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</si>
  <si>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</si>
  <si>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</si>
  <si>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</si>
  <si>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</si>
  <si>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</si>
  <si>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</si>
  <si>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</si>
  <si>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</si>
  <si>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</si>
  <si>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</si>
  <si>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</si>
  <si>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</si>
  <si>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</si>
  <si>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</si>
  <si>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</si>
  <si>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</si>
  <si>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</si>
  <si>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</si>
  <si>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</si>
  <si>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</si>
  <si>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</si>
  <si>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</si>
  <si>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</si>
  <si>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</si>
  <si>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</si>
  <si>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</si>
  <si>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</si>
  <si>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</si>
  <si>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</si>
  <si>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</si>
  <si>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</si>
  <si>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</si>
  <si>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</si>
  <si>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</si>
  <si>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</si>
  <si>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</si>
  <si>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</si>
  <si>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</si>
  <si>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</si>
  <si>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</si>
  <si>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</si>
  <si>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</si>
  <si>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</si>
  <si>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</si>
  <si>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</si>
  <si>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</si>
  <si>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</si>
  <si>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</si>
  <si>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</si>
  <si>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</si>
  <si>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</si>
  <si>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</si>
  <si>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</si>
  <si>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</si>
  <si>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</si>
  <si>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</si>
  <si>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</si>
  <si>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</si>
  <si>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</si>
  <si>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</si>
  <si>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</si>
  <si>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</si>
  <si>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</si>
  <si>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</si>
  <si>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</si>
  <si>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</si>
  <si>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</si>
  <si>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</si>
  <si>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</si>
  <si>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</si>
  <si>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</si>
  <si>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</si>
  <si>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</si>
  <si>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</si>
  <si>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</si>
  <si>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</si>
  <si>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</si>
  <si>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</si>
  <si>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</si>
  <si>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</si>
  <si>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</si>
  <si>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</si>
  <si>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</si>
  <si>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</si>
  <si>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</si>
  <si>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</si>
  <si>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</si>
  <si>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</si>
  <si>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</si>
  <si>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</si>
  <si>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</si>
  <si>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</si>
  <si>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</si>
  <si>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</si>
  <si>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</si>
  <si>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</si>
  <si>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</si>
  <si>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</si>
  <si>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</si>
  <si>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</si>
  <si>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</si>
  <si>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</si>
  <si>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</si>
  <si>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</si>
  <si>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</si>
  <si>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</si>
  <si>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</si>
  <si>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</si>
  <si>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</si>
  <si>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</si>
  <si>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</si>
  <si>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</si>
  <si>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</si>
  <si>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</si>
  <si>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</si>
  <si>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</si>
  <si>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</si>
  <si>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</si>
  <si>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</si>
  <si>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</si>
  <si>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</si>
  <si>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</si>
  <si>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</si>
  <si>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</si>
  <si>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</si>
  <si>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</si>
  <si>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</si>
  <si>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</si>
  <si>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</si>
  <si>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</si>
  <si>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</si>
  <si>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</si>
  <si>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</si>
  <si>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</si>
  <si>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</si>
  <si>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</si>
  <si>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</si>
  <si>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</si>
  <si>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</si>
  <si>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</si>
  <si>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</si>
  <si>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</si>
  <si>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</si>
  <si>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</si>
  <si>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</si>
  <si>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</si>
  <si>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</si>
  <si>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</si>
  <si>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</si>
  <si>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</si>
  <si>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</si>
  <si>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</si>
  <si>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</si>
  <si>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</si>
  <si>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</si>
  <si>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</si>
  <si>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</si>
  <si>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</si>
  <si>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</si>
  <si>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</si>
  <si>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</si>
  <si>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</si>
  <si>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</si>
  <si>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</si>
  <si>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</si>
  <si>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</si>
  <si>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</si>
  <si>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</si>
  <si>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</si>
  <si>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</si>
  <si>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</si>
  <si>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</si>
  <si>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</si>
  <si>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</si>
  <si>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</si>
  <si>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</si>
  <si>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</si>
  <si>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</si>
  <si>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</si>
  <si>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</si>
  <si>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</si>
  <si>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</si>
  <si>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</si>
  <si>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</si>
  <si>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</si>
  <si>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</si>
  <si>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</si>
  <si>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</si>
  <si>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</si>
  <si>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</si>
  <si>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</si>
  <si>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</si>
  <si>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</si>
  <si>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</si>
  <si>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</si>
  <si>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</si>
  <si>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</si>
  <si>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</si>
  <si>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</si>
  <si>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</si>
  <si>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</si>
  <si>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</si>
  <si>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</si>
  <si>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</si>
  <si>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</si>
  <si>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</si>
  <si>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</si>
  <si>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</si>
  <si>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</si>
  <si>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</si>
  <si>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</si>
  <si>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</si>
  <si>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</si>
  <si>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</si>
  <si>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</si>
  <si>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</si>
  <si>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</si>
  <si>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</si>
  <si>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</si>
  <si>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</si>
  <si>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</si>
  <si>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</si>
  <si>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</si>
  <si>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</si>
  <si>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</si>
  <si>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</si>
  <si>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</si>
  <si>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</si>
  <si>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</si>
  <si>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</si>
  <si>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</si>
  <si>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</si>
  <si>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</si>
  <si>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</si>
  <si>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</si>
  <si>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</si>
  <si>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</si>
  <si>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</si>
  <si>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</si>
  <si>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</si>
  <si>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</si>
  <si>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</si>
  <si>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</si>
  <si>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</si>
  <si>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</si>
  <si>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</si>
  <si>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</si>
  <si>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</si>
  <si>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</si>
  <si>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</si>
  <si>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</si>
  <si>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</si>
  <si>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</si>
  <si>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</si>
  <si>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</si>
  <si>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</si>
  <si>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</si>
  <si>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</si>
  <si>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</si>
  <si>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</si>
  <si>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</si>
  <si>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</si>
  <si>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</si>
  <si>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</si>
  <si>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</si>
  <si>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</si>
  <si>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</si>
  <si>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</si>
  <si>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</si>
  <si>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</si>
  <si>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</si>
  <si>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</si>
  <si>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</si>
  <si>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</si>
  <si>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</si>
  <si>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</si>
  <si>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</si>
  <si>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</si>
  <si>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</si>
  <si>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</si>
  <si>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</si>
  <si>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</si>
  <si>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</si>
  <si>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</si>
  <si>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</si>
  <si>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</si>
  <si>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</si>
  <si>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</si>
  <si>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</si>
  <si>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</si>
  <si>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</si>
  <si>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</si>
  <si>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</si>
  <si>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</si>
  <si>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</si>
  <si>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</si>
  <si>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</si>
  <si>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</si>
  <si>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</si>
  <si>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</si>
  <si>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</si>
  <si>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</si>
  <si>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</si>
  <si>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</si>
  <si>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</si>
  <si>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</si>
  <si>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</si>
  <si>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</si>
  <si>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</si>
  <si>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</si>
  <si>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</si>
  <si>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</si>
  <si>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</si>
  <si>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</si>
  <si>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</si>
  <si>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</si>
  <si>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</si>
  <si>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</si>
  <si>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</si>
  <si>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</si>
  <si>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</si>
  <si>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</si>
  <si>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</si>
  <si>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</si>
  <si>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</si>
  <si>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</si>
  <si>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</si>
  <si>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</si>
  <si>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</si>
  <si>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</si>
  <si>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</si>
  <si>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</si>
  <si>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</si>
  <si>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</si>
  <si>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</si>
  <si>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</si>
  <si>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</si>
  <si>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</si>
  <si>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</si>
  <si>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</si>
  <si>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</si>
  <si>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</si>
  <si>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</si>
  <si>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</si>
  <si>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</si>
  <si>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</si>
  <si>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</si>
  <si>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</si>
  <si>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</si>
  <si>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</si>
  <si>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</si>
  <si>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</si>
  <si>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</si>
  <si>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</si>
  <si>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</si>
  <si>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</si>
  <si>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</si>
  <si>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</si>
  <si>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</si>
  <si>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</si>
  <si>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</si>
  <si>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</si>
  <si>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</si>
  <si>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</si>
  <si>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</si>
  <si>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</si>
  <si>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</si>
  <si>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</si>
  <si>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</si>
  <si>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</si>
  <si>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</si>
  <si>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</si>
  <si>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</si>
  <si>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</si>
  <si>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</si>
  <si>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</si>
  <si>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</si>
  <si>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</si>
  <si>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</si>
  <si>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</si>
  <si>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</si>
  <si>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</si>
  <si>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</si>
  <si>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</si>
  <si>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</si>
  <si>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</si>
  <si>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</si>
  <si>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</si>
  <si>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</si>
  <si>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</si>
  <si>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</si>
  <si>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</si>
  <si>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</si>
  <si>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</si>
  <si>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</si>
  <si>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</si>
  <si>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</si>
  <si>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</si>
  <si>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</si>
  <si>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</si>
  <si>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</si>
  <si>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</si>
  <si>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</si>
  <si>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</si>
  <si>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</si>
  <si>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</si>
  <si>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</si>
  <si>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</si>
  <si>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</si>
  <si>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</si>
  <si>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</si>
  <si>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</si>
  <si>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</si>
  <si>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</si>
  <si>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</si>
  <si>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</si>
  <si>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</si>
  <si>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</si>
  <si>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</si>
  <si>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</si>
  <si>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</si>
  <si>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</si>
  <si>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</si>
  <si>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</si>
  <si>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</si>
  <si>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</si>
  <si>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</si>
  <si>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</si>
  <si>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</si>
  <si>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</si>
  <si>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</si>
  <si>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</si>
  <si>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</si>
  <si>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</si>
  <si>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</si>
  <si>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</si>
  <si>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</si>
  <si>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</si>
  <si>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</si>
  <si>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</si>
  <si>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</si>
  <si>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</si>
  <si>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</si>
  <si>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</si>
  <si>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</si>
  <si>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</si>
  <si>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</si>
  <si>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</si>
  <si>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</si>
  <si>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</si>
  <si>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</si>
  <si>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</si>
  <si>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</si>
  <si>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</si>
  <si>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</si>
  <si>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</si>
  <si>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</si>
  <si>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</si>
  <si>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</si>
  <si>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</si>
  <si>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</si>
  <si>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</si>
  <si>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</si>
  <si>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</si>
  <si>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</si>
  <si>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</si>
  <si>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</si>
  <si>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</si>
  <si>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</si>
  <si>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</si>
  <si>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</si>
  <si>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</si>
  <si>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</si>
  <si>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</si>
  <si>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</si>
  <si>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</si>
  <si>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</si>
  <si>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</si>
  <si>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</si>
  <si>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</si>
  <si>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</si>
  <si>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</si>
  <si>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</si>
  <si>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</si>
  <si>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</si>
  <si>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</si>
  <si>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</si>
  <si>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</si>
  <si>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</si>
  <si>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</si>
  <si>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</si>
  <si>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</si>
  <si>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</si>
  <si>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</si>
  <si>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</si>
  <si>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</si>
  <si>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</si>
  <si>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</si>
  <si>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</si>
  <si>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</si>
  <si>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</si>
  <si>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</si>
  <si>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</si>
  <si>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</si>
  <si>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</si>
  <si>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</si>
  <si>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</si>
  <si>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</si>
  <si>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</si>
  <si>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</si>
  <si>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</si>
  <si>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</si>
  <si>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</si>
  <si>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</si>
  <si>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</si>
  <si>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</si>
  <si>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</si>
  <si>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</si>
  <si>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</si>
  <si>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</si>
  <si>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</si>
  <si>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</si>
  <si>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</si>
  <si>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</si>
  <si>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</si>
  <si>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</si>
  <si>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</si>
  <si>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</si>
  <si>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</si>
  <si>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</si>
  <si>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</si>
  <si>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</si>
  <si>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</si>
  <si>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</si>
  <si>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</si>
  <si>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</si>
  <si>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</si>
  <si>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</si>
  <si>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</si>
  <si>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</si>
  <si>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</si>
  <si>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</si>
  <si>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</si>
  <si>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</si>
  <si>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</si>
  <si>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</si>
  <si>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</si>
  <si>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</si>
  <si>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</si>
  <si>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</si>
  <si>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</si>
  <si>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</si>
  <si>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</si>
  <si>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</si>
  <si>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</si>
  <si>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</si>
  <si>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</si>
  <si>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</si>
  <si>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</si>
  <si>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</si>
  <si>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</si>
  <si>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</si>
  <si>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</si>
  <si>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</si>
  <si>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</si>
  <si>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</si>
  <si>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</si>
  <si>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</si>
  <si>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</si>
  <si>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</si>
  <si>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</si>
  <si>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</si>
  <si>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</si>
  <si>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</si>
  <si>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</si>
  <si>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</si>
  <si>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</si>
  <si>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</si>
  <si>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</si>
  <si>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</si>
  <si>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</si>
  <si>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</si>
  <si>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</si>
  <si>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</si>
  <si>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</si>
  <si>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</si>
  <si>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</si>
  <si>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</si>
  <si>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</si>
  <si>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</si>
  <si>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</si>
  <si>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</si>
  <si>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</si>
  <si>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</si>
  <si>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</si>
  <si>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</si>
  <si>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</si>
  <si>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</si>
  <si>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</si>
  <si>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</si>
  <si>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</si>
  <si>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</si>
  <si>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</si>
  <si>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</si>
  <si>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</si>
  <si>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</si>
  <si>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</si>
  <si>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</si>
  <si>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</si>
  <si>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</si>
  <si>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</si>
  <si>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</si>
  <si>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</si>
  <si>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</si>
  <si>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</si>
  <si>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</si>
  <si>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</si>
  <si>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</si>
  <si>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</si>
  <si>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</si>
  <si>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</si>
  <si>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</si>
  <si>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</si>
  <si>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</si>
  <si>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</si>
  <si>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</si>
  <si>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</si>
  <si>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</si>
  <si>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</si>
  <si>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</si>
  <si>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</si>
  <si>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</si>
  <si>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</si>
  <si>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</si>
  <si>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</si>
  <si>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</si>
  <si>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</si>
  <si>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</si>
  <si>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</si>
  <si>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</si>
  <si>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</si>
  <si>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</si>
  <si>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</si>
  <si>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</si>
  <si>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</si>
  <si>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</si>
  <si>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</si>
  <si>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</si>
  <si>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</si>
  <si>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</si>
  <si>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</si>
  <si>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</si>
  <si>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</si>
  <si>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</si>
  <si>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</si>
  <si>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</si>
  <si>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</si>
  <si>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</si>
  <si>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</si>
  <si>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</si>
  <si>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</si>
  <si>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</si>
  <si>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</si>
  <si>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</si>
  <si>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</si>
  <si>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</si>
  <si>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</si>
  <si>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</si>
  <si>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</si>
  <si>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</si>
  <si>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</si>
  <si>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</si>
  <si>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</si>
  <si>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</si>
  <si>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</si>
  <si>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</si>
  <si>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</si>
  <si>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</si>
  <si>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</si>
  <si>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</si>
  <si>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</si>
  <si>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</si>
  <si>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</si>
  <si>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</si>
  <si>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</si>
  <si>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</si>
  <si>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</si>
  <si>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</si>
  <si>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</si>
  <si>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</si>
  <si>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</si>
  <si>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</si>
  <si>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</si>
  <si>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</si>
  <si>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</si>
  <si>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</si>
  <si>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</si>
  <si>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</si>
  <si>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</si>
  <si>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</si>
  <si>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</si>
  <si>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</si>
  <si>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</si>
  <si>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</si>
  <si>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</si>
  <si>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</si>
  <si>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</si>
  <si>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</si>
  <si>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</si>
  <si>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</si>
  <si>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</si>
  <si>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</si>
  <si>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</si>
  <si>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</si>
  <si>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</si>
  <si>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</si>
  <si>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</si>
  <si>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</si>
  <si>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</si>
  <si>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</si>
  <si>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</si>
  <si>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</si>
  <si>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</si>
  <si>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</si>
  <si>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</si>
  <si>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</si>
  <si>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</si>
  <si>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</si>
  <si>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</si>
  <si>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</si>
  <si>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</si>
  <si>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</si>
  <si>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</si>
  <si>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</si>
  <si>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</si>
  <si>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</si>
  <si>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</si>
  <si>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</si>
  <si>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</si>
  <si>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</si>
  <si>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</si>
  <si>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</si>
  <si>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</si>
  <si>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</si>
  <si>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</si>
  <si>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</si>
  <si>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</si>
  <si>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</si>
  <si>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</si>
  <si>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</si>
  <si>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</si>
  <si>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</si>
  <si>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</si>
  <si>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</si>
  <si>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</si>
  <si>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</si>
  <si>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</si>
  <si>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</si>
  <si>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</si>
  <si>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</si>
  <si>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</si>
  <si>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</si>
  <si>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</si>
  <si>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</si>
  <si>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</si>
  <si>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</si>
  <si>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</si>
  <si>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</si>
  <si>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</si>
  <si>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</si>
  <si>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</si>
  <si>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</si>
  <si>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</si>
  <si>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</si>
  <si>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</si>
  <si>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</si>
  <si>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</si>
  <si>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</si>
  <si>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</si>
  <si>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</si>
  <si>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</si>
  <si>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</si>
  <si>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</si>
  <si>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</si>
  <si>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</si>
  <si>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</si>
  <si>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</si>
  <si>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</si>
  <si>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</si>
  <si>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</si>
  <si>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</si>
  <si>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</si>
  <si>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</si>
  <si>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</si>
  <si>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</si>
  <si>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</si>
  <si>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</si>
  <si>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</si>
  <si>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</si>
  <si>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</si>
  <si>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</si>
  <si>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</si>
  <si>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</si>
  <si>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</si>
  <si>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</si>
  <si>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</si>
  <si>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</si>
  <si>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</si>
  <si>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</si>
  <si>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</si>
  <si>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</si>
  <si>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</si>
  <si>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</si>
  <si>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</si>
  <si>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</si>
  <si>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</si>
  <si>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</si>
  <si>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</si>
  <si>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</si>
  <si>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</si>
  <si>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</si>
  <si>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</si>
  <si>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</si>
  <si>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</si>
  <si>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</si>
  <si>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</si>
  <si>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</si>
  <si>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</si>
  <si>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</si>
  <si>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</si>
  <si>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</si>
  <si>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</si>
  <si>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</si>
  <si>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</si>
  <si>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</si>
  <si>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</si>
  <si>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</si>
  <si>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</si>
  <si>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</si>
  <si>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</si>
  <si>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</si>
  <si>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</si>
  <si>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</si>
  <si>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</si>
  <si>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</si>
  <si>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</si>
  <si>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</si>
  <si>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</si>
  <si>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</si>
  <si>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</si>
  <si>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</si>
  <si>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</si>
  <si>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</si>
  <si>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</si>
  <si>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</si>
  <si>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</si>
  <si>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</si>
  <si>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</si>
  <si>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</si>
  <si>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</si>
  <si>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</si>
  <si>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</si>
  <si>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</si>
  <si>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</si>
  <si>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</si>
  <si>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</si>
  <si>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</si>
  <si>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</si>
  <si>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</si>
  <si>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</si>
  <si>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</si>
  <si>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</si>
  <si>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</si>
  <si>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</si>
  <si>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</si>
  <si>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</si>
  <si>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</si>
  <si>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</si>
  <si>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</si>
  <si>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</si>
  <si>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</si>
  <si>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</si>
  <si>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</si>
  <si>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</si>
  <si>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</si>
  <si>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</si>
  <si>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</si>
  <si>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</si>
  <si>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</si>
  <si>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</si>
  <si>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</si>
  <si>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</si>
  <si>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</si>
  <si>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</si>
  <si>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</si>
  <si>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</si>
  <si>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</si>
  <si>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</si>
  <si>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</si>
  <si>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</si>
  <si>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</si>
  <si>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</si>
  <si>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</si>
  <si>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</si>
  <si>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</si>
  <si>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</si>
  <si>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</si>
  <si>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</si>
  <si>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</si>
  <si>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</si>
  <si>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</si>
  <si>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</si>
  <si>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</si>
  <si>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</si>
  <si>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</si>
  <si>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</si>
  <si>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</si>
  <si>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</si>
  <si>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</si>
  <si>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</si>
  <si>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</si>
  <si>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</si>
  <si>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</si>
  <si>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</si>
  <si>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</si>
  <si>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</si>
  <si>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</si>
  <si>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</si>
  <si>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</si>
  <si>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</si>
  <si>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</si>
  <si>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</si>
  <si>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</si>
  <si>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</si>
  <si>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</si>
  <si>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</si>
  <si>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</si>
  <si>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</si>
  <si>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</si>
  <si>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</si>
  <si>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</si>
  <si>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</si>
  <si>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</si>
  <si>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</si>
  <si>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</si>
  <si>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</si>
  <si>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</si>
  <si>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</si>
  <si>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</si>
  <si>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</si>
  <si>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</si>
  <si>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</si>
  <si>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</si>
  <si>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</si>
  <si>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</si>
  <si>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</si>
  <si>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</si>
  <si>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</si>
  <si>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</si>
  <si>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</si>
  <si>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</si>
  <si>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</si>
  <si>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</si>
  <si>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</si>
  <si>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</si>
  <si>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</si>
  <si>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</si>
  <si>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</si>
  <si>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</si>
  <si>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</si>
  <si>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</si>
  <si>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</si>
  <si>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</si>
  <si>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</si>
  <si>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</si>
  <si>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</si>
  <si>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</si>
  <si>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</si>
  <si>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</si>
  <si>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</si>
  <si>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</si>
  <si>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</si>
  <si>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</si>
  <si>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</si>
  <si>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</si>
  <si>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</si>
  <si>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</si>
  <si>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</si>
  <si>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</si>
  <si>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</si>
  <si>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</si>
  <si>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</si>
  <si>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</si>
  <si>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</si>
  <si>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</si>
  <si>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</si>
  <si>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</si>
  <si>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</si>
  <si>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</si>
  <si>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</si>
  <si>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</si>
  <si>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</si>
  <si>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</si>
  <si>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</si>
  <si>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</si>
  <si>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</si>
  <si>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</si>
  <si>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</si>
  <si>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</si>
  <si>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</si>
  <si>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</si>
  <si>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</si>
  <si>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</si>
  <si>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</si>
  <si>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</si>
  <si>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</si>
  <si>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</si>
  <si>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</si>
  <si>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</si>
  <si>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</si>
  <si>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</si>
  <si>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</si>
  <si>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</si>
  <si>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</si>
  <si>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</si>
  <si>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</si>
  <si>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</si>
  <si>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</si>
  <si>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</si>
  <si>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</si>
  <si>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</si>
  <si>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</si>
  <si>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</si>
  <si>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</si>
  <si>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</si>
  <si>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</si>
  <si>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</si>
  <si>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</si>
  <si>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</si>
  <si>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</si>
  <si>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</si>
  <si>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</si>
  <si>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</si>
  <si>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</si>
  <si>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</si>
  <si>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</si>
  <si>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</si>
  <si>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</si>
  <si>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</si>
  <si>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</si>
  <si>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</si>
  <si>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</si>
  <si>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</si>
  <si>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</si>
  <si>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</si>
  <si>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</si>
  <si>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</si>
  <si>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</si>
  <si>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</si>
  <si>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</si>
  <si>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</si>
  <si>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</si>
  <si>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</si>
  <si>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</si>
  <si>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</si>
  <si>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</si>
  <si>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</si>
  <si>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</si>
  <si>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</si>
  <si>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</si>
  <si>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</si>
  <si>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</si>
  <si>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</si>
  <si>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</si>
  <si>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</si>
  <si>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</si>
  <si>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</si>
  <si>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</si>
  <si>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</si>
  <si>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</si>
  <si>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</si>
  <si>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</si>
  <si>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</si>
  <si>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</si>
  <si>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</si>
  <si>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</si>
  <si>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</si>
  <si>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</si>
  <si>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</si>
  <si>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</si>
  <si>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</si>
  <si>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</si>
  <si>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</si>
  <si>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</si>
  <si>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</si>
  <si>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</si>
  <si>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</si>
  <si>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</si>
  <si>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</si>
  <si>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</si>
  <si>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</si>
  <si>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</si>
  <si>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</si>
  <si>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</si>
  <si>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</si>
  <si>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</si>
  <si>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</si>
  <si>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</si>
  <si>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</si>
  <si>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</si>
  <si>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</si>
  <si>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</si>
  <si>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</si>
  <si>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</si>
  <si>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</si>
  <si>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</si>
  <si>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</si>
  <si>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</si>
  <si>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</si>
  <si>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</si>
  <si>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</si>
  <si>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</si>
  <si>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</si>
  <si>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</si>
  <si>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</si>
  <si>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</si>
  <si>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</si>
  <si>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</si>
  <si>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</si>
  <si>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</si>
  <si>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</si>
  <si>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</si>
  <si>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</si>
  <si>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</si>
  <si>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</si>
  <si>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</si>
  <si>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</si>
  <si>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</si>
  <si>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</si>
  <si>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</si>
  <si>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</si>
  <si>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</si>
  <si>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</si>
  <si>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</si>
  <si>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</si>
  <si>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</si>
  <si>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</si>
  <si>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</si>
  <si>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</si>
  <si>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</si>
  <si>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</si>
  <si>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</si>
  <si>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</si>
  <si>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</si>
  <si>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</si>
  <si>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</si>
  <si>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</si>
  <si>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</si>
  <si>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</si>
  <si>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</si>
  <si>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</si>
  <si>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</si>
  <si>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</si>
  <si>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</si>
  <si>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</si>
  <si>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</si>
  <si>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</si>
  <si>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</si>
  <si>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</si>
  <si>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</si>
  <si>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</si>
  <si>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</si>
  <si>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</si>
  <si>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</si>
  <si>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</si>
  <si>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</si>
  <si>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</si>
  <si>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</si>
  <si>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</si>
  <si>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</si>
  <si>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</si>
  <si>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</si>
  <si>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</si>
  <si>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</si>
  <si>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</si>
  <si>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</si>
  <si>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</si>
  <si>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</si>
  <si>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</si>
  <si>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</si>
  <si>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</si>
  <si>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</si>
  <si>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</si>
  <si>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</si>
  <si>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</si>
  <si>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</si>
  <si>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</si>
  <si>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</si>
  <si>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</si>
  <si>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</si>
  <si>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</si>
  <si>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</si>
  <si>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</si>
  <si>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</si>
  <si>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</si>
  <si>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</si>
  <si>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</si>
  <si>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</si>
  <si>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</si>
  <si>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</si>
  <si>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</si>
  <si>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</si>
  <si>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</si>
  <si>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</si>
  <si>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</si>
  <si>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</si>
  <si>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</si>
  <si>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</si>
  <si>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</si>
  <si>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</si>
  <si>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</si>
  <si>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</si>
  <si>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</si>
  <si>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</si>
  <si>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</si>
  <si>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</si>
  <si>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</si>
  <si>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</si>
  <si>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</si>
  <si>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</si>
  <si>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</si>
  <si>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</si>
  <si>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</si>
  <si>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</si>
  <si>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</si>
  <si>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</si>
  <si>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</si>
  <si>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</si>
  <si>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</si>
  <si>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</si>
  <si>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</si>
  <si>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</si>
  <si>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</si>
  <si>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</si>
  <si>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</si>
  <si>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</si>
  <si>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</si>
  <si>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</si>
  <si>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</si>
  <si>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</si>
  <si>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</si>
  <si>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</si>
  <si>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</si>
  <si>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</si>
  <si>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</si>
  <si>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</si>
  <si>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</si>
  <si>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</si>
  <si>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</si>
  <si>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</si>
  <si>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</si>
  <si>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</si>
  <si>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</si>
  <si>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</si>
  <si>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</si>
  <si>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</si>
  <si>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</si>
  <si>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</si>
  <si>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</si>
  <si>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</si>
  <si>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</si>
  <si>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</si>
  <si>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</si>
  <si>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</si>
  <si>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</si>
  <si>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</si>
  <si>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</si>
  <si>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</si>
  <si>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</si>
  <si>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</si>
  <si>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</si>
  <si>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</si>
  <si>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</si>
  <si>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</si>
  <si>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</si>
  <si>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</si>
  <si>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</si>
  <si>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</si>
  <si>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</si>
  <si>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</si>
  <si>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</si>
  <si>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</si>
  <si>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</si>
  <si>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</si>
  <si>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</si>
  <si>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</si>
  <si>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</si>
  <si>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</si>
  <si>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</si>
  <si>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</si>
  <si>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</si>
  <si>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</si>
  <si>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</si>
  <si>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</si>
  <si>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</si>
  <si>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</si>
  <si>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</si>
  <si>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</si>
  <si>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</si>
  <si>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</si>
  <si>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</si>
  <si>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</si>
  <si>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</si>
  <si>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</si>
  <si>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</si>
  <si>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</si>
  <si>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</si>
  <si>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</si>
  <si>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</si>
  <si>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</si>
  <si>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</si>
  <si>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</si>
  <si>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</si>
  <si>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</si>
  <si>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</si>
  <si>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</si>
  <si>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</si>
  <si>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</si>
  <si>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</si>
  <si>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</si>
  <si>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</si>
  <si>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</si>
  <si>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</si>
  <si>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</si>
  <si>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</si>
  <si>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</si>
  <si>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</si>
  <si>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</si>
  <si>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</si>
  <si>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</si>
  <si>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</si>
  <si>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</si>
  <si>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</si>
  <si>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</si>
  <si>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</si>
  <si>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</si>
  <si>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</si>
  <si>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</si>
  <si>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</si>
  <si>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</si>
  <si>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</si>
  <si>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</si>
  <si>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</si>
  <si>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</si>
  <si>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</si>
  <si>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</si>
  <si>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</si>
  <si>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</si>
  <si>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</si>
  <si>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</si>
  <si>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</si>
  <si>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</si>
  <si>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</si>
  <si>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</si>
  <si>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</si>
  <si>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</si>
  <si>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</si>
  <si>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</si>
  <si>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</si>
  <si>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</si>
  <si>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</si>
  <si>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</si>
  <si>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</si>
  <si>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</si>
  <si>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</si>
  <si>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</si>
  <si>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</si>
  <si>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</si>
  <si>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</si>
  <si>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</si>
  <si>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</si>
  <si>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</si>
  <si>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</si>
  <si>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</si>
  <si>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</si>
  <si>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</si>
  <si>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</si>
  <si>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</si>
  <si>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</si>
  <si>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</si>
  <si>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</si>
  <si>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</si>
  <si>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</si>
  <si>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</si>
  <si>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</si>
  <si>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</si>
  <si>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</si>
  <si>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</si>
  <si>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</si>
  <si>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</si>
  <si>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</si>
  <si>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</si>
  <si>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</si>
  <si>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</si>
  <si>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</si>
  <si>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</si>
  <si>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</si>
  <si>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</si>
  <si>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</si>
  <si>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</si>
  <si>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</si>
  <si>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</si>
  <si>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</si>
  <si>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</si>
  <si>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</si>
  <si>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</si>
  <si>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</si>
  <si>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</si>
  <si>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</si>
  <si>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</si>
  <si>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</si>
  <si>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</si>
  <si>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</si>
  <si>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</si>
  <si>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</si>
  <si>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</si>
  <si>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</si>
  <si>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</si>
  <si>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</si>
  <si>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</si>
  <si>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</si>
  <si>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</si>
  <si>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</si>
  <si>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</si>
  <si>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</si>
  <si>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</si>
  <si>
    <t>9cf18de374d275c4</t>
  </si>
  <si>
    <t>06_10_2026_AO_Diur.gpx</t>
  </si>
  <si>
    <t>9cf18de374d275c451d68cc2f62f8cc81c70f00a9ffd7272e17df44adb170ebe</t>
  </si>
  <si>
    <t>06/10/2026</t>
  </si>
  <si>
    <t>06/10/2026 09:00:59</t>
  </si>
  <si>
    <t>06/10/2026 16:33:37</t>
  </si>
  <si>
    <t>Inicio GPS tardío: 00:31:00 después de las 08:30.; Fin GPS dentro de la tolerancia del horario programado.; 4 hueco(s) GPS &gt;= 10 min.</t>
  </si>
  <si>
    <t>6.203244, -75.600826</t>
  </si>
  <si>
    <t>6.237179, -75.569824</t>
  </si>
  <si>
    <t>436b63e4bfdeab19</t>
  </si>
  <si>
    <t>06_10_2026_AR_Diur.gpx</t>
  </si>
  <si>
    <t>436b63e4bfdeab19c0dbf1d9c309ed00cfab5f8ffbd58105b36edf9d1b690095</t>
  </si>
  <si>
    <t>06/10/2026 08:12:00</t>
  </si>
  <si>
    <t>06/10/2026 16:21:38</t>
  </si>
  <si>
    <t>Inicio GPS anterior al horario: 00:18:00 antes de las 08:30.; Fin GPS dentro de la tolerancia del horario programado.; 1 permanencia(s) GPS detectada(s); requiere contexto.</t>
  </si>
  <si>
    <t>6.225562, -75.599151</t>
  </si>
  <si>
    <t>6.225658, -75.599071</t>
  </si>
  <si>
    <t>9d2efded79ea7d5e</t>
  </si>
  <si>
    <t>06_10_2026_DR_Diur.gpx</t>
  </si>
  <si>
    <t>9d2efded79ea7d5e1e9829c914a62b23ea606f38fb13051df790893616c456a1</t>
  </si>
  <si>
    <t>06/10/2026 08:26:25</t>
  </si>
  <si>
    <t>06/10/2026 16:30:56</t>
  </si>
  <si>
    <t>6.233598, -75.602124</t>
  </si>
  <si>
    <t>6.238812, -75.603425</t>
  </si>
  <si>
    <t>18e919bb77859506</t>
  </si>
  <si>
    <t>06_10_2026_HC_Diur.gpx</t>
  </si>
  <si>
    <t>18e919bb77859506cc0ec2d1dc2ac65612bf7c2ff3eae19a7487f3a0c3ba9873</t>
  </si>
  <si>
    <t>06/10/2026 08:25:08</t>
  </si>
  <si>
    <t>06/10/2026 13:53:00</t>
  </si>
  <si>
    <t>Inicio GPS dentro de la tolerancia del horario programado.; Fin GPS anticipado: 02:37:00 antes de las 16:30.; 1 hueco(s) GPS &gt;= 10 min.; 1 permanencia(s) GPS detectada(s); requiere contexto.</t>
  </si>
  <si>
    <t>6.225747, -75.599438</t>
  </si>
  <si>
    <t>6.235405, -75.603436</t>
  </si>
  <si>
    <t>803a78c382942ba8</t>
  </si>
  <si>
    <t>06_10_2026_IQ_Diur.gpx</t>
  </si>
  <si>
    <t>803a78c382942ba81434716a35c53bb8d95f5f51c1aa094e4fdc6d14d431889f</t>
  </si>
  <si>
    <t>06/10/2026 08:37:19</t>
  </si>
  <si>
    <t>06/10/2026 16:26:50</t>
  </si>
  <si>
    <t>Inicio GPS dentro de la tolerancia del horario programado.; Fin GPS dentro de la tolerancia del horario programado.; 9 hueco(s) GPS &gt;= 10 min.</t>
  </si>
  <si>
    <t>6.245427, -75.601678</t>
  </si>
  <si>
    <t>6.267248, -75.553902</t>
  </si>
  <si>
    <t>6840b2f8f77e43c2</t>
  </si>
  <si>
    <t>06_10_2026_JHP_Diur.gpx</t>
  </si>
  <si>
    <t>6840b2f8f77e43c22549afdf58137918bbae8cb0bd3768b19e1f2966d215b92d</t>
  </si>
  <si>
    <t>06/10/2026 08:28:34</t>
  </si>
  <si>
    <t>06/10/2026 16:19:30</t>
  </si>
  <si>
    <t>Inicio GPS dentro de la tolerancia del horario programado.; Fin GPS dentro de la tolerancia del horario programado.; 1 permanencia(s) GPS detectada(s); requiere contexto.</t>
  </si>
  <si>
    <t>6.272806, -75.574393</t>
  </si>
  <si>
    <t>6.272813, -75.574410</t>
  </si>
  <si>
    <t>06/10/2026 08:20:00</t>
  </si>
  <si>
    <t>6.225547, -75.599412</t>
  </si>
  <si>
    <t>06/10/2026 16:56:17</t>
  </si>
  <si>
    <t>6.251738, -75.551792</t>
  </si>
  <si>
    <t>5e4daeb415a7a104</t>
  </si>
  <si>
    <t>06_10_2026_JZ_Diur.gpx</t>
  </si>
  <si>
    <t>5e4daeb415a7a10429f52383f2475d615f1f9e6e8221f682fd5e235c8cb50c90</t>
  </si>
  <si>
    <t>06/10/2026 08:14:00</t>
  </si>
  <si>
    <t>06/10/2026 16:31:24</t>
  </si>
  <si>
    <t>Inicio GPS anterior al horario: 00:16:00 antes de las 08:30.; Fin GPS dentro de la tolerancia del horario programado.</t>
  </si>
  <si>
    <t>6.226333, -75.599212</t>
  </si>
  <si>
    <t>6.280109, -75.572559</t>
  </si>
  <si>
    <t>4b22fdd5b64f5ffc</t>
  </si>
  <si>
    <t>06_10_2026_YL_Diur.gpx</t>
  </si>
  <si>
    <t>4b22fdd5b64f5ffc54fa3c98f4a15bcf72f5967d0725de582fc141a008c5cee3</t>
  </si>
  <si>
    <t>06/10/2026 08:11:48</t>
  </si>
  <si>
    <t>06/10/2026 16:31:00</t>
  </si>
  <si>
    <t>Inicio GPS anterior al horario: 00:18:12 antes de las 08:30.; Fin GPS dentro de la tolerancia del horario programado.; 1 permanencia(s) GPS detectada(s); requiere contexto.</t>
  </si>
  <si>
    <t>6.225634, -75.599228</t>
  </si>
  <si>
    <t>6.258506, -75.616108</t>
  </si>
  <si>
    <t>d78f4ad8f367eb27</t>
  </si>
  <si>
    <t>06_10_2026_JP_Diur1.gpx + 06_10_2026_JP_Diur2.gpx</t>
  </si>
  <si>
    <t>d78f4ad8f367eb27be96d70e129f641290c33c716e14b6f17852864b0db7d2ee</t>
  </si>
  <si>
    <t>Recorrido unificado: 2 tramos (06_10_2026_JP_Diur1.gpx + 06_10_2026_JP_Diur2.gpx).; Inicio GPS dentro de la tolerancia del horario programado.; Fin GPS posterior: 00:26:17 después de las 16:30.; 1 hueco(s) GPS &gt;= 10 min.</t>
  </si>
  <si>
    <t>b91107a35565abff</t>
  </si>
  <si>
    <t>06_10_2026_DV_Noct.gpx</t>
  </si>
  <si>
    <t>b91107a35565abff4946074d3e646fdcc58c5d37c123da567febf3382e9c8f97</t>
  </si>
  <si>
    <t>06/10/2026 17:10:20</t>
  </si>
  <si>
    <t>07/10/2026 00:21:40</t>
  </si>
  <si>
    <t>Inicio GPS anterior al horario: 00:49:40 antes de las 18:00.; Fin GPS posterior: 00:21:40 después de las 00:00.; 1 permanencia(s) GPS detectada(s); requiere contexto.</t>
  </si>
  <si>
    <t>6.228431, -75.599153</t>
  </si>
  <si>
    <t>6.272858, -75.602092</t>
  </si>
  <si>
    <t>179db2a9ece79893</t>
  </si>
  <si>
    <t>06_10_2026_JA_Noct.gpx</t>
  </si>
  <si>
    <t>179db2a9ece7989345dd5c5812a19f0a1422faebac8cc465d443d2c2ebd364ca</t>
  </si>
  <si>
    <t>06/10/2026 16:36:29</t>
  </si>
  <si>
    <t>06/10/2026 23:04:41</t>
  </si>
  <si>
    <t>Inicio GPS anterior al horario: 01:23:31 antes de las 18:00.; Fin GPS anticipado: 00:55:19 antes de las 00:00.</t>
  </si>
  <si>
    <t>6.225775, -75.598817</t>
  </si>
  <si>
    <t>6.237004, -75.558804</t>
  </si>
  <si>
    <t>80cf2bf436a95fcb</t>
  </si>
  <si>
    <t>06_10_2026_JO_Noct.gpx</t>
  </si>
  <si>
    <t>80cf2bf436a95fcb4fbfb1b9daf376ef83b75c6f49bb79ae65319acec2dd0cf5</t>
  </si>
  <si>
    <t>06/10/2026 17:33:10</t>
  </si>
  <si>
    <t>06/10/2026 23:47:29</t>
  </si>
  <si>
    <t>Inicio GPS anterior al horario: 00:26:50 antes de las 18:00.; Fin GPS dentro de la tolerancia del horario programado.; 13 hueco(s) GPS &gt;= 10 min.</t>
  </si>
  <si>
    <t>6.225728, -75.599418</t>
  </si>
  <si>
    <t>6.255521, -75.620493</t>
  </si>
  <si>
    <t>be4c98fbe5532b22</t>
  </si>
  <si>
    <t>06_10_2026_LA_Noct.gpx</t>
  </si>
  <si>
    <t>be4c98fbe5532b22d8d26f83e9130bf9f576d06b0df34995446733de79f8fc7b</t>
  </si>
  <si>
    <t>06/10/2026 17:22:31</t>
  </si>
  <si>
    <t>07/10/2026 00:03:27</t>
  </si>
  <si>
    <t>Inicio GPS anterior al horario: 00:37:28 antes de las 18:00.; Fin GPS dentro de la tolerancia del horario programado.; 3 hueco(s) GPS &gt;= 10 min.</t>
  </si>
  <si>
    <t>6.227088, -75.599095</t>
  </si>
  <si>
    <t>6.268485, -75.599273</t>
  </si>
  <si>
    <t>a07b0fde3fde23e4</t>
  </si>
  <si>
    <t>06_10_2026_SJ_Noct.gpx</t>
  </si>
  <si>
    <t>a07b0fde3fde23e4f74a8a33bac2e339b0d95f36d4367b4a007109506e849233</t>
  </si>
  <si>
    <t>06/10/2026 17:29:35</t>
  </si>
  <si>
    <t>06/10/2026 23:28:07</t>
  </si>
  <si>
    <t>Inicio GPS anterior al horario: 00:30:25 antes de las 18:00.; Fin GPS anticipado: 00:31:53 antes de las 00:00.</t>
  </si>
  <si>
    <t>6.225821, -75.599392</t>
  </si>
  <si>
    <t>6.308009, -75.576628</t>
  </si>
  <si>
    <t>0f5907be229eb822</t>
  </si>
  <si>
    <t>07_10_2026_AO_Diur.gpx</t>
  </si>
  <si>
    <t>0f5907be229eb8225544bc1907a6ebe23bf7956461aeb7ecd85388f406aeae55</t>
  </si>
  <si>
    <t>07/10/2026</t>
  </si>
  <si>
    <t>07/10/2026 09:12:26</t>
  </si>
  <si>
    <t>07/10/2026 15:00:53</t>
  </si>
  <si>
    <t>Inicio GPS tardío: 00:42:27 después de las 08:30.; Fin GPS anticipado: 01:29:06 antes de las 16:30.; 4 hueco(s) GPS &gt;= 10 min.</t>
  </si>
  <si>
    <t>6.203339, -75.601052</t>
  </si>
  <si>
    <t>6.221813, -75.593834</t>
  </si>
  <si>
    <t>fc38733f90ae00de</t>
  </si>
  <si>
    <t>07_10_2026_AR_Diur.gpx</t>
  </si>
  <si>
    <t>fc38733f90ae00de1bd544340507d34b69708eead63dd43f1474dde053dfd350</t>
  </si>
  <si>
    <t>07/10/2026 08:32:49</t>
  </si>
  <si>
    <t>07/10/2026 16:19:52</t>
  </si>
  <si>
    <t>6.225203, -75.599356</t>
  </si>
  <si>
    <t>6.225819, -75.599132</t>
  </si>
  <si>
    <t>9e183893710cff8d</t>
  </si>
  <si>
    <t>07_10_2026_HC_DIur.gpx</t>
  </si>
  <si>
    <t>9e183893710cff8d292adc65ec93c624f8f7b05289dfb25cb424499e26065ae7</t>
  </si>
  <si>
    <t>07/10/2026 08:38:52</t>
  </si>
  <si>
    <t>07/10/2026 14:10:16</t>
  </si>
  <si>
    <t>Inicio GPS dentro de la tolerancia del horario programado.; Fin GPS anticipado: 02:19:44 antes de las 16:30.</t>
  </si>
  <si>
    <t>6.225820, -75.599392</t>
  </si>
  <si>
    <t>6.223946, -75.606025</t>
  </si>
  <si>
    <t>f7579a464938748c</t>
  </si>
  <si>
    <t>07_10_2026_IQ_Diur.gpx</t>
  </si>
  <si>
    <t>f7579a464938748c6e5feb63be8b55ffa582d2c3f53fed20299568af44aa6dd8</t>
  </si>
  <si>
    <t>07/10/2026 08:26:28</t>
  </si>
  <si>
    <t>07/10/2026 16:35:47</t>
  </si>
  <si>
    <t>6.255573, -75.571351</t>
  </si>
  <si>
    <t>4d1493d1b84ac9ed</t>
  </si>
  <si>
    <t>07_10_2026_JHP_Diur.gpx</t>
  </si>
  <si>
    <t>4d1493d1b84ac9ed32a0f91d1c475f9372f775cfdebcaacc8780a8a56fbd679a</t>
  </si>
  <si>
    <t>07/10/2026 08:25:21</t>
  </si>
  <si>
    <t>07/10/2026 16:14:02</t>
  </si>
  <si>
    <t>Inicio GPS dentro de la tolerancia del horario programado.; Fin GPS anticipado: 00:15:58 antes de las 16:30.</t>
  </si>
  <si>
    <t>6.225735, -75.599179</t>
  </si>
  <si>
    <t>6.272866, -75.574490</t>
  </si>
  <si>
    <t>ac00ea68f1c55973</t>
  </si>
  <si>
    <t>07_10_2026_JP_Diur.gpx</t>
  </si>
  <si>
    <t>ac00ea68f1c559737d4a9e2e7537a550ffa36e5cfe35e2459ca85e85ff76ecb7</t>
  </si>
  <si>
    <t>07/10/2026 08:35:22</t>
  </si>
  <si>
    <t>07/10/2026 17:23:16</t>
  </si>
  <si>
    <t>Inicio GPS dentro de la tolerancia del horario programado.; Fin GPS posterior: 00:53:16 después de las 16:30.; 1 hueco(s) GPS &gt;= 10 min.; 1 permanencia(s) GPS detectada(s); requiere contexto.</t>
  </si>
  <si>
    <t>6.225700, -75.599428</t>
  </si>
  <si>
    <t>6.251817, -75.551798</t>
  </si>
  <si>
    <t>24c444cc1d518cec</t>
  </si>
  <si>
    <t>07_10_2026_JZ_Diur.gpx</t>
  </si>
  <si>
    <t>24c444cc1d518cec0c87a4916461e457d39a5f82d965cbe4c761f1fb625cd0f6</t>
  </si>
  <si>
    <t>07/10/2026 08:14:49</t>
  </si>
  <si>
    <t>07/10/2026 12:48:58</t>
  </si>
  <si>
    <t>Inicio GPS anterior al horario: 00:15:11 antes de las 08:30.; Fin GPS anticipado: 03:41:02 antes de las 16:30.</t>
  </si>
  <si>
    <t>6.226574, -75.599252</t>
  </si>
  <si>
    <t>6.215536, -75.577033</t>
  </si>
  <si>
    <t>00c9fb665004f982</t>
  </si>
  <si>
    <t>07_10_2026_YL_Diur.gpx</t>
  </si>
  <si>
    <t>00c9fb665004f982dbe52088a3fe3a69a128d8c50219092f05d1c34e729b09ce</t>
  </si>
  <si>
    <t>07/10/2026 08:35:43</t>
  </si>
  <si>
    <t>07/10/2026 16:32:35</t>
  </si>
  <si>
    <t>Inicio GPS dentro de la tolerancia del horario programado.; Fin GPS dentro de la tolerancia del horario programado.; 1 hueco(s) GPS &gt;= 10 min.; 1 permanencia(s) GPS detectada(s); requiere contexto.</t>
  </si>
  <si>
    <t>6.225557, -75.599400</t>
  </si>
  <si>
    <t>6.258886, -75.616542</t>
  </si>
  <si>
    <t>07/10/2026 08:37:03</t>
  </si>
  <si>
    <t>07/10/2026 15:44:18</t>
  </si>
  <si>
    <t>6.231818, -75.602150</t>
  </si>
  <si>
    <t>6.248960, -75.587493</t>
  </si>
  <si>
    <t>c12d71e34cfb305e</t>
  </si>
  <si>
    <t>07_10_2026_DR_Diur.gpx</t>
  </si>
  <si>
    <t>c12d71e34cfb305ebb77ffcd08c464db2e205cb3a25740c422559fb8e36232bf</t>
  </si>
  <si>
    <t>Inicio GPS dentro de la tolerancia del horario programado.; Fin GPS anticipado: 00:45:42 antes de las 16:30.; 2 hueco(s) GPS &gt;= 10 min.</t>
  </si>
  <si>
    <t>26c59dfa43178de8</t>
  </si>
  <si>
    <t>07_10_2026_DV_Noct.gpx</t>
  </si>
  <si>
    <t>26c59dfa43178de80a5740c6e699fee664ffd705f5ccb4bba07deb94f074c6fa</t>
  </si>
  <si>
    <t>07/10/2026 17:52:38</t>
  </si>
  <si>
    <t>08/10/2026 00:11:16</t>
  </si>
  <si>
    <t>6.226424, -75.599276</t>
  </si>
  <si>
    <t>6.272736, -75.601936</t>
  </si>
  <si>
    <t>1c0a8c43cef0976b</t>
  </si>
  <si>
    <t>07_10_2026_JA_Noct.gpx</t>
  </si>
  <si>
    <t>1c0a8c43cef0976b96ae993f0d83a4de9341b0ac20a4e125237cce88171557c8</t>
  </si>
  <si>
    <t>07/10/2026 17:31:54</t>
  </si>
  <si>
    <t>07/10/2026 22:40:14</t>
  </si>
  <si>
    <t>Inicio GPS anterior al horario: 00:28:06 antes de las 18:00.; Fin GPS anticipado: 01:19:46 antes de las 00:00.</t>
  </si>
  <si>
    <t>6.225981, -75.599293</t>
  </si>
  <si>
    <t>6.237067, -75.558881</t>
  </si>
  <si>
    <t>27aafab07b2358fd</t>
  </si>
  <si>
    <t>07_10_2026_JO_Noct.gpx</t>
  </si>
  <si>
    <t>27aafab07b2358fd2fcbb33f05de148573521c3cfa346e152b33e07598448aad</t>
  </si>
  <si>
    <t>07/10/2026 17:51:14</t>
  </si>
  <si>
    <t>07/10/2026 23:56:48</t>
  </si>
  <si>
    <t>6.225701, -75.599422</t>
  </si>
  <si>
    <t>6.259250, -75.620927</t>
  </si>
  <si>
    <t>f6d90172af129486</t>
  </si>
  <si>
    <t>07_10_2026_LA_Noct.gpx</t>
  </si>
  <si>
    <t>f6d90172af1294868651e1f9c406d44c0b005f291ed84d40141d5aefb8989ef3</t>
  </si>
  <si>
    <t>07/10/2026 17:36:19</t>
  </si>
  <si>
    <t>08/10/2026 00:04:48</t>
  </si>
  <si>
    <t>Inicio GPS anterior al horario: 00:23:41 antes de las 18:00.; Fin GPS dentro de la tolerancia del horario programado.; 1 hueco(s) GPS &gt;= 10 min.</t>
  </si>
  <si>
    <t>6.229012, -75.602048</t>
  </si>
  <si>
    <t>6.268433, -75.599273</t>
  </si>
  <si>
    <t>efaae6553d3e8b43</t>
  </si>
  <si>
    <t>07_10_2026_SJ_Noct.gpx</t>
  </si>
  <si>
    <t>efaae6553d3e8b43f68e2be9ef22fb87c79f386798c14a3f415b2d21b39e4027</t>
  </si>
  <si>
    <t>07/10/2026 17:46:04</t>
  </si>
  <si>
    <t>07/10/2026 23:02:11</t>
  </si>
  <si>
    <t>Inicio GPS dentro de la tolerancia del horario programado.; Fin GPS anticipado: 00:57:49 antes de las 00:00.</t>
  </si>
  <si>
    <t>6.233283, -75.582739</t>
  </si>
  <si>
    <t>6.308959, -75.582460</t>
  </si>
  <si>
    <t>08/10/2026</t>
  </si>
  <si>
    <t>08/10/2026 08:48:26</t>
  </si>
  <si>
    <t>08/10/2026 15:02:54</t>
  </si>
  <si>
    <t>6.203267, -75.600633</t>
  </si>
  <si>
    <t>6.221692, -75.593850</t>
  </si>
  <si>
    <t>590c443e9c66a229</t>
  </si>
  <si>
    <t>08_10_2026_AR_Diur.gpx</t>
  </si>
  <si>
    <t>590c443e9c66a2298264890ceac5572cfb45df810d0375c8aeb4b3e583cc6f0f</t>
  </si>
  <si>
    <t>08/10/2026 08:02:52</t>
  </si>
  <si>
    <t>08/10/2026 16:16:26</t>
  </si>
  <si>
    <t>Inicio GPS anterior al horario: 00:27:08 antes de las 08:30.; Fin GPS dentro de la tolerancia del horario programado.</t>
  </si>
  <si>
    <t>6.225623, -75.598982</t>
  </si>
  <si>
    <t>6.225378, -75.599234</t>
  </si>
  <si>
    <t>b1508af2adf005ea</t>
  </si>
  <si>
    <t>08_10_2026_DR_Diur.gpx</t>
  </si>
  <si>
    <t>b1508af2adf005ea0397de3cd5ae5a1c6dfecf3beb5abb9b21f62dfe3221f4ed</t>
  </si>
  <si>
    <t>08/10/2026 08:56:21</t>
  </si>
  <si>
    <t>08/10/2026 16:13:31</t>
  </si>
  <si>
    <t>Inicio GPS tardío: 00:26:21 después de las 08:30.; Fin GPS anticipado: 00:16:29 antes de las 16:30.; 1 hueco(s) GPS &gt;= 10 min.</t>
  </si>
  <si>
    <t>6.253106, -75.609551</t>
  </si>
  <si>
    <t>6.239077, -75.595442</t>
  </si>
  <si>
    <t>527a2627c2fd5878</t>
  </si>
  <si>
    <t>08_10_2026_HC_Diur.gpx</t>
  </si>
  <si>
    <t>527a2627c2fd5878e7cad623c710f044c447fcd5f102cee280fdc05b91e32dcf</t>
  </si>
  <si>
    <t>08/10/2026 08:13:25</t>
  </si>
  <si>
    <t>08/10/2026 13:54:36</t>
  </si>
  <si>
    <t>Inicio GPS anterior al horario: 00:16:35 antes de las 08:30.; Fin GPS anticipado: 02:35:24 antes de las 16:30.; 1 hueco(s) GPS &gt;= 10 min.</t>
  </si>
  <si>
    <t>6.225842, -75.599387</t>
  </si>
  <si>
    <t>6.233981, -75.606674</t>
  </si>
  <si>
    <t>4afd83cf55f5a5ab</t>
  </si>
  <si>
    <t>08_10_2026_IQ_Diur.gpx</t>
  </si>
  <si>
    <t>4afd83cf55f5a5ab366ee51362d723e2b9f16e517cf46e6187055cbbad5d521f</t>
  </si>
  <si>
    <t>08/10/2026 08:10:29</t>
  </si>
  <si>
    <t>08/10/2026 16:30:37</t>
  </si>
  <si>
    <t>Inicio GPS anterior al horario: 00:19:31 antes de las 08:30.; Fin GPS dentro de la tolerancia del horario programado.; 5 hueco(s) GPS &gt;= 10 min.</t>
  </si>
  <si>
    <t>6.238151, -75.547310</t>
  </si>
  <si>
    <t>4ab34065028f9e81</t>
  </si>
  <si>
    <t>08_10_2026_JHP_Diur.gpx</t>
  </si>
  <si>
    <t>4ab34065028f9e81d3bfe3b2fcbde33d2a62bb6b57932033f557e9e8a8cc9238</t>
  </si>
  <si>
    <t>08/10/2026 08:20:48</t>
  </si>
  <si>
    <t>08/10/2026 15:58:19</t>
  </si>
  <si>
    <t>Inicio GPS dentro de la tolerancia del horario programado.; Fin GPS anticipado: 00:31:41 antes de las 16:30.</t>
  </si>
  <si>
    <t>6.272743, -75.574470</t>
  </si>
  <si>
    <t>6.272839, -75.574418</t>
  </si>
  <si>
    <t>0c5e16ef8882f5bd</t>
  </si>
  <si>
    <t>08_10_2026_JP_Diur.gpx</t>
  </si>
  <si>
    <t>0c5e16ef8882f5bd2780eb8e4404fa50ef22b35c9f00e3c7d067a97cdb04e7aa</t>
  </si>
  <si>
    <t>08/10/2026 08:14:08</t>
  </si>
  <si>
    <t>08/10/2026 17:21:44</t>
  </si>
  <si>
    <t>Inicio GPS anterior al horario: 00:15:52 antes de las 08:30.; Fin GPS posterior: 00:51:44 después de las 16:30.; 1 hueco(s) GPS &gt;= 10 min.</t>
  </si>
  <si>
    <t>6.225590, -75.599425</t>
  </si>
  <si>
    <t>6.310872, -75.565312</t>
  </si>
  <si>
    <t>a4d7b38fe3acb415</t>
  </si>
  <si>
    <t>08_10_2026_JZ_Diur.gpx</t>
  </si>
  <si>
    <t>a4d7b38fe3acb415ac5969e32c852c8c5ead8a597a1cf16b3184841ef77123b2</t>
  </si>
  <si>
    <t>08/10/2026 08:20:19</t>
  </si>
  <si>
    <t>08/10/2026 16:16:45</t>
  </si>
  <si>
    <t>6.226574, -75.599341</t>
  </si>
  <si>
    <t>6.279683, -75.572063</t>
  </si>
  <si>
    <t>808a595e6ac309a9</t>
  </si>
  <si>
    <t>08_10_2026_YL_Diur.gpx</t>
  </si>
  <si>
    <t>808a595e6ac309a972a17e31ceed8e4adb85b67ed14f49a55817f12da88b5812</t>
  </si>
  <si>
    <t>08/10/2026 08:20:23</t>
  </si>
  <si>
    <t>08/10/2026 16:32:00</t>
  </si>
  <si>
    <t>6.225651, -75.599123</t>
  </si>
  <si>
    <t>6.191036, -75.583236</t>
  </si>
  <si>
    <t>2bfb5545f66db420</t>
  </si>
  <si>
    <t>08_10_2026_AO_Diur1.gpx + 08_10_2026_AO_Diur2.gpx</t>
  </si>
  <si>
    <t>2bfb5545f66db4207db196d45748bf7faddad47e8cf23a76aec954be2faa7c71</t>
  </si>
  <si>
    <t>Recorrido unificado: 2 tramos (08_10_2026_AO_Diur1.gpx + 08_10_2026_AO_Diur2.gpx).; Inicio GPS tardío: 00:18:26 después de las 08:30.; Fin GPS anticipado: 01:27:05 antes de las 16:30.; 5 hueco(s) GPS &gt;= 10 min.; 1 permanencia(s) GPS detectada(s); requiere contexto.</t>
  </si>
  <si>
    <t>c2d7af7422527a2d</t>
  </si>
  <si>
    <t>08_10_2026_DV_Noct.gpx</t>
  </si>
  <si>
    <t>c2d7af7422527a2d539f47c7323944474da227da53c44ea202de1f2391fcd71b</t>
  </si>
  <si>
    <t>08/10/2026 17:30:31</t>
  </si>
  <si>
    <t>09/10/2026 00:14:58</t>
  </si>
  <si>
    <t>Inicio GPS anterior al horario: 00:29:29 antes de las 18:00.; Fin GPS dentro de la tolerancia del horario programado.; 1 permanencia(s) GPS detectada(s); requiere contexto.</t>
  </si>
  <si>
    <t>6.226374, -75.599348</t>
  </si>
  <si>
    <t>6.272647, -75.601989</t>
  </si>
  <si>
    <t>16b4a0e62704ebe4</t>
  </si>
  <si>
    <t>08_10_2026_JA_Noct.gpx</t>
  </si>
  <si>
    <t>16b4a0e62704ebe4f47aa786934b4851863c265be4edfbd3e482feb72f0c005e</t>
  </si>
  <si>
    <t>08/10/2026 17:37:28</t>
  </si>
  <si>
    <t>08/10/2026 22:41:38</t>
  </si>
  <si>
    <t>Inicio GPS anterior al horario: 00:22:32 antes de las 18:00.; Fin GPS anticipado: 01:18:22 antes de las 00:00.</t>
  </si>
  <si>
    <t>6.226029, -75.599327</t>
  </si>
  <si>
    <t>6.237062, -75.558768</t>
  </si>
  <si>
    <t>860ab6dbd2ee19fb</t>
  </si>
  <si>
    <t>08_10_2026_JO_Noct.gpx</t>
  </si>
  <si>
    <t>860ab6dbd2ee19fb38115cd28dfcf7dca27f81d2a6b8420cf0777d4e061471a3</t>
  </si>
  <si>
    <t>08/10/2026 17:42:48</t>
  </si>
  <si>
    <t>08/10/2026 23:56:40</t>
  </si>
  <si>
    <t>Inicio GPS anterior al horario: 00:17:12 antes de las 18:00.; Fin GPS dentro de la tolerancia del horario programado.; 11 hueco(s) GPS &gt;= 10 min.</t>
  </si>
  <si>
    <t>6.225644, -75.599370</t>
  </si>
  <si>
    <t>6.255499, -75.620519</t>
  </si>
  <si>
    <t>1811fc9217948d2b</t>
  </si>
  <si>
    <t>08_10_2026_LA_Noct.gpx</t>
  </si>
  <si>
    <t>1811fc9217948d2bdad42b2eb790ad3e8f10ed603234244ff27969aa6eb923a9</t>
  </si>
  <si>
    <t>Inicio GPS anterior al horario: 72:53:47 antes de las 18:00.; Fin GPS anticipado: 72:01:29 antes de las 00:00.; 2 hueco(s) GPS &gt;= 10 min.</t>
  </si>
  <si>
    <t>bddcdd831d8754ec</t>
  </si>
  <si>
    <t>08_10_2026_SJ_Noct.gpx</t>
  </si>
  <si>
    <t>bddcdd831d8754ec57ec3cfa4f0f91ec65c39e479137bbf17ef90862ce987f40</t>
  </si>
  <si>
    <t>08/10/2026 17:41:23</t>
  </si>
  <si>
    <t>08/10/2026 23:58:35</t>
  </si>
  <si>
    <t>Inicio GPS anterior al horario: 00:18:37 antes de las 18:00.; Fin GPS dentro de la tolerancia del horario programado.</t>
  </si>
  <si>
    <t>6.225624, -75.599417</t>
  </si>
  <si>
    <t>6.295303, -75.582172</t>
  </si>
  <si>
    <t>09389234b1ec7d6c</t>
  </si>
  <si>
    <t>09_10_2026_AO_Diur.gpx</t>
  </si>
  <si>
    <t>09389234b1ec7d6ced9ae730b99ef70c32703e6da1a22ecb463addd8561de68e</t>
  </si>
  <si>
    <t>09/10/2026</t>
  </si>
  <si>
    <t>09/10/2026 08:37:31</t>
  </si>
  <si>
    <t>09/10/2026 15:04:36</t>
  </si>
  <si>
    <t>Inicio GPS dentro de la tolerancia del horario programado.; Fin GPS anticipado: 00:55:24 antes de las 16:00.; 2 hueco(s) GPS &gt;= 10 min.</t>
  </si>
  <si>
    <t>6.203452, -75.600986</t>
  </si>
  <si>
    <t>6.202893, -75.569177</t>
  </si>
  <si>
    <t>2fba0594909c0a76</t>
  </si>
  <si>
    <t>09_10_2026_AR_Diur.gpx</t>
  </si>
  <si>
    <t>2fba0594909c0a76dd048ed5ab4b3c0aa7f8c58d63fb642550bad8182b7ed9c0</t>
  </si>
  <si>
    <t>09/10/2026 08:23:28</t>
  </si>
  <si>
    <t>09/10/2026 15:52:19</t>
  </si>
  <si>
    <t>6.225671, -75.599407</t>
  </si>
  <si>
    <t>6.252252, -75.607341</t>
  </si>
  <si>
    <t>2f6b2fae8f42312c</t>
  </si>
  <si>
    <t>09_10_2026_HC_Diur.gpx</t>
  </si>
  <si>
    <t>2f6b2fae8f42312c288e049b6ec3ddc4cc9633a3d1a876d857083525e1fa65f3</t>
  </si>
  <si>
    <t>09/10/2026 08:39:35</t>
  </si>
  <si>
    <t>09/10/2026 13:13:06</t>
  </si>
  <si>
    <t>Inicio GPS dentro de la tolerancia del horario programado.; Fin GPS anticipado: 02:46:54 antes de las 16:00.; 1 permanencia(s) GPS detectada(s); requiere contexto.</t>
  </si>
  <si>
    <t>6.225833, -75.599429</t>
  </si>
  <si>
    <t>6.296168, -75.585224</t>
  </si>
  <si>
    <t>d676ab6efc0d3ba5</t>
  </si>
  <si>
    <t>09_10_2026_IQ_Diur.gpx</t>
  </si>
  <si>
    <t>d676ab6efc0d3ba523aba64c780a862bbea156db117e3cabf30e76ab4b36e839</t>
  </si>
  <si>
    <t>09/10/2026 08:06:08</t>
  </si>
  <si>
    <t>09/10/2026 16:02:08</t>
  </si>
  <si>
    <t>Inicio GPS anterior al horario: 00:23:52 antes de las 08:30.; Fin GPS dentro de la tolerancia del horario programado.; 4 hueco(s) GPS &gt;= 10 min.</t>
  </si>
  <si>
    <t>6.280985, -75.545736</t>
  </si>
  <si>
    <t>359b42f4e07bedbe</t>
  </si>
  <si>
    <t>09_10_2026_JHP_Diur.gpx</t>
  </si>
  <si>
    <t>359b42f4e07bedbea1c90460e714b345e0f28ada4c64411d5b510a99a21ee9e5</t>
  </si>
  <si>
    <t>09/10/2026 07:58:04</t>
  </si>
  <si>
    <t>09/10/2026 12:42:03</t>
  </si>
  <si>
    <t>Inicio GPS anterior al horario: 00:31:56 antes de las 08:30.; Fin GPS anticipado: 03:17:57 antes de las 16:00.</t>
  </si>
  <si>
    <t>6.272746, -75.574455</t>
  </si>
  <si>
    <t>6.239404, -75.583635</t>
  </si>
  <si>
    <t>052effd44b9f30f4</t>
  </si>
  <si>
    <t>09_10_2026_JP_Diur.gpx</t>
  </si>
  <si>
    <t>052effd44b9f30f4f188a36daeb60239ef566941210654a2187146f7d26c5f56</t>
  </si>
  <si>
    <t>09/10/2026 08:00:01</t>
  </si>
  <si>
    <t>09/10/2026 16:16:56</t>
  </si>
  <si>
    <t>Inicio GPS anterior al horario: 00:29:59 antes de las 08:30.; Fin GPS posterior: 00:16:56 después de las 16:00.; 2 hueco(s) GPS &gt;= 10 min.</t>
  </si>
  <si>
    <t>6.280113, -75.572572</t>
  </si>
  <si>
    <t>6.251818, -75.551773</t>
  </si>
  <si>
    <t>ad0aba94e3c964d8</t>
  </si>
  <si>
    <t>09_10_2026_JZ_Diur.gpx</t>
  </si>
  <si>
    <t>ad0aba94e3c964d85ce3c98fc60a62a3e2a1ad073fda58788984d6e29d5f20d1</t>
  </si>
  <si>
    <t>09/10/2026 08:12:32</t>
  </si>
  <si>
    <t>09/10/2026 15:42:09</t>
  </si>
  <si>
    <t>Inicio GPS anterior al horario: 00:17:28 antes de las 08:30.; Fin GPS anticipado: 00:17:51 antes de las 16:00.</t>
  </si>
  <si>
    <t>6.226885, -75.599195</t>
  </si>
  <si>
    <t>6.279457, -75.570402</t>
  </si>
  <si>
    <t>bc626f26908fb3df</t>
  </si>
  <si>
    <t>09_10_2026_YL_Diur.gpx</t>
  </si>
  <si>
    <t>bc626f26908fb3dfdc593c6ad495692b6db89a9da27f677e7217148ddeb3c674</t>
  </si>
  <si>
    <t>09/10/2026 08:33:44</t>
  </si>
  <si>
    <t>09/10/2026 16:03:24</t>
  </si>
  <si>
    <t>6.225966, -75.598782</t>
  </si>
  <si>
    <t>6.284467, -75.573380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</si>
</sst>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  <xf numFmtId="46" fontId="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4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3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25">
      <pivotArea outline="0" collapsedLevelsAreSubtotals="1" fieldPosition="0"/>
    </format>
    <format dxfId="24">
      <pivotArea field="6" type="button" dataOnly="0" labelOnly="1" outline="0" axis="axisRow" fieldPosition="0"/>
    </format>
    <format dxfId="2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2">
      <pivotArea dataOnly="0" labelOnly="1" grandRow="1" outline="0" fieldPosition="0"/>
    </format>
    <format dxfId="21">
      <pivotArea dataOnly="0" labelOnly="1" grandCol="1" outline="0" fieldPosition="0"/>
    </format>
    <format dxfId="20">
      <pivotArea outline="0" collapsedLevelsAreSubtotals="1" fieldPosition="0"/>
    </format>
    <format dxfId="19">
      <pivotArea field="6" type="button" dataOnly="0" labelOnly="1" outline="0" axis="axisRow" fieldPosition="0"/>
    </format>
    <format dxfId="1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7">
      <pivotArea dataOnly="0" labelOnly="1" grandRow="1" outline="0" fieldPosition="0"/>
    </format>
    <format dxfId="16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37">
      <pivotArea outline="0" collapsedLevelsAreSubtotals="1" fieldPosition="0"/>
    </format>
    <format dxfId="36">
      <pivotArea field="6" type="button" dataOnly="0" labelOnly="1" outline="0" axis="axisRow" fieldPosition="0"/>
    </format>
    <format dxfId="3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4">
      <pivotArea dataOnly="0" labelOnly="1" grandRow="1" outline="0" fieldPosition="0"/>
    </format>
    <format dxfId="33">
      <pivotArea dataOnly="0" labelOnly="1" fieldPosition="0">
        <references count="1">
          <reference field="17" count="0"/>
        </references>
      </pivotArea>
    </format>
    <format dxfId="32">
      <pivotArea dataOnly="0" labelOnly="1" grandCol="1" outline="0" fieldPosition="0"/>
    </format>
    <format dxfId="31">
      <pivotArea outline="0" collapsedLevelsAreSubtotals="1" fieldPosition="0"/>
    </format>
    <format dxfId="30">
      <pivotArea field="6" type="button" dataOnly="0" labelOnly="1" outline="0" axis="axisRow" fieldPosition="0"/>
    </format>
    <format dxfId="2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8">
      <pivotArea dataOnly="0" labelOnly="1" grandRow="1" outline="0" fieldPosition="0"/>
    </format>
    <format dxfId="27">
      <pivotArea dataOnly="0" labelOnly="1" fieldPosition="0">
        <references count="1">
          <reference field="17" count="0"/>
        </references>
      </pivotArea>
    </format>
    <format dxfId="26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38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3" totalsRowShown="0" headerRowDxfId="72" dataDxfId="71">
  <autoFilter ref="A1:AF1048563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04"/>
  <sheetViews>
    <sheetView tabSelected="1" zoomScale="80" zoomScaleNormal="80" workbookViewId="0">
      <pane ySplit="1" topLeftCell="A384" activePane="bottomLeft" state="frozen"/>
      <selection pane="bottomLeft" activeCell="A405" sqref="A405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88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54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54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  <row r="355" spans="1:54" ht="15" x14ac:dyDescent="0.25">
      <c r="A355" s="9" t="s">
        <v>2971</v>
      </c>
      <c r="B355" s="9" t="s">
        <v>2972</v>
      </c>
      <c r="C355" s="9" t="s">
        <v>2973</v>
      </c>
      <c r="D355" s="9" t="s">
        <v>2974</v>
      </c>
      <c r="E355" s="9" t="s">
        <v>2619</v>
      </c>
      <c r="F355" s="9" t="s">
        <v>37</v>
      </c>
      <c r="G355" s="9" t="s">
        <v>38</v>
      </c>
      <c r="H355" s="9" t="s">
        <v>39</v>
      </c>
      <c r="I355" s="9" t="s">
        <v>40</v>
      </c>
      <c r="J355" s="9">
        <v>9411</v>
      </c>
      <c r="K355" s="9" t="s">
        <v>2975</v>
      </c>
      <c r="L355" s="9" t="s">
        <v>42</v>
      </c>
      <c r="M355" s="10">
        <v>2.1525613425925929E-2</v>
      </c>
      <c r="N355" s="9" t="s">
        <v>43</v>
      </c>
      <c r="O355" s="9" t="s">
        <v>2976</v>
      </c>
      <c r="P355" s="9" t="s">
        <v>45</v>
      </c>
      <c r="Q355" s="10">
        <v>2.5210416666666671E-3</v>
      </c>
      <c r="R355" s="9" t="s">
        <v>46</v>
      </c>
      <c r="S355" s="10">
        <v>0.31432876157407408</v>
      </c>
      <c r="T355" s="9">
        <v>67.908000000000001</v>
      </c>
      <c r="U355" s="9">
        <v>17.46</v>
      </c>
      <c r="V355" s="10">
        <v>0.1620192939814814</v>
      </c>
      <c r="W355" s="10">
        <v>7.6907731481481473E-2</v>
      </c>
      <c r="X355" s="10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4</v>
      </c>
      <c r="AE355" s="9" t="s">
        <v>47</v>
      </c>
      <c r="AF355" s="9" t="s">
        <v>2977</v>
      </c>
      <c r="AG355" s="9" t="s">
        <v>2978</v>
      </c>
      <c r="AH355" s="9">
        <v>6.2032439999999998</v>
      </c>
      <c r="AI355" s="9">
        <v>-75.600825999999998</v>
      </c>
      <c r="AJ355" s="9" t="s">
        <v>2979</v>
      </c>
      <c r="AK355" s="9">
        <v>6.2371790000000003</v>
      </c>
      <c r="AL355" s="9">
        <v>-75.569823999999997</v>
      </c>
      <c r="AM355" s="26">
        <f t="shared" si="6"/>
        <v>2.1525613425925929E-2</v>
      </c>
    </row>
    <row r="356" spans="1:54" ht="15" x14ac:dyDescent="0.25">
      <c r="A356" s="9" t="s">
        <v>2980</v>
      </c>
      <c r="B356" s="9" t="s">
        <v>2981</v>
      </c>
      <c r="C356" s="9" t="s">
        <v>2982</v>
      </c>
      <c r="D356" s="9" t="s">
        <v>2974</v>
      </c>
      <c r="E356" s="9" t="s">
        <v>2619</v>
      </c>
      <c r="F356" s="9" t="s">
        <v>37</v>
      </c>
      <c r="G356" s="9" t="s">
        <v>52</v>
      </c>
      <c r="H356" s="9" t="s">
        <v>53</v>
      </c>
      <c r="I356" s="9" t="s">
        <v>40</v>
      </c>
      <c r="J356" s="9">
        <v>3031</v>
      </c>
      <c r="K356" s="9" t="s">
        <v>2983</v>
      </c>
      <c r="L356" s="9" t="s">
        <v>42</v>
      </c>
      <c r="M356" s="10">
        <v>1.2500000000000001E-2</v>
      </c>
      <c r="N356" s="9" t="s">
        <v>127</v>
      </c>
      <c r="O356" s="9" t="s">
        <v>2984</v>
      </c>
      <c r="P356" s="9" t="s">
        <v>45</v>
      </c>
      <c r="Q356" s="10">
        <v>5.8101851851851856E-3</v>
      </c>
      <c r="R356" s="9" t="s">
        <v>46</v>
      </c>
      <c r="S356" s="10">
        <v>0.34002314814814821</v>
      </c>
      <c r="T356" s="9">
        <v>38.945</v>
      </c>
      <c r="U356" s="9">
        <v>9</v>
      </c>
      <c r="V356" s="10">
        <v>0.1803703703703704</v>
      </c>
      <c r="W356" s="10">
        <v>0.12047453703703701</v>
      </c>
      <c r="X356" s="10">
        <v>6.8634259259259256E-3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 t="s">
        <v>139</v>
      </c>
      <c r="AF356" s="9" t="s">
        <v>2985</v>
      </c>
      <c r="AG356" s="9" t="s">
        <v>2986</v>
      </c>
      <c r="AH356" s="9">
        <v>6.225562</v>
      </c>
      <c r="AI356" s="9">
        <v>-75.599151000000006</v>
      </c>
      <c r="AJ356" s="9" t="s">
        <v>2987</v>
      </c>
      <c r="AK356" s="9">
        <v>6.2256580000000001</v>
      </c>
      <c r="AL356" s="9">
        <v>-75.599070999999995</v>
      </c>
      <c r="AM356" s="26">
        <f t="shared" si="6"/>
        <v>0</v>
      </c>
    </row>
    <row r="357" spans="1:54" ht="15" x14ac:dyDescent="0.25">
      <c r="A357" s="9" t="s">
        <v>2988</v>
      </c>
      <c r="B357" s="9" t="s">
        <v>2989</v>
      </c>
      <c r="C357" s="9" t="s">
        <v>2990</v>
      </c>
      <c r="D357" s="9" t="s">
        <v>2974</v>
      </c>
      <c r="E357" s="9" t="s">
        <v>2619</v>
      </c>
      <c r="F357" s="9" t="s">
        <v>37</v>
      </c>
      <c r="G357" s="9" t="s">
        <v>113</v>
      </c>
      <c r="H357" s="9" t="s">
        <v>114</v>
      </c>
      <c r="I357" s="9" t="s">
        <v>40</v>
      </c>
      <c r="J357" s="9">
        <v>2513</v>
      </c>
      <c r="K357" s="9" t="s">
        <v>2991</v>
      </c>
      <c r="L357" s="9" t="s">
        <v>42</v>
      </c>
      <c r="M357" s="10">
        <v>2.488425925925926E-3</v>
      </c>
      <c r="N357" s="9" t="s">
        <v>65</v>
      </c>
      <c r="O357" s="9" t="s">
        <v>2992</v>
      </c>
      <c r="P357" s="9" t="s">
        <v>45</v>
      </c>
      <c r="Q357" s="10">
        <v>6.4814814814814813E-4</v>
      </c>
      <c r="R357" s="9" t="s">
        <v>46</v>
      </c>
      <c r="S357" s="10">
        <v>0.3364699074074074</v>
      </c>
      <c r="T357" s="9">
        <v>34.430999999999997</v>
      </c>
      <c r="U357" s="9">
        <v>5.22</v>
      </c>
      <c r="V357" s="10">
        <v>0.27484953703703702</v>
      </c>
      <c r="W357" s="10">
        <v>0.2268634259259259</v>
      </c>
      <c r="X357" s="10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3</v>
      </c>
      <c r="AE357" s="9" t="s">
        <v>84</v>
      </c>
      <c r="AF357" s="9" t="s">
        <v>292</v>
      </c>
      <c r="AG357" s="9" t="s">
        <v>2993</v>
      </c>
      <c r="AH357" s="9">
        <v>6.2335979999999998</v>
      </c>
      <c r="AI357" s="9">
        <v>-75.602124000000003</v>
      </c>
      <c r="AJ357" s="9" t="s">
        <v>2994</v>
      </c>
      <c r="AK357" s="9">
        <v>6.2388120000000002</v>
      </c>
      <c r="AL357" s="9">
        <v>-75.603425000000001</v>
      </c>
      <c r="AM357" s="26">
        <f t="shared" si="6"/>
        <v>0</v>
      </c>
    </row>
    <row r="358" spans="1:54" ht="15" x14ac:dyDescent="0.25">
      <c r="A358" s="9" t="s">
        <v>2995</v>
      </c>
      <c r="B358" s="9" t="s">
        <v>2996</v>
      </c>
      <c r="C358" s="9" t="s">
        <v>2997</v>
      </c>
      <c r="D358" s="9" t="s">
        <v>2974</v>
      </c>
      <c r="E358" s="9" t="s">
        <v>2619</v>
      </c>
      <c r="F358" s="9" t="s">
        <v>37</v>
      </c>
      <c r="G358" s="9" t="s">
        <v>62</v>
      </c>
      <c r="H358" s="9" t="s">
        <v>63</v>
      </c>
      <c r="I358" s="9" t="s">
        <v>40</v>
      </c>
      <c r="J358" s="9">
        <v>4253</v>
      </c>
      <c r="K358" s="9" t="s">
        <v>2998</v>
      </c>
      <c r="L358" s="9" t="s">
        <v>42</v>
      </c>
      <c r="M358" s="10">
        <v>3.37962962962963E-3</v>
      </c>
      <c r="N358" s="9" t="s">
        <v>65</v>
      </c>
      <c r="O358" s="9" t="s">
        <v>2999</v>
      </c>
      <c r="P358" s="9" t="s">
        <v>45</v>
      </c>
      <c r="Q358" s="10">
        <v>0.10902777777777781</v>
      </c>
      <c r="R358" s="9" t="s">
        <v>56</v>
      </c>
      <c r="S358" s="10">
        <v>0.22768518518518521</v>
      </c>
      <c r="T358" s="9">
        <v>56.817</v>
      </c>
      <c r="U358" s="9">
        <v>12.95</v>
      </c>
      <c r="V358" s="10">
        <v>0.18285879629629631</v>
      </c>
      <c r="W358" s="10">
        <v>7.6597222222222219E-2</v>
      </c>
      <c r="X358" s="10">
        <v>4.0509259259259257E-3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1</v>
      </c>
      <c r="AE358" s="9" t="s">
        <v>67</v>
      </c>
      <c r="AF358" s="9" t="s">
        <v>3000</v>
      </c>
      <c r="AG358" s="9" t="s">
        <v>3001</v>
      </c>
      <c r="AH358" s="9">
        <v>6.2257470000000001</v>
      </c>
      <c r="AI358" s="9">
        <v>-75.599438000000006</v>
      </c>
      <c r="AJ358" s="9" t="s">
        <v>3002</v>
      </c>
      <c r="AK358" s="9">
        <v>6.2354050000000001</v>
      </c>
      <c r="AL358" s="9">
        <v>-75.603436000000002</v>
      </c>
      <c r="AM358" s="26">
        <f t="shared" si="6"/>
        <v>0.10902777777777781</v>
      </c>
    </row>
    <row r="359" spans="1:54" ht="15" x14ac:dyDescent="0.25">
      <c r="A359" s="9" t="s">
        <v>3003</v>
      </c>
      <c r="B359" s="9" t="s">
        <v>3004</v>
      </c>
      <c r="C359" s="9" t="s">
        <v>3005</v>
      </c>
      <c r="D359" s="9" t="s">
        <v>2974</v>
      </c>
      <c r="E359" s="9" t="s">
        <v>2619</v>
      </c>
      <c r="F359" s="9" t="s">
        <v>37</v>
      </c>
      <c r="G359" s="9" t="s">
        <v>135</v>
      </c>
      <c r="H359" s="9" t="s">
        <v>136</v>
      </c>
      <c r="I359" s="9" t="s">
        <v>40</v>
      </c>
      <c r="J359" s="9">
        <v>1583</v>
      </c>
      <c r="K359" s="9" t="s">
        <v>3006</v>
      </c>
      <c r="L359" s="9" t="s">
        <v>42</v>
      </c>
      <c r="M359" s="10">
        <v>5.0810185185185194E-3</v>
      </c>
      <c r="N359" s="9" t="s">
        <v>65</v>
      </c>
      <c r="O359" s="9" t="s">
        <v>3007</v>
      </c>
      <c r="P359" s="9" t="s">
        <v>45</v>
      </c>
      <c r="Q359" s="10">
        <v>2.1990740740740742E-3</v>
      </c>
      <c r="R359" s="9" t="s">
        <v>46</v>
      </c>
      <c r="S359" s="10">
        <v>0.32605324074074082</v>
      </c>
      <c r="T359" s="9">
        <v>23.855</v>
      </c>
      <c r="U359" s="9">
        <v>10.38</v>
      </c>
      <c r="V359" s="10">
        <v>9.571759259259259E-2</v>
      </c>
      <c r="W359" s="10">
        <v>6.4421296296296296E-2</v>
      </c>
      <c r="X359" s="10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9</v>
      </c>
      <c r="AE359" s="9" t="s">
        <v>84</v>
      </c>
      <c r="AF359" s="9" t="s">
        <v>3008</v>
      </c>
      <c r="AG359" s="9" t="s">
        <v>3009</v>
      </c>
      <c r="AH359" s="9">
        <v>6.2454270000000003</v>
      </c>
      <c r="AI359" s="9">
        <v>-75.601678000000007</v>
      </c>
      <c r="AJ359" s="9" t="s">
        <v>3010</v>
      </c>
      <c r="AK359" s="9">
        <v>6.2672480000000004</v>
      </c>
      <c r="AL359" s="9">
        <v>-75.553901999999994</v>
      </c>
      <c r="AM359" s="26">
        <f t="shared" si="6"/>
        <v>0</v>
      </c>
    </row>
    <row r="360" spans="1:54" ht="15" x14ac:dyDescent="0.25">
      <c r="A360" s="9" t="s">
        <v>3011</v>
      </c>
      <c r="B360" s="9" t="s">
        <v>3012</v>
      </c>
      <c r="C360" s="9" t="s">
        <v>3013</v>
      </c>
      <c r="D360" s="9" t="s">
        <v>2974</v>
      </c>
      <c r="E360" s="9" t="s">
        <v>2619</v>
      </c>
      <c r="F360" s="9" t="s">
        <v>37</v>
      </c>
      <c r="G360" s="9" t="s">
        <v>144</v>
      </c>
      <c r="H360" s="9" t="s">
        <v>145</v>
      </c>
      <c r="I360" s="9" t="s">
        <v>40</v>
      </c>
      <c r="J360" s="9">
        <v>5062</v>
      </c>
      <c r="K360" s="9" t="s">
        <v>3014</v>
      </c>
      <c r="L360" s="9" t="s">
        <v>42</v>
      </c>
      <c r="M360" s="10">
        <v>9.9537037037037042E-4</v>
      </c>
      <c r="N360" s="9" t="s">
        <v>65</v>
      </c>
      <c r="O360" s="9" t="s">
        <v>3015</v>
      </c>
      <c r="P360" s="9" t="s">
        <v>45</v>
      </c>
      <c r="Q360" s="10">
        <v>7.2916666666666668E-3</v>
      </c>
      <c r="R360" s="9" t="s">
        <v>46</v>
      </c>
      <c r="S360" s="10">
        <v>0.32703703703703701</v>
      </c>
      <c r="T360" s="9">
        <v>60.158999999999999</v>
      </c>
      <c r="U360" s="9">
        <v>10.14</v>
      </c>
      <c r="V360" s="10">
        <v>0.24721064814814811</v>
      </c>
      <c r="W360" s="10">
        <v>6.3807870370370376E-2</v>
      </c>
      <c r="X360" s="10">
        <v>4.3750000000000004E-3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 t="s">
        <v>84</v>
      </c>
      <c r="AF360" s="9" t="s">
        <v>3016</v>
      </c>
      <c r="AG360" s="9" t="s">
        <v>3017</v>
      </c>
      <c r="AH360" s="9">
        <v>6.2728060000000001</v>
      </c>
      <c r="AI360" s="9">
        <v>-75.574393000000001</v>
      </c>
      <c r="AJ360" s="9" t="s">
        <v>3018</v>
      </c>
      <c r="AK360" s="9">
        <v>6.2728130000000002</v>
      </c>
      <c r="AL360" s="9">
        <v>-75.57441</v>
      </c>
      <c r="AM360" s="26">
        <f t="shared" si="6"/>
        <v>0</v>
      </c>
    </row>
    <row r="361" spans="1:54" ht="15" x14ac:dyDescent="0.25">
      <c r="A361" s="9" t="s">
        <v>3023</v>
      </c>
      <c r="B361" s="9" t="s">
        <v>3024</v>
      </c>
      <c r="C361" s="9" t="s">
        <v>3025</v>
      </c>
      <c r="D361" s="9" t="s">
        <v>2974</v>
      </c>
      <c r="E361" s="9" t="s">
        <v>2619</v>
      </c>
      <c r="F361" s="9" t="s">
        <v>37</v>
      </c>
      <c r="G361" s="9" t="s">
        <v>89</v>
      </c>
      <c r="H361" s="9" t="s">
        <v>90</v>
      </c>
      <c r="I361" s="9" t="s">
        <v>40</v>
      </c>
      <c r="J361" s="9">
        <v>4598</v>
      </c>
      <c r="K361" s="9" t="s">
        <v>3026</v>
      </c>
      <c r="L361" s="9" t="s">
        <v>42</v>
      </c>
      <c r="M361" s="10">
        <v>1.111111111111111E-2</v>
      </c>
      <c r="N361" s="9" t="s">
        <v>127</v>
      </c>
      <c r="O361" s="9" t="s">
        <v>3027</v>
      </c>
      <c r="P361" s="9" t="s">
        <v>45</v>
      </c>
      <c r="Q361" s="10">
        <v>9.7222222222222219E-4</v>
      </c>
      <c r="R361" s="9" t="s">
        <v>46</v>
      </c>
      <c r="S361" s="10">
        <v>0.34541666666666659</v>
      </c>
      <c r="T361" s="9">
        <v>57.073999999999998</v>
      </c>
      <c r="U361" s="9">
        <v>8.51</v>
      </c>
      <c r="V361" s="10">
        <v>0.27959490740740739</v>
      </c>
      <c r="W361" s="10">
        <v>0.1541666666666667</v>
      </c>
      <c r="X361" s="10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 t="s">
        <v>139</v>
      </c>
      <c r="AF361" s="9" t="s">
        <v>3028</v>
      </c>
      <c r="AG361" s="9" t="s">
        <v>3029</v>
      </c>
      <c r="AH361" s="9">
        <v>6.2263330000000003</v>
      </c>
      <c r="AI361" s="9">
        <v>-75.599211999999994</v>
      </c>
      <c r="AJ361" s="9" t="s">
        <v>3030</v>
      </c>
      <c r="AK361" s="9">
        <v>6.2801090000000004</v>
      </c>
      <c r="AL361" s="9">
        <v>-75.572558999999998</v>
      </c>
      <c r="AM361" s="26">
        <f t="shared" si="6"/>
        <v>0</v>
      </c>
    </row>
    <row r="362" spans="1:54" ht="15" x14ac:dyDescent="0.25">
      <c r="A362" s="9" t="s">
        <v>3031</v>
      </c>
      <c r="B362" s="9" t="s">
        <v>3032</v>
      </c>
      <c r="C362" s="9" t="s">
        <v>3033</v>
      </c>
      <c r="D362" s="9" t="s">
        <v>2974</v>
      </c>
      <c r="E362" s="9" t="s">
        <v>2619</v>
      </c>
      <c r="F362" s="9" t="s">
        <v>37</v>
      </c>
      <c r="G362" s="9" t="s">
        <v>105</v>
      </c>
      <c r="H362" s="9" t="s">
        <v>106</v>
      </c>
      <c r="I362" s="9" t="s">
        <v>40</v>
      </c>
      <c r="J362" s="9">
        <v>4812</v>
      </c>
      <c r="K362" s="9" t="s">
        <v>3034</v>
      </c>
      <c r="L362" s="9" t="s">
        <v>42</v>
      </c>
      <c r="M362" s="10">
        <v>1.263888888888889E-2</v>
      </c>
      <c r="N362" s="9" t="s">
        <v>127</v>
      </c>
      <c r="O362" s="9" t="s">
        <v>3035</v>
      </c>
      <c r="P362" s="9" t="s">
        <v>45</v>
      </c>
      <c r="Q362" s="10">
        <v>6.9444444444444447E-4</v>
      </c>
      <c r="R362" s="9" t="s">
        <v>46</v>
      </c>
      <c r="S362" s="10">
        <v>0.34666666666666668</v>
      </c>
      <c r="T362" s="9">
        <v>66.102999999999994</v>
      </c>
      <c r="U362" s="9">
        <v>18.64</v>
      </c>
      <c r="V362" s="10">
        <v>0.14780092592592589</v>
      </c>
      <c r="W362" s="10">
        <v>5.7708333333333327E-2</v>
      </c>
      <c r="X362" s="10">
        <v>2.613425925925926E-2</v>
      </c>
      <c r="Y362" s="9">
        <v>1</v>
      </c>
      <c r="Z362" s="9">
        <v>1</v>
      </c>
      <c r="AA362" s="9">
        <v>1</v>
      </c>
      <c r="AB362" s="9">
        <v>0</v>
      </c>
      <c r="AC362" s="9">
        <v>0</v>
      </c>
      <c r="AD362" s="9">
        <v>0</v>
      </c>
      <c r="AE362" s="9" t="s">
        <v>139</v>
      </c>
      <c r="AF362" s="9" t="s">
        <v>3036</v>
      </c>
      <c r="AG362" s="9" t="s">
        <v>3037</v>
      </c>
      <c r="AH362" s="9">
        <v>6.2256340000000003</v>
      </c>
      <c r="AI362" s="9">
        <v>-75.599227999999997</v>
      </c>
      <c r="AJ362" s="9" t="s">
        <v>3038</v>
      </c>
      <c r="AK362" s="9">
        <v>6.2585059999999997</v>
      </c>
      <c r="AL362" s="9">
        <v>-75.616107999999997</v>
      </c>
      <c r="AM362" s="26">
        <f t="shared" si="6"/>
        <v>0</v>
      </c>
    </row>
    <row r="363" spans="1:54" ht="15" x14ac:dyDescent="0.25">
      <c r="A363" s="1" t="s">
        <v>3039</v>
      </c>
      <c r="B363" s="1" t="s">
        <v>3040</v>
      </c>
      <c r="C363" s="1" t="s">
        <v>3041</v>
      </c>
      <c r="D363" s="1" t="s">
        <v>2974</v>
      </c>
      <c r="E363" s="1" t="s">
        <v>2619</v>
      </c>
      <c r="F363" s="1" t="s">
        <v>37</v>
      </c>
      <c r="G363" s="1" t="s">
        <v>152</v>
      </c>
      <c r="H363" s="1" t="s">
        <v>153</v>
      </c>
      <c r="I363" s="1" t="s">
        <v>40</v>
      </c>
      <c r="J363" s="1">
        <v>7652</v>
      </c>
      <c r="K363" s="1" t="s">
        <v>3019</v>
      </c>
      <c r="L363" s="1" t="s">
        <v>42</v>
      </c>
      <c r="M363" s="38">
        <v>6.9444444444444441E-3</v>
      </c>
      <c r="N363" s="1" t="s">
        <v>65</v>
      </c>
      <c r="O363" s="1" t="s">
        <v>3021</v>
      </c>
      <c r="P363" s="1" t="s">
        <v>45</v>
      </c>
      <c r="Q363" s="38">
        <v>1.8252314814814811E-2</v>
      </c>
      <c r="R363" s="1" t="s">
        <v>129</v>
      </c>
      <c r="S363" s="38">
        <v>0.35853009259259261</v>
      </c>
      <c r="T363" s="1">
        <v>99.364000000000004</v>
      </c>
      <c r="U363" s="1">
        <v>13.82</v>
      </c>
      <c r="V363" s="38">
        <v>0.2996064814814815</v>
      </c>
      <c r="W363" s="38">
        <v>0.1025462962962963</v>
      </c>
      <c r="X363" s="38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1</v>
      </c>
      <c r="AE363" s="1" t="s">
        <v>130</v>
      </c>
      <c r="AF363" s="1" t="s">
        <v>3042</v>
      </c>
      <c r="AG363" s="1" t="s">
        <v>3020</v>
      </c>
      <c r="AH363" s="1">
        <v>6.2255469999999997</v>
      </c>
      <c r="AI363" s="1">
        <v>-75.599412000000001</v>
      </c>
      <c r="AJ363" s="1" t="s">
        <v>3022</v>
      </c>
      <c r="AK363" s="1">
        <v>6.2517379999999996</v>
      </c>
      <c r="AL363" s="1">
        <v>-75.551792000000006</v>
      </c>
      <c r="AM363" s="26">
        <f t="shared" si="6"/>
        <v>0</v>
      </c>
      <c r="AY363" s="1"/>
      <c r="AZ363" s="1"/>
      <c r="BA363" s="1"/>
      <c r="BB363" s="1"/>
    </row>
    <row r="364" spans="1:54" ht="15" x14ac:dyDescent="0.25">
      <c r="A364" s="9" t="s">
        <v>3043</v>
      </c>
      <c r="B364" s="9" t="s">
        <v>3044</v>
      </c>
      <c r="C364" s="9" t="s">
        <v>3045</v>
      </c>
      <c r="D364" s="9" t="s">
        <v>2974</v>
      </c>
      <c r="E364" s="9" t="s">
        <v>2619</v>
      </c>
      <c r="F364" s="9" t="s">
        <v>37</v>
      </c>
      <c r="G364" s="9" t="s">
        <v>124</v>
      </c>
      <c r="H364" s="9" t="s">
        <v>125</v>
      </c>
      <c r="I364" s="9" t="s">
        <v>115</v>
      </c>
      <c r="J364" s="9">
        <v>4477</v>
      </c>
      <c r="K364" s="9" t="s">
        <v>3046</v>
      </c>
      <c r="L364" s="9" t="s">
        <v>117</v>
      </c>
      <c r="M364" s="10">
        <v>3.4490740740740738E-2</v>
      </c>
      <c r="N364" s="9" t="s">
        <v>127</v>
      </c>
      <c r="O364" s="9" t="s">
        <v>3047</v>
      </c>
      <c r="P364" s="9" t="s">
        <v>119</v>
      </c>
      <c r="Q364" s="10">
        <v>1.5046296296296301E-2</v>
      </c>
      <c r="R364" s="9" t="s">
        <v>129</v>
      </c>
      <c r="S364" s="10">
        <v>0.29953703703703699</v>
      </c>
      <c r="T364" s="9">
        <v>55.436999999999998</v>
      </c>
      <c r="U364" s="9">
        <v>12.31</v>
      </c>
      <c r="V364" s="10">
        <v>0.18763888888888891</v>
      </c>
      <c r="W364" s="10">
        <v>5.1203703703703703E-2</v>
      </c>
      <c r="X364" s="10">
        <v>1.126157407407407E-2</v>
      </c>
      <c r="Y364" s="9">
        <v>1</v>
      </c>
      <c r="Z364" s="9">
        <v>1</v>
      </c>
      <c r="AA364" s="9">
        <v>0</v>
      </c>
      <c r="AB364" s="9">
        <v>0</v>
      </c>
      <c r="AC364" s="9">
        <v>0</v>
      </c>
      <c r="AD364" s="9">
        <v>0</v>
      </c>
      <c r="AE364" s="9" t="s">
        <v>130</v>
      </c>
      <c r="AF364" s="9" t="s">
        <v>3048</v>
      </c>
      <c r="AG364" s="9" t="s">
        <v>3049</v>
      </c>
      <c r="AH364" s="9">
        <v>6.2284309999999996</v>
      </c>
      <c r="AI364" s="9">
        <v>-75.599153000000001</v>
      </c>
      <c r="AJ364" s="9" t="s">
        <v>3050</v>
      </c>
      <c r="AK364" s="9">
        <v>6.2728580000000003</v>
      </c>
      <c r="AL364" s="9">
        <v>-75.602091999999999</v>
      </c>
      <c r="AM364" s="26">
        <f t="shared" si="6"/>
        <v>0</v>
      </c>
    </row>
    <row r="365" spans="1:54" ht="15" x14ac:dyDescent="0.25">
      <c r="A365" s="9" t="s">
        <v>3051</v>
      </c>
      <c r="B365" s="9" t="s">
        <v>3052</v>
      </c>
      <c r="C365" s="9" t="s">
        <v>3053</v>
      </c>
      <c r="D365" s="9" t="s">
        <v>2974</v>
      </c>
      <c r="E365" s="9" t="s">
        <v>2619</v>
      </c>
      <c r="F365" s="9" t="s">
        <v>37</v>
      </c>
      <c r="G365" s="9" t="s">
        <v>72</v>
      </c>
      <c r="H365" s="9" t="s">
        <v>73</v>
      </c>
      <c r="I365" s="9" t="s">
        <v>115</v>
      </c>
      <c r="J365" s="9">
        <v>2949</v>
      </c>
      <c r="K365" s="9" t="s">
        <v>3054</v>
      </c>
      <c r="L365" s="9" t="s">
        <v>117</v>
      </c>
      <c r="M365" s="10">
        <v>5.7997685185185187E-2</v>
      </c>
      <c r="N365" s="9" t="s">
        <v>127</v>
      </c>
      <c r="O365" s="9" t="s">
        <v>3055</v>
      </c>
      <c r="P365" s="9" t="s">
        <v>119</v>
      </c>
      <c r="Q365" s="10">
        <v>3.8414351851851852E-2</v>
      </c>
      <c r="R365" s="9" t="s">
        <v>56</v>
      </c>
      <c r="S365" s="10">
        <v>0.26958333333333329</v>
      </c>
      <c r="T365" s="9">
        <v>43.320999999999998</v>
      </c>
      <c r="U365" s="9">
        <v>10.7</v>
      </c>
      <c r="V365" s="10">
        <v>0.16875000000000001</v>
      </c>
      <c r="W365" s="10">
        <v>0.10906250000000001</v>
      </c>
      <c r="X365" s="10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 t="s">
        <v>139</v>
      </c>
      <c r="AF365" s="9" t="s">
        <v>3056</v>
      </c>
      <c r="AG365" s="9" t="s">
        <v>3057</v>
      </c>
      <c r="AH365" s="9">
        <v>6.2257749999999996</v>
      </c>
      <c r="AI365" s="9">
        <v>-75.598816999999997</v>
      </c>
      <c r="AJ365" s="9" t="s">
        <v>3058</v>
      </c>
      <c r="AK365" s="9">
        <v>6.2370039999999998</v>
      </c>
      <c r="AL365" s="9">
        <v>-75.558803999999995</v>
      </c>
      <c r="AM365" s="26">
        <f t="shared" si="6"/>
        <v>3.8414351851851852E-2</v>
      </c>
    </row>
    <row r="366" spans="1:54" ht="15" x14ac:dyDescent="0.25">
      <c r="A366" s="9" t="s">
        <v>3059</v>
      </c>
      <c r="B366" s="9" t="s">
        <v>3060</v>
      </c>
      <c r="C366" s="9" t="s">
        <v>3061</v>
      </c>
      <c r="D366" s="9" t="s">
        <v>2974</v>
      </c>
      <c r="E366" s="9" t="s">
        <v>2619</v>
      </c>
      <c r="F366" s="9" t="s">
        <v>37</v>
      </c>
      <c r="G366" s="9" t="s">
        <v>80</v>
      </c>
      <c r="H366" s="9" t="s">
        <v>81</v>
      </c>
      <c r="I366" s="9" t="s">
        <v>115</v>
      </c>
      <c r="J366" s="9">
        <v>5232</v>
      </c>
      <c r="K366" s="9" t="s">
        <v>3062</v>
      </c>
      <c r="L366" s="9" t="s">
        <v>117</v>
      </c>
      <c r="M366" s="10">
        <v>1.863108796296296E-2</v>
      </c>
      <c r="N366" s="9" t="s">
        <v>127</v>
      </c>
      <c r="O366" s="9" t="s">
        <v>3063</v>
      </c>
      <c r="P366" s="9" t="s">
        <v>119</v>
      </c>
      <c r="Q366" s="10">
        <v>8.6834490740740743E-3</v>
      </c>
      <c r="R366" s="9" t="s">
        <v>46</v>
      </c>
      <c r="S366" s="10">
        <v>0.25994763888888889</v>
      </c>
      <c r="T366" s="9">
        <v>36.991</v>
      </c>
      <c r="U366" s="9">
        <v>19.579999999999998</v>
      </c>
      <c r="V366" s="10">
        <v>7.8722800925925845E-2</v>
      </c>
      <c r="W366" s="10">
        <v>3.4429942129629632E-2</v>
      </c>
      <c r="X366" s="10">
        <v>0</v>
      </c>
      <c r="Y366" s="9">
        <v>0</v>
      </c>
      <c r="Z366" s="9">
        <v>0</v>
      </c>
      <c r="AA366" s="9">
        <v>0</v>
      </c>
      <c r="AB366" s="9">
        <v>0</v>
      </c>
      <c r="AC366" s="9">
        <v>0</v>
      </c>
      <c r="AD366" s="9">
        <v>13</v>
      </c>
      <c r="AE366" s="9" t="s">
        <v>139</v>
      </c>
      <c r="AF366" s="9" t="s">
        <v>3064</v>
      </c>
      <c r="AG366" s="9" t="s">
        <v>3065</v>
      </c>
      <c r="AH366" s="9">
        <v>6.2257280000000002</v>
      </c>
      <c r="AI366" s="9">
        <v>-75.599418</v>
      </c>
      <c r="AJ366" s="9" t="s">
        <v>3066</v>
      </c>
      <c r="AK366" s="9">
        <v>6.2555209999999999</v>
      </c>
      <c r="AL366" s="9">
        <v>-75.620492999999996</v>
      </c>
      <c r="AM366" s="26">
        <f t="shared" si="6"/>
        <v>0</v>
      </c>
    </row>
    <row r="367" spans="1:54" ht="15" x14ac:dyDescent="0.25">
      <c r="A367" s="9" t="s">
        <v>3067</v>
      </c>
      <c r="B367" s="9" t="s">
        <v>3068</v>
      </c>
      <c r="C367" s="9" t="s">
        <v>3069</v>
      </c>
      <c r="D367" s="9" t="s">
        <v>2974</v>
      </c>
      <c r="E367" s="9" t="s">
        <v>2619</v>
      </c>
      <c r="F367" s="9" t="s">
        <v>37</v>
      </c>
      <c r="G367" s="9" t="s">
        <v>160</v>
      </c>
      <c r="H367" s="9" t="s">
        <v>161</v>
      </c>
      <c r="I367" s="9" t="s">
        <v>115</v>
      </c>
      <c r="J367" s="9">
        <v>10628</v>
      </c>
      <c r="K367" s="9" t="s">
        <v>3070</v>
      </c>
      <c r="L367" s="9" t="s">
        <v>117</v>
      </c>
      <c r="M367" s="10">
        <v>2.6019247685185189E-2</v>
      </c>
      <c r="N367" s="9" t="s">
        <v>127</v>
      </c>
      <c r="O367" s="9" t="s">
        <v>3071</v>
      </c>
      <c r="P367" s="9" t="s">
        <v>119</v>
      </c>
      <c r="Q367" s="10">
        <v>2.4040856481481478E-3</v>
      </c>
      <c r="R367" s="9" t="s">
        <v>46</v>
      </c>
      <c r="S367" s="10">
        <v>0.27842333333333341</v>
      </c>
      <c r="T367" s="9">
        <v>53.326000000000001</v>
      </c>
      <c r="U367" s="9">
        <v>13.87</v>
      </c>
      <c r="V367" s="10">
        <v>0.1602309606481481</v>
      </c>
      <c r="W367" s="10">
        <v>0.11474509259259261</v>
      </c>
      <c r="X367" s="10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3</v>
      </c>
      <c r="AE367" s="9" t="s">
        <v>139</v>
      </c>
      <c r="AF367" s="9" t="s">
        <v>3072</v>
      </c>
      <c r="AG367" s="9" t="s">
        <v>3073</v>
      </c>
      <c r="AH367" s="9">
        <v>6.2270880000000002</v>
      </c>
      <c r="AI367" s="9">
        <v>-75.599095000000005</v>
      </c>
      <c r="AJ367" s="9" t="s">
        <v>3074</v>
      </c>
      <c r="AK367" s="9">
        <v>6.2684850000000001</v>
      </c>
      <c r="AL367" s="9">
        <v>-75.599272999999997</v>
      </c>
      <c r="AM367" s="26">
        <f t="shared" si="6"/>
        <v>0</v>
      </c>
    </row>
    <row r="368" spans="1:54" ht="15" x14ac:dyDescent="0.25">
      <c r="A368" s="9" t="s">
        <v>3075</v>
      </c>
      <c r="B368" s="9" t="s">
        <v>3076</v>
      </c>
      <c r="C368" s="9" t="s">
        <v>3077</v>
      </c>
      <c r="D368" s="9" t="s">
        <v>2974</v>
      </c>
      <c r="E368" s="9" t="s">
        <v>2619</v>
      </c>
      <c r="F368" s="9" t="s">
        <v>37</v>
      </c>
      <c r="G368" s="9" t="s">
        <v>97</v>
      </c>
      <c r="H368" s="9" t="s">
        <v>98</v>
      </c>
      <c r="I368" s="9" t="s">
        <v>115</v>
      </c>
      <c r="J368" s="9">
        <v>2278</v>
      </c>
      <c r="K368" s="9" t="s">
        <v>3078</v>
      </c>
      <c r="L368" s="9" t="s">
        <v>117</v>
      </c>
      <c r="M368" s="10">
        <v>2.1122685185185189E-2</v>
      </c>
      <c r="N368" s="9" t="s">
        <v>127</v>
      </c>
      <c r="O368" s="9" t="s">
        <v>3079</v>
      </c>
      <c r="P368" s="9" t="s">
        <v>119</v>
      </c>
      <c r="Q368" s="10">
        <v>2.2141203703703701E-2</v>
      </c>
      <c r="R368" s="9" t="s">
        <v>56</v>
      </c>
      <c r="S368" s="10">
        <v>0.2489814814814815</v>
      </c>
      <c r="T368" s="9">
        <v>30.131</v>
      </c>
      <c r="U368" s="9">
        <v>8.75</v>
      </c>
      <c r="V368" s="10">
        <v>0.14354166666666671</v>
      </c>
      <c r="W368" s="10">
        <v>9.2083333333333336E-2</v>
      </c>
      <c r="X368" s="10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9" t="s">
        <v>139</v>
      </c>
      <c r="AF368" s="9" t="s">
        <v>3080</v>
      </c>
      <c r="AG368" s="9" t="s">
        <v>3081</v>
      </c>
      <c r="AH368" s="9">
        <v>6.2258209999999998</v>
      </c>
      <c r="AI368" s="9">
        <v>-75.599391999999995</v>
      </c>
      <c r="AJ368" s="9" t="s">
        <v>3082</v>
      </c>
      <c r="AK368" s="9">
        <v>6.3080090000000002</v>
      </c>
      <c r="AL368" s="9">
        <v>-75.576627999999999</v>
      </c>
      <c r="AM368" s="26">
        <f t="shared" si="6"/>
        <v>2.2141203703703701E-2</v>
      </c>
    </row>
    <row r="369" spans="1:39" ht="15" x14ac:dyDescent="0.25">
      <c r="A369" s="9" t="s">
        <v>3083</v>
      </c>
      <c r="B369" s="9" t="s">
        <v>3084</v>
      </c>
      <c r="C369" s="9" t="s">
        <v>3085</v>
      </c>
      <c r="D369" s="9" t="s">
        <v>3086</v>
      </c>
      <c r="E369" s="9" t="s">
        <v>2619</v>
      </c>
      <c r="F369" s="9" t="s">
        <v>169</v>
      </c>
      <c r="G369" s="9" t="s">
        <v>38</v>
      </c>
      <c r="H369" s="9" t="s">
        <v>39</v>
      </c>
      <c r="I369" s="9" t="s">
        <v>40</v>
      </c>
      <c r="J369" s="9">
        <v>5848</v>
      </c>
      <c r="K369" s="9" t="s">
        <v>3087</v>
      </c>
      <c r="L369" s="9" t="s">
        <v>42</v>
      </c>
      <c r="M369" s="10">
        <v>2.9476909722222219E-2</v>
      </c>
      <c r="N369" s="9" t="s">
        <v>43</v>
      </c>
      <c r="O369" s="9" t="s">
        <v>3088</v>
      </c>
      <c r="P369" s="9" t="s">
        <v>45</v>
      </c>
      <c r="Q369" s="10">
        <v>6.1877256944444438E-2</v>
      </c>
      <c r="R369" s="9" t="s">
        <v>56</v>
      </c>
      <c r="S369" s="10">
        <v>0.24197916666666669</v>
      </c>
      <c r="T369" s="9">
        <v>49.36</v>
      </c>
      <c r="U369" s="9">
        <v>27.33</v>
      </c>
      <c r="V369" s="10">
        <v>7.5249293981481238E-2</v>
      </c>
      <c r="W369" s="10">
        <v>1.364130787037037E-2</v>
      </c>
      <c r="X369" s="10">
        <v>0</v>
      </c>
      <c r="Y369" s="9">
        <v>0</v>
      </c>
      <c r="Z369" s="9">
        <v>0</v>
      </c>
      <c r="AA369" s="9">
        <v>0</v>
      </c>
      <c r="AB369" s="9">
        <v>0</v>
      </c>
      <c r="AC369" s="9">
        <v>0</v>
      </c>
      <c r="AD369" s="9">
        <v>4</v>
      </c>
      <c r="AE369" s="9" t="s">
        <v>57</v>
      </c>
      <c r="AF369" s="9" t="s">
        <v>3089</v>
      </c>
      <c r="AG369" s="9" t="s">
        <v>3090</v>
      </c>
      <c r="AH369" s="9">
        <v>6.2033389999999997</v>
      </c>
      <c r="AI369" s="9">
        <v>-75.601051999999996</v>
      </c>
      <c r="AJ369" s="9" t="s">
        <v>3091</v>
      </c>
      <c r="AK369" s="9">
        <v>6.221813</v>
      </c>
      <c r="AL369" s="9">
        <v>-75.593834000000001</v>
      </c>
      <c r="AM369" s="26">
        <f t="shared" si="6"/>
        <v>9.1354166666666653E-2</v>
      </c>
    </row>
    <row r="370" spans="1:39" ht="15" x14ac:dyDescent="0.25">
      <c r="A370" s="9" t="s">
        <v>3092</v>
      </c>
      <c r="B370" s="9" t="s">
        <v>3093</v>
      </c>
      <c r="C370" s="9" t="s">
        <v>3094</v>
      </c>
      <c r="D370" s="9" t="s">
        <v>3086</v>
      </c>
      <c r="E370" s="9" t="s">
        <v>2619</v>
      </c>
      <c r="F370" s="9" t="s">
        <v>169</v>
      </c>
      <c r="G370" s="9" t="s">
        <v>52</v>
      </c>
      <c r="H370" s="9" t="s">
        <v>53</v>
      </c>
      <c r="I370" s="9" t="s">
        <v>40</v>
      </c>
      <c r="J370" s="9">
        <v>3193</v>
      </c>
      <c r="K370" s="9" t="s">
        <v>3095</v>
      </c>
      <c r="L370" s="9" t="s">
        <v>42</v>
      </c>
      <c r="M370" s="10">
        <v>1.956018518518518E-3</v>
      </c>
      <c r="N370" s="9" t="s">
        <v>65</v>
      </c>
      <c r="O370" s="9" t="s">
        <v>3096</v>
      </c>
      <c r="P370" s="9" t="s">
        <v>45</v>
      </c>
      <c r="Q370" s="10">
        <v>7.037037037037037E-3</v>
      </c>
      <c r="R370" s="9" t="s">
        <v>46</v>
      </c>
      <c r="S370" s="10">
        <v>0.3243402777777778</v>
      </c>
      <c r="T370" s="9">
        <v>41.216000000000001</v>
      </c>
      <c r="U370" s="9">
        <v>9.0399999999999991</v>
      </c>
      <c r="V370" s="10">
        <v>0.18989583333333329</v>
      </c>
      <c r="W370" s="10">
        <v>0.1273148148148148</v>
      </c>
      <c r="X370" s="10">
        <v>0</v>
      </c>
      <c r="Y370" s="9">
        <v>0</v>
      </c>
      <c r="Z370" s="9">
        <v>0</v>
      </c>
      <c r="AA370" s="9">
        <v>0</v>
      </c>
      <c r="AB370" s="9">
        <v>0</v>
      </c>
      <c r="AC370" s="9">
        <v>0</v>
      </c>
      <c r="AD370" s="9">
        <v>0</v>
      </c>
      <c r="AE370" s="9" t="s">
        <v>84</v>
      </c>
      <c r="AF370" s="9" t="s">
        <v>352</v>
      </c>
      <c r="AG370" s="9" t="s">
        <v>3097</v>
      </c>
      <c r="AH370" s="9">
        <v>6.2252029999999996</v>
      </c>
      <c r="AI370" s="9">
        <v>-75.599356</v>
      </c>
      <c r="AJ370" s="9" t="s">
        <v>3098</v>
      </c>
      <c r="AK370" s="9">
        <v>6.2258190000000004</v>
      </c>
      <c r="AL370" s="9">
        <v>-75.599131999999997</v>
      </c>
      <c r="AM370" s="26">
        <f t="shared" si="6"/>
        <v>0</v>
      </c>
    </row>
    <row r="371" spans="1:39" ht="15" x14ac:dyDescent="0.25">
      <c r="A371" s="9" t="s">
        <v>3099</v>
      </c>
      <c r="B371" s="9" t="s">
        <v>3100</v>
      </c>
      <c r="C371" s="9" t="s">
        <v>3101</v>
      </c>
      <c r="D371" s="9" t="s">
        <v>3086</v>
      </c>
      <c r="E371" s="9" t="s">
        <v>2619</v>
      </c>
      <c r="F371" s="9" t="s">
        <v>169</v>
      </c>
      <c r="G371" s="9" t="s">
        <v>62</v>
      </c>
      <c r="H371" s="9" t="s">
        <v>63</v>
      </c>
      <c r="I371" s="9" t="s">
        <v>40</v>
      </c>
      <c r="J371" s="9">
        <v>4062</v>
      </c>
      <c r="K371" s="9" t="s">
        <v>3102</v>
      </c>
      <c r="L371" s="9" t="s">
        <v>42</v>
      </c>
      <c r="M371" s="10">
        <v>6.1574074074074066E-3</v>
      </c>
      <c r="N371" s="9" t="s">
        <v>65</v>
      </c>
      <c r="O371" s="9" t="s">
        <v>3103</v>
      </c>
      <c r="P371" s="9" t="s">
        <v>45</v>
      </c>
      <c r="Q371" s="10">
        <v>9.7037037037037033E-2</v>
      </c>
      <c r="R371" s="9" t="s">
        <v>56</v>
      </c>
      <c r="S371" s="10">
        <v>0.23013888888888889</v>
      </c>
      <c r="T371" s="9">
        <v>55.100999999999999</v>
      </c>
      <c r="U371" s="9">
        <v>16.670000000000002</v>
      </c>
      <c r="V371" s="10">
        <v>0.13768518518518519</v>
      </c>
      <c r="W371" s="10">
        <v>4.8634259259259259E-2</v>
      </c>
      <c r="X371" s="10">
        <v>0</v>
      </c>
      <c r="Y371" s="9">
        <v>0</v>
      </c>
      <c r="Z371" s="9">
        <v>0</v>
      </c>
      <c r="AA371" s="9">
        <v>0</v>
      </c>
      <c r="AB371" s="9">
        <v>0</v>
      </c>
      <c r="AC371" s="9">
        <v>0</v>
      </c>
      <c r="AD371" s="9">
        <v>0</v>
      </c>
      <c r="AE371" s="9" t="s">
        <v>67</v>
      </c>
      <c r="AF371" s="9" t="s">
        <v>3104</v>
      </c>
      <c r="AG371" s="9" t="s">
        <v>3105</v>
      </c>
      <c r="AH371" s="9">
        <v>6.2258199999999997</v>
      </c>
      <c r="AI371" s="9">
        <v>-75.599391999999995</v>
      </c>
      <c r="AJ371" s="9" t="s">
        <v>3106</v>
      </c>
      <c r="AK371" s="9">
        <v>6.2239459999999998</v>
      </c>
      <c r="AL371" s="9">
        <v>-75.606025000000002</v>
      </c>
      <c r="AM371" s="26">
        <f t="shared" si="6"/>
        <v>9.7037037037037033E-2</v>
      </c>
    </row>
    <row r="372" spans="1:39" ht="15" x14ac:dyDescent="0.25">
      <c r="A372" s="9" t="s">
        <v>3107</v>
      </c>
      <c r="B372" s="9" t="s">
        <v>3108</v>
      </c>
      <c r="C372" s="9" t="s">
        <v>3109</v>
      </c>
      <c r="D372" s="9" t="s">
        <v>3086</v>
      </c>
      <c r="E372" s="9" t="s">
        <v>2619</v>
      </c>
      <c r="F372" s="9" t="s">
        <v>169</v>
      </c>
      <c r="G372" s="9" t="s">
        <v>135</v>
      </c>
      <c r="H372" s="9" t="s">
        <v>136</v>
      </c>
      <c r="I372" s="9" t="s">
        <v>40</v>
      </c>
      <c r="J372" s="9">
        <v>2185</v>
      </c>
      <c r="K372" s="9" t="s">
        <v>3110</v>
      </c>
      <c r="L372" s="9" t="s">
        <v>42</v>
      </c>
      <c r="M372" s="10">
        <v>2.453703703703704E-3</v>
      </c>
      <c r="N372" s="9" t="s">
        <v>65</v>
      </c>
      <c r="O372" s="9" t="s">
        <v>3111</v>
      </c>
      <c r="P372" s="9" t="s">
        <v>45</v>
      </c>
      <c r="Q372" s="10">
        <v>4.0162037037037041E-3</v>
      </c>
      <c r="R372" s="9" t="s">
        <v>46</v>
      </c>
      <c r="S372" s="10">
        <v>0.33980324074074081</v>
      </c>
      <c r="T372" s="9">
        <v>65.489999999999995</v>
      </c>
      <c r="U372" s="9">
        <v>26.58</v>
      </c>
      <c r="V372" s="10">
        <v>0.102662037037037</v>
      </c>
      <c r="W372" s="10">
        <v>6.4733796296296303E-2</v>
      </c>
      <c r="X372" s="10">
        <v>0</v>
      </c>
      <c r="Y372" s="9">
        <v>0</v>
      </c>
      <c r="Z372" s="9">
        <v>0</v>
      </c>
      <c r="AA372" s="9">
        <v>0</v>
      </c>
      <c r="AB372" s="9">
        <v>0</v>
      </c>
      <c r="AC372" s="9">
        <v>0</v>
      </c>
      <c r="AD372" s="9">
        <v>7</v>
      </c>
      <c r="AE372" s="9" t="s">
        <v>84</v>
      </c>
      <c r="AF372" s="9" t="s">
        <v>2832</v>
      </c>
      <c r="AG372" s="9" t="s">
        <v>3010</v>
      </c>
      <c r="AH372" s="9">
        <v>6.2672480000000004</v>
      </c>
      <c r="AI372" s="9">
        <v>-75.553901999999994</v>
      </c>
      <c r="AJ372" s="9" t="s">
        <v>3112</v>
      </c>
      <c r="AK372" s="9">
        <v>6.2555730000000001</v>
      </c>
      <c r="AL372" s="9">
        <v>-75.571351000000007</v>
      </c>
      <c r="AM372" s="26">
        <f t="shared" si="6"/>
        <v>0</v>
      </c>
    </row>
    <row r="373" spans="1:39" ht="15" x14ac:dyDescent="0.25">
      <c r="A373" s="9" t="s">
        <v>3113</v>
      </c>
      <c r="B373" s="9" t="s">
        <v>3114</v>
      </c>
      <c r="C373" s="9" t="s">
        <v>3115</v>
      </c>
      <c r="D373" s="9" t="s">
        <v>3086</v>
      </c>
      <c r="E373" s="9" t="s">
        <v>2619</v>
      </c>
      <c r="F373" s="9" t="s">
        <v>169</v>
      </c>
      <c r="G373" s="9" t="s">
        <v>144</v>
      </c>
      <c r="H373" s="9" t="s">
        <v>145</v>
      </c>
      <c r="I373" s="9" t="s">
        <v>40</v>
      </c>
      <c r="J373" s="9">
        <v>6432</v>
      </c>
      <c r="K373" s="9" t="s">
        <v>3116</v>
      </c>
      <c r="L373" s="9" t="s">
        <v>42</v>
      </c>
      <c r="M373" s="10">
        <v>3.2291666666666671E-3</v>
      </c>
      <c r="N373" s="9" t="s">
        <v>65</v>
      </c>
      <c r="O373" s="9" t="s">
        <v>3117</v>
      </c>
      <c r="P373" s="9" t="s">
        <v>45</v>
      </c>
      <c r="Q373" s="10">
        <v>1.1087962962962959E-2</v>
      </c>
      <c r="R373" s="9" t="s">
        <v>56</v>
      </c>
      <c r="S373" s="10">
        <v>0.32547453703703699</v>
      </c>
      <c r="T373" s="9">
        <v>82.218999999999994</v>
      </c>
      <c r="U373" s="9">
        <v>13.71</v>
      </c>
      <c r="V373" s="10">
        <v>0.24984953703703711</v>
      </c>
      <c r="W373" s="10">
        <v>6.8310185185185182E-2</v>
      </c>
      <c r="X373" s="10">
        <v>0</v>
      </c>
      <c r="Y373" s="9">
        <v>0</v>
      </c>
      <c r="Z373" s="9">
        <v>0</v>
      </c>
      <c r="AA373" s="9">
        <v>0</v>
      </c>
      <c r="AB373" s="9">
        <v>0</v>
      </c>
      <c r="AC373" s="9">
        <v>0</v>
      </c>
      <c r="AD373" s="9">
        <v>0</v>
      </c>
      <c r="AE373" s="9" t="s">
        <v>67</v>
      </c>
      <c r="AF373" s="9" t="s">
        <v>3118</v>
      </c>
      <c r="AG373" s="9" t="s">
        <v>3119</v>
      </c>
      <c r="AH373" s="9">
        <v>6.2257350000000002</v>
      </c>
      <c r="AI373" s="9">
        <v>-75.599179000000007</v>
      </c>
      <c r="AJ373" s="9" t="s">
        <v>3120</v>
      </c>
      <c r="AK373" s="9">
        <v>6.2728659999999996</v>
      </c>
      <c r="AL373" s="9">
        <v>-75.574489999999997</v>
      </c>
      <c r="AM373" s="26">
        <f t="shared" si="6"/>
        <v>1.1087962962962959E-2</v>
      </c>
    </row>
    <row r="374" spans="1:39" ht="15" x14ac:dyDescent="0.25">
      <c r="A374" s="9" t="s">
        <v>3121</v>
      </c>
      <c r="B374" s="9" t="s">
        <v>3122</v>
      </c>
      <c r="C374" s="9" t="s">
        <v>3123</v>
      </c>
      <c r="D374" s="9" t="s">
        <v>3086</v>
      </c>
      <c r="E374" s="9" t="s">
        <v>2619</v>
      </c>
      <c r="F374" s="9" t="s">
        <v>169</v>
      </c>
      <c r="G374" s="9" t="s">
        <v>152</v>
      </c>
      <c r="H374" s="9" t="s">
        <v>153</v>
      </c>
      <c r="I374" s="9" t="s">
        <v>40</v>
      </c>
      <c r="J374" s="9">
        <v>4558</v>
      </c>
      <c r="K374" s="9" t="s">
        <v>3124</v>
      </c>
      <c r="L374" s="9" t="s">
        <v>42</v>
      </c>
      <c r="M374" s="10">
        <v>3.7268518518518519E-3</v>
      </c>
      <c r="N374" s="9" t="s">
        <v>65</v>
      </c>
      <c r="O374" s="9" t="s">
        <v>3125</v>
      </c>
      <c r="P374" s="9" t="s">
        <v>45</v>
      </c>
      <c r="Q374" s="10">
        <v>3.6990740740740741E-2</v>
      </c>
      <c r="R374" s="9" t="s">
        <v>129</v>
      </c>
      <c r="S374" s="10">
        <v>0.36659722222222219</v>
      </c>
      <c r="T374" s="9">
        <v>58.271000000000001</v>
      </c>
      <c r="U374" s="9">
        <v>10.65</v>
      </c>
      <c r="V374" s="10">
        <v>0.22795138888888891</v>
      </c>
      <c r="W374" s="10">
        <v>0.11430555555555549</v>
      </c>
      <c r="X374" s="10">
        <v>2.4976851851851851E-2</v>
      </c>
      <c r="Y374" s="9">
        <v>1</v>
      </c>
      <c r="Z374" s="9">
        <v>1</v>
      </c>
      <c r="AA374" s="9">
        <v>1</v>
      </c>
      <c r="AB374" s="9">
        <v>0</v>
      </c>
      <c r="AC374" s="9">
        <v>0</v>
      </c>
      <c r="AD374" s="9">
        <v>1</v>
      </c>
      <c r="AE374" s="9" t="s">
        <v>130</v>
      </c>
      <c r="AF374" s="9" t="s">
        <v>3126</v>
      </c>
      <c r="AG374" s="9" t="s">
        <v>3127</v>
      </c>
      <c r="AH374" s="9">
        <v>6.2256999999999998</v>
      </c>
      <c r="AI374" s="9">
        <v>-75.599428000000003</v>
      </c>
      <c r="AJ374" s="9" t="s">
        <v>3128</v>
      </c>
      <c r="AK374" s="9">
        <v>6.251817</v>
      </c>
      <c r="AL374" s="9">
        <v>-75.551798000000005</v>
      </c>
      <c r="AM374" s="26">
        <f t="shared" si="6"/>
        <v>0</v>
      </c>
    </row>
    <row r="375" spans="1:39" ht="15" x14ac:dyDescent="0.25">
      <c r="A375" s="9" t="s">
        <v>3129</v>
      </c>
      <c r="B375" s="9" t="s">
        <v>3130</v>
      </c>
      <c r="C375" s="9" t="s">
        <v>3131</v>
      </c>
      <c r="D375" s="9" t="s">
        <v>3086</v>
      </c>
      <c r="E375" s="9" t="s">
        <v>2619</v>
      </c>
      <c r="F375" s="9" t="s">
        <v>169</v>
      </c>
      <c r="G375" s="9" t="s">
        <v>89</v>
      </c>
      <c r="H375" s="9" t="s">
        <v>90</v>
      </c>
      <c r="I375" s="9" t="s">
        <v>40</v>
      </c>
      <c r="J375" s="9">
        <v>3930</v>
      </c>
      <c r="K375" s="9" t="s">
        <v>3132</v>
      </c>
      <c r="L375" s="9" t="s">
        <v>42</v>
      </c>
      <c r="M375" s="10">
        <v>1.0543981481481481E-2</v>
      </c>
      <c r="N375" s="9" t="s">
        <v>127</v>
      </c>
      <c r="O375" s="9" t="s">
        <v>3133</v>
      </c>
      <c r="P375" s="9" t="s">
        <v>45</v>
      </c>
      <c r="Q375" s="10">
        <v>0.15349537037037039</v>
      </c>
      <c r="R375" s="9" t="s">
        <v>56</v>
      </c>
      <c r="S375" s="10">
        <v>0.19038194444444451</v>
      </c>
      <c r="T375" s="9">
        <v>50.012</v>
      </c>
      <c r="U375" s="9">
        <v>11.91</v>
      </c>
      <c r="V375" s="10">
        <v>0.17497685185185191</v>
      </c>
      <c r="W375" s="10">
        <v>5.5868055555555553E-2</v>
      </c>
      <c r="X375" s="10">
        <v>0</v>
      </c>
      <c r="Y375" s="9">
        <v>0</v>
      </c>
      <c r="Z375" s="9">
        <v>0</v>
      </c>
      <c r="AA375" s="9">
        <v>0</v>
      </c>
      <c r="AB375" s="9">
        <v>0</v>
      </c>
      <c r="AC375" s="9">
        <v>0</v>
      </c>
      <c r="AD375" s="9">
        <v>0</v>
      </c>
      <c r="AE375" s="9" t="s">
        <v>139</v>
      </c>
      <c r="AF375" s="9" t="s">
        <v>3134</v>
      </c>
      <c r="AG375" s="9" t="s">
        <v>3135</v>
      </c>
      <c r="AH375" s="9">
        <v>6.2265740000000003</v>
      </c>
      <c r="AI375" s="9">
        <v>-75.599252000000007</v>
      </c>
      <c r="AJ375" s="9" t="s">
        <v>3136</v>
      </c>
      <c r="AK375" s="9">
        <v>6.2155360000000002</v>
      </c>
      <c r="AL375" s="9">
        <v>-75.577033</v>
      </c>
      <c r="AM375" s="26">
        <f t="shared" si="6"/>
        <v>0.15349537037037039</v>
      </c>
    </row>
    <row r="376" spans="1:39" ht="15" x14ac:dyDescent="0.25">
      <c r="A376" s="9" t="s">
        <v>3137</v>
      </c>
      <c r="B376" s="9" t="s">
        <v>3138</v>
      </c>
      <c r="C376" s="9" t="s">
        <v>3139</v>
      </c>
      <c r="D376" s="9" t="s">
        <v>3086</v>
      </c>
      <c r="E376" s="9" t="s">
        <v>2619</v>
      </c>
      <c r="F376" s="9" t="s">
        <v>169</v>
      </c>
      <c r="G376" s="9" t="s">
        <v>105</v>
      </c>
      <c r="H376" s="9" t="s">
        <v>106</v>
      </c>
      <c r="I376" s="9" t="s">
        <v>40</v>
      </c>
      <c r="J376" s="9">
        <v>3303</v>
      </c>
      <c r="K376" s="9" t="s">
        <v>3140</v>
      </c>
      <c r="L376" s="9" t="s">
        <v>42</v>
      </c>
      <c r="M376" s="10">
        <v>3.9699074074074072E-3</v>
      </c>
      <c r="N376" s="9" t="s">
        <v>65</v>
      </c>
      <c r="O376" s="9" t="s">
        <v>3141</v>
      </c>
      <c r="P376" s="9" t="s">
        <v>45</v>
      </c>
      <c r="Q376" s="10">
        <v>1.793981481481481E-3</v>
      </c>
      <c r="R376" s="9" t="s">
        <v>46</v>
      </c>
      <c r="S376" s="10">
        <v>0.3311574074074074</v>
      </c>
      <c r="T376" s="9">
        <v>44.533999999999999</v>
      </c>
      <c r="U376" s="9">
        <v>11</v>
      </c>
      <c r="V376" s="10">
        <v>0.16870370370370369</v>
      </c>
      <c r="W376" s="10">
        <v>0.11034722222222219</v>
      </c>
      <c r="X376" s="10">
        <v>4.5844907407407411E-2</v>
      </c>
      <c r="Y376" s="9">
        <v>1</v>
      </c>
      <c r="Z376" s="9">
        <v>1</v>
      </c>
      <c r="AA376" s="9">
        <v>1</v>
      </c>
      <c r="AB376" s="9">
        <v>1</v>
      </c>
      <c r="AC376" s="9">
        <v>1</v>
      </c>
      <c r="AD376" s="9">
        <v>1</v>
      </c>
      <c r="AE376" s="9" t="s">
        <v>84</v>
      </c>
      <c r="AF376" s="9" t="s">
        <v>3142</v>
      </c>
      <c r="AG376" s="9" t="s">
        <v>3143</v>
      </c>
      <c r="AH376" s="9">
        <v>6.2255570000000002</v>
      </c>
      <c r="AI376" s="9">
        <v>-75.599400000000003</v>
      </c>
      <c r="AJ376" s="9" t="s">
        <v>3144</v>
      </c>
      <c r="AK376" s="9">
        <v>6.2588860000000004</v>
      </c>
      <c r="AL376" s="9">
        <v>-75.616541999999995</v>
      </c>
      <c r="AM376" s="26">
        <f t="shared" si="6"/>
        <v>0</v>
      </c>
    </row>
    <row r="377" spans="1:39" ht="15" x14ac:dyDescent="0.25">
      <c r="A377" s="9" t="s">
        <v>3149</v>
      </c>
      <c r="B377" s="9" t="s">
        <v>3150</v>
      </c>
      <c r="C377" s="9" t="s">
        <v>3151</v>
      </c>
      <c r="D377" s="9" t="s">
        <v>3086</v>
      </c>
      <c r="E377" s="9" t="s">
        <v>2619</v>
      </c>
      <c r="F377" s="9" t="s">
        <v>169</v>
      </c>
      <c r="G377" s="9" t="s">
        <v>113</v>
      </c>
      <c r="H377" s="9" t="s">
        <v>114</v>
      </c>
      <c r="I377" s="9" t="s">
        <v>40</v>
      </c>
      <c r="J377" s="9">
        <v>2144</v>
      </c>
      <c r="K377" s="9" t="s">
        <v>3145</v>
      </c>
      <c r="L377" s="9" t="s">
        <v>42</v>
      </c>
      <c r="M377" s="10">
        <v>4.8958333333333336E-3</v>
      </c>
      <c r="N377" s="9" t="s">
        <v>65</v>
      </c>
      <c r="O377" s="9" t="s">
        <v>3146</v>
      </c>
      <c r="P377" s="9" t="s">
        <v>45</v>
      </c>
      <c r="Q377" s="10">
        <v>3.1736111111111111E-2</v>
      </c>
      <c r="R377" s="9" t="s">
        <v>56</v>
      </c>
      <c r="S377" s="10">
        <v>0.29670138888888892</v>
      </c>
      <c r="T377" s="9">
        <v>28.207000000000001</v>
      </c>
      <c r="U377" s="9">
        <v>5.38</v>
      </c>
      <c r="V377" s="10">
        <v>0.21827546296296299</v>
      </c>
      <c r="W377" s="10">
        <v>0.16694444444444451</v>
      </c>
      <c r="X377" s="10">
        <v>0</v>
      </c>
      <c r="Y377" s="9">
        <v>0</v>
      </c>
      <c r="Z377" s="9">
        <v>0</v>
      </c>
      <c r="AA377" s="9">
        <v>0</v>
      </c>
      <c r="AB377" s="9">
        <v>0</v>
      </c>
      <c r="AC377" s="9">
        <v>0</v>
      </c>
      <c r="AD377" s="9">
        <v>2</v>
      </c>
      <c r="AE377" s="9" t="s">
        <v>67</v>
      </c>
      <c r="AF377" s="9" t="s">
        <v>3152</v>
      </c>
      <c r="AG377" s="9" t="s">
        <v>3147</v>
      </c>
      <c r="AH377" s="9">
        <v>6.2318179999999996</v>
      </c>
      <c r="AI377" s="9">
        <v>-75.602149999999995</v>
      </c>
      <c r="AJ377" s="9" t="s">
        <v>3148</v>
      </c>
      <c r="AK377" s="9">
        <v>6.2489600000000003</v>
      </c>
      <c r="AL377" s="9">
        <v>-75.587492999999995</v>
      </c>
      <c r="AM377" s="26">
        <f t="shared" si="6"/>
        <v>3.1736111111111111E-2</v>
      </c>
    </row>
    <row r="378" spans="1:39" ht="15" x14ac:dyDescent="0.25">
      <c r="A378" s="9" t="s">
        <v>3153</v>
      </c>
      <c r="B378" s="9" t="s">
        <v>3154</v>
      </c>
      <c r="C378" s="9" t="s">
        <v>3155</v>
      </c>
      <c r="D378" s="9" t="s">
        <v>3086</v>
      </c>
      <c r="E378" s="9" t="s">
        <v>2619</v>
      </c>
      <c r="F378" s="9" t="s">
        <v>169</v>
      </c>
      <c r="G378" s="9" t="s">
        <v>124</v>
      </c>
      <c r="H378" s="9" t="s">
        <v>125</v>
      </c>
      <c r="I378" s="9" t="s">
        <v>115</v>
      </c>
      <c r="J378" s="9">
        <v>4028</v>
      </c>
      <c r="K378" s="9" t="s">
        <v>3156</v>
      </c>
      <c r="L378" s="9" t="s">
        <v>117</v>
      </c>
      <c r="M378" s="10">
        <v>5.115740740740741E-3</v>
      </c>
      <c r="N378" s="9" t="s">
        <v>65</v>
      </c>
      <c r="O378" s="9" t="s">
        <v>3157</v>
      </c>
      <c r="P378" s="9" t="s">
        <v>119</v>
      </c>
      <c r="Q378" s="10">
        <v>7.8240740740740736E-3</v>
      </c>
      <c r="R378" s="9" t="s">
        <v>46</v>
      </c>
      <c r="S378" s="10">
        <v>0.26293981481481482</v>
      </c>
      <c r="T378" s="9">
        <v>54.890999999999998</v>
      </c>
      <c r="U378" s="9">
        <v>14.52</v>
      </c>
      <c r="V378" s="10">
        <v>0.15755787037037039</v>
      </c>
      <c r="W378" s="10">
        <v>7.9178240740740743E-2</v>
      </c>
      <c r="X378" s="10">
        <v>0</v>
      </c>
      <c r="Y378" s="9">
        <v>0</v>
      </c>
      <c r="Z378" s="9">
        <v>0</v>
      </c>
      <c r="AA378" s="9">
        <v>0</v>
      </c>
      <c r="AB378" s="9">
        <v>0</v>
      </c>
      <c r="AC378" s="9">
        <v>0</v>
      </c>
      <c r="AD378" s="9">
        <v>0</v>
      </c>
      <c r="AE378" s="9" t="s">
        <v>84</v>
      </c>
      <c r="AF378" s="9" t="s">
        <v>352</v>
      </c>
      <c r="AG378" s="39" t="s">
        <v>3158</v>
      </c>
      <c r="AH378" s="39">
        <v>6.2264239999999997</v>
      </c>
      <c r="AI378" s="39">
        <v>-75.599276000000003</v>
      </c>
      <c r="AJ378" s="39" t="s">
        <v>3159</v>
      </c>
      <c r="AK378" s="39">
        <v>6.2727360000000001</v>
      </c>
      <c r="AL378" s="39">
        <v>-75.601935999999995</v>
      </c>
      <c r="AM378" s="26">
        <f t="shared" si="6"/>
        <v>0</v>
      </c>
    </row>
    <row r="379" spans="1:39" ht="15" x14ac:dyDescent="0.25">
      <c r="A379" s="9" t="s">
        <v>3160</v>
      </c>
      <c r="B379" s="9" t="s">
        <v>3161</v>
      </c>
      <c r="C379" s="9" t="s">
        <v>3162</v>
      </c>
      <c r="D379" s="9" t="s">
        <v>3086</v>
      </c>
      <c r="E379" s="9" t="s">
        <v>2619</v>
      </c>
      <c r="F379" s="9" t="s">
        <v>169</v>
      </c>
      <c r="G379" s="9" t="s">
        <v>72</v>
      </c>
      <c r="H379" s="9" t="s">
        <v>73</v>
      </c>
      <c r="I379" s="9" t="s">
        <v>115</v>
      </c>
      <c r="J379" s="9">
        <v>2243</v>
      </c>
      <c r="K379" s="9" t="s">
        <v>3163</v>
      </c>
      <c r="L379" s="9" t="s">
        <v>117</v>
      </c>
      <c r="M379" s="10">
        <v>1.951388888888889E-2</v>
      </c>
      <c r="N379" s="9" t="s">
        <v>127</v>
      </c>
      <c r="O379" s="9" t="s">
        <v>3164</v>
      </c>
      <c r="P379" s="9" t="s">
        <v>119</v>
      </c>
      <c r="Q379" s="10">
        <v>5.5393518518518522E-2</v>
      </c>
      <c r="R379" s="9" t="s">
        <v>56</v>
      </c>
      <c r="S379" s="10">
        <v>0.21412037037037041</v>
      </c>
      <c r="T379" s="9">
        <v>30.224</v>
      </c>
      <c r="U379" s="9">
        <v>8.18</v>
      </c>
      <c r="V379" s="10">
        <v>0.153900462962963</v>
      </c>
      <c r="W379" s="10">
        <v>0.105</v>
      </c>
      <c r="X379" s="10">
        <v>0</v>
      </c>
      <c r="Y379" s="9">
        <v>0</v>
      </c>
      <c r="Z379" s="9">
        <v>0</v>
      </c>
      <c r="AA379" s="9">
        <v>0</v>
      </c>
      <c r="AB379" s="9">
        <v>0</v>
      </c>
      <c r="AC379" s="9">
        <v>0</v>
      </c>
      <c r="AD379" s="9">
        <v>0</v>
      </c>
      <c r="AE379" s="9" t="s">
        <v>139</v>
      </c>
      <c r="AF379" s="9" t="s">
        <v>3165</v>
      </c>
      <c r="AG379" s="39" t="s">
        <v>3166</v>
      </c>
      <c r="AH379" s="39">
        <v>6.225981</v>
      </c>
      <c r="AI379" s="39">
        <v>-75.599293000000003</v>
      </c>
      <c r="AJ379" s="39" t="s">
        <v>3167</v>
      </c>
      <c r="AK379" s="39">
        <v>6.2370669999999997</v>
      </c>
      <c r="AL379" s="39">
        <v>-75.558881</v>
      </c>
      <c r="AM379" s="26">
        <f t="shared" si="6"/>
        <v>5.5393518518518522E-2</v>
      </c>
    </row>
    <row r="380" spans="1:39" ht="15" x14ac:dyDescent="0.25">
      <c r="A380" s="9" t="s">
        <v>3168</v>
      </c>
      <c r="B380" s="9" t="s">
        <v>3169</v>
      </c>
      <c r="C380" s="9" t="s">
        <v>3170</v>
      </c>
      <c r="D380" s="9" t="s">
        <v>3086</v>
      </c>
      <c r="E380" s="9" t="s">
        <v>2619</v>
      </c>
      <c r="F380" s="9" t="s">
        <v>169</v>
      </c>
      <c r="G380" s="9" t="s">
        <v>80</v>
      </c>
      <c r="H380" s="9" t="s">
        <v>81</v>
      </c>
      <c r="I380" s="9" t="s">
        <v>115</v>
      </c>
      <c r="J380" s="9">
        <v>5357</v>
      </c>
      <c r="K380" s="9" t="s">
        <v>3171</v>
      </c>
      <c r="L380" s="9" t="s">
        <v>117</v>
      </c>
      <c r="M380" s="10">
        <v>6.0820833333333326E-3</v>
      </c>
      <c r="N380" s="9" t="s">
        <v>65</v>
      </c>
      <c r="O380" s="9" t="s">
        <v>3172</v>
      </c>
      <c r="P380" s="9" t="s">
        <v>119</v>
      </c>
      <c r="Q380" s="10">
        <v>2.2138773148148148E-3</v>
      </c>
      <c r="R380" s="9" t="s">
        <v>46</v>
      </c>
      <c r="S380" s="10">
        <v>0.25386820601851851</v>
      </c>
      <c r="T380" s="9">
        <v>38.408999999999999</v>
      </c>
      <c r="U380" s="9">
        <v>24.08</v>
      </c>
      <c r="V380" s="10">
        <v>6.6464421296296372E-2</v>
      </c>
      <c r="W380" s="10">
        <v>1.7652500000000002E-2</v>
      </c>
      <c r="X380" s="10">
        <v>0</v>
      </c>
      <c r="Y380" s="9">
        <v>0</v>
      </c>
      <c r="Z380" s="9">
        <v>0</v>
      </c>
      <c r="AA380" s="9">
        <v>0</v>
      </c>
      <c r="AB380" s="9">
        <v>0</v>
      </c>
      <c r="AC380" s="9">
        <v>0</v>
      </c>
      <c r="AD380" s="9">
        <v>10</v>
      </c>
      <c r="AE380" s="9" t="s">
        <v>84</v>
      </c>
      <c r="AF380" s="9" t="s">
        <v>591</v>
      </c>
      <c r="AG380" s="39" t="s">
        <v>3173</v>
      </c>
      <c r="AH380" s="39">
        <v>6.2257009999999999</v>
      </c>
      <c r="AI380" s="39">
        <v>-75.599422000000004</v>
      </c>
      <c r="AJ380" s="39" t="s">
        <v>3174</v>
      </c>
      <c r="AK380" s="39">
        <v>6.2592499999999998</v>
      </c>
      <c r="AL380" s="39">
        <v>-75.620926999999995</v>
      </c>
      <c r="AM380" s="26">
        <f t="shared" si="6"/>
        <v>0</v>
      </c>
    </row>
    <row r="381" spans="1:39" ht="15" x14ac:dyDescent="0.25">
      <c r="A381" s="9" t="s">
        <v>3175</v>
      </c>
      <c r="B381" s="9" t="s">
        <v>3176</v>
      </c>
      <c r="C381" s="9" t="s">
        <v>3177</v>
      </c>
      <c r="D381" s="9" t="s">
        <v>3086</v>
      </c>
      <c r="E381" s="9" t="s">
        <v>2619</v>
      </c>
      <c r="F381" s="9" t="s">
        <v>169</v>
      </c>
      <c r="G381" s="9" t="s">
        <v>160</v>
      </c>
      <c r="H381" s="9" t="s">
        <v>161</v>
      </c>
      <c r="I381" s="9" t="s">
        <v>115</v>
      </c>
      <c r="J381" s="9">
        <v>10883</v>
      </c>
      <c r="K381" s="9" t="s">
        <v>3178</v>
      </c>
      <c r="L381" s="9" t="s">
        <v>117</v>
      </c>
      <c r="M381" s="10">
        <v>1.644640046296296E-2</v>
      </c>
      <c r="N381" s="9" t="s">
        <v>127</v>
      </c>
      <c r="O381" s="9" t="s">
        <v>3179</v>
      </c>
      <c r="P381" s="9" t="s">
        <v>119</v>
      </c>
      <c r="Q381" s="10">
        <v>3.3443518518518518E-3</v>
      </c>
      <c r="R381" s="9" t="s">
        <v>46</v>
      </c>
      <c r="S381" s="10">
        <v>0.26979075231481481</v>
      </c>
      <c r="T381" s="9">
        <v>54.942</v>
      </c>
      <c r="U381" s="9">
        <v>14.85</v>
      </c>
      <c r="V381" s="10">
        <v>0.15410851851851851</v>
      </c>
      <c r="W381" s="10">
        <v>0.1092252083333333</v>
      </c>
      <c r="X381" s="10">
        <v>0</v>
      </c>
      <c r="Y381" s="9">
        <v>0</v>
      </c>
      <c r="Z381" s="9">
        <v>0</v>
      </c>
      <c r="AA381" s="9">
        <v>0</v>
      </c>
      <c r="AB381" s="9">
        <v>0</v>
      </c>
      <c r="AC381" s="9">
        <v>0</v>
      </c>
      <c r="AD381" s="9">
        <v>1</v>
      </c>
      <c r="AE381" s="9" t="s">
        <v>139</v>
      </c>
      <c r="AF381" s="9" t="s">
        <v>3180</v>
      </c>
      <c r="AG381" s="39" t="s">
        <v>3181</v>
      </c>
      <c r="AH381" s="39">
        <v>6.229012</v>
      </c>
      <c r="AI381" s="39">
        <v>-75.602047999999996</v>
      </c>
      <c r="AJ381" s="39" t="s">
        <v>3182</v>
      </c>
      <c r="AK381" s="39">
        <v>6.2684329999999999</v>
      </c>
      <c r="AL381" s="39">
        <v>-75.599272999999997</v>
      </c>
      <c r="AM381" s="26">
        <f t="shared" si="6"/>
        <v>0</v>
      </c>
    </row>
    <row r="382" spans="1:39" ht="15" x14ac:dyDescent="0.25">
      <c r="A382" s="1" t="s">
        <v>3183</v>
      </c>
      <c r="B382" s="1" t="s">
        <v>3184</v>
      </c>
      <c r="C382" s="1" t="s">
        <v>3185</v>
      </c>
      <c r="D382" s="1" t="s">
        <v>3086</v>
      </c>
      <c r="E382" s="1" t="s">
        <v>2619</v>
      </c>
      <c r="F382" s="1" t="s">
        <v>169</v>
      </c>
      <c r="G382" s="1" t="s">
        <v>97</v>
      </c>
      <c r="H382" s="1" t="s">
        <v>98</v>
      </c>
      <c r="I382" s="1" t="s">
        <v>115</v>
      </c>
      <c r="J382" s="1">
        <v>1871</v>
      </c>
      <c r="K382" s="1" t="s">
        <v>3186</v>
      </c>
      <c r="L382" s="1" t="s">
        <v>117</v>
      </c>
      <c r="M382" s="38">
        <v>9.6759259259259264E-3</v>
      </c>
      <c r="N382" s="1" t="s">
        <v>65</v>
      </c>
      <c r="O382" s="1" t="s">
        <v>3187</v>
      </c>
      <c r="P382" s="1" t="s">
        <v>119</v>
      </c>
      <c r="Q382" s="38">
        <v>4.0150462962962957E-2</v>
      </c>
      <c r="R382" s="1" t="s">
        <v>56</v>
      </c>
      <c r="S382" s="38">
        <v>0.21952546296296299</v>
      </c>
      <c r="T382" s="1">
        <v>24.082000000000001</v>
      </c>
      <c r="U382" s="1">
        <v>6.1</v>
      </c>
      <c r="V382" s="38">
        <v>0.16457175925925929</v>
      </c>
      <c r="W382" s="38">
        <v>0.12917824074074069</v>
      </c>
      <c r="X382" s="38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 t="s">
        <v>67</v>
      </c>
      <c r="AF382" s="1" t="s">
        <v>3188</v>
      </c>
      <c r="AG382" s="1" t="s">
        <v>3189</v>
      </c>
      <c r="AH382" s="1">
        <v>6.2332830000000001</v>
      </c>
      <c r="AI382" s="1">
        <v>-75.582739000000004</v>
      </c>
      <c r="AJ382" s="1" t="s">
        <v>3190</v>
      </c>
      <c r="AK382" s="1">
        <v>6.3089589999999998</v>
      </c>
      <c r="AL382" s="1">
        <v>-75.582459999999998</v>
      </c>
      <c r="AM382" s="26">
        <f t="shared" si="6"/>
        <v>4.0150462962962957E-2</v>
      </c>
    </row>
    <row r="383" spans="1:39" ht="15" x14ac:dyDescent="0.25">
      <c r="A383" s="9" t="s">
        <v>3196</v>
      </c>
      <c r="B383" s="9" t="s">
        <v>3197</v>
      </c>
      <c r="C383" s="9" t="s">
        <v>3198</v>
      </c>
      <c r="D383" s="9" t="s">
        <v>3191</v>
      </c>
      <c r="E383" s="9" t="s">
        <v>2619</v>
      </c>
      <c r="F383" s="9" t="s">
        <v>315</v>
      </c>
      <c r="G383" s="9" t="s">
        <v>52</v>
      </c>
      <c r="H383" s="9" t="s">
        <v>53</v>
      </c>
      <c r="I383" s="9" t="s">
        <v>40</v>
      </c>
      <c r="J383" s="9">
        <v>2487</v>
      </c>
      <c r="K383" s="9" t="s">
        <v>3199</v>
      </c>
      <c r="L383" s="9" t="s">
        <v>42</v>
      </c>
      <c r="M383" s="10">
        <v>1.8842592592592591E-2</v>
      </c>
      <c r="N383" s="9" t="s">
        <v>127</v>
      </c>
      <c r="O383" s="9" t="s">
        <v>3200</v>
      </c>
      <c r="P383" s="9" t="s">
        <v>45</v>
      </c>
      <c r="Q383" s="10">
        <v>9.4212962962962957E-3</v>
      </c>
      <c r="R383" s="9" t="s">
        <v>46</v>
      </c>
      <c r="S383" s="10">
        <v>0.3427546296296296</v>
      </c>
      <c r="T383" s="9">
        <v>31.291</v>
      </c>
      <c r="U383" s="9">
        <v>8.11</v>
      </c>
      <c r="V383" s="10">
        <v>0.16069444444444439</v>
      </c>
      <c r="W383" s="10">
        <v>0.1083564814814815</v>
      </c>
      <c r="X383" s="10">
        <v>0</v>
      </c>
      <c r="Y383" s="9">
        <v>0</v>
      </c>
      <c r="Z383" s="9">
        <v>0</v>
      </c>
      <c r="AA383" s="9">
        <v>0</v>
      </c>
      <c r="AB383" s="9">
        <v>0</v>
      </c>
      <c r="AC383" s="9">
        <v>0</v>
      </c>
      <c r="AD383" s="9">
        <v>0</v>
      </c>
      <c r="AE383" s="9" t="s">
        <v>139</v>
      </c>
      <c r="AF383" s="9" t="s">
        <v>3201</v>
      </c>
      <c r="AG383" s="9" t="s">
        <v>3202</v>
      </c>
      <c r="AH383" s="9">
        <v>6.2256229999999997</v>
      </c>
      <c r="AI383" s="9">
        <v>-75.598982000000007</v>
      </c>
      <c r="AJ383" s="9" t="s">
        <v>3203</v>
      </c>
      <c r="AK383" s="9">
        <v>6.2253780000000001</v>
      </c>
      <c r="AL383" s="9">
        <v>-75.599233999999996</v>
      </c>
      <c r="AM383" s="26">
        <f t="shared" si="6"/>
        <v>0</v>
      </c>
    </row>
    <row r="384" spans="1:39" ht="15" x14ac:dyDescent="0.25">
      <c r="A384" s="9" t="s">
        <v>3204</v>
      </c>
      <c r="B384" s="9" t="s">
        <v>3205</v>
      </c>
      <c r="C384" s="9" t="s">
        <v>3206</v>
      </c>
      <c r="D384" s="9" t="s">
        <v>3191</v>
      </c>
      <c r="E384" s="9" t="s">
        <v>2619</v>
      </c>
      <c r="F384" s="9" t="s">
        <v>315</v>
      </c>
      <c r="G384" s="9" t="s">
        <v>113</v>
      </c>
      <c r="H384" s="9" t="s">
        <v>114</v>
      </c>
      <c r="I384" s="9" t="s">
        <v>40</v>
      </c>
      <c r="J384" s="9">
        <v>2696</v>
      </c>
      <c r="K384" s="9" t="s">
        <v>3207</v>
      </c>
      <c r="L384" s="9" t="s">
        <v>42</v>
      </c>
      <c r="M384" s="10">
        <v>1.8298611111111109E-2</v>
      </c>
      <c r="N384" s="9" t="s">
        <v>43</v>
      </c>
      <c r="O384" s="9" t="s">
        <v>3208</v>
      </c>
      <c r="P384" s="9" t="s">
        <v>45</v>
      </c>
      <c r="Q384" s="10">
        <v>1.1446759259259261E-2</v>
      </c>
      <c r="R384" s="9" t="s">
        <v>56</v>
      </c>
      <c r="S384" s="10">
        <v>0.30358796296296298</v>
      </c>
      <c r="T384" s="9">
        <v>33.587000000000003</v>
      </c>
      <c r="U384" s="9">
        <v>6.5</v>
      </c>
      <c r="V384" s="10">
        <v>0.21535879629629631</v>
      </c>
      <c r="W384" s="10">
        <v>0.1471064814814815</v>
      </c>
      <c r="X384" s="10">
        <v>0</v>
      </c>
      <c r="Y384" s="9">
        <v>0</v>
      </c>
      <c r="Z384" s="9">
        <v>0</v>
      </c>
      <c r="AA384" s="9">
        <v>0</v>
      </c>
      <c r="AB384" s="9">
        <v>0</v>
      </c>
      <c r="AC384" s="9">
        <v>0</v>
      </c>
      <c r="AD384" s="9">
        <v>1</v>
      </c>
      <c r="AE384" s="9" t="s">
        <v>57</v>
      </c>
      <c r="AF384" s="9" t="s">
        <v>3209</v>
      </c>
      <c r="AG384" s="9" t="s">
        <v>3210</v>
      </c>
      <c r="AH384" s="9">
        <v>6.2531059999999998</v>
      </c>
      <c r="AI384" s="9">
        <v>-75.609550999999996</v>
      </c>
      <c r="AJ384" s="9" t="s">
        <v>3211</v>
      </c>
      <c r="AK384" s="9">
        <v>6.239077</v>
      </c>
      <c r="AL384" s="9">
        <v>-75.595442000000006</v>
      </c>
      <c r="AM384" s="26">
        <f t="shared" si="6"/>
        <v>2.974537037037037E-2</v>
      </c>
    </row>
    <row r="385" spans="1:39" ht="15" x14ac:dyDescent="0.25">
      <c r="A385" s="9" t="s">
        <v>3212</v>
      </c>
      <c r="B385" s="9" t="s">
        <v>3213</v>
      </c>
      <c r="C385" s="9" t="s">
        <v>3214</v>
      </c>
      <c r="D385" s="9" t="s">
        <v>3191</v>
      </c>
      <c r="E385" s="9" t="s">
        <v>2619</v>
      </c>
      <c r="F385" s="9" t="s">
        <v>315</v>
      </c>
      <c r="G385" s="9" t="s">
        <v>62</v>
      </c>
      <c r="H385" s="9" t="s">
        <v>63</v>
      </c>
      <c r="I385" s="9" t="s">
        <v>40</v>
      </c>
      <c r="J385" s="9">
        <v>2448</v>
      </c>
      <c r="K385" s="9" t="s">
        <v>3215</v>
      </c>
      <c r="L385" s="9" t="s">
        <v>42</v>
      </c>
      <c r="M385" s="10">
        <v>1.15162037037037E-2</v>
      </c>
      <c r="N385" s="9" t="s">
        <v>127</v>
      </c>
      <c r="O385" s="9" t="s">
        <v>3216</v>
      </c>
      <c r="P385" s="9" t="s">
        <v>45</v>
      </c>
      <c r="Q385" s="10">
        <v>0.1079166666666667</v>
      </c>
      <c r="R385" s="9" t="s">
        <v>56</v>
      </c>
      <c r="S385" s="10">
        <v>0.23693287037037039</v>
      </c>
      <c r="T385" s="9">
        <v>32.279000000000003</v>
      </c>
      <c r="U385" s="9">
        <v>8.56</v>
      </c>
      <c r="V385" s="10">
        <v>0.15710648148148151</v>
      </c>
      <c r="W385" s="10">
        <v>0.1052314814814815</v>
      </c>
      <c r="X385" s="10">
        <v>0</v>
      </c>
      <c r="Y385" s="9">
        <v>0</v>
      </c>
      <c r="Z385" s="9">
        <v>0</v>
      </c>
      <c r="AA385" s="9">
        <v>0</v>
      </c>
      <c r="AB385" s="9">
        <v>0</v>
      </c>
      <c r="AC385" s="9">
        <v>0</v>
      </c>
      <c r="AD385" s="9">
        <v>1</v>
      </c>
      <c r="AE385" s="9" t="s">
        <v>139</v>
      </c>
      <c r="AF385" s="9" t="s">
        <v>3217</v>
      </c>
      <c r="AG385" s="9" t="s">
        <v>3218</v>
      </c>
      <c r="AH385" s="9">
        <v>6.2258420000000001</v>
      </c>
      <c r="AI385" s="9">
        <v>-75.599386999999993</v>
      </c>
      <c r="AJ385" s="9" t="s">
        <v>3219</v>
      </c>
      <c r="AK385" s="9">
        <v>6.233981</v>
      </c>
      <c r="AL385" s="9">
        <v>-75.606673999999998</v>
      </c>
      <c r="AM385" s="26">
        <f t="shared" si="6"/>
        <v>0.1079166666666667</v>
      </c>
    </row>
    <row r="386" spans="1:39" ht="15" x14ac:dyDescent="0.25">
      <c r="A386" s="9" t="s">
        <v>3220</v>
      </c>
      <c r="B386" s="9" t="s">
        <v>3221</v>
      </c>
      <c r="C386" s="9" t="s">
        <v>3222</v>
      </c>
      <c r="D386" s="9" t="s">
        <v>3191</v>
      </c>
      <c r="E386" s="9" t="s">
        <v>2619</v>
      </c>
      <c r="F386" s="9" t="s">
        <v>315</v>
      </c>
      <c r="G386" s="9" t="s">
        <v>135</v>
      </c>
      <c r="H386" s="9" t="s">
        <v>136</v>
      </c>
      <c r="I386" s="9" t="s">
        <v>40</v>
      </c>
      <c r="J386" s="9">
        <v>1569</v>
      </c>
      <c r="K386" s="9" t="s">
        <v>3223</v>
      </c>
      <c r="L386" s="9" t="s">
        <v>42</v>
      </c>
      <c r="M386" s="10">
        <v>1.3553240740740741E-2</v>
      </c>
      <c r="N386" s="9" t="s">
        <v>127</v>
      </c>
      <c r="O386" s="9" t="s">
        <v>3224</v>
      </c>
      <c r="P386" s="9" t="s">
        <v>45</v>
      </c>
      <c r="Q386" s="10">
        <v>4.2824074074074081E-4</v>
      </c>
      <c r="R386" s="9" t="s">
        <v>46</v>
      </c>
      <c r="S386" s="10">
        <v>0.3473148148148148</v>
      </c>
      <c r="T386" s="9">
        <v>26.782</v>
      </c>
      <c r="U386" s="9">
        <v>10.14</v>
      </c>
      <c r="V386" s="10">
        <v>0.1100347222222222</v>
      </c>
      <c r="W386" s="10">
        <v>8.1793981481481481E-2</v>
      </c>
      <c r="X386" s="10">
        <v>0</v>
      </c>
      <c r="Y386" s="9">
        <v>0</v>
      </c>
      <c r="Z386" s="9">
        <v>0</v>
      </c>
      <c r="AA386" s="9">
        <v>0</v>
      </c>
      <c r="AB386" s="9">
        <v>0</v>
      </c>
      <c r="AC386" s="9">
        <v>0</v>
      </c>
      <c r="AD386" s="9">
        <v>5</v>
      </c>
      <c r="AE386" s="9" t="s">
        <v>139</v>
      </c>
      <c r="AF386" s="9" t="s">
        <v>3225</v>
      </c>
      <c r="AG386" s="9" t="s">
        <v>3112</v>
      </c>
      <c r="AH386" s="9">
        <v>6.2555730000000001</v>
      </c>
      <c r="AI386" s="9">
        <v>-75.571351000000007</v>
      </c>
      <c r="AJ386" s="9" t="s">
        <v>3226</v>
      </c>
      <c r="AK386" s="9">
        <v>6.2381510000000002</v>
      </c>
      <c r="AL386" s="9">
        <v>-75.547309999999996</v>
      </c>
      <c r="AM386" s="26">
        <f t="shared" si="6"/>
        <v>0</v>
      </c>
    </row>
    <row r="387" spans="1:39" ht="15" x14ac:dyDescent="0.25">
      <c r="A387" s="9" t="s">
        <v>3227</v>
      </c>
      <c r="B387" s="9" t="s">
        <v>3228</v>
      </c>
      <c r="C387" s="9" t="s">
        <v>3229</v>
      </c>
      <c r="D387" s="9" t="s">
        <v>3191</v>
      </c>
      <c r="E387" s="9" t="s">
        <v>2619</v>
      </c>
      <c r="F387" s="9" t="s">
        <v>315</v>
      </c>
      <c r="G387" s="9" t="s">
        <v>144</v>
      </c>
      <c r="H387" s="9" t="s">
        <v>145</v>
      </c>
      <c r="I387" s="9" t="s">
        <v>40</v>
      </c>
      <c r="J387" s="9">
        <v>5956</v>
      </c>
      <c r="K387" s="9" t="s">
        <v>3230</v>
      </c>
      <c r="L387" s="9" t="s">
        <v>42</v>
      </c>
      <c r="M387" s="10">
        <v>6.3888888888888893E-3</v>
      </c>
      <c r="N387" s="9" t="s">
        <v>65</v>
      </c>
      <c r="O387" s="9" t="s">
        <v>3231</v>
      </c>
      <c r="P387" s="9" t="s">
        <v>45</v>
      </c>
      <c r="Q387" s="10">
        <v>2.2002314814814811E-2</v>
      </c>
      <c r="R387" s="9" t="s">
        <v>56</v>
      </c>
      <c r="S387" s="10">
        <v>0.31771990740740741</v>
      </c>
      <c r="T387" s="9">
        <v>76.950999999999993</v>
      </c>
      <c r="U387" s="9">
        <v>13.64</v>
      </c>
      <c r="V387" s="10">
        <v>0.23508101851851851</v>
      </c>
      <c r="W387" s="10">
        <v>7.1747685185185192E-2</v>
      </c>
      <c r="X387" s="10">
        <v>0</v>
      </c>
      <c r="Y387" s="9">
        <v>0</v>
      </c>
      <c r="Z387" s="9">
        <v>0</v>
      </c>
      <c r="AA387" s="9">
        <v>0</v>
      </c>
      <c r="AB387" s="9">
        <v>0</v>
      </c>
      <c r="AC387" s="9">
        <v>0</v>
      </c>
      <c r="AD387" s="9">
        <v>0</v>
      </c>
      <c r="AE387" s="9" t="s">
        <v>67</v>
      </c>
      <c r="AF387" s="9" t="s">
        <v>3232</v>
      </c>
      <c r="AG387" s="9" t="s">
        <v>3233</v>
      </c>
      <c r="AH387" s="9">
        <v>6.2727430000000002</v>
      </c>
      <c r="AI387" s="9">
        <v>-75.574470000000005</v>
      </c>
      <c r="AJ387" s="9" t="s">
        <v>3234</v>
      </c>
      <c r="AK387" s="9">
        <v>6.2728390000000003</v>
      </c>
      <c r="AL387" s="9">
        <v>-75.574417999999994</v>
      </c>
      <c r="AM387" s="26">
        <f t="shared" si="6"/>
        <v>2.2002314814814811E-2</v>
      </c>
    </row>
    <row r="388" spans="1:39" ht="15" x14ac:dyDescent="0.25">
      <c r="A388" s="9" t="s">
        <v>3235</v>
      </c>
      <c r="B388" s="9" t="s">
        <v>3236</v>
      </c>
      <c r="C388" s="9" t="s">
        <v>3237</v>
      </c>
      <c r="D388" s="9" t="s">
        <v>3191</v>
      </c>
      <c r="E388" s="9" t="s">
        <v>2619</v>
      </c>
      <c r="F388" s="9" t="s">
        <v>315</v>
      </c>
      <c r="G388" s="9" t="s">
        <v>152</v>
      </c>
      <c r="H388" s="9" t="s">
        <v>153</v>
      </c>
      <c r="I388" s="9" t="s">
        <v>40</v>
      </c>
      <c r="J388" s="9">
        <v>5865</v>
      </c>
      <c r="K388" s="9" t="s">
        <v>3238</v>
      </c>
      <c r="L388" s="9" t="s">
        <v>42</v>
      </c>
      <c r="M388" s="10">
        <v>1.101851851851852E-2</v>
      </c>
      <c r="N388" s="9" t="s">
        <v>127</v>
      </c>
      <c r="O388" s="9" t="s">
        <v>3239</v>
      </c>
      <c r="P388" s="9" t="s">
        <v>45</v>
      </c>
      <c r="Q388" s="10">
        <v>3.5925925925925917E-2</v>
      </c>
      <c r="R388" s="9" t="s">
        <v>129</v>
      </c>
      <c r="S388" s="10">
        <v>0.38027777777777783</v>
      </c>
      <c r="T388" s="9">
        <v>74.290000000000006</v>
      </c>
      <c r="U388" s="9">
        <v>9.93</v>
      </c>
      <c r="V388" s="10">
        <v>0.31165509259259261</v>
      </c>
      <c r="W388" s="10">
        <v>0.14983796296296301</v>
      </c>
      <c r="X388" s="10">
        <v>0</v>
      </c>
      <c r="Y388" s="9">
        <v>0</v>
      </c>
      <c r="Z388" s="9">
        <v>0</v>
      </c>
      <c r="AA388" s="9">
        <v>0</v>
      </c>
      <c r="AB388" s="9">
        <v>0</v>
      </c>
      <c r="AC388" s="9">
        <v>0</v>
      </c>
      <c r="AD388" s="9">
        <v>1</v>
      </c>
      <c r="AE388" s="9" t="s">
        <v>130</v>
      </c>
      <c r="AF388" s="9" t="s">
        <v>3240</v>
      </c>
      <c r="AG388" s="9" t="s">
        <v>3241</v>
      </c>
      <c r="AH388" s="9">
        <v>6.2255900000000004</v>
      </c>
      <c r="AI388" s="9">
        <v>-75.599424999999997</v>
      </c>
      <c r="AJ388" s="9" t="s">
        <v>3242</v>
      </c>
      <c r="AK388" s="9">
        <v>6.3108719999999998</v>
      </c>
      <c r="AL388" s="9">
        <v>-75.565312000000006</v>
      </c>
      <c r="AM388" s="26">
        <f t="shared" si="6"/>
        <v>0</v>
      </c>
    </row>
    <row r="389" spans="1:39" ht="15" x14ac:dyDescent="0.25">
      <c r="A389" s="9" t="s">
        <v>3243</v>
      </c>
      <c r="B389" s="9" t="s">
        <v>3244</v>
      </c>
      <c r="C389" s="9" t="s">
        <v>3245</v>
      </c>
      <c r="D389" s="9" t="s">
        <v>3191</v>
      </c>
      <c r="E389" s="9" t="s">
        <v>2619</v>
      </c>
      <c r="F389" s="9" t="s">
        <v>315</v>
      </c>
      <c r="G389" s="9" t="s">
        <v>89</v>
      </c>
      <c r="H389" s="9" t="s">
        <v>90</v>
      </c>
      <c r="I389" s="9" t="s">
        <v>40</v>
      </c>
      <c r="J389" s="9">
        <v>5871</v>
      </c>
      <c r="K389" s="9" t="s">
        <v>3246</v>
      </c>
      <c r="L389" s="9" t="s">
        <v>42</v>
      </c>
      <c r="M389" s="10">
        <v>6.7245370370370367E-3</v>
      </c>
      <c r="N389" s="9" t="s">
        <v>65</v>
      </c>
      <c r="O389" s="9" t="s">
        <v>3247</v>
      </c>
      <c r="P389" s="9" t="s">
        <v>45</v>
      </c>
      <c r="Q389" s="10">
        <v>9.2013888888888892E-3</v>
      </c>
      <c r="R389" s="9" t="s">
        <v>46</v>
      </c>
      <c r="S389" s="10">
        <v>0.3308564814814815</v>
      </c>
      <c r="T389" s="9">
        <v>77.83</v>
      </c>
      <c r="U389" s="9">
        <v>13.44</v>
      </c>
      <c r="V389" s="10">
        <v>0.24122685185185189</v>
      </c>
      <c r="W389" s="10">
        <v>8.0300925925925928E-2</v>
      </c>
      <c r="X389" s="10">
        <v>0</v>
      </c>
      <c r="Y389" s="9">
        <v>0</v>
      </c>
      <c r="Z389" s="9">
        <v>0</v>
      </c>
      <c r="AA389" s="9">
        <v>0</v>
      </c>
      <c r="AB389" s="9">
        <v>0</v>
      </c>
      <c r="AC389" s="9">
        <v>0</v>
      </c>
      <c r="AD389" s="9">
        <v>0</v>
      </c>
      <c r="AE389" s="9" t="s">
        <v>84</v>
      </c>
      <c r="AF389" s="9" t="s">
        <v>352</v>
      </c>
      <c r="AG389" s="9" t="s">
        <v>3248</v>
      </c>
      <c r="AH389" s="9">
        <v>6.2265740000000003</v>
      </c>
      <c r="AI389" s="9">
        <v>-75.599340999999995</v>
      </c>
      <c r="AJ389" s="9" t="s">
        <v>3249</v>
      </c>
      <c r="AK389" s="9">
        <v>6.2796830000000003</v>
      </c>
      <c r="AL389" s="9">
        <v>-75.572063</v>
      </c>
      <c r="AM389" s="26">
        <f t="shared" ref="AM389:AM404" si="7">IF(N389="INICIO TARDÍO",M389,0)+IF(R389="TERMINÓ ANTES",Q389,0)</f>
        <v>0</v>
      </c>
    </row>
    <row r="390" spans="1:39" ht="15" x14ac:dyDescent="0.25">
      <c r="A390" s="17" t="s">
        <v>3250</v>
      </c>
      <c r="B390" s="17" t="s">
        <v>3251</v>
      </c>
      <c r="C390" s="17" t="s">
        <v>3252</v>
      </c>
      <c r="D390" s="17" t="s">
        <v>3191</v>
      </c>
      <c r="E390" s="17" t="s">
        <v>2619</v>
      </c>
      <c r="F390" s="17" t="s">
        <v>315</v>
      </c>
      <c r="G390" s="17" t="s">
        <v>105</v>
      </c>
      <c r="H390" s="17" t="s">
        <v>106</v>
      </c>
      <c r="I390" s="17" t="s">
        <v>40</v>
      </c>
      <c r="J390" s="17">
        <v>4418</v>
      </c>
      <c r="K390" s="17" t="s">
        <v>3253</v>
      </c>
      <c r="L390" s="17" t="s">
        <v>42</v>
      </c>
      <c r="M390" s="18">
        <v>6.6782407407407407E-3</v>
      </c>
      <c r="N390" s="17" t="s">
        <v>65</v>
      </c>
      <c r="O390" s="17" t="s">
        <v>3254</v>
      </c>
      <c r="P390" s="17" t="s">
        <v>45</v>
      </c>
      <c r="Q390" s="18">
        <v>1.3888888888888889E-3</v>
      </c>
      <c r="R390" s="17" t="s">
        <v>46</v>
      </c>
      <c r="S390" s="18">
        <v>0.34140046296296289</v>
      </c>
      <c r="T390" s="17">
        <v>59.905000000000001</v>
      </c>
      <c r="U390" s="17">
        <v>12.75</v>
      </c>
      <c r="V390" s="18">
        <v>0.19575231481481481</v>
      </c>
      <c r="W390" s="18">
        <v>0.1122800925925926</v>
      </c>
      <c r="X390" s="18">
        <v>0</v>
      </c>
      <c r="Y390" s="17">
        <v>0</v>
      </c>
      <c r="Z390" s="17">
        <v>0</v>
      </c>
      <c r="AA390" s="17">
        <v>0</v>
      </c>
      <c r="AB390" s="17">
        <v>0</v>
      </c>
      <c r="AC390" s="17">
        <v>0</v>
      </c>
      <c r="AD390" s="17">
        <v>0</v>
      </c>
      <c r="AE390" s="17" t="s">
        <v>84</v>
      </c>
      <c r="AF390" s="17" t="s">
        <v>352</v>
      </c>
      <c r="AG390" s="17" t="s">
        <v>3255</v>
      </c>
      <c r="AH390" s="17">
        <v>6.225651</v>
      </c>
      <c r="AI390" s="17">
        <v>-75.599123000000006</v>
      </c>
      <c r="AJ390" s="17" t="s">
        <v>3256</v>
      </c>
      <c r="AK390" s="17">
        <v>6.1910360000000004</v>
      </c>
      <c r="AL390" s="17">
        <v>-75.583235999999999</v>
      </c>
      <c r="AM390" s="27">
        <f t="shared" si="7"/>
        <v>0</v>
      </c>
    </row>
    <row r="391" spans="1:39" s="9" customFormat="1" ht="15" x14ac:dyDescent="0.25">
      <c r="A391" s="9" t="s">
        <v>3257</v>
      </c>
      <c r="B391" s="9" t="s">
        <v>3258</v>
      </c>
      <c r="C391" s="9" t="s">
        <v>3259</v>
      </c>
      <c r="D391" s="9" t="s">
        <v>3191</v>
      </c>
      <c r="E391" s="9" t="s">
        <v>2619</v>
      </c>
      <c r="F391" s="9" t="s">
        <v>315</v>
      </c>
      <c r="G391" s="9" t="s">
        <v>38</v>
      </c>
      <c r="H391" s="9" t="s">
        <v>39</v>
      </c>
      <c r="I391" s="9" t="s">
        <v>40</v>
      </c>
      <c r="J391" s="9">
        <v>6165</v>
      </c>
      <c r="K391" s="9" t="s">
        <v>3192</v>
      </c>
      <c r="L391" s="9" t="s">
        <v>42</v>
      </c>
      <c r="M391" s="10">
        <v>1.280594907407407E-2</v>
      </c>
      <c r="N391" s="9" t="s">
        <v>43</v>
      </c>
      <c r="O391" s="9" t="s">
        <v>3193</v>
      </c>
      <c r="P391" s="9" t="s">
        <v>45</v>
      </c>
      <c r="Q391" s="10">
        <v>6.0477581018518523E-2</v>
      </c>
      <c r="R391" s="9" t="s">
        <v>56</v>
      </c>
      <c r="S391" s="10">
        <v>0.26004980324074067</v>
      </c>
      <c r="T391" s="9">
        <v>49.527999999999999</v>
      </c>
      <c r="U391" s="9">
        <v>23.45</v>
      </c>
      <c r="V391" s="10">
        <v>8.8019363425925659E-2</v>
      </c>
      <c r="W391" s="10">
        <v>2.843787037037037E-2</v>
      </c>
      <c r="X391" s="10">
        <v>7.543056712962963E-2</v>
      </c>
      <c r="Y391" s="9">
        <v>1</v>
      </c>
      <c r="Z391" s="9">
        <v>1</v>
      </c>
      <c r="AA391" s="9">
        <v>1</v>
      </c>
      <c r="AB391" s="9">
        <v>1</v>
      </c>
      <c r="AC391" s="9">
        <v>1</v>
      </c>
      <c r="AD391" s="9">
        <v>5</v>
      </c>
      <c r="AE391" s="9" t="s">
        <v>57</v>
      </c>
      <c r="AF391" s="9" t="s">
        <v>3260</v>
      </c>
      <c r="AG391" s="9" t="s">
        <v>3194</v>
      </c>
      <c r="AH391" s="9">
        <v>6.2032670000000003</v>
      </c>
      <c r="AI391" s="9">
        <v>-75.600633000000002</v>
      </c>
      <c r="AJ391" s="9" t="s">
        <v>3195</v>
      </c>
      <c r="AK391" s="9">
        <v>6.221692</v>
      </c>
      <c r="AL391" s="9">
        <v>-75.593850000000003</v>
      </c>
      <c r="AM391" s="26">
        <f t="shared" si="7"/>
        <v>7.3283530092592586E-2</v>
      </c>
    </row>
    <row r="392" spans="1:39" ht="15" x14ac:dyDescent="0.25">
      <c r="A392" s="9" t="s">
        <v>3261</v>
      </c>
      <c r="B392" s="9" t="s">
        <v>3262</v>
      </c>
      <c r="C392" s="9" t="s">
        <v>3263</v>
      </c>
      <c r="D392" s="9" t="s">
        <v>3191</v>
      </c>
      <c r="E392" s="9" t="s">
        <v>2619</v>
      </c>
      <c r="F392" s="9" t="s">
        <v>315</v>
      </c>
      <c r="G392" s="9" t="s">
        <v>124</v>
      </c>
      <c r="H392" s="9" t="s">
        <v>125</v>
      </c>
      <c r="I392" s="9" t="s">
        <v>115</v>
      </c>
      <c r="J392" s="9">
        <v>5047</v>
      </c>
      <c r="K392" s="9" t="s">
        <v>3264</v>
      </c>
      <c r="L392" s="9" t="s">
        <v>117</v>
      </c>
      <c r="M392" s="10">
        <v>2.0474537037037041E-2</v>
      </c>
      <c r="N392" s="9" t="s">
        <v>127</v>
      </c>
      <c r="O392" s="9" t="s">
        <v>3265</v>
      </c>
      <c r="P392" s="9" t="s">
        <v>119</v>
      </c>
      <c r="Q392" s="10">
        <v>1.0393518518518521E-2</v>
      </c>
      <c r="R392" s="9" t="s">
        <v>46</v>
      </c>
      <c r="S392" s="10">
        <v>0.28086805555555561</v>
      </c>
      <c r="T392" s="9">
        <v>63.121000000000002</v>
      </c>
      <c r="U392" s="9">
        <v>12.33</v>
      </c>
      <c r="V392" s="10">
        <v>0.21322916666666669</v>
      </c>
      <c r="W392" s="10">
        <v>5.7291666666666657E-2</v>
      </c>
      <c r="X392" s="10">
        <v>6.030092592592593E-3</v>
      </c>
      <c r="Y392" s="9">
        <v>0</v>
      </c>
      <c r="Z392" s="9">
        <v>0</v>
      </c>
      <c r="AA392" s="9">
        <v>0</v>
      </c>
      <c r="AB392" s="9">
        <v>0</v>
      </c>
      <c r="AC392" s="9">
        <v>0</v>
      </c>
      <c r="AD392" s="9">
        <v>0</v>
      </c>
      <c r="AE392" s="9" t="s">
        <v>139</v>
      </c>
      <c r="AF392" s="9" t="s">
        <v>3266</v>
      </c>
      <c r="AG392" s="9" t="s">
        <v>3267</v>
      </c>
      <c r="AH392" s="9">
        <v>6.2263739999999999</v>
      </c>
      <c r="AI392" s="9">
        <v>-75.599348000000006</v>
      </c>
      <c r="AJ392" s="9" t="s">
        <v>3268</v>
      </c>
      <c r="AK392" s="9">
        <v>6.2726470000000001</v>
      </c>
      <c r="AL392" s="9">
        <v>-75.601989000000003</v>
      </c>
      <c r="AM392" s="26">
        <f t="shared" si="7"/>
        <v>0</v>
      </c>
    </row>
    <row r="393" spans="1:39" ht="15" x14ac:dyDescent="0.25">
      <c r="A393" s="9" t="s">
        <v>3269</v>
      </c>
      <c r="B393" s="9" t="s">
        <v>3270</v>
      </c>
      <c r="C393" s="9" t="s">
        <v>3271</v>
      </c>
      <c r="D393" s="9" t="s">
        <v>3191</v>
      </c>
      <c r="E393" s="9" t="s">
        <v>2619</v>
      </c>
      <c r="F393" s="9" t="s">
        <v>315</v>
      </c>
      <c r="G393" s="9" t="s">
        <v>72</v>
      </c>
      <c r="H393" s="9" t="s">
        <v>73</v>
      </c>
      <c r="I393" s="9" t="s">
        <v>115</v>
      </c>
      <c r="J393" s="9">
        <v>1692</v>
      </c>
      <c r="K393" s="9" t="s">
        <v>3272</v>
      </c>
      <c r="L393" s="9" t="s">
        <v>117</v>
      </c>
      <c r="M393" s="10">
        <v>1.5648148148148151E-2</v>
      </c>
      <c r="N393" s="9" t="s">
        <v>127</v>
      </c>
      <c r="O393" s="9" t="s">
        <v>3273</v>
      </c>
      <c r="P393" s="9" t="s">
        <v>119</v>
      </c>
      <c r="Q393" s="10">
        <v>5.4421296296296287E-2</v>
      </c>
      <c r="R393" s="9" t="s">
        <v>56</v>
      </c>
      <c r="S393" s="10">
        <v>0.21122685185185189</v>
      </c>
      <c r="T393" s="9">
        <v>29.631</v>
      </c>
      <c r="U393" s="9">
        <v>8.25</v>
      </c>
      <c r="V393" s="10">
        <v>0.14960648148148151</v>
      </c>
      <c r="W393" s="10">
        <v>0.1054513888888889</v>
      </c>
      <c r="X393" s="10">
        <v>0</v>
      </c>
      <c r="Y393" s="9">
        <v>0</v>
      </c>
      <c r="Z393" s="9">
        <v>0</v>
      </c>
      <c r="AA393" s="9">
        <v>0</v>
      </c>
      <c r="AB393" s="9">
        <v>0</v>
      </c>
      <c r="AC393" s="9">
        <v>0</v>
      </c>
      <c r="AD393" s="9">
        <v>0</v>
      </c>
      <c r="AE393" s="9" t="s">
        <v>139</v>
      </c>
      <c r="AF393" s="9" t="s">
        <v>3274</v>
      </c>
      <c r="AG393" s="9" t="s">
        <v>3275</v>
      </c>
      <c r="AH393" s="9">
        <v>6.2260289999999996</v>
      </c>
      <c r="AI393" s="9">
        <v>-75.599327000000002</v>
      </c>
      <c r="AJ393" s="9" t="s">
        <v>3276</v>
      </c>
      <c r="AK393" s="9">
        <v>6.2370619999999999</v>
      </c>
      <c r="AL393" s="9">
        <v>-75.558768000000001</v>
      </c>
      <c r="AM393" s="26">
        <f t="shared" si="7"/>
        <v>5.4421296296296287E-2</v>
      </c>
    </row>
    <row r="394" spans="1:39" ht="15" x14ac:dyDescent="0.25">
      <c r="A394" s="9" t="s">
        <v>3277</v>
      </c>
      <c r="B394" s="9" t="s">
        <v>3278</v>
      </c>
      <c r="C394" s="9" t="s">
        <v>3279</v>
      </c>
      <c r="D394" s="9" t="s">
        <v>3191</v>
      </c>
      <c r="E394" s="9" t="s">
        <v>2619</v>
      </c>
      <c r="F394" s="9" t="s">
        <v>315</v>
      </c>
      <c r="G394" s="9" t="s">
        <v>80</v>
      </c>
      <c r="H394" s="9" t="s">
        <v>81</v>
      </c>
      <c r="I394" s="9" t="s">
        <v>115</v>
      </c>
      <c r="J394" s="9">
        <v>5643</v>
      </c>
      <c r="K394" s="9" t="s">
        <v>3280</v>
      </c>
      <c r="L394" s="9" t="s">
        <v>117</v>
      </c>
      <c r="M394" s="10">
        <v>1.194197916666667E-2</v>
      </c>
      <c r="N394" s="9" t="s">
        <v>127</v>
      </c>
      <c r="O394" s="9" t="s">
        <v>3281</v>
      </c>
      <c r="P394" s="9" t="s">
        <v>119</v>
      </c>
      <c r="Q394" s="10">
        <v>2.3118402777777781E-3</v>
      </c>
      <c r="R394" s="9" t="s">
        <v>46</v>
      </c>
      <c r="S394" s="10">
        <v>0.25963013888888892</v>
      </c>
      <c r="T394" s="9">
        <v>40.811</v>
      </c>
      <c r="U394" s="9">
        <v>16.11</v>
      </c>
      <c r="V394" s="10">
        <v>0.10552721064814791</v>
      </c>
      <c r="W394" s="10">
        <v>5.2198252314814828E-2</v>
      </c>
      <c r="X394" s="10">
        <v>0</v>
      </c>
      <c r="Y394" s="9">
        <v>0</v>
      </c>
      <c r="Z394" s="9">
        <v>0</v>
      </c>
      <c r="AA394" s="9">
        <v>0</v>
      </c>
      <c r="AB394" s="9">
        <v>0</v>
      </c>
      <c r="AC394" s="9">
        <v>0</v>
      </c>
      <c r="AD394" s="9">
        <v>11</v>
      </c>
      <c r="AE394" s="9" t="s">
        <v>139</v>
      </c>
      <c r="AF394" s="9" t="s">
        <v>3282</v>
      </c>
      <c r="AG394" s="9" t="s">
        <v>3283</v>
      </c>
      <c r="AH394" s="9">
        <v>6.225644</v>
      </c>
      <c r="AI394" s="9">
        <v>-75.599369999999993</v>
      </c>
      <c r="AJ394" s="9" t="s">
        <v>3284</v>
      </c>
      <c r="AK394" s="9">
        <v>6.2554990000000004</v>
      </c>
      <c r="AL394" s="9">
        <v>-75.620519000000002</v>
      </c>
      <c r="AM394" s="26">
        <f t="shared" si="7"/>
        <v>0</v>
      </c>
    </row>
    <row r="395" spans="1:39" ht="15" x14ac:dyDescent="0.25">
      <c r="A395" s="9" t="s">
        <v>3285</v>
      </c>
      <c r="B395" s="9" t="s">
        <v>3286</v>
      </c>
      <c r="C395" s="9" t="s">
        <v>3287</v>
      </c>
      <c r="D395" s="9" t="s">
        <v>3191</v>
      </c>
      <c r="E395" s="9" t="s">
        <v>2619</v>
      </c>
      <c r="F395" s="9" t="s">
        <v>315</v>
      </c>
      <c r="G395" s="9" t="s">
        <v>160</v>
      </c>
      <c r="H395" s="9" t="s">
        <v>161</v>
      </c>
      <c r="I395" s="9" t="s">
        <v>115</v>
      </c>
      <c r="J395" s="9">
        <v>12071</v>
      </c>
      <c r="K395" s="9" t="s">
        <v>2956</v>
      </c>
      <c r="L395" s="9" t="s">
        <v>117</v>
      </c>
      <c r="M395" s="10">
        <v>3.0373514699074078</v>
      </c>
      <c r="N395" s="9" t="s">
        <v>127</v>
      </c>
      <c r="O395" s="9" t="s">
        <v>2957</v>
      </c>
      <c r="P395" s="9" t="s">
        <v>119</v>
      </c>
      <c r="Q395" s="10">
        <v>3.0010320486111111</v>
      </c>
      <c r="R395" s="9" t="s">
        <v>56</v>
      </c>
      <c r="S395" s="10">
        <v>0.28631942129629628</v>
      </c>
      <c r="T395" s="9">
        <v>70.233000000000004</v>
      </c>
      <c r="U395" s="9">
        <v>17.25</v>
      </c>
      <c r="V395" s="10">
        <v>0.16968402777777791</v>
      </c>
      <c r="W395" s="10">
        <v>9.995311342592593E-2</v>
      </c>
      <c r="X395" s="10">
        <v>0</v>
      </c>
      <c r="Y395" s="9">
        <v>0</v>
      </c>
      <c r="Z395" s="9">
        <v>0</v>
      </c>
      <c r="AA395" s="9">
        <v>0</v>
      </c>
      <c r="AB395" s="9">
        <v>0</v>
      </c>
      <c r="AC395" s="9">
        <v>0</v>
      </c>
      <c r="AD395" s="9">
        <v>2</v>
      </c>
      <c r="AE395" s="9" t="s">
        <v>139</v>
      </c>
      <c r="AF395" s="9" t="s">
        <v>3288</v>
      </c>
      <c r="AG395" s="9" t="s">
        <v>2959</v>
      </c>
      <c r="AH395" s="9">
        <v>6.2412669999999997</v>
      </c>
      <c r="AI395" s="9">
        <v>-75.586453000000006</v>
      </c>
      <c r="AJ395" s="9" t="s">
        <v>2960</v>
      </c>
      <c r="AK395" s="9">
        <v>6.2568000000000001</v>
      </c>
      <c r="AL395" s="9">
        <v>-75.580860000000001</v>
      </c>
      <c r="AM395" s="26">
        <f t="shared" si="7"/>
        <v>3.0010320486111111</v>
      </c>
    </row>
    <row r="396" spans="1:39" ht="15" x14ac:dyDescent="0.25">
      <c r="A396" s="9" t="s">
        <v>3289</v>
      </c>
      <c r="B396" s="9" t="s">
        <v>3290</v>
      </c>
      <c r="C396" s="9" t="s">
        <v>3291</v>
      </c>
      <c r="D396" s="9" t="s">
        <v>3191</v>
      </c>
      <c r="E396" s="9" t="s">
        <v>2619</v>
      </c>
      <c r="F396" s="9" t="s">
        <v>315</v>
      </c>
      <c r="G396" s="9" t="s">
        <v>97</v>
      </c>
      <c r="H396" s="9" t="s">
        <v>98</v>
      </c>
      <c r="I396" s="9" t="s">
        <v>115</v>
      </c>
      <c r="J396" s="9">
        <v>3687</v>
      </c>
      <c r="K396" s="9" t="s">
        <v>3292</v>
      </c>
      <c r="L396" s="9" t="s">
        <v>117</v>
      </c>
      <c r="M396" s="10">
        <v>1.292824074074074E-2</v>
      </c>
      <c r="N396" s="9" t="s">
        <v>127</v>
      </c>
      <c r="O396" s="9" t="s">
        <v>3293</v>
      </c>
      <c r="P396" s="9" t="s">
        <v>119</v>
      </c>
      <c r="Q396" s="10">
        <v>9.837962962962962E-4</v>
      </c>
      <c r="R396" s="9" t="s">
        <v>46</v>
      </c>
      <c r="S396" s="10">
        <v>0.26194444444444442</v>
      </c>
      <c r="T396" s="9">
        <v>49.853999999999999</v>
      </c>
      <c r="U396" s="9">
        <v>11.54</v>
      </c>
      <c r="V396" s="10">
        <v>0.17996527777777779</v>
      </c>
      <c r="W396" s="10">
        <v>0.1005439814814815</v>
      </c>
      <c r="X396" s="10">
        <v>0</v>
      </c>
      <c r="Y396" s="9">
        <v>0</v>
      </c>
      <c r="Z396" s="9">
        <v>0</v>
      </c>
      <c r="AA396" s="9">
        <v>0</v>
      </c>
      <c r="AB396" s="9">
        <v>0</v>
      </c>
      <c r="AC396" s="9">
        <v>0</v>
      </c>
      <c r="AD396" s="9">
        <v>0</v>
      </c>
      <c r="AE396" s="9" t="s">
        <v>139</v>
      </c>
      <c r="AF396" s="9" t="s">
        <v>3294</v>
      </c>
      <c r="AG396" s="9" t="s">
        <v>3295</v>
      </c>
      <c r="AH396" s="9">
        <v>6.2256239999999998</v>
      </c>
      <c r="AI396" s="9">
        <v>-75.599417000000003</v>
      </c>
      <c r="AJ396" s="9" t="s">
        <v>3296</v>
      </c>
      <c r="AK396" s="9">
        <v>6.2953029999999996</v>
      </c>
      <c r="AL396" s="9">
        <v>-75.582172</v>
      </c>
      <c r="AM396" s="27">
        <f t="shared" si="7"/>
        <v>0</v>
      </c>
    </row>
    <row r="397" spans="1:39" ht="15" x14ac:dyDescent="0.25">
      <c r="A397" s="9" t="s">
        <v>3297</v>
      </c>
      <c r="B397" s="9" t="s">
        <v>3298</v>
      </c>
      <c r="C397" s="9" t="s">
        <v>3299</v>
      </c>
      <c r="D397" s="9" t="s">
        <v>3300</v>
      </c>
      <c r="E397" s="9" t="s">
        <v>2619</v>
      </c>
      <c r="F397" s="9" t="s">
        <v>406</v>
      </c>
      <c r="G397" s="9" t="s">
        <v>38</v>
      </c>
      <c r="H397" s="9" t="s">
        <v>39</v>
      </c>
      <c r="I397" s="9" t="s">
        <v>40</v>
      </c>
      <c r="J397" s="9">
        <v>7218</v>
      </c>
      <c r="K397" s="9" t="s">
        <v>3301</v>
      </c>
      <c r="L397" s="9" t="s">
        <v>42</v>
      </c>
      <c r="M397" s="10">
        <v>5.2253935185185181E-3</v>
      </c>
      <c r="N397" s="9" t="s">
        <v>65</v>
      </c>
      <c r="O397" s="9" t="s">
        <v>3302</v>
      </c>
      <c r="P397" s="9" t="s">
        <v>413</v>
      </c>
      <c r="Q397" s="10">
        <v>3.8467453703703712E-2</v>
      </c>
      <c r="R397" s="9" t="s">
        <v>56</v>
      </c>
      <c r="S397" s="10">
        <v>0.26880715277777778</v>
      </c>
      <c r="T397" s="9">
        <v>43.122999999999998</v>
      </c>
      <c r="U397" s="9">
        <v>20.98</v>
      </c>
      <c r="V397" s="10">
        <v>8.5647488425925913E-2</v>
      </c>
      <c r="W397" s="10">
        <v>2.9955844907407402E-2</v>
      </c>
      <c r="X397" s="10">
        <v>0</v>
      </c>
      <c r="Y397" s="9">
        <v>0</v>
      </c>
      <c r="Z397" s="9">
        <v>0</v>
      </c>
      <c r="AA397" s="9">
        <v>0</v>
      </c>
      <c r="AB397" s="9">
        <v>0</v>
      </c>
      <c r="AC397" s="9">
        <v>0</v>
      </c>
      <c r="AD397" s="9">
        <v>2</v>
      </c>
      <c r="AE397" s="9" t="s">
        <v>67</v>
      </c>
      <c r="AF397" s="9" t="s">
        <v>3303</v>
      </c>
      <c r="AG397" s="9" t="s">
        <v>3304</v>
      </c>
      <c r="AH397" s="9">
        <v>6.2034520000000004</v>
      </c>
      <c r="AI397" s="9">
        <v>-75.600986000000006</v>
      </c>
      <c r="AJ397" s="9" t="s">
        <v>3305</v>
      </c>
      <c r="AK397" s="9">
        <v>6.2028930000000004</v>
      </c>
      <c r="AL397" s="9">
        <v>-75.569176999999996</v>
      </c>
      <c r="AM397" s="26">
        <f t="shared" si="7"/>
        <v>3.8467453703703712E-2</v>
      </c>
    </row>
    <row r="398" spans="1:39" ht="15" x14ac:dyDescent="0.25">
      <c r="A398" s="9" t="s">
        <v>3306</v>
      </c>
      <c r="B398" s="9" t="s">
        <v>3307</v>
      </c>
      <c r="C398" s="9" t="s">
        <v>3308</v>
      </c>
      <c r="D398" s="9" t="s">
        <v>3300</v>
      </c>
      <c r="E398" s="9" t="s">
        <v>2619</v>
      </c>
      <c r="F398" s="9" t="s">
        <v>406</v>
      </c>
      <c r="G398" s="9" t="s">
        <v>52</v>
      </c>
      <c r="H398" s="9" t="s">
        <v>53</v>
      </c>
      <c r="I398" s="9" t="s">
        <v>40</v>
      </c>
      <c r="J398" s="9">
        <v>1734</v>
      </c>
      <c r="K398" s="9" t="s">
        <v>3309</v>
      </c>
      <c r="L398" s="9" t="s">
        <v>42</v>
      </c>
      <c r="M398" s="10">
        <v>4.5370370370370373E-3</v>
      </c>
      <c r="N398" s="9" t="s">
        <v>65</v>
      </c>
      <c r="O398" s="9" t="s">
        <v>3310</v>
      </c>
      <c r="P398" s="9" t="s">
        <v>413</v>
      </c>
      <c r="Q398" s="10">
        <v>5.3356481481481484E-3</v>
      </c>
      <c r="R398" s="9" t="s">
        <v>46</v>
      </c>
      <c r="S398" s="10">
        <v>0.31170138888888888</v>
      </c>
      <c r="T398" s="9">
        <v>22.494</v>
      </c>
      <c r="U398" s="9">
        <v>3.93</v>
      </c>
      <c r="V398" s="10">
        <v>0.2386689814814815</v>
      </c>
      <c r="W398" s="10">
        <v>0.2031597222222222</v>
      </c>
      <c r="X398" s="10">
        <v>0</v>
      </c>
      <c r="Y398" s="9">
        <v>0</v>
      </c>
      <c r="Z398" s="9">
        <v>0</v>
      </c>
      <c r="AA398" s="9">
        <v>0</v>
      </c>
      <c r="AB398" s="9">
        <v>0</v>
      </c>
      <c r="AC398" s="9">
        <v>0</v>
      </c>
      <c r="AD398" s="9">
        <v>4</v>
      </c>
      <c r="AE398" s="9" t="s">
        <v>84</v>
      </c>
      <c r="AF398" s="9" t="s">
        <v>1602</v>
      </c>
      <c r="AG398" s="9" t="s">
        <v>3311</v>
      </c>
      <c r="AH398" s="9">
        <v>6.2256710000000002</v>
      </c>
      <c r="AI398" s="9">
        <v>-75.599406999999999</v>
      </c>
      <c r="AJ398" s="9" t="s">
        <v>3312</v>
      </c>
      <c r="AK398" s="9">
        <v>6.2522520000000004</v>
      </c>
      <c r="AL398" s="9">
        <v>-75.607341000000005</v>
      </c>
      <c r="AM398" s="26">
        <f t="shared" si="7"/>
        <v>0</v>
      </c>
    </row>
    <row r="399" spans="1:39" ht="15" x14ac:dyDescent="0.25">
      <c r="A399" s="9" t="s">
        <v>3313</v>
      </c>
      <c r="B399" s="9" t="s">
        <v>3314</v>
      </c>
      <c r="C399" s="9" t="s">
        <v>3315</v>
      </c>
      <c r="D399" s="9" t="s">
        <v>3300</v>
      </c>
      <c r="E399" s="9" t="s">
        <v>2619</v>
      </c>
      <c r="F399" s="9" t="s">
        <v>406</v>
      </c>
      <c r="G399" s="9" t="s">
        <v>62</v>
      </c>
      <c r="H399" s="9" t="s">
        <v>63</v>
      </c>
      <c r="I399" s="9" t="s">
        <v>40</v>
      </c>
      <c r="J399" s="9">
        <v>2206</v>
      </c>
      <c r="K399" s="9" t="s">
        <v>3316</v>
      </c>
      <c r="L399" s="9" t="s">
        <v>42</v>
      </c>
      <c r="M399" s="10">
        <v>6.6550925925925927E-3</v>
      </c>
      <c r="N399" s="9" t="s">
        <v>65</v>
      </c>
      <c r="O399" s="9" t="s">
        <v>3317</v>
      </c>
      <c r="P399" s="9" t="s">
        <v>413</v>
      </c>
      <c r="Q399" s="10">
        <v>0.1159027777777778</v>
      </c>
      <c r="R399" s="9" t="s">
        <v>56</v>
      </c>
      <c r="S399" s="10">
        <v>0.18994212962962961</v>
      </c>
      <c r="T399" s="9">
        <v>30.331</v>
      </c>
      <c r="U399" s="9">
        <v>10.07</v>
      </c>
      <c r="V399" s="10">
        <v>0.12550925925925929</v>
      </c>
      <c r="W399" s="10">
        <v>8.414351851851852E-2</v>
      </c>
      <c r="X399" s="10">
        <v>8.4606481481481477E-3</v>
      </c>
      <c r="Y399" s="9">
        <v>1</v>
      </c>
      <c r="Z399" s="9">
        <v>0</v>
      </c>
      <c r="AA399" s="9">
        <v>0</v>
      </c>
      <c r="AB399" s="9">
        <v>0</v>
      </c>
      <c r="AC399" s="9">
        <v>0</v>
      </c>
      <c r="AD399" s="9">
        <v>0</v>
      </c>
      <c r="AE399" s="9" t="s">
        <v>67</v>
      </c>
      <c r="AF399" s="9" t="s">
        <v>3318</v>
      </c>
      <c r="AG399" s="9" t="s">
        <v>3319</v>
      </c>
      <c r="AH399" s="9">
        <v>6.2258329999999997</v>
      </c>
      <c r="AI399" s="9">
        <v>-75.599429000000001</v>
      </c>
      <c r="AJ399" s="9" t="s">
        <v>3320</v>
      </c>
      <c r="AK399" s="9">
        <v>6.2961679999999998</v>
      </c>
      <c r="AL399" s="9">
        <v>-75.585223999999997</v>
      </c>
      <c r="AM399" s="27">
        <f t="shared" si="7"/>
        <v>0.1159027777777778</v>
      </c>
    </row>
    <row r="400" spans="1:39" ht="15" x14ac:dyDescent="0.25">
      <c r="A400" s="9" t="s">
        <v>3321</v>
      </c>
      <c r="B400" s="9" t="s">
        <v>3322</v>
      </c>
      <c r="C400" s="9" t="s">
        <v>3323</v>
      </c>
      <c r="D400" s="9" t="s">
        <v>3300</v>
      </c>
      <c r="E400" s="9" t="s">
        <v>2619</v>
      </c>
      <c r="F400" s="9" t="s">
        <v>406</v>
      </c>
      <c r="G400" s="9" t="s">
        <v>135</v>
      </c>
      <c r="H400" s="9" t="s">
        <v>136</v>
      </c>
      <c r="I400" s="9" t="s">
        <v>40</v>
      </c>
      <c r="J400" s="9">
        <v>3053</v>
      </c>
      <c r="K400" s="9" t="s">
        <v>3324</v>
      </c>
      <c r="L400" s="9" t="s">
        <v>42</v>
      </c>
      <c r="M400" s="10">
        <v>1.6574074074074071E-2</v>
      </c>
      <c r="N400" s="9" t="s">
        <v>127</v>
      </c>
      <c r="O400" s="9" t="s">
        <v>3325</v>
      </c>
      <c r="P400" s="9" t="s">
        <v>413</v>
      </c>
      <c r="Q400" s="10">
        <v>1.481481481481481E-3</v>
      </c>
      <c r="R400" s="9" t="s">
        <v>46</v>
      </c>
      <c r="S400" s="10">
        <v>0.33055555555555549</v>
      </c>
      <c r="T400" s="9">
        <v>47.993000000000002</v>
      </c>
      <c r="U400" s="9">
        <v>15.85</v>
      </c>
      <c r="V400" s="10">
        <v>0.12613425925925931</v>
      </c>
      <c r="W400" s="10">
        <v>6.806712962962963E-2</v>
      </c>
      <c r="X400" s="10">
        <v>0</v>
      </c>
      <c r="Y400" s="9">
        <v>0</v>
      </c>
      <c r="Z400" s="9">
        <v>0</v>
      </c>
      <c r="AA400" s="9">
        <v>0</v>
      </c>
      <c r="AB400" s="9">
        <v>0</v>
      </c>
      <c r="AC400" s="9">
        <v>0</v>
      </c>
      <c r="AD400" s="9">
        <v>4</v>
      </c>
      <c r="AE400" s="9" t="s">
        <v>139</v>
      </c>
      <c r="AF400" s="9" t="s">
        <v>3326</v>
      </c>
      <c r="AG400" s="9" t="s">
        <v>3226</v>
      </c>
      <c r="AH400" s="9">
        <v>6.2381510000000002</v>
      </c>
      <c r="AI400" s="9">
        <v>-75.547309999999996</v>
      </c>
      <c r="AJ400" s="9" t="s">
        <v>3327</v>
      </c>
      <c r="AK400" s="9">
        <v>6.2809850000000003</v>
      </c>
      <c r="AL400" s="9">
        <v>-75.545736000000005</v>
      </c>
      <c r="AM400" s="26">
        <f t="shared" si="7"/>
        <v>0</v>
      </c>
    </row>
    <row r="401" spans="1:39" ht="15" x14ac:dyDescent="0.25">
      <c r="A401" s="9" t="s">
        <v>3328</v>
      </c>
      <c r="B401" s="9" t="s">
        <v>3329</v>
      </c>
      <c r="C401" s="9" t="s">
        <v>3330</v>
      </c>
      <c r="D401" s="9" t="s">
        <v>3300</v>
      </c>
      <c r="E401" s="9" t="s">
        <v>2619</v>
      </c>
      <c r="F401" s="9" t="s">
        <v>406</v>
      </c>
      <c r="G401" s="9" t="s">
        <v>144</v>
      </c>
      <c r="H401" s="9" t="s">
        <v>145</v>
      </c>
      <c r="I401" s="9" t="s">
        <v>40</v>
      </c>
      <c r="J401" s="9">
        <v>4010</v>
      </c>
      <c r="K401" s="9" t="s">
        <v>3331</v>
      </c>
      <c r="L401" s="9" t="s">
        <v>42</v>
      </c>
      <c r="M401" s="10">
        <v>2.2175925925925929E-2</v>
      </c>
      <c r="N401" s="9" t="s">
        <v>127</v>
      </c>
      <c r="O401" s="9" t="s">
        <v>3332</v>
      </c>
      <c r="P401" s="9" t="s">
        <v>413</v>
      </c>
      <c r="Q401" s="10">
        <v>0.13746527777777781</v>
      </c>
      <c r="R401" s="9" t="s">
        <v>56</v>
      </c>
      <c r="S401" s="10">
        <v>0.19721064814814809</v>
      </c>
      <c r="T401" s="9">
        <v>52.210999999999999</v>
      </c>
      <c r="U401" s="9">
        <v>13.89</v>
      </c>
      <c r="V401" s="10">
        <v>0.15659722222222219</v>
      </c>
      <c r="W401" s="10">
        <v>4.6215277777777779E-2</v>
      </c>
      <c r="X401" s="10">
        <v>0</v>
      </c>
      <c r="Y401" s="9">
        <v>0</v>
      </c>
      <c r="Z401" s="9">
        <v>0</v>
      </c>
      <c r="AA401" s="9">
        <v>0</v>
      </c>
      <c r="AB401" s="9">
        <v>0</v>
      </c>
      <c r="AC401" s="9">
        <v>0</v>
      </c>
      <c r="AD401" s="9">
        <v>0</v>
      </c>
      <c r="AE401" s="9" t="s">
        <v>139</v>
      </c>
      <c r="AF401" s="9" t="s">
        <v>3333</v>
      </c>
      <c r="AG401" s="9" t="s">
        <v>3334</v>
      </c>
      <c r="AH401" s="9">
        <v>6.2727459999999997</v>
      </c>
      <c r="AI401" s="9">
        <v>-75.574455</v>
      </c>
      <c r="AJ401" s="9" t="s">
        <v>3335</v>
      </c>
      <c r="AK401" s="9">
        <v>6.2394040000000004</v>
      </c>
      <c r="AL401" s="9">
        <v>-75.583635000000001</v>
      </c>
      <c r="AM401" s="26">
        <f t="shared" si="7"/>
        <v>0.13746527777777781</v>
      </c>
    </row>
    <row r="402" spans="1:39" ht="15" x14ac:dyDescent="0.25">
      <c r="A402" s="9" t="s">
        <v>3336</v>
      </c>
      <c r="B402" s="9" t="s">
        <v>3337</v>
      </c>
      <c r="C402" s="9" t="s">
        <v>3338</v>
      </c>
      <c r="D402" s="9" t="s">
        <v>3300</v>
      </c>
      <c r="E402" s="9" t="s">
        <v>2619</v>
      </c>
      <c r="F402" s="9" t="s">
        <v>406</v>
      </c>
      <c r="G402" s="9" t="s">
        <v>152</v>
      </c>
      <c r="H402" s="9" t="s">
        <v>153</v>
      </c>
      <c r="I402" s="9" t="s">
        <v>40</v>
      </c>
      <c r="J402" s="9">
        <v>5663</v>
      </c>
      <c r="K402" s="9" t="s">
        <v>3339</v>
      </c>
      <c r="L402" s="9" t="s">
        <v>42</v>
      </c>
      <c r="M402" s="10">
        <v>2.0821759259259259E-2</v>
      </c>
      <c r="N402" s="9" t="s">
        <v>127</v>
      </c>
      <c r="O402" s="9" t="s">
        <v>3340</v>
      </c>
      <c r="P402" s="9" t="s">
        <v>413</v>
      </c>
      <c r="Q402" s="10">
        <v>1.1759259259259259E-2</v>
      </c>
      <c r="R402" s="9" t="s">
        <v>129</v>
      </c>
      <c r="S402" s="10">
        <v>0.34508101851851852</v>
      </c>
      <c r="T402" s="9">
        <v>73.462999999999994</v>
      </c>
      <c r="U402" s="9">
        <v>11.15</v>
      </c>
      <c r="V402" s="10">
        <v>0.27452546296296299</v>
      </c>
      <c r="W402" s="10">
        <v>0.1188310185185185</v>
      </c>
      <c r="X402" s="10">
        <v>0</v>
      </c>
      <c r="Y402" s="9">
        <v>0</v>
      </c>
      <c r="Z402" s="9">
        <v>0</v>
      </c>
      <c r="AA402" s="9">
        <v>0</v>
      </c>
      <c r="AB402" s="9">
        <v>0</v>
      </c>
      <c r="AC402" s="9">
        <v>0</v>
      </c>
      <c r="AD402" s="9">
        <v>2</v>
      </c>
      <c r="AE402" s="9" t="s">
        <v>130</v>
      </c>
      <c r="AF402" s="9" t="s">
        <v>3341</v>
      </c>
      <c r="AG402" s="9" t="s">
        <v>3342</v>
      </c>
      <c r="AH402" s="9">
        <v>6.2801130000000001</v>
      </c>
      <c r="AI402" s="9">
        <v>-75.572571999999994</v>
      </c>
      <c r="AJ402" s="9" t="s">
        <v>3343</v>
      </c>
      <c r="AK402" s="9">
        <v>6.2518180000000001</v>
      </c>
      <c r="AL402" s="9">
        <v>-75.551772999999997</v>
      </c>
      <c r="AM402" s="27">
        <f t="shared" si="7"/>
        <v>0</v>
      </c>
    </row>
    <row r="403" spans="1:39" ht="15" x14ac:dyDescent="0.25">
      <c r="A403" s="9" t="s">
        <v>3344</v>
      </c>
      <c r="B403" s="9" t="s">
        <v>3345</v>
      </c>
      <c r="C403" s="9" t="s">
        <v>3346</v>
      </c>
      <c r="D403" s="9" t="s">
        <v>3300</v>
      </c>
      <c r="E403" s="9" t="s">
        <v>2619</v>
      </c>
      <c r="F403" s="9" t="s">
        <v>406</v>
      </c>
      <c r="G403" s="9" t="s">
        <v>89</v>
      </c>
      <c r="H403" s="9" t="s">
        <v>90</v>
      </c>
      <c r="I403" s="9" t="s">
        <v>40</v>
      </c>
      <c r="J403" s="9">
        <v>2633</v>
      </c>
      <c r="K403" s="9" t="s">
        <v>3347</v>
      </c>
      <c r="L403" s="9" t="s">
        <v>42</v>
      </c>
      <c r="M403" s="10">
        <v>1.2129629629629631E-2</v>
      </c>
      <c r="N403" s="9" t="s">
        <v>127</v>
      </c>
      <c r="O403" s="9" t="s">
        <v>3348</v>
      </c>
      <c r="P403" s="9" t="s">
        <v>413</v>
      </c>
      <c r="Q403" s="10">
        <v>1.239583333333333E-2</v>
      </c>
      <c r="R403" s="9" t="s">
        <v>56</v>
      </c>
      <c r="S403" s="10">
        <v>0.31223379629629627</v>
      </c>
      <c r="T403" s="9">
        <v>32.966000000000001</v>
      </c>
      <c r="U403" s="9">
        <v>6.67</v>
      </c>
      <c r="V403" s="10">
        <v>0.20579861111111111</v>
      </c>
      <c r="W403" s="10">
        <v>0.13592592592592589</v>
      </c>
      <c r="X403" s="10">
        <v>0</v>
      </c>
      <c r="Y403" s="9">
        <v>0</v>
      </c>
      <c r="Z403" s="9">
        <v>0</v>
      </c>
      <c r="AA403" s="9">
        <v>0</v>
      </c>
      <c r="AB403" s="9">
        <v>0</v>
      </c>
      <c r="AC403" s="9">
        <v>0</v>
      </c>
      <c r="AD403" s="9">
        <v>0</v>
      </c>
      <c r="AE403" s="9" t="s">
        <v>139</v>
      </c>
      <c r="AF403" s="9" t="s">
        <v>3349</v>
      </c>
      <c r="AG403" s="9" t="s">
        <v>3350</v>
      </c>
      <c r="AH403" s="9">
        <v>6.2268850000000002</v>
      </c>
      <c r="AI403" s="9">
        <v>-75.599194999999995</v>
      </c>
      <c r="AJ403" s="9" t="s">
        <v>3351</v>
      </c>
      <c r="AK403" s="9">
        <v>6.2794569999999998</v>
      </c>
      <c r="AL403" s="9">
        <v>-75.570402000000001</v>
      </c>
      <c r="AM403" s="26">
        <f t="shared" si="7"/>
        <v>1.239583333333333E-2</v>
      </c>
    </row>
    <row r="404" spans="1:39" ht="15" x14ac:dyDescent="0.25">
      <c r="A404" s="9" t="s">
        <v>3352</v>
      </c>
      <c r="B404" s="9" t="s">
        <v>3353</v>
      </c>
      <c r="C404" s="9" t="s">
        <v>3354</v>
      </c>
      <c r="D404" s="9" t="s">
        <v>3300</v>
      </c>
      <c r="E404" s="9" t="s">
        <v>2619</v>
      </c>
      <c r="F404" s="9" t="s">
        <v>406</v>
      </c>
      <c r="G404" s="9" t="s">
        <v>105</v>
      </c>
      <c r="H404" s="9" t="s">
        <v>106</v>
      </c>
      <c r="I404" s="9" t="s">
        <v>40</v>
      </c>
      <c r="J404" s="9">
        <v>3479</v>
      </c>
      <c r="K404" s="9" t="s">
        <v>3355</v>
      </c>
      <c r="L404" s="9" t="s">
        <v>42</v>
      </c>
      <c r="M404" s="10">
        <v>2.592592592592593E-3</v>
      </c>
      <c r="N404" s="9" t="s">
        <v>65</v>
      </c>
      <c r="O404" s="9" t="s">
        <v>3356</v>
      </c>
      <c r="P404" s="9" t="s">
        <v>413</v>
      </c>
      <c r="Q404" s="10">
        <v>2.3611111111111111E-3</v>
      </c>
      <c r="R404" s="9" t="s">
        <v>46</v>
      </c>
      <c r="S404" s="10">
        <v>0.3122685185185185</v>
      </c>
      <c r="T404" s="9">
        <v>46.468000000000004</v>
      </c>
      <c r="U404" s="9">
        <v>10.09</v>
      </c>
      <c r="V404" s="10">
        <v>0.1918287037037037</v>
      </c>
      <c r="W404" s="10">
        <v>0.1208680555555556</v>
      </c>
      <c r="X404" s="10">
        <v>0</v>
      </c>
      <c r="Y404" s="9">
        <v>0</v>
      </c>
      <c r="Z404" s="9">
        <v>0</v>
      </c>
      <c r="AA404" s="9">
        <v>0</v>
      </c>
      <c r="AB404" s="9">
        <v>0</v>
      </c>
      <c r="AC404" s="9">
        <v>0</v>
      </c>
      <c r="AD404" s="9">
        <v>1</v>
      </c>
      <c r="AE404" s="9" t="s">
        <v>84</v>
      </c>
      <c r="AF404" s="9" t="s">
        <v>324</v>
      </c>
      <c r="AG404" s="9" t="s">
        <v>3357</v>
      </c>
      <c r="AH404" s="9">
        <v>6.2259659999999997</v>
      </c>
      <c r="AI404" s="9">
        <v>-75.598782</v>
      </c>
      <c r="AJ404" s="9" t="s">
        <v>3358</v>
      </c>
      <c r="AK404" s="9">
        <v>6.2844670000000002</v>
      </c>
      <c r="AL404" s="9">
        <v>-75.57338</v>
      </c>
      <c r="AM404" s="26">
        <f t="shared" si="7"/>
        <v>0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3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2026-10-13T14:12:18Z</dcterms:modified>
</cp:coreProperties>
</file>